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1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ripsi\Data\"/>
    </mc:Choice>
  </mc:AlternateContent>
  <xr:revisionPtr revIDLastSave="0" documentId="13_ncr:1_{852B1DE7-046A-47A5-9958-677D43B44AE7}" xr6:coauthVersionLast="47" xr6:coauthVersionMax="47" xr10:uidLastSave="{00000000-0000-0000-0000-000000000000}"/>
  <bookViews>
    <workbookView xWindow="-108" yWindow="-108" windowWidth="23256" windowHeight="12456" xr2:uid="{AA0C3AFA-EE72-4B68-A8AE-9D9A77426568}"/>
  </bookViews>
  <sheets>
    <sheet name="50" sheetId="1" r:id="rId1"/>
    <sheet name="53" sheetId="6" r:id="rId2"/>
    <sheet name="56" sheetId="7" r:id="rId3"/>
    <sheet name="59" sheetId="8" r:id="rId4"/>
    <sheet name="62" sheetId="9" r:id="rId5"/>
    <sheet name="65" sheetId="10" r:id="rId6"/>
    <sheet name="68" sheetId="11" r:id="rId7"/>
    <sheet name="71" sheetId="12" r:id="rId8"/>
    <sheet name="74" sheetId="13" r:id="rId9"/>
    <sheet name="77" sheetId="14" r:id="rId10"/>
    <sheet name="80" sheetId="15" r:id="rId11"/>
    <sheet name="Setpoint" sheetId="16" r:id="rId12"/>
    <sheet name="Data In" sheetId="5" r:id="rId13"/>
    <sheet name="Data Out" sheetId="4" r:id="rId14"/>
    <sheet name="Settings" sheetId="3" r:id="rId15"/>
    <sheet name="Manifest" sheetId="2" r:id="rId16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15" l="1"/>
  <c r="H23" i="13"/>
  <c r="H23" i="12"/>
  <c r="I19" i="15"/>
  <c r="J16" i="14"/>
  <c r="J20" i="13"/>
  <c r="J20" i="12"/>
  <c r="J20" i="11"/>
  <c r="J19" i="10"/>
  <c r="J20" i="9"/>
  <c r="J17" i="8"/>
  <c r="I24" i="7"/>
  <c r="J18" i="6"/>
  <c r="J17" i="1"/>
  <c r="H17" i="1"/>
  <c r="I27" i="6"/>
  <c r="I28" i="6" s="1"/>
  <c r="I18" i="6"/>
  <c r="H30" i="1" a="1"/>
  <c r="H30" i="1" s="1"/>
  <c r="H20" i="1"/>
  <c r="I27" i="1"/>
  <c r="I17" i="1"/>
  <c r="I20" i="12"/>
  <c r="H19" i="15"/>
  <c r="I20" i="13"/>
  <c r="H16" i="14"/>
  <c r="I16" i="14"/>
  <c r="H20" i="9"/>
  <c r="H21" i="6"/>
  <c r="H33" i="1" a="1"/>
  <c r="H33" i="1" s="1"/>
  <c r="X36" i="1" a="1"/>
  <c r="X36" i="1" s="1"/>
  <c r="X33" i="1" a="1"/>
  <c r="X33" i="1" s="1"/>
  <c r="X30" i="1" a="1"/>
  <c r="X30" i="1" s="1"/>
  <c r="H24" i="15"/>
  <c r="H25" i="15" s="1"/>
  <c r="Y23" i="15"/>
  <c r="Y24" i="15" s="1"/>
  <c r="Y23" i="14"/>
  <c r="Y22" i="14"/>
  <c r="I21" i="14"/>
  <c r="I22" i="14" s="1"/>
  <c r="Y26" i="13"/>
  <c r="Y25" i="13"/>
  <c r="I25" i="13"/>
  <c r="I26" i="13" s="1"/>
  <c r="Y27" i="12"/>
  <c r="Y26" i="12"/>
  <c r="I25" i="12"/>
  <c r="I26" i="12" s="1"/>
  <c r="Y26" i="11"/>
  <c r="Y25" i="11"/>
  <c r="I25" i="11"/>
  <c r="I26" i="11" s="1"/>
  <c r="Y26" i="10"/>
  <c r="Y25" i="10"/>
  <c r="I24" i="10"/>
  <c r="I25" i="10" s="1"/>
  <c r="Y26" i="8"/>
  <c r="Y26" i="9"/>
  <c r="Y25" i="9"/>
  <c r="I25" i="9"/>
  <c r="I26" i="9" s="1"/>
  <c r="Y27" i="8"/>
  <c r="X36" i="8" a="1"/>
  <c r="X36" i="8" s="1"/>
  <c r="I26" i="8"/>
  <c r="I27" i="8" s="1"/>
  <c r="Y34" i="7"/>
  <c r="Y33" i="7"/>
  <c r="H33" i="7"/>
  <c r="H34" i="7" s="1"/>
  <c r="Y28" i="6"/>
  <c r="Y27" i="6"/>
  <c r="I26" i="1"/>
  <c r="X20" i="1"/>
  <c r="Y27" i="1"/>
  <c r="Y26" i="1"/>
  <c r="X33" i="15" a="1"/>
  <c r="X33" i="15" s="1"/>
  <c r="X30" i="15" a="1"/>
  <c r="X30" i="15" s="1"/>
  <c r="X27" i="15" a="1"/>
  <c r="X27" i="15" s="1"/>
  <c r="X21" i="15"/>
  <c r="Z18" i="15"/>
  <c r="Y18" i="15"/>
  <c r="X18" i="15"/>
  <c r="G34" i="15" a="1"/>
  <c r="G34" i="15" s="1"/>
  <c r="G31" i="15" a="1"/>
  <c r="G31" i="15" s="1"/>
  <c r="G28" i="15" a="1"/>
  <c r="G28" i="15" s="1"/>
  <c r="G19" i="15"/>
  <c r="X32" i="14" a="1"/>
  <c r="X32" i="14" s="1"/>
  <c r="X29" i="14" a="1"/>
  <c r="X29" i="14" s="1"/>
  <c r="X26" i="14" a="1"/>
  <c r="X26" i="14" s="1"/>
  <c r="X20" i="14"/>
  <c r="Z17" i="14"/>
  <c r="Y17" i="14"/>
  <c r="X17" i="14"/>
  <c r="H31" i="14" a="1"/>
  <c r="H31" i="14" s="1"/>
  <c r="H28" i="14" a="1"/>
  <c r="H28" i="14" s="1"/>
  <c r="H25" i="14" a="1"/>
  <c r="H25" i="14" s="1"/>
  <c r="H19" i="14"/>
  <c r="X35" i="13" a="1"/>
  <c r="X35" i="13" s="1"/>
  <c r="X32" i="13" a="1"/>
  <c r="X32" i="13"/>
  <c r="X29" i="13" a="1"/>
  <c r="X29" i="13"/>
  <c r="X23" i="13"/>
  <c r="Z20" i="13"/>
  <c r="Y20" i="13"/>
  <c r="H20" i="13"/>
  <c r="X20" i="13"/>
  <c r="H35" i="13" a="1"/>
  <c r="H35" i="13" s="1"/>
  <c r="H32" i="13" a="1"/>
  <c r="H32" i="13" s="1"/>
  <c r="H29" i="13" a="1"/>
  <c r="H29" i="13" s="1"/>
  <c r="X36" i="12" a="1"/>
  <c r="X36" i="12" s="1"/>
  <c r="X33" i="12" a="1"/>
  <c r="X33" i="12" s="1"/>
  <c r="X30" i="12" a="1"/>
  <c r="X30" i="12" s="1"/>
  <c r="X24" i="12"/>
  <c r="Z21" i="12"/>
  <c r="Y21" i="12"/>
  <c r="X21" i="12"/>
  <c r="H35" i="12" a="1"/>
  <c r="H35" i="12" s="1"/>
  <c r="H32" i="12" a="1"/>
  <c r="H32" i="12" s="1"/>
  <c r="H29" i="12" a="1"/>
  <c r="H29" i="12" s="1"/>
  <c r="H20" i="12"/>
  <c r="X32" i="11" a="1"/>
  <c r="X32" i="11"/>
  <c r="X35" i="11" a="1"/>
  <c r="X35" i="11"/>
  <c r="X29" i="11" a="1"/>
  <c r="X29" i="11" s="1"/>
  <c r="X23" i="11"/>
  <c r="Z20" i="11"/>
  <c r="Y20" i="11"/>
  <c r="X20" i="11"/>
  <c r="H35" i="11" a="1"/>
  <c r="H35" i="11" s="1"/>
  <c r="H32" i="11" a="1"/>
  <c r="H32" i="11" s="1"/>
  <c r="H29" i="11" a="1"/>
  <c r="H29" i="11" s="1"/>
  <c r="H23" i="11"/>
  <c r="I20" i="11"/>
  <c r="H20" i="11"/>
  <c r="X35" i="10" a="1"/>
  <c r="X35" i="10" s="1"/>
  <c r="X32" i="10" a="1"/>
  <c r="X32" i="10" s="1"/>
  <c r="X29" i="10" a="1"/>
  <c r="X29" i="10" s="1"/>
  <c r="X23" i="10"/>
  <c r="Z20" i="10"/>
  <c r="Y20" i="10"/>
  <c r="X20" i="10"/>
  <c r="H31" i="10" a="1"/>
  <c r="H31" i="10" s="1"/>
  <c r="H34" i="10" a="1"/>
  <c r="H34" i="10" s="1"/>
  <c r="H28" i="10" a="1"/>
  <c r="H28" i="10" s="1"/>
  <c r="H22" i="10"/>
  <c r="I19" i="10"/>
  <c r="H19" i="10"/>
  <c r="X29" i="9" a="1"/>
  <c r="X29" i="9" s="1"/>
  <c r="X35" i="9" a="1"/>
  <c r="X35" i="9" s="1"/>
  <c r="X23" i="9"/>
  <c r="X32" i="9" a="1"/>
  <c r="X32" i="9" s="1"/>
  <c r="Z20" i="9"/>
  <c r="X20" i="9"/>
  <c r="Y20" i="9"/>
  <c r="H35" i="9" a="1"/>
  <c r="H35" i="9" s="1"/>
  <c r="H32" i="9" a="1"/>
  <c r="H32" i="9" s="1"/>
  <c r="H29" i="9" a="1"/>
  <c r="H29" i="9" s="1"/>
  <c r="H23" i="9"/>
  <c r="I20" i="9"/>
  <c r="H36" i="8" a="1"/>
  <c r="H36" i="8" s="1"/>
  <c r="X33" i="8" a="1"/>
  <c r="X33" i="8" s="1"/>
  <c r="H33" i="8" a="1"/>
  <c r="H33" i="8" s="1"/>
  <c r="H30" i="8" a="1"/>
  <c r="H30" i="8" s="1"/>
  <c r="X30" i="8" a="1"/>
  <c r="X30" i="8" s="1"/>
  <c r="X37" i="7" a="1"/>
  <c r="X37" i="7" s="1"/>
  <c r="X20" i="8"/>
  <c r="Z17" i="8"/>
  <c r="Y17" i="8"/>
  <c r="X17" i="8"/>
  <c r="H20" i="8"/>
  <c r="I17" i="8"/>
  <c r="H17" i="8"/>
  <c r="G40" i="7" a="1"/>
  <c r="G40" i="7" s="1"/>
  <c r="G43" i="7" a="1"/>
  <c r="G43" i="7" s="1"/>
  <c r="H37" i="6" a="1"/>
  <c r="H37" i="6" s="1"/>
  <c r="H34" i="6" a="1"/>
  <c r="H34" i="6"/>
  <c r="H31" i="6" a="1"/>
  <c r="H31" i="6" s="1"/>
  <c r="X43" i="7" a="1"/>
  <c r="X43" i="7"/>
  <c r="X40" i="7" a="1"/>
  <c r="X40" i="7" s="1"/>
  <c r="X27" i="7"/>
  <c r="Z24" i="7"/>
  <c r="Y24" i="7"/>
  <c r="X24" i="7"/>
  <c r="G24" i="7"/>
  <c r="G37" i="7" a="1"/>
  <c r="G37" i="7" s="1"/>
  <c r="G27" i="7"/>
  <c r="H24" i="7"/>
  <c r="H18" i="6"/>
  <c r="X34" i="6" a="1"/>
  <c r="X34" i="6"/>
  <c r="X37" i="6" a="1"/>
  <c r="X37" i="6" s="1"/>
  <c r="X31" i="6" a="1"/>
  <c r="X31" i="6" s="1"/>
  <c r="Z18" i="6"/>
  <c r="X21" i="6"/>
  <c r="Y18" i="6"/>
  <c r="X18" i="6"/>
  <c r="H36" i="1" a="1"/>
  <c r="H36" i="1" s="1"/>
  <c r="Z17" i="1"/>
  <c r="Y17" i="1"/>
  <c r="X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<sst xmlns="http://schemas.openxmlformats.org/spreadsheetml/2006/main" count="523" uniqueCount="77">
  <si>
    <t>Channels</t>
  </si>
  <si>
    <t>Data Source Id</t>
  </si>
  <si>
    <t>Data Interval (ms)</t>
  </si>
  <si>
    <t>Baud Rate</t>
  </si>
  <si>
    <t>STMicroelectronics STLink Virtual COM Port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</si>
  <si>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</si>
  <si>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</si>
  <si>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</si>
  <si>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</si>
  <si>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</si>
  <si>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</si>
  <si>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</si>
  <si>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</si>
  <si>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</si>
  <si>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</si>
  <si>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</si>
  <si>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</si>
  <si>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</si>
  <si>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</si>
  <si>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</si>
  <si>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</si>
  <si>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</si>
  <si>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</si>
  <si>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</si>
  <si>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</si>
  <si>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</si>
  <si>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</si>
  <si>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</si>
  <si>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</si>
  <si>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</si>
  <si>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</si>
  <si>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</si>
  <si>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</si>
  <si>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</si>
  <si>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</si>
  <si>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</si>
  <si>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t</t>
  </si>
  <si>
    <t>tsp</t>
  </si>
  <si>
    <t>ta</t>
  </si>
  <si>
    <t>e</t>
  </si>
  <si>
    <t>de</t>
  </si>
  <si>
    <t>pwm</t>
  </si>
  <si>
    <t>0.01936.13</t>
  </si>
  <si>
    <t>0.020171.36</t>
  </si>
  <si>
    <t>-1.07732.84</t>
  </si>
  <si>
    <t>0-0.04</t>
  </si>
  <si>
    <t>Rise Time ( Waktu mencapai 10%-90%)</t>
  </si>
  <si>
    <t>T_10%</t>
  </si>
  <si>
    <t>T_90%</t>
  </si>
  <si>
    <t>Waktu dibutuhkan (s)</t>
  </si>
  <si>
    <t>Maksimum Overshoot (%)</t>
  </si>
  <si>
    <t>SSE</t>
  </si>
  <si>
    <t>Presentase</t>
  </si>
  <si>
    <t>IAE (Integral of Absolute Error)</t>
  </si>
  <si>
    <t>ISE (Integral of Squared Error)</t>
  </si>
  <si>
    <t>ITAE (Integral of Time-weighted Absolute Error)</t>
  </si>
  <si>
    <t>2.6</t>
  </si>
  <si>
    <t>Data In (From STMicroelectronics STLink Virtual COM Port (COM14))</t>
  </si>
  <si>
    <t>99DD45F4-F621-4A46-8ACD-264E9AC24486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</si>
  <si>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100,"Id":"99DD45F4-F621-4A46-8ACD-264E9AC24486","IsGenerated":true,"Name":"STMicroelectronics STLink Virtual COM Port","Version":null,"BaudRate":115200}</t>
  </si>
  <si>
    <t>2056.417.10</t>
  </si>
  <si>
    <t>2101.25.40</t>
  </si>
  <si>
    <t>Setpoint</t>
  </si>
  <si>
    <t>(℃)</t>
  </si>
  <si>
    <r>
      <t>Rise time</t>
    </r>
    <r>
      <rPr>
        <sz val="12"/>
        <color theme="1"/>
        <rFont val="Times New Roman"/>
        <family val="1"/>
      </rPr>
      <t>(s)</t>
    </r>
  </si>
  <si>
    <t>Maksimum</t>
  </si>
  <si>
    <r>
      <t>Overshoot</t>
    </r>
    <r>
      <rPr>
        <sz val="12"/>
        <color theme="1"/>
        <rFont val="Times New Roman"/>
        <family val="1"/>
      </rPr>
      <t>(%)</t>
    </r>
  </si>
  <si>
    <t>(%)</t>
  </si>
  <si>
    <t>IAE</t>
  </si>
  <si>
    <t>ISE</t>
  </si>
  <si>
    <t>ITAE</t>
  </si>
  <si>
    <t>GS PID</t>
  </si>
  <si>
    <t>FUZZY MAMDANI</t>
  </si>
  <si>
    <t>Rise Time</t>
  </si>
  <si>
    <t>FM</t>
  </si>
  <si>
    <t>Maks Overshoot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</si>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</sst>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11"/>
      <color theme="1"/>
      <name val="Segoe UI"/>
      <family val="2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E7E6E6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9" fillId="5" borderId="0" xfId="0" applyFont="1" applyFill="1" applyAlignment="1" applyProtection="1">
      <alignment horizontal="left" vertical="center" indent="1"/>
      <protection locked="0"/>
    </xf>
    <xf numFmtId="0" fontId="10" fillId="6" borderId="2" xfId="0" applyFont="1" applyFill="1" applyBorder="1" applyAlignment="1" applyProtection="1">
      <alignment horizontal="left" vertical="center" indent="1"/>
      <protection locked="0"/>
    </xf>
    <xf numFmtId="0" fontId="5" fillId="6" borderId="3" xfId="0" applyFont="1" applyFill="1" applyBorder="1" applyAlignment="1" applyProtection="1">
      <alignment horizontal="left" vertical="center" indent="1"/>
      <protection locked="0"/>
    </xf>
    <xf numFmtId="0" fontId="10" fillId="6" borderId="4" xfId="0" applyFont="1" applyFill="1" applyBorder="1" applyAlignment="1" applyProtection="1">
      <alignment horizontal="left" vertical="center" indent="1"/>
      <protection locked="0"/>
    </xf>
    <xf numFmtId="0" fontId="5" fillId="6" borderId="5" xfId="0" applyFont="1" applyFill="1" applyBorder="1" applyAlignment="1" applyProtection="1">
      <alignment horizontal="left" vertical="center" indent="1"/>
      <protection locked="0"/>
    </xf>
    <xf numFmtId="0" fontId="5" fillId="6" borderId="6" xfId="0" applyFont="1" applyFill="1" applyBorder="1" applyAlignment="1" applyProtection="1">
      <alignment horizontal="left" vertical="center" indent="1"/>
      <protection locked="0"/>
    </xf>
    <xf numFmtId="0" fontId="5" fillId="6" borderId="7" xfId="0" applyFont="1" applyFill="1" applyBorder="1" applyAlignment="1" applyProtection="1">
      <alignment horizontal="left" vertical="center" indent="1"/>
      <protection locked="0"/>
    </xf>
    <xf numFmtId="0" fontId="5" fillId="6" borderId="9" xfId="0" applyFont="1" applyFill="1" applyBorder="1" applyAlignment="1" applyProtection="1">
      <alignment horizontal="left" vertical="center" indent="1"/>
      <protection locked="0"/>
    </xf>
    <xf numFmtId="0" fontId="10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1" fillId="7" borderId="0" xfId="0" applyFont="1" applyFill="1" applyAlignment="1" applyProtection="1">
      <alignment horizontal="left" vertical="center" indent="1"/>
      <protection locked="0"/>
    </xf>
    <xf numFmtId="0" fontId="5" fillId="2" borderId="10" xfId="0" applyFont="1" applyFill="1" applyBorder="1" applyAlignment="1" applyProtection="1">
      <alignment horizontal="left" vertical="center" indent="1"/>
      <protection locked="0"/>
    </xf>
    <xf numFmtId="0" fontId="14" fillId="9" borderId="13" xfId="0" applyFont="1" applyFill="1" applyBorder="1" applyAlignment="1" applyProtection="1">
      <alignment horizontal="right" vertical="center" indent="1"/>
      <protection locked="0"/>
    </xf>
    <xf numFmtId="0" fontId="9" fillId="10" borderId="0" xfId="0" applyFont="1" applyFill="1" applyAlignment="1">
      <alignment horizontal="center" vertical="center"/>
    </xf>
    <xf numFmtId="0" fontId="14" fillId="11" borderId="14" xfId="0" applyFont="1" applyFill="1" applyBorder="1" applyAlignment="1" applyProtection="1">
      <alignment horizontal="right" vertical="center" indent="1"/>
      <protection locked="0"/>
    </xf>
    <xf numFmtId="164" fontId="14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4" fillId="12" borderId="16" xfId="0" applyFont="1" applyFill="1" applyBorder="1" applyAlignment="1" applyProtection="1">
      <alignment horizontal="right" vertical="center" indent="1"/>
      <protection locked="0"/>
    </xf>
    <xf numFmtId="0" fontId="14" fillId="12" borderId="17" xfId="0" applyFont="1" applyFill="1" applyBorder="1" applyAlignment="1" applyProtection="1">
      <alignment horizontal="right" vertical="center" indent="1"/>
      <protection locked="0"/>
    </xf>
    <xf numFmtId="164" fontId="14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4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4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4" fillId="13" borderId="17" xfId="0" applyFont="1" applyFill="1" applyBorder="1" applyAlignment="1" applyProtection="1">
      <alignment horizontal="right" vertical="center" indent="1"/>
      <protection locked="0"/>
    </xf>
    <xf numFmtId="0" fontId="14" fillId="13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7" xfId="0" quotePrefix="1" applyFont="1" applyFill="1" applyBorder="1" applyAlignment="1" applyProtection="1">
      <alignment horizontal="right" vertical="center" indent="1"/>
      <protection locked="0"/>
    </xf>
    <xf numFmtId="0" fontId="14" fillId="12" borderId="16" xfId="0" quotePrefix="1" applyFont="1" applyFill="1" applyBorder="1" applyAlignment="1" applyProtection="1">
      <alignment horizontal="right" vertical="center" indent="1"/>
      <protection locked="0"/>
    </xf>
    <xf numFmtId="0" fontId="14" fillId="11" borderId="14" xfId="0" quotePrefix="1" applyFont="1" applyFill="1" applyBorder="1" applyAlignment="1" applyProtection="1">
      <alignment horizontal="right" vertical="center" indent="1"/>
      <protection locked="0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0" xfId="0" applyAlignment="1">
      <alignment horizontal="center"/>
    </xf>
    <xf numFmtId="0" fontId="14" fillId="14" borderId="17" xfId="0" applyFont="1" applyFill="1" applyBorder="1" applyAlignment="1" applyProtection="1">
      <alignment horizontal="right" vertical="center" indent="1"/>
      <protection locked="0"/>
    </xf>
    <xf numFmtId="0" fontId="14" fillId="0" borderId="17" xfId="0" applyFont="1" applyBorder="1" applyAlignment="1" applyProtection="1">
      <alignment horizontal="right" vertical="center" indent="1"/>
      <protection locked="0"/>
    </xf>
    <xf numFmtId="0" fontId="14" fillId="14" borderId="17" xfId="0" quotePrefix="1" applyFont="1" applyFill="1" applyBorder="1" applyAlignment="1" applyProtection="1">
      <alignment horizontal="right" vertical="center" indent="1"/>
      <protection locked="0"/>
    </xf>
    <xf numFmtId="0" fontId="14" fillId="15" borderId="17" xfId="0" applyFont="1" applyFill="1" applyBorder="1" applyAlignment="1" applyProtection="1">
      <alignment horizontal="right" vertical="center" indent="1"/>
      <protection locked="0"/>
    </xf>
    <xf numFmtId="0" fontId="14" fillId="15" borderId="17" xfId="0" quotePrefix="1" applyFont="1" applyFill="1" applyBorder="1" applyAlignment="1" applyProtection="1">
      <alignment horizontal="right" vertical="center" indent="1"/>
      <protection locked="0"/>
    </xf>
    <xf numFmtId="0" fontId="16" fillId="0" borderId="17" xfId="0" applyFont="1" applyBorder="1" applyAlignment="1" applyProtection="1">
      <alignment horizontal="right" vertical="center" indent="1"/>
      <protection locked="0"/>
    </xf>
    <xf numFmtId="0" fontId="14" fillId="0" borderId="17" xfId="0" quotePrefix="1" applyFont="1" applyBorder="1" applyAlignment="1" applyProtection="1">
      <alignment horizontal="right" vertical="center" indent="1"/>
      <protection locked="0"/>
    </xf>
    <xf numFmtId="0" fontId="3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5" fillId="6" borderId="0" xfId="0" applyFont="1" applyFill="1" applyAlignment="1" applyProtection="1">
      <alignment horizontal="left" vertical="center" indent="1"/>
      <protection locked="0"/>
    </xf>
    <xf numFmtId="0" fontId="4" fillId="7" borderId="0" xfId="0" applyFont="1" applyFill="1" applyAlignment="1">
      <alignment horizontal="left" vertical="center" indent="1"/>
    </xf>
    <xf numFmtId="0" fontId="13" fillId="8" borderId="11" xfId="0" applyFont="1" applyFill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4" fillId="16" borderId="17" xfId="0" applyFont="1" applyFill="1" applyBorder="1" applyAlignment="1" applyProtection="1">
      <alignment horizontal="right" vertical="center" indent="1"/>
      <protection locked="0"/>
    </xf>
    <xf numFmtId="0" fontId="18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7" fillId="0" borderId="25" xfId="0" applyFont="1" applyBorder="1" applyAlignment="1">
      <alignment horizontal="center" vertical="center" wrapText="1"/>
    </xf>
    <xf numFmtId="0" fontId="19" fillId="17" borderId="23" xfId="0" applyFont="1" applyFill="1" applyBorder="1" applyAlignment="1">
      <alignment horizontal="center" vertical="center" wrapText="1"/>
    </xf>
    <xf numFmtId="0" fontId="19" fillId="17" borderId="25" xfId="0" applyFont="1" applyFill="1" applyBorder="1" applyAlignment="1">
      <alignment horizontal="center" vertical="center" wrapText="1"/>
    </xf>
    <xf numFmtId="3" fontId="17" fillId="0" borderId="25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18" fillId="0" borderId="26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left" indent="1"/>
    </xf>
    <xf numFmtId="0" fontId="7" fillId="2" borderId="0" xfId="0" applyFont="1" applyFill="1" applyAlignment="1">
      <alignment horizontal="left" vertical="top" wrapText="1" indent="1"/>
    </xf>
    <xf numFmtId="0" fontId="15" fillId="2" borderId="0" xfId="0" applyFont="1" applyFill="1" applyAlignment="1">
      <alignment horizontal="left" indent="1"/>
    </xf>
    <xf numFmtId="0" fontId="15" fillId="2" borderId="15" xfId="0" applyFont="1" applyFill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7" fillId="0" borderId="0" xfId="0" applyFont="1" applyAlignment="1">
      <alignment horizontal="left" vertical="top" wrapText="1" indent="1"/>
    </xf>
    <xf numFmtId="0" fontId="6" fillId="7" borderId="0" xfId="0" applyFont="1" applyFill="1" applyAlignment="1" applyProtection="1">
      <alignment horizontal="left" indent="1"/>
      <protection locked="0"/>
    </xf>
    <xf numFmtId="0" fontId="7" fillId="7" borderId="0" xfId="0" applyFont="1" applyFill="1" applyAlignment="1" applyProtection="1">
      <alignment horizontal="left" vertical="top" wrapText="1" indent="1"/>
      <protection locked="0"/>
    </xf>
    <xf numFmtId="0" fontId="12" fillId="7" borderId="0" xfId="0" applyFont="1" applyFill="1" applyAlignment="1" applyProtection="1">
      <alignment horizontal="left" vertical="center" wrapText="1" indent="1"/>
      <protection locked="0"/>
    </xf>
    <xf numFmtId="0" fontId="4" fillId="2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 indent="1"/>
    </xf>
    <xf numFmtId="0" fontId="6" fillId="2" borderId="0" xfId="0" applyFont="1" applyFill="1" applyAlignment="1" applyProtection="1">
      <alignment horizontal="left" indent="1"/>
      <protection locked="0"/>
    </xf>
    <xf numFmtId="0" fontId="7" fillId="2" borderId="0" xfId="0" applyFont="1" applyFill="1" applyAlignment="1" applyProtection="1">
      <alignment horizontal="left" vertical="top" wrapText="1" indent="1"/>
      <protection locked="0"/>
    </xf>
    <xf numFmtId="0" fontId="8" fillId="4" borderId="0" xfId="0" applyFont="1" applyFill="1" applyAlignment="1" applyProtection="1">
      <alignment horizontal="left" vertical="center" indent="1"/>
      <protection locked="0"/>
    </xf>
    <xf numFmtId="0" fontId="8" fillId="4" borderId="1" xfId="0" applyFont="1" applyFill="1" applyBorder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indent="1"/>
      <protection locked="0"/>
    </xf>
  </cellXfs>
  <cellStyles count="1">
    <cellStyle name="Normal" xfId="0" builtinId="0"/>
  </cellStyles>
  <dxfs count="26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7E0B9411-68E0-43EB-B0C3-4D1B8B29366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'50'!$R$2:$R$602</c:f>
              <c:numCache>
                <c:formatCode>General</c:formatCode>
                <c:ptCount val="601"/>
                <c:pt idx="0">
                  <c:v>34.770000000000003</c:v>
                </c:pt>
                <c:pt idx="1">
                  <c:v>35.49</c:v>
                </c:pt>
                <c:pt idx="2">
                  <c:v>35.53</c:v>
                </c:pt>
                <c:pt idx="3">
                  <c:v>35.61</c:v>
                </c:pt>
                <c:pt idx="4">
                  <c:v>35.67</c:v>
                </c:pt>
                <c:pt idx="5">
                  <c:v>35.78</c:v>
                </c:pt>
                <c:pt idx="6">
                  <c:v>36.07</c:v>
                </c:pt>
                <c:pt idx="7">
                  <c:v>36.270000000000003</c:v>
                </c:pt>
                <c:pt idx="8">
                  <c:v>36.61</c:v>
                </c:pt>
                <c:pt idx="9">
                  <c:v>36.880000000000003</c:v>
                </c:pt>
                <c:pt idx="10">
                  <c:v>37.200000000000003</c:v>
                </c:pt>
                <c:pt idx="11">
                  <c:v>37.56</c:v>
                </c:pt>
                <c:pt idx="12">
                  <c:v>37.93</c:v>
                </c:pt>
                <c:pt idx="13">
                  <c:v>38.39</c:v>
                </c:pt>
                <c:pt idx="14">
                  <c:v>38.770000000000003</c:v>
                </c:pt>
                <c:pt idx="15">
                  <c:v>39.18</c:v>
                </c:pt>
                <c:pt idx="16">
                  <c:v>39.6</c:v>
                </c:pt>
                <c:pt idx="17">
                  <c:v>39.97</c:v>
                </c:pt>
                <c:pt idx="18">
                  <c:v>40.43</c:v>
                </c:pt>
                <c:pt idx="19">
                  <c:v>40.81</c:v>
                </c:pt>
                <c:pt idx="20">
                  <c:v>41.22</c:v>
                </c:pt>
                <c:pt idx="21">
                  <c:v>41.58</c:v>
                </c:pt>
                <c:pt idx="22">
                  <c:v>41.99</c:v>
                </c:pt>
                <c:pt idx="23">
                  <c:v>42.34</c:v>
                </c:pt>
                <c:pt idx="24">
                  <c:v>42.75</c:v>
                </c:pt>
                <c:pt idx="25">
                  <c:v>43.1</c:v>
                </c:pt>
                <c:pt idx="26">
                  <c:v>43.44</c:v>
                </c:pt>
                <c:pt idx="27">
                  <c:v>43.76</c:v>
                </c:pt>
                <c:pt idx="28">
                  <c:v>44.12</c:v>
                </c:pt>
                <c:pt idx="29">
                  <c:v>44.42</c:v>
                </c:pt>
                <c:pt idx="30">
                  <c:v>44.71</c:v>
                </c:pt>
                <c:pt idx="31">
                  <c:v>44.99</c:v>
                </c:pt>
                <c:pt idx="32">
                  <c:v>45.3</c:v>
                </c:pt>
                <c:pt idx="33">
                  <c:v>45.58</c:v>
                </c:pt>
                <c:pt idx="34">
                  <c:v>45.86</c:v>
                </c:pt>
                <c:pt idx="35">
                  <c:v>46.07</c:v>
                </c:pt>
                <c:pt idx="36">
                  <c:v>46.3</c:v>
                </c:pt>
                <c:pt idx="37">
                  <c:v>46.57</c:v>
                </c:pt>
                <c:pt idx="38">
                  <c:v>46.78</c:v>
                </c:pt>
                <c:pt idx="39">
                  <c:v>47.01</c:v>
                </c:pt>
                <c:pt idx="40">
                  <c:v>47.19</c:v>
                </c:pt>
                <c:pt idx="41">
                  <c:v>47.34</c:v>
                </c:pt>
                <c:pt idx="42">
                  <c:v>47.54</c:v>
                </c:pt>
                <c:pt idx="43">
                  <c:v>47.73</c:v>
                </c:pt>
                <c:pt idx="44">
                  <c:v>47.92</c:v>
                </c:pt>
                <c:pt idx="45">
                  <c:v>48.13</c:v>
                </c:pt>
                <c:pt idx="46">
                  <c:v>48.19</c:v>
                </c:pt>
                <c:pt idx="47">
                  <c:v>48.35</c:v>
                </c:pt>
                <c:pt idx="48">
                  <c:v>48.49</c:v>
                </c:pt>
                <c:pt idx="49">
                  <c:v>48.63</c:v>
                </c:pt>
                <c:pt idx="50">
                  <c:v>48.73</c:v>
                </c:pt>
                <c:pt idx="51">
                  <c:v>48.88</c:v>
                </c:pt>
                <c:pt idx="52">
                  <c:v>49</c:v>
                </c:pt>
                <c:pt idx="53">
                  <c:v>49.15</c:v>
                </c:pt>
                <c:pt idx="54">
                  <c:v>49.12</c:v>
                </c:pt>
                <c:pt idx="55">
                  <c:v>49.31</c:v>
                </c:pt>
                <c:pt idx="56">
                  <c:v>49.38</c:v>
                </c:pt>
                <c:pt idx="57">
                  <c:v>49.47</c:v>
                </c:pt>
                <c:pt idx="58">
                  <c:v>49.55</c:v>
                </c:pt>
                <c:pt idx="59">
                  <c:v>49.64</c:v>
                </c:pt>
                <c:pt idx="60">
                  <c:v>49.68</c:v>
                </c:pt>
                <c:pt idx="61">
                  <c:v>49.77</c:v>
                </c:pt>
                <c:pt idx="62">
                  <c:v>49.81</c:v>
                </c:pt>
                <c:pt idx="63">
                  <c:v>49.85</c:v>
                </c:pt>
                <c:pt idx="64">
                  <c:v>49.94</c:v>
                </c:pt>
                <c:pt idx="65">
                  <c:v>50.02</c:v>
                </c:pt>
                <c:pt idx="66">
                  <c:v>50.06</c:v>
                </c:pt>
                <c:pt idx="67">
                  <c:v>50.1</c:v>
                </c:pt>
                <c:pt idx="68">
                  <c:v>50.12</c:v>
                </c:pt>
                <c:pt idx="69">
                  <c:v>50.17</c:v>
                </c:pt>
                <c:pt idx="70">
                  <c:v>50.25</c:v>
                </c:pt>
                <c:pt idx="71">
                  <c:v>50.26</c:v>
                </c:pt>
                <c:pt idx="72">
                  <c:v>50.27</c:v>
                </c:pt>
                <c:pt idx="73">
                  <c:v>50.32</c:v>
                </c:pt>
                <c:pt idx="74">
                  <c:v>50.34</c:v>
                </c:pt>
                <c:pt idx="75">
                  <c:v>50.42</c:v>
                </c:pt>
                <c:pt idx="76">
                  <c:v>50.39</c:v>
                </c:pt>
                <c:pt idx="77">
                  <c:v>50.42</c:v>
                </c:pt>
                <c:pt idx="78">
                  <c:v>50.43</c:v>
                </c:pt>
                <c:pt idx="79">
                  <c:v>50.49</c:v>
                </c:pt>
                <c:pt idx="80">
                  <c:v>50.47</c:v>
                </c:pt>
                <c:pt idx="81">
                  <c:v>50.47</c:v>
                </c:pt>
                <c:pt idx="82">
                  <c:v>50.52</c:v>
                </c:pt>
                <c:pt idx="83">
                  <c:v>50.52</c:v>
                </c:pt>
                <c:pt idx="84">
                  <c:v>50.52</c:v>
                </c:pt>
                <c:pt idx="85">
                  <c:v>50.51</c:v>
                </c:pt>
                <c:pt idx="86">
                  <c:v>50.51</c:v>
                </c:pt>
                <c:pt idx="87">
                  <c:v>50.45</c:v>
                </c:pt>
                <c:pt idx="88">
                  <c:v>50.5</c:v>
                </c:pt>
                <c:pt idx="89">
                  <c:v>50.27</c:v>
                </c:pt>
                <c:pt idx="90">
                  <c:v>50.59</c:v>
                </c:pt>
                <c:pt idx="91">
                  <c:v>50.06</c:v>
                </c:pt>
                <c:pt idx="92">
                  <c:v>50.67</c:v>
                </c:pt>
                <c:pt idx="93">
                  <c:v>49.98</c:v>
                </c:pt>
                <c:pt idx="94">
                  <c:v>50.67</c:v>
                </c:pt>
                <c:pt idx="95">
                  <c:v>50.06</c:v>
                </c:pt>
                <c:pt idx="96">
                  <c:v>50.57</c:v>
                </c:pt>
                <c:pt idx="97">
                  <c:v>50.05</c:v>
                </c:pt>
                <c:pt idx="98">
                  <c:v>50.44</c:v>
                </c:pt>
                <c:pt idx="99">
                  <c:v>50.08</c:v>
                </c:pt>
                <c:pt idx="100">
                  <c:v>50.19</c:v>
                </c:pt>
                <c:pt idx="101">
                  <c:v>50.1</c:v>
                </c:pt>
                <c:pt idx="102">
                  <c:v>50.11</c:v>
                </c:pt>
                <c:pt idx="103">
                  <c:v>50.16</c:v>
                </c:pt>
                <c:pt idx="104">
                  <c:v>50.13</c:v>
                </c:pt>
                <c:pt idx="105">
                  <c:v>50.13</c:v>
                </c:pt>
                <c:pt idx="106">
                  <c:v>50.14</c:v>
                </c:pt>
                <c:pt idx="107">
                  <c:v>50.15</c:v>
                </c:pt>
                <c:pt idx="108">
                  <c:v>50.18</c:v>
                </c:pt>
                <c:pt idx="109">
                  <c:v>50.12</c:v>
                </c:pt>
                <c:pt idx="110">
                  <c:v>50.11</c:v>
                </c:pt>
                <c:pt idx="111">
                  <c:v>50.14</c:v>
                </c:pt>
                <c:pt idx="112">
                  <c:v>50.18</c:v>
                </c:pt>
                <c:pt idx="113">
                  <c:v>50.17</c:v>
                </c:pt>
                <c:pt idx="114">
                  <c:v>50.19</c:v>
                </c:pt>
                <c:pt idx="115">
                  <c:v>50.17</c:v>
                </c:pt>
                <c:pt idx="116">
                  <c:v>50.16</c:v>
                </c:pt>
                <c:pt idx="117">
                  <c:v>50.11</c:v>
                </c:pt>
                <c:pt idx="118">
                  <c:v>50.15</c:v>
                </c:pt>
                <c:pt idx="119">
                  <c:v>50.16</c:v>
                </c:pt>
                <c:pt idx="120">
                  <c:v>50.15</c:v>
                </c:pt>
                <c:pt idx="121">
                  <c:v>50.16</c:v>
                </c:pt>
                <c:pt idx="122">
                  <c:v>50.16</c:v>
                </c:pt>
                <c:pt idx="123">
                  <c:v>50.16</c:v>
                </c:pt>
                <c:pt idx="124">
                  <c:v>50.17</c:v>
                </c:pt>
                <c:pt idx="125">
                  <c:v>50.17</c:v>
                </c:pt>
                <c:pt idx="126">
                  <c:v>50.2</c:v>
                </c:pt>
                <c:pt idx="127">
                  <c:v>50.21</c:v>
                </c:pt>
                <c:pt idx="128">
                  <c:v>50.17</c:v>
                </c:pt>
                <c:pt idx="129">
                  <c:v>50.18</c:v>
                </c:pt>
                <c:pt idx="130">
                  <c:v>50.25</c:v>
                </c:pt>
                <c:pt idx="131">
                  <c:v>50.22</c:v>
                </c:pt>
                <c:pt idx="132">
                  <c:v>50.17</c:v>
                </c:pt>
                <c:pt idx="133">
                  <c:v>50.26</c:v>
                </c:pt>
                <c:pt idx="134">
                  <c:v>50.19</c:v>
                </c:pt>
                <c:pt idx="135">
                  <c:v>50.22</c:v>
                </c:pt>
                <c:pt idx="136">
                  <c:v>50.18</c:v>
                </c:pt>
                <c:pt idx="137">
                  <c:v>50.25</c:v>
                </c:pt>
                <c:pt idx="138">
                  <c:v>50.25</c:v>
                </c:pt>
                <c:pt idx="139">
                  <c:v>50.22</c:v>
                </c:pt>
                <c:pt idx="140">
                  <c:v>50.22</c:v>
                </c:pt>
                <c:pt idx="141">
                  <c:v>50.22</c:v>
                </c:pt>
                <c:pt idx="142">
                  <c:v>50.23</c:v>
                </c:pt>
                <c:pt idx="143">
                  <c:v>50.24</c:v>
                </c:pt>
                <c:pt idx="144">
                  <c:v>50.25</c:v>
                </c:pt>
                <c:pt idx="145">
                  <c:v>50.33</c:v>
                </c:pt>
                <c:pt idx="146">
                  <c:v>50.26</c:v>
                </c:pt>
                <c:pt idx="147">
                  <c:v>50.28</c:v>
                </c:pt>
                <c:pt idx="148">
                  <c:v>50.31</c:v>
                </c:pt>
                <c:pt idx="149">
                  <c:v>50.27</c:v>
                </c:pt>
                <c:pt idx="150">
                  <c:v>50.27</c:v>
                </c:pt>
                <c:pt idx="151">
                  <c:v>50.29</c:v>
                </c:pt>
                <c:pt idx="152">
                  <c:v>50.28</c:v>
                </c:pt>
                <c:pt idx="153">
                  <c:v>50.21</c:v>
                </c:pt>
                <c:pt idx="154">
                  <c:v>50.31</c:v>
                </c:pt>
                <c:pt idx="155">
                  <c:v>50.23</c:v>
                </c:pt>
                <c:pt idx="156">
                  <c:v>50.27</c:v>
                </c:pt>
                <c:pt idx="157">
                  <c:v>50.31</c:v>
                </c:pt>
                <c:pt idx="158">
                  <c:v>50.31</c:v>
                </c:pt>
                <c:pt idx="159">
                  <c:v>50.31</c:v>
                </c:pt>
                <c:pt idx="160">
                  <c:v>50.27</c:v>
                </c:pt>
                <c:pt idx="161">
                  <c:v>50.3</c:v>
                </c:pt>
                <c:pt idx="162">
                  <c:v>50.31</c:v>
                </c:pt>
                <c:pt idx="163">
                  <c:v>50.29</c:v>
                </c:pt>
                <c:pt idx="164">
                  <c:v>50.23</c:v>
                </c:pt>
                <c:pt idx="165">
                  <c:v>50.26</c:v>
                </c:pt>
                <c:pt idx="166">
                  <c:v>50.27</c:v>
                </c:pt>
                <c:pt idx="167">
                  <c:v>50.26</c:v>
                </c:pt>
                <c:pt idx="168">
                  <c:v>50.23</c:v>
                </c:pt>
                <c:pt idx="169">
                  <c:v>50.22</c:v>
                </c:pt>
                <c:pt idx="170">
                  <c:v>50.2</c:v>
                </c:pt>
                <c:pt idx="171">
                  <c:v>50.22</c:v>
                </c:pt>
                <c:pt idx="172">
                  <c:v>50.25</c:v>
                </c:pt>
                <c:pt idx="173">
                  <c:v>50.24</c:v>
                </c:pt>
                <c:pt idx="174">
                  <c:v>50.22</c:v>
                </c:pt>
                <c:pt idx="175">
                  <c:v>50.19</c:v>
                </c:pt>
                <c:pt idx="176">
                  <c:v>50.22</c:v>
                </c:pt>
                <c:pt idx="177">
                  <c:v>50.23</c:v>
                </c:pt>
                <c:pt idx="178">
                  <c:v>50.27</c:v>
                </c:pt>
                <c:pt idx="179">
                  <c:v>50.22</c:v>
                </c:pt>
                <c:pt idx="180">
                  <c:v>50.23</c:v>
                </c:pt>
                <c:pt idx="181">
                  <c:v>50.25</c:v>
                </c:pt>
                <c:pt idx="182">
                  <c:v>50.24</c:v>
                </c:pt>
                <c:pt idx="183">
                  <c:v>50.21</c:v>
                </c:pt>
                <c:pt idx="184">
                  <c:v>50.18</c:v>
                </c:pt>
                <c:pt idx="185">
                  <c:v>50.24</c:v>
                </c:pt>
                <c:pt idx="186">
                  <c:v>50.19</c:v>
                </c:pt>
                <c:pt idx="187">
                  <c:v>50.21</c:v>
                </c:pt>
                <c:pt idx="188">
                  <c:v>50.19</c:v>
                </c:pt>
                <c:pt idx="189">
                  <c:v>50.21</c:v>
                </c:pt>
                <c:pt idx="190">
                  <c:v>50.19</c:v>
                </c:pt>
                <c:pt idx="191">
                  <c:v>50.15</c:v>
                </c:pt>
                <c:pt idx="192">
                  <c:v>50.18</c:v>
                </c:pt>
                <c:pt idx="193">
                  <c:v>50.21</c:v>
                </c:pt>
                <c:pt idx="194">
                  <c:v>50.19</c:v>
                </c:pt>
                <c:pt idx="195">
                  <c:v>50.14</c:v>
                </c:pt>
                <c:pt idx="196">
                  <c:v>50.14</c:v>
                </c:pt>
                <c:pt idx="197">
                  <c:v>50.19</c:v>
                </c:pt>
                <c:pt idx="198">
                  <c:v>50.14</c:v>
                </c:pt>
                <c:pt idx="199">
                  <c:v>50.18</c:v>
                </c:pt>
                <c:pt idx="200">
                  <c:v>50.12</c:v>
                </c:pt>
                <c:pt idx="201">
                  <c:v>50.14</c:v>
                </c:pt>
                <c:pt idx="202">
                  <c:v>50.17</c:v>
                </c:pt>
                <c:pt idx="203">
                  <c:v>50.09</c:v>
                </c:pt>
                <c:pt idx="204">
                  <c:v>50.12</c:v>
                </c:pt>
                <c:pt idx="205">
                  <c:v>50.11</c:v>
                </c:pt>
                <c:pt idx="206">
                  <c:v>50.14</c:v>
                </c:pt>
                <c:pt idx="207">
                  <c:v>50.13</c:v>
                </c:pt>
                <c:pt idx="208">
                  <c:v>50.15</c:v>
                </c:pt>
                <c:pt idx="209">
                  <c:v>50.11</c:v>
                </c:pt>
                <c:pt idx="210">
                  <c:v>50.12</c:v>
                </c:pt>
                <c:pt idx="211">
                  <c:v>50.14</c:v>
                </c:pt>
                <c:pt idx="212">
                  <c:v>50.12</c:v>
                </c:pt>
                <c:pt idx="213">
                  <c:v>50.06</c:v>
                </c:pt>
                <c:pt idx="214">
                  <c:v>50.11</c:v>
                </c:pt>
                <c:pt idx="215">
                  <c:v>50.16</c:v>
                </c:pt>
                <c:pt idx="216">
                  <c:v>50.15</c:v>
                </c:pt>
                <c:pt idx="217">
                  <c:v>50.11</c:v>
                </c:pt>
                <c:pt idx="218">
                  <c:v>50.14</c:v>
                </c:pt>
                <c:pt idx="219">
                  <c:v>50.11</c:v>
                </c:pt>
                <c:pt idx="220">
                  <c:v>50.1</c:v>
                </c:pt>
                <c:pt idx="221">
                  <c:v>50.12</c:v>
                </c:pt>
                <c:pt idx="222">
                  <c:v>50.13</c:v>
                </c:pt>
                <c:pt idx="223">
                  <c:v>50.12</c:v>
                </c:pt>
                <c:pt idx="224">
                  <c:v>50.09</c:v>
                </c:pt>
                <c:pt idx="225">
                  <c:v>50.1</c:v>
                </c:pt>
                <c:pt idx="226">
                  <c:v>50.08</c:v>
                </c:pt>
                <c:pt idx="227">
                  <c:v>50.14</c:v>
                </c:pt>
                <c:pt idx="228">
                  <c:v>50.08</c:v>
                </c:pt>
                <c:pt idx="229">
                  <c:v>50.11</c:v>
                </c:pt>
                <c:pt idx="230">
                  <c:v>50.13</c:v>
                </c:pt>
                <c:pt idx="231">
                  <c:v>50.07</c:v>
                </c:pt>
                <c:pt idx="232">
                  <c:v>50.09</c:v>
                </c:pt>
                <c:pt idx="233">
                  <c:v>50.11</c:v>
                </c:pt>
                <c:pt idx="234">
                  <c:v>50.07</c:v>
                </c:pt>
                <c:pt idx="235">
                  <c:v>50.07</c:v>
                </c:pt>
                <c:pt idx="236">
                  <c:v>50.1</c:v>
                </c:pt>
                <c:pt idx="237">
                  <c:v>50.08</c:v>
                </c:pt>
                <c:pt idx="238">
                  <c:v>50.08</c:v>
                </c:pt>
                <c:pt idx="239">
                  <c:v>50.1</c:v>
                </c:pt>
                <c:pt idx="240">
                  <c:v>50.1</c:v>
                </c:pt>
                <c:pt idx="241">
                  <c:v>50.1</c:v>
                </c:pt>
                <c:pt idx="242">
                  <c:v>50.1</c:v>
                </c:pt>
                <c:pt idx="243">
                  <c:v>50.11</c:v>
                </c:pt>
                <c:pt idx="244">
                  <c:v>50.08</c:v>
                </c:pt>
                <c:pt idx="245">
                  <c:v>50.02</c:v>
                </c:pt>
                <c:pt idx="246">
                  <c:v>50.1</c:v>
                </c:pt>
                <c:pt idx="247">
                  <c:v>50.09</c:v>
                </c:pt>
                <c:pt idx="248">
                  <c:v>50.06</c:v>
                </c:pt>
                <c:pt idx="249">
                  <c:v>50.14</c:v>
                </c:pt>
                <c:pt idx="250">
                  <c:v>50.06</c:v>
                </c:pt>
                <c:pt idx="251">
                  <c:v>50.06</c:v>
                </c:pt>
                <c:pt idx="252">
                  <c:v>50.03</c:v>
                </c:pt>
                <c:pt idx="253">
                  <c:v>50.04</c:v>
                </c:pt>
                <c:pt idx="254">
                  <c:v>50.06</c:v>
                </c:pt>
                <c:pt idx="255">
                  <c:v>50.06</c:v>
                </c:pt>
                <c:pt idx="256">
                  <c:v>50.06</c:v>
                </c:pt>
                <c:pt idx="257">
                  <c:v>50.11</c:v>
                </c:pt>
                <c:pt idx="258">
                  <c:v>50.06</c:v>
                </c:pt>
                <c:pt idx="259">
                  <c:v>50.02</c:v>
                </c:pt>
                <c:pt idx="260">
                  <c:v>50.12</c:v>
                </c:pt>
                <c:pt idx="261">
                  <c:v>50.06</c:v>
                </c:pt>
                <c:pt idx="262">
                  <c:v>50.07</c:v>
                </c:pt>
                <c:pt idx="263">
                  <c:v>50.08</c:v>
                </c:pt>
                <c:pt idx="264">
                  <c:v>50.07</c:v>
                </c:pt>
                <c:pt idx="265">
                  <c:v>50.07</c:v>
                </c:pt>
                <c:pt idx="266">
                  <c:v>50.06</c:v>
                </c:pt>
                <c:pt idx="267">
                  <c:v>50.04</c:v>
                </c:pt>
                <c:pt idx="268">
                  <c:v>50.08</c:v>
                </c:pt>
                <c:pt idx="269">
                  <c:v>50.08</c:v>
                </c:pt>
                <c:pt idx="270">
                  <c:v>50.06</c:v>
                </c:pt>
                <c:pt idx="271">
                  <c:v>50.1</c:v>
                </c:pt>
                <c:pt idx="272">
                  <c:v>50.09</c:v>
                </c:pt>
                <c:pt idx="273">
                  <c:v>50.07</c:v>
                </c:pt>
                <c:pt idx="274">
                  <c:v>50.08</c:v>
                </c:pt>
                <c:pt idx="275">
                  <c:v>50.06</c:v>
                </c:pt>
                <c:pt idx="276">
                  <c:v>50.12</c:v>
                </c:pt>
                <c:pt idx="277">
                  <c:v>50.04</c:v>
                </c:pt>
                <c:pt idx="278">
                  <c:v>50.06</c:v>
                </c:pt>
                <c:pt idx="279">
                  <c:v>50.06</c:v>
                </c:pt>
                <c:pt idx="280">
                  <c:v>50.08</c:v>
                </c:pt>
                <c:pt idx="281">
                  <c:v>50.1</c:v>
                </c:pt>
                <c:pt idx="282">
                  <c:v>50.02</c:v>
                </c:pt>
                <c:pt idx="283">
                  <c:v>50.06</c:v>
                </c:pt>
                <c:pt idx="284">
                  <c:v>50.09</c:v>
                </c:pt>
                <c:pt idx="285">
                  <c:v>50.06</c:v>
                </c:pt>
                <c:pt idx="286">
                  <c:v>50.06</c:v>
                </c:pt>
                <c:pt idx="287">
                  <c:v>50.06</c:v>
                </c:pt>
                <c:pt idx="288">
                  <c:v>50.09</c:v>
                </c:pt>
                <c:pt idx="289">
                  <c:v>49.98</c:v>
                </c:pt>
                <c:pt idx="290">
                  <c:v>50.07</c:v>
                </c:pt>
                <c:pt idx="291">
                  <c:v>50.03</c:v>
                </c:pt>
                <c:pt idx="292">
                  <c:v>49.97</c:v>
                </c:pt>
                <c:pt idx="293">
                  <c:v>50.1</c:v>
                </c:pt>
                <c:pt idx="294">
                  <c:v>50.07</c:v>
                </c:pt>
                <c:pt idx="295">
                  <c:v>50.05</c:v>
                </c:pt>
                <c:pt idx="296">
                  <c:v>50.01</c:v>
                </c:pt>
                <c:pt idx="297">
                  <c:v>50</c:v>
                </c:pt>
                <c:pt idx="298">
                  <c:v>50.04</c:v>
                </c:pt>
                <c:pt idx="299">
                  <c:v>50.06</c:v>
                </c:pt>
                <c:pt idx="300">
                  <c:v>50.02</c:v>
                </c:pt>
                <c:pt idx="301">
                  <c:v>50.08</c:v>
                </c:pt>
                <c:pt idx="302">
                  <c:v>50.04</c:v>
                </c:pt>
                <c:pt idx="303">
                  <c:v>50.06</c:v>
                </c:pt>
                <c:pt idx="304">
                  <c:v>50.03</c:v>
                </c:pt>
                <c:pt idx="305">
                  <c:v>50.02</c:v>
                </c:pt>
                <c:pt idx="306">
                  <c:v>50.03</c:v>
                </c:pt>
                <c:pt idx="307">
                  <c:v>50.02</c:v>
                </c:pt>
                <c:pt idx="308">
                  <c:v>50.05</c:v>
                </c:pt>
                <c:pt idx="309">
                  <c:v>50.01</c:v>
                </c:pt>
                <c:pt idx="310">
                  <c:v>50.02</c:v>
                </c:pt>
                <c:pt idx="311">
                  <c:v>50.06</c:v>
                </c:pt>
                <c:pt idx="312">
                  <c:v>50.04</c:v>
                </c:pt>
                <c:pt idx="313">
                  <c:v>50.07</c:v>
                </c:pt>
                <c:pt idx="314">
                  <c:v>50.07</c:v>
                </c:pt>
                <c:pt idx="315">
                  <c:v>50.06</c:v>
                </c:pt>
                <c:pt idx="316">
                  <c:v>50.06</c:v>
                </c:pt>
                <c:pt idx="317">
                  <c:v>50.04</c:v>
                </c:pt>
                <c:pt idx="318">
                  <c:v>50.1</c:v>
                </c:pt>
                <c:pt idx="319">
                  <c:v>49.99</c:v>
                </c:pt>
                <c:pt idx="320">
                  <c:v>50.09</c:v>
                </c:pt>
                <c:pt idx="321">
                  <c:v>50.1</c:v>
                </c:pt>
                <c:pt idx="322">
                  <c:v>50.05</c:v>
                </c:pt>
                <c:pt idx="323">
                  <c:v>50.06</c:v>
                </c:pt>
                <c:pt idx="324">
                  <c:v>50.06</c:v>
                </c:pt>
                <c:pt idx="325">
                  <c:v>50.02</c:v>
                </c:pt>
                <c:pt idx="326">
                  <c:v>50.05</c:v>
                </c:pt>
                <c:pt idx="327">
                  <c:v>50.04</c:v>
                </c:pt>
                <c:pt idx="328">
                  <c:v>50.05</c:v>
                </c:pt>
                <c:pt idx="329">
                  <c:v>50.04</c:v>
                </c:pt>
                <c:pt idx="330">
                  <c:v>50.06</c:v>
                </c:pt>
                <c:pt idx="331">
                  <c:v>50.04</c:v>
                </c:pt>
                <c:pt idx="332">
                  <c:v>50.01</c:v>
                </c:pt>
                <c:pt idx="333">
                  <c:v>50.06</c:v>
                </c:pt>
                <c:pt idx="334">
                  <c:v>50.03</c:v>
                </c:pt>
                <c:pt idx="335">
                  <c:v>50.03</c:v>
                </c:pt>
                <c:pt idx="336">
                  <c:v>50.02</c:v>
                </c:pt>
                <c:pt idx="337">
                  <c:v>50.06</c:v>
                </c:pt>
                <c:pt idx="338">
                  <c:v>49.98</c:v>
                </c:pt>
                <c:pt idx="339">
                  <c:v>50.09</c:v>
                </c:pt>
                <c:pt idx="340">
                  <c:v>50</c:v>
                </c:pt>
                <c:pt idx="341">
                  <c:v>50.07</c:v>
                </c:pt>
                <c:pt idx="342">
                  <c:v>50.05</c:v>
                </c:pt>
                <c:pt idx="343">
                  <c:v>50.03</c:v>
                </c:pt>
                <c:pt idx="344">
                  <c:v>50.03</c:v>
                </c:pt>
                <c:pt idx="345">
                  <c:v>50.03</c:v>
                </c:pt>
                <c:pt idx="346">
                  <c:v>50.05</c:v>
                </c:pt>
                <c:pt idx="347">
                  <c:v>50.09</c:v>
                </c:pt>
                <c:pt idx="348">
                  <c:v>50.03</c:v>
                </c:pt>
                <c:pt idx="349">
                  <c:v>50.01</c:v>
                </c:pt>
                <c:pt idx="350">
                  <c:v>50.04</c:v>
                </c:pt>
                <c:pt idx="351">
                  <c:v>50.01</c:v>
                </c:pt>
                <c:pt idx="352">
                  <c:v>50.06</c:v>
                </c:pt>
                <c:pt idx="353">
                  <c:v>50</c:v>
                </c:pt>
                <c:pt idx="354">
                  <c:v>50.01</c:v>
                </c:pt>
                <c:pt idx="355">
                  <c:v>49.98</c:v>
                </c:pt>
                <c:pt idx="356">
                  <c:v>49.98</c:v>
                </c:pt>
                <c:pt idx="357">
                  <c:v>50.01</c:v>
                </c:pt>
                <c:pt idx="358">
                  <c:v>50.03</c:v>
                </c:pt>
                <c:pt idx="359">
                  <c:v>50.03</c:v>
                </c:pt>
                <c:pt idx="360">
                  <c:v>49.99</c:v>
                </c:pt>
                <c:pt idx="361">
                  <c:v>50.05</c:v>
                </c:pt>
                <c:pt idx="362">
                  <c:v>50</c:v>
                </c:pt>
                <c:pt idx="363">
                  <c:v>50.02</c:v>
                </c:pt>
                <c:pt idx="364">
                  <c:v>50</c:v>
                </c:pt>
                <c:pt idx="365">
                  <c:v>50.01</c:v>
                </c:pt>
                <c:pt idx="366">
                  <c:v>50.05</c:v>
                </c:pt>
                <c:pt idx="367">
                  <c:v>50.02</c:v>
                </c:pt>
                <c:pt idx="368">
                  <c:v>49.98</c:v>
                </c:pt>
                <c:pt idx="369">
                  <c:v>50.05</c:v>
                </c:pt>
                <c:pt idx="370">
                  <c:v>50.02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50.01</c:v>
                </c:pt>
                <c:pt idx="375">
                  <c:v>50.05</c:v>
                </c:pt>
                <c:pt idx="376">
                  <c:v>49.98</c:v>
                </c:pt>
                <c:pt idx="377">
                  <c:v>50.01</c:v>
                </c:pt>
                <c:pt idx="378">
                  <c:v>50</c:v>
                </c:pt>
                <c:pt idx="379">
                  <c:v>50.06</c:v>
                </c:pt>
                <c:pt idx="380">
                  <c:v>50.06</c:v>
                </c:pt>
                <c:pt idx="381">
                  <c:v>49.96</c:v>
                </c:pt>
                <c:pt idx="382">
                  <c:v>49.98</c:v>
                </c:pt>
                <c:pt idx="383">
                  <c:v>50.08</c:v>
                </c:pt>
                <c:pt idx="384">
                  <c:v>50.04</c:v>
                </c:pt>
                <c:pt idx="385">
                  <c:v>50.02</c:v>
                </c:pt>
                <c:pt idx="386">
                  <c:v>50.02</c:v>
                </c:pt>
                <c:pt idx="387">
                  <c:v>50.04</c:v>
                </c:pt>
                <c:pt idx="388">
                  <c:v>50.02</c:v>
                </c:pt>
                <c:pt idx="389">
                  <c:v>50</c:v>
                </c:pt>
                <c:pt idx="390">
                  <c:v>50.06</c:v>
                </c:pt>
                <c:pt idx="391">
                  <c:v>50.02</c:v>
                </c:pt>
                <c:pt idx="392">
                  <c:v>49.97</c:v>
                </c:pt>
                <c:pt idx="393">
                  <c:v>50.05</c:v>
                </c:pt>
                <c:pt idx="394">
                  <c:v>50.05</c:v>
                </c:pt>
                <c:pt idx="395">
                  <c:v>50.02</c:v>
                </c:pt>
                <c:pt idx="396">
                  <c:v>50.04</c:v>
                </c:pt>
                <c:pt idx="397">
                  <c:v>50.03</c:v>
                </c:pt>
                <c:pt idx="398">
                  <c:v>50.06</c:v>
                </c:pt>
                <c:pt idx="399">
                  <c:v>50.03</c:v>
                </c:pt>
                <c:pt idx="400">
                  <c:v>50.02</c:v>
                </c:pt>
                <c:pt idx="401">
                  <c:v>50.06</c:v>
                </c:pt>
                <c:pt idx="402">
                  <c:v>50.08</c:v>
                </c:pt>
                <c:pt idx="403">
                  <c:v>50.1</c:v>
                </c:pt>
                <c:pt idx="404">
                  <c:v>50.1</c:v>
                </c:pt>
                <c:pt idx="405">
                  <c:v>50.06</c:v>
                </c:pt>
                <c:pt idx="406">
                  <c:v>50.05</c:v>
                </c:pt>
                <c:pt idx="407">
                  <c:v>50.06</c:v>
                </c:pt>
                <c:pt idx="408">
                  <c:v>50.03</c:v>
                </c:pt>
                <c:pt idx="409">
                  <c:v>50.05</c:v>
                </c:pt>
                <c:pt idx="410">
                  <c:v>50.08</c:v>
                </c:pt>
                <c:pt idx="411">
                  <c:v>50.05</c:v>
                </c:pt>
                <c:pt idx="412">
                  <c:v>50.04</c:v>
                </c:pt>
                <c:pt idx="413">
                  <c:v>50.06</c:v>
                </c:pt>
                <c:pt idx="414">
                  <c:v>50.04</c:v>
                </c:pt>
                <c:pt idx="415">
                  <c:v>50.02</c:v>
                </c:pt>
                <c:pt idx="416">
                  <c:v>50.02</c:v>
                </c:pt>
                <c:pt idx="417">
                  <c:v>50.03</c:v>
                </c:pt>
                <c:pt idx="418">
                  <c:v>50.07</c:v>
                </c:pt>
                <c:pt idx="419">
                  <c:v>50.06</c:v>
                </c:pt>
                <c:pt idx="420">
                  <c:v>49.99</c:v>
                </c:pt>
                <c:pt idx="421">
                  <c:v>50.06</c:v>
                </c:pt>
                <c:pt idx="422">
                  <c:v>50.04</c:v>
                </c:pt>
                <c:pt idx="423">
                  <c:v>50.05</c:v>
                </c:pt>
                <c:pt idx="424">
                  <c:v>50</c:v>
                </c:pt>
                <c:pt idx="425">
                  <c:v>50.02</c:v>
                </c:pt>
                <c:pt idx="426">
                  <c:v>50.01</c:v>
                </c:pt>
                <c:pt idx="427">
                  <c:v>49.99</c:v>
                </c:pt>
                <c:pt idx="428">
                  <c:v>50.03</c:v>
                </c:pt>
                <c:pt idx="429">
                  <c:v>50.02</c:v>
                </c:pt>
                <c:pt idx="430">
                  <c:v>50.05</c:v>
                </c:pt>
                <c:pt idx="431">
                  <c:v>50.02</c:v>
                </c:pt>
                <c:pt idx="432">
                  <c:v>50.02</c:v>
                </c:pt>
                <c:pt idx="433">
                  <c:v>49.97</c:v>
                </c:pt>
                <c:pt idx="434">
                  <c:v>50</c:v>
                </c:pt>
                <c:pt idx="435">
                  <c:v>50.05</c:v>
                </c:pt>
                <c:pt idx="436">
                  <c:v>50.01</c:v>
                </c:pt>
                <c:pt idx="437">
                  <c:v>49.99</c:v>
                </c:pt>
                <c:pt idx="438">
                  <c:v>50.01</c:v>
                </c:pt>
                <c:pt idx="439">
                  <c:v>50.05</c:v>
                </c:pt>
                <c:pt idx="440">
                  <c:v>49.99</c:v>
                </c:pt>
                <c:pt idx="441">
                  <c:v>50.02</c:v>
                </c:pt>
                <c:pt idx="442">
                  <c:v>50.05</c:v>
                </c:pt>
                <c:pt idx="443">
                  <c:v>49.98</c:v>
                </c:pt>
                <c:pt idx="444">
                  <c:v>50.06</c:v>
                </c:pt>
                <c:pt idx="445">
                  <c:v>49.99</c:v>
                </c:pt>
                <c:pt idx="446">
                  <c:v>50.05</c:v>
                </c:pt>
                <c:pt idx="447">
                  <c:v>50.02</c:v>
                </c:pt>
                <c:pt idx="448">
                  <c:v>50.01</c:v>
                </c:pt>
                <c:pt idx="449">
                  <c:v>50.04</c:v>
                </c:pt>
                <c:pt idx="450">
                  <c:v>50.02</c:v>
                </c:pt>
                <c:pt idx="451">
                  <c:v>50</c:v>
                </c:pt>
                <c:pt idx="452">
                  <c:v>50.02</c:v>
                </c:pt>
                <c:pt idx="453">
                  <c:v>50.05</c:v>
                </c:pt>
                <c:pt idx="454">
                  <c:v>50.01</c:v>
                </c:pt>
                <c:pt idx="455">
                  <c:v>50.06</c:v>
                </c:pt>
                <c:pt idx="456">
                  <c:v>50.02</c:v>
                </c:pt>
                <c:pt idx="457">
                  <c:v>50.06</c:v>
                </c:pt>
                <c:pt idx="458">
                  <c:v>50.04</c:v>
                </c:pt>
                <c:pt idx="459">
                  <c:v>50.02</c:v>
                </c:pt>
                <c:pt idx="460">
                  <c:v>50.05</c:v>
                </c:pt>
                <c:pt idx="461">
                  <c:v>50.06</c:v>
                </c:pt>
                <c:pt idx="462">
                  <c:v>50.01</c:v>
                </c:pt>
                <c:pt idx="463">
                  <c:v>50.03</c:v>
                </c:pt>
                <c:pt idx="464">
                  <c:v>50.06</c:v>
                </c:pt>
                <c:pt idx="465">
                  <c:v>50.02</c:v>
                </c:pt>
                <c:pt idx="466">
                  <c:v>50.03</c:v>
                </c:pt>
                <c:pt idx="467">
                  <c:v>49.99</c:v>
                </c:pt>
                <c:pt idx="468">
                  <c:v>50</c:v>
                </c:pt>
                <c:pt idx="469">
                  <c:v>50.02</c:v>
                </c:pt>
                <c:pt idx="470">
                  <c:v>50.05</c:v>
                </c:pt>
                <c:pt idx="471">
                  <c:v>49.91</c:v>
                </c:pt>
                <c:pt idx="472">
                  <c:v>50.02</c:v>
                </c:pt>
                <c:pt idx="473">
                  <c:v>50.08</c:v>
                </c:pt>
                <c:pt idx="474">
                  <c:v>50.01</c:v>
                </c:pt>
                <c:pt idx="475">
                  <c:v>50.02</c:v>
                </c:pt>
                <c:pt idx="476">
                  <c:v>50.05</c:v>
                </c:pt>
                <c:pt idx="477">
                  <c:v>50.05</c:v>
                </c:pt>
                <c:pt idx="478">
                  <c:v>50.03</c:v>
                </c:pt>
                <c:pt idx="479">
                  <c:v>49.96</c:v>
                </c:pt>
                <c:pt idx="480">
                  <c:v>50.02</c:v>
                </c:pt>
                <c:pt idx="481">
                  <c:v>50.02</c:v>
                </c:pt>
                <c:pt idx="482">
                  <c:v>50.01</c:v>
                </c:pt>
                <c:pt idx="483">
                  <c:v>50.03</c:v>
                </c:pt>
                <c:pt idx="484">
                  <c:v>50.02</c:v>
                </c:pt>
                <c:pt idx="485">
                  <c:v>50.02</c:v>
                </c:pt>
                <c:pt idx="486">
                  <c:v>49.86</c:v>
                </c:pt>
                <c:pt idx="487">
                  <c:v>50.02</c:v>
                </c:pt>
                <c:pt idx="488">
                  <c:v>50.03</c:v>
                </c:pt>
                <c:pt idx="489">
                  <c:v>49.98</c:v>
                </c:pt>
                <c:pt idx="490">
                  <c:v>50.02</c:v>
                </c:pt>
                <c:pt idx="491">
                  <c:v>50.02</c:v>
                </c:pt>
                <c:pt idx="492">
                  <c:v>50.03</c:v>
                </c:pt>
                <c:pt idx="493">
                  <c:v>50.02</c:v>
                </c:pt>
                <c:pt idx="494">
                  <c:v>50.03</c:v>
                </c:pt>
                <c:pt idx="495">
                  <c:v>50.05</c:v>
                </c:pt>
                <c:pt idx="496">
                  <c:v>50.07</c:v>
                </c:pt>
                <c:pt idx="497">
                  <c:v>50.03</c:v>
                </c:pt>
                <c:pt idx="498">
                  <c:v>50.04</c:v>
                </c:pt>
                <c:pt idx="499">
                  <c:v>50.07</c:v>
                </c:pt>
                <c:pt idx="500">
                  <c:v>50.02</c:v>
                </c:pt>
                <c:pt idx="501">
                  <c:v>50.02</c:v>
                </c:pt>
                <c:pt idx="502">
                  <c:v>50.02</c:v>
                </c:pt>
                <c:pt idx="503">
                  <c:v>50.02</c:v>
                </c:pt>
                <c:pt idx="504">
                  <c:v>50.03</c:v>
                </c:pt>
                <c:pt idx="505">
                  <c:v>50.04</c:v>
                </c:pt>
                <c:pt idx="506">
                  <c:v>50.05</c:v>
                </c:pt>
                <c:pt idx="507">
                  <c:v>50.02</c:v>
                </c:pt>
                <c:pt idx="508">
                  <c:v>50.12</c:v>
                </c:pt>
                <c:pt idx="509">
                  <c:v>49.99</c:v>
                </c:pt>
                <c:pt idx="510">
                  <c:v>50.1</c:v>
                </c:pt>
                <c:pt idx="511">
                  <c:v>50.08</c:v>
                </c:pt>
                <c:pt idx="512">
                  <c:v>50.01</c:v>
                </c:pt>
                <c:pt idx="513">
                  <c:v>50.04</c:v>
                </c:pt>
                <c:pt idx="514">
                  <c:v>50.06</c:v>
                </c:pt>
                <c:pt idx="515">
                  <c:v>50.02</c:v>
                </c:pt>
                <c:pt idx="516">
                  <c:v>50.03</c:v>
                </c:pt>
                <c:pt idx="517">
                  <c:v>50.09</c:v>
                </c:pt>
                <c:pt idx="518">
                  <c:v>50.15</c:v>
                </c:pt>
                <c:pt idx="519">
                  <c:v>50.23</c:v>
                </c:pt>
                <c:pt idx="520">
                  <c:v>50.31</c:v>
                </c:pt>
                <c:pt idx="521">
                  <c:v>50.38</c:v>
                </c:pt>
                <c:pt idx="522">
                  <c:v>50.43</c:v>
                </c:pt>
                <c:pt idx="523">
                  <c:v>50.53</c:v>
                </c:pt>
                <c:pt idx="524">
                  <c:v>50.52</c:v>
                </c:pt>
                <c:pt idx="525">
                  <c:v>50.54</c:v>
                </c:pt>
                <c:pt idx="526">
                  <c:v>50.56</c:v>
                </c:pt>
                <c:pt idx="527">
                  <c:v>50.56</c:v>
                </c:pt>
                <c:pt idx="528">
                  <c:v>50.64</c:v>
                </c:pt>
                <c:pt idx="529">
                  <c:v>50.6</c:v>
                </c:pt>
                <c:pt idx="530">
                  <c:v>50.53</c:v>
                </c:pt>
                <c:pt idx="531">
                  <c:v>50.54</c:v>
                </c:pt>
                <c:pt idx="532">
                  <c:v>50.54</c:v>
                </c:pt>
                <c:pt idx="533">
                  <c:v>50.49</c:v>
                </c:pt>
                <c:pt idx="534">
                  <c:v>50.53</c:v>
                </c:pt>
                <c:pt idx="535">
                  <c:v>50.52</c:v>
                </c:pt>
                <c:pt idx="536">
                  <c:v>50.49</c:v>
                </c:pt>
                <c:pt idx="537">
                  <c:v>50.49</c:v>
                </c:pt>
                <c:pt idx="538">
                  <c:v>50.49</c:v>
                </c:pt>
                <c:pt idx="539">
                  <c:v>50.5</c:v>
                </c:pt>
                <c:pt idx="540">
                  <c:v>50.5</c:v>
                </c:pt>
                <c:pt idx="541">
                  <c:v>50.47</c:v>
                </c:pt>
                <c:pt idx="542">
                  <c:v>50.46</c:v>
                </c:pt>
                <c:pt idx="543">
                  <c:v>50.45</c:v>
                </c:pt>
                <c:pt idx="544">
                  <c:v>50.44</c:v>
                </c:pt>
                <c:pt idx="545">
                  <c:v>50.46</c:v>
                </c:pt>
                <c:pt idx="546">
                  <c:v>50.41</c:v>
                </c:pt>
                <c:pt idx="547">
                  <c:v>50.42</c:v>
                </c:pt>
                <c:pt idx="548">
                  <c:v>50.37</c:v>
                </c:pt>
                <c:pt idx="549">
                  <c:v>50.39</c:v>
                </c:pt>
                <c:pt idx="550">
                  <c:v>50.38</c:v>
                </c:pt>
                <c:pt idx="551">
                  <c:v>50.39</c:v>
                </c:pt>
                <c:pt idx="552">
                  <c:v>50.31</c:v>
                </c:pt>
                <c:pt idx="553">
                  <c:v>50.33</c:v>
                </c:pt>
                <c:pt idx="554">
                  <c:v>50.29</c:v>
                </c:pt>
                <c:pt idx="555">
                  <c:v>50.31</c:v>
                </c:pt>
                <c:pt idx="556">
                  <c:v>50.3</c:v>
                </c:pt>
                <c:pt idx="557">
                  <c:v>50.29</c:v>
                </c:pt>
                <c:pt idx="558">
                  <c:v>50.27</c:v>
                </c:pt>
                <c:pt idx="559">
                  <c:v>50.27</c:v>
                </c:pt>
                <c:pt idx="560">
                  <c:v>50.22</c:v>
                </c:pt>
                <c:pt idx="561">
                  <c:v>50.22</c:v>
                </c:pt>
                <c:pt idx="562">
                  <c:v>50.19</c:v>
                </c:pt>
                <c:pt idx="563">
                  <c:v>50.19</c:v>
                </c:pt>
                <c:pt idx="564">
                  <c:v>50.17</c:v>
                </c:pt>
                <c:pt idx="565">
                  <c:v>50.18</c:v>
                </c:pt>
                <c:pt idx="566">
                  <c:v>50.18</c:v>
                </c:pt>
                <c:pt idx="567">
                  <c:v>50.18</c:v>
                </c:pt>
                <c:pt idx="568">
                  <c:v>50.15</c:v>
                </c:pt>
                <c:pt idx="569">
                  <c:v>50.15</c:v>
                </c:pt>
                <c:pt idx="570">
                  <c:v>50.14</c:v>
                </c:pt>
                <c:pt idx="571">
                  <c:v>50.14</c:v>
                </c:pt>
                <c:pt idx="572">
                  <c:v>50.14</c:v>
                </c:pt>
                <c:pt idx="573">
                  <c:v>50.07</c:v>
                </c:pt>
                <c:pt idx="574">
                  <c:v>50.13</c:v>
                </c:pt>
                <c:pt idx="575">
                  <c:v>50.14</c:v>
                </c:pt>
                <c:pt idx="576">
                  <c:v>50.14</c:v>
                </c:pt>
                <c:pt idx="577">
                  <c:v>50.09</c:v>
                </c:pt>
                <c:pt idx="578">
                  <c:v>50.14</c:v>
                </c:pt>
                <c:pt idx="579">
                  <c:v>50.13</c:v>
                </c:pt>
                <c:pt idx="580">
                  <c:v>50.06</c:v>
                </c:pt>
                <c:pt idx="581">
                  <c:v>50.1</c:v>
                </c:pt>
                <c:pt idx="582">
                  <c:v>50.1</c:v>
                </c:pt>
                <c:pt idx="583">
                  <c:v>50.08</c:v>
                </c:pt>
                <c:pt idx="584">
                  <c:v>50.07</c:v>
                </c:pt>
                <c:pt idx="585">
                  <c:v>50.06</c:v>
                </c:pt>
                <c:pt idx="586">
                  <c:v>50.05</c:v>
                </c:pt>
                <c:pt idx="587">
                  <c:v>50.09</c:v>
                </c:pt>
                <c:pt idx="588">
                  <c:v>50.08</c:v>
                </c:pt>
                <c:pt idx="589">
                  <c:v>50.07</c:v>
                </c:pt>
                <c:pt idx="590">
                  <c:v>50.08</c:v>
                </c:pt>
                <c:pt idx="591">
                  <c:v>50.05</c:v>
                </c:pt>
                <c:pt idx="592">
                  <c:v>50.04</c:v>
                </c:pt>
                <c:pt idx="593">
                  <c:v>50.06</c:v>
                </c:pt>
                <c:pt idx="594">
                  <c:v>50.05</c:v>
                </c:pt>
                <c:pt idx="595">
                  <c:v>50</c:v>
                </c:pt>
                <c:pt idx="596">
                  <c:v>50.01</c:v>
                </c:pt>
                <c:pt idx="597">
                  <c:v>50.07</c:v>
                </c:pt>
                <c:pt idx="598">
                  <c:v>50.02</c:v>
                </c:pt>
                <c:pt idx="599">
                  <c:v>50.01</c:v>
                </c:pt>
                <c:pt idx="600">
                  <c:v>50.03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0-49FD-898D-6477EB790EFE}"/>
            </c:ext>
          </c:extLst>
        </c:ser>
        <c:ser>
          <c:idx val="1"/>
          <c:order val="1"/>
          <c:tx>
            <c:strRef>
              <c:f>'50'!$S$1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'50'!$S$2:$S$602</c:f>
              <c:numCache>
                <c:formatCode>General</c:formatCode>
                <c:ptCount val="60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C0-49FD-898D-6477EB790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499680"/>
        <c:axId val="1493773792"/>
      </c:scatterChart>
      <c:valAx>
        <c:axId val="157349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773792"/>
        <c:crosses val="autoZero"/>
        <c:crossBetween val="midCat"/>
      </c:valAx>
      <c:valAx>
        <c:axId val="149377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499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'50'!$B$1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'50'!$A$2:$A$602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'50'!$B$2:$B$602</c:f>
              <c:numCache>
                <c:formatCode>General</c:formatCode>
                <c:ptCount val="601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  <c:pt idx="50">
                  <c:v>50</c:v>
                </c:pt>
                <c:pt idx="51">
                  <c:v>50</c:v>
                </c:pt>
                <c:pt idx="52">
                  <c:v>50</c:v>
                </c:pt>
                <c:pt idx="53">
                  <c:v>50</c:v>
                </c:pt>
                <c:pt idx="54">
                  <c:v>50</c:v>
                </c:pt>
                <c:pt idx="55">
                  <c:v>50</c:v>
                </c:pt>
                <c:pt idx="56">
                  <c:v>50</c:v>
                </c:pt>
                <c:pt idx="57">
                  <c:v>50</c:v>
                </c:pt>
                <c:pt idx="58">
                  <c:v>50</c:v>
                </c:pt>
                <c:pt idx="59">
                  <c:v>50</c:v>
                </c:pt>
                <c:pt idx="60">
                  <c:v>50</c:v>
                </c:pt>
                <c:pt idx="61">
                  <c:v>50</c:v>
                </c:pt>
                <c:pt idx="62">
                  <c:v>50</c:v>
                </c:pt>
                <c:pt idx="63">
                  <c:v>50</c:v>
                </c:pt>
                <c:pt idx="64">
                  <c:v>50</c:v>
                </c:pt>
                <c:pt idx="65">
                  <c:v>50</c:v>
                </c:pt>
                <c:pt idx="66">
                  <c:v>50</c:v>
                </c:pt>
                <c:pt idx="67">
                  <c:v>50</c:v>
                </c:pt>
                <c:pt idx="68">
                  <c:v>50</c:v>
                </c:pt>
                <c:pt idx="69">
                  <c:v>50</c:v>
                </c:pt>
                <c:pt idx="70">
                  <c:v>50</c:v>
                </c:pt>
                <c:pt idx="71">
                  <c:v>50</c:v>
                </c:pt>
                <c:pt idx="72">
                  <c:v>50</c:v>
                </c:pt>
                <c:pt idx="73">
                  <c:v>50</c:v>
                </c:pt>
                <c:pt idx="74">
                  <c:v>50</c:v>
                </c:pt>
                <c:pt idx="75">
                  <c:v>50</c:v>
                </c:pt>
                <c:pt idx="76">
                  <c:v>50</c:v>
                </c:pt>
                <c:pt idx="77">
                  <c:v>50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50</c:v>
                </c:pt>
                <c:pt idx="99">
                  <c:v>50</c:v>
                </c:pt>
                <c:pt idx="100">
                  <c:v>50</c:v>
                </c:pt>
                <c:pt idx="101">
                  <c:v>50</c:v>
                </c:pt>
                <c:pt idx="102">
                  <c:v>50</c:v>
                </c:pt>
                <c:pt idx="103">
                  <c:v>50</c:v>
                </c:pt>
                <c:pt idx="104">
                  <c:v>50</c:v>
                </c:pt>
                <c:pt idx="105">
                  <c:v>50</c:v>
                </c:pt>
                <c:pt idx="106">
                  <c:v>50</c:v>
                </c:pt>
                <c:pt idx="107">
                  <c:v>50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50</c:v>
                </c:pt>
                <c:pt idx="114">
                  <c:v>50</c:v>
                </c:pt>
                <c:pt idx="115">
                  <c:v>50</c:v>
                </c:pt>
                <c:pt idx="116">
                  <c:v>50</c:v>
                </c:pt>
                <c:pt idx="117">
                  <c:v>50</c:v>
                </c:pt>
                <c:pt idx="118">
                  <c:v>50</c:v>
                </c:pt>
                <c:pt idx="119">
                  <c:v>50</c:v>
                </c:pt>
                <c:pt idx="120">
                  <c:v>50</c:v>
                </c:pt>
                <c:pt idx="121">
                  <c:v>50</c:v>
                </c:pt>
                <c:pt idx="122">
                  <c:v>50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50</c:v>
                </c:pt>
                <c:pt idx="129">
                  <c:v>50</c:v>
                </c:pt>
                <c:pt idx="130">
                  <c:v>50</c:v>
                </c:pt>
                <c:pt idx="131">
                  <c:v>50</c:v>
                </c:pt>
                <c:pt idx="132">
                  <c:v>50</c:v>
                </c:pt>
                <c:pt idx="133">
                  <c:v>50</c:v>
                </c:pt>
                <c:pt idx="134">
                  <c:v>50</c:v>
                </c:pt>
                <c:pt idx="135">
                  <c:v>50</c:v>
                </c:pt>
                <c:pt idx="136">
                  <c:v>50</c:v>
                </c:pt>
                <c:pt idx="137">
                  <c:v>50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</c:v>
                </c:pt>
                <c:pt idx="145">
                  <c:v>50</c:v>
                </c:pt>
                <c:pt idx="146">
                  <c:v>50</c:v>
                </c:pt>
                <c:pt idx="147">
                  <c:v>50</c:v>
                </c:pt>
                <c:pt idx="148">
                  <c:v>50</c:v>
                </c:pt>
                <c:pt idx="149">
                  <c:v>50</c:v>
                </c:pt>
                <c:pt idx="150">
                  <c:v>50</c:v>
                </c:pt>
                <c:pt idx="151">
                  <c:v>50</c:v>
                </c:pt>
                <c:pt idx="152">
                  <c:v>50</c:v>
                </c:pt>
                <c:pt idx="153">
                  <c:v>50</c:v>
                </c:pt>
                <c:pt idx="154">
                  <c:v>50</c:v>
                </c:pt>
                <c:pt idx="155">
                  <c:v>50</c:v>
                </c:pt>
                <c:pt idx="156">
                  <c:v>50</c:v>
                </c:pt>
                <c:pt idx="157">
                  <c:v>50</c:v>
                </c:pt>
                <c:pt idx="158">
                  <c:v>50</c:v>
                </c:pt>
                <c:pt idx="159">
                  <c:v>50</c:v>
                </c:pt>
                <c:pt idx="160">
                  <c:v>50</c:v>
                </c:pt>
                <c:pt idx="161">
                  <c:v>50</c:v>
                </c:pt>
                <c:pt idx="162">
                  <c:v>50</c:v>
                </c:pt>
                <c:pt idx="163">
                  <c:v>50</c:v>
                </c:pt>
                <c:pt idx="164">
                  <c:v>50</c:v>
                </c:pt>
                <c:pt idx="165">
                  <c:v>50</c:v>
                </c:pt>
                <c:pt idx="166">
                  <c:v>50</c:v>
                </c:pt>
                <c:pt idx="167">
                  <c:v>50</c:v>
                </c:pt>
                <c:pt idx="168">
                  <c:v>50</c:v>
                </c:pt>
                <c:pt idx="169">
                  <c:v>50</c:v>
                </c:pt>
                <c:pt idx="170">
                  <c:v>50</c:v>
                </c:pt>
                <c:pt idx="171">
                  <c:v>50</c:v>
                </c:pt>
                <c:pt idx="172">
                  <c:v>50</c:v>
                </c:pt>
                <c:pt idx="173">
                  <c:v>50</c:v>
                </c:pt>
                <c:pt idx="174">
                  <c:v>50</c:v>
                </c:pt>
                <c:pt idx="175">
                  <c:v>50</c:v>
                </c:pt>
                <c:pt idx="176">
                  <c:v>50</c:v>
                </c:pt>
                <c:pt idx="177">
                  <c:v>50</c:v>
                </c:pt>
                <c:pt idx="178">
                  <c:v>50</c:v>
                </c:pt>
                <c:pt idx="179">
                  <c:v>50</c:v>
                </c:pt>
                <c:pt idx="180">
                  <c:v>50</c:v>
                </c:pt>
                <c:pt idx="181">
                  <c:v>50</c:v>
                </c:pt>
                <c:pt idx="182">
                  <c:v>50</c:v>
                </c:pt>
                <c:pt idx="183">
                  <c:v>50</c:v>
                </c:pt>
                <c:pt idx="184">
                  <c:v>50</c:v>
                </c:pt>
                <c:pt idx="185">
                  <c:v>50</c:v>
                </c:pt>
                <c:pt idx="186">
                  <c:v>50</c:v>
                </c:pt>
                <c:pt idx="187">
                  <c:v>50</c:v>
                </c:pt>
                <c:pt idx="188">
                  <c:v>50</c:v>
                </c:pt>
                <c:pt idx="189">
                  <c:v>50</c:v>
                </c:pt>
                <c:pt idx="190">
                  <c:v>50</c:v>
                </c:pt>
                <c:pt idx="191">
                  <c:v>50</c:v>
                </c:pt>
                <c:pt idx="192">
                  <c:v>50</c:v>
                </c:pt>
                <c:pt idx="193">
                  <c:v>50</c:v>
                </c:pt>
                <c:pt idx="194">
                  <c:v>50</c:v>
                </c:pt>
                <c:pt idx="195">
                  <c:v>50</c:v>
                </c:pt>
                <c:pt idx="196">
                  <c:v>50</c:v>
                </c:pt>
                <c:pt idx="197">
                  <c:v>50</c:v>
                </c:pt>
                <c:pt idx="198">
                  <c:v>50</c:v>
                </c:pt>
                <c:pt idx="199">
                  <c:v>50</c:v>
                </c:pt>
                <c:pt idx="200">
                  <c:v>50</c:v>
                </c:pt>
                <c:pt idx="201">
                  <c:v>50</c:v>
                </c:pt>
                <c:pt idx="202">
                  <c:v>50</c:v>
                </c:pt>
                <c:pt idx="203">
                  <c:v>50</c:v>
                </c:pt>
                <c:pt idx="204">
                  <c:v>50</c:v>
                </c:pt>
                <c:pt idx="205">
                  <c:v>50</c:v>
                </c:pt>
                <c:pt idx="206">
                  <c:v>50</c:v>
                </c:pt>
                <c:pt idx="207">
                  <c:v>50</c:v>
                </c:pt>
                <c:pt idx="208">
                  <c:v>50</c:v>
                </c:pt>
                <c:pt idx="209">
                  <c:v>50</c:v>
                </c:pt>
                <c:pt idx="210">
                  <c:v>50</c:v>
                </c:pt>
                <c:pt idx="211">
                  <c:v>50</c:v>
                </c:pt>
                <c:pt idx="212">
                  <c:v>50</c:v>
                </c:pt>
                <c:pt idx="213">
                  <c:v>50</c:v>
                </c:pt>
                <c:pt idx="214">
                  <c:v>50</c:v>
                </c:pt>
                <c:pt idx="215">
                  <c:v>50</c:v>
                </c:pt>
                <c:pt idx="216">
                  <c:v>50</c:v>
                </c:pt>
                <c:pt idx="217">
                  <c:v>50</c:v>
                </c:pt>
                <c:pt idx="218">
                  <c:v>50</c:v>
                </c:pt>
                <c:pt idx="219">
                  <c:v>50</c:v>
                </c:pt>
                <c:pt idx="220">
                  <c:v>50</c:v>
                </c:pt>
                <c:pt idx="221">
                  <c:v>50</c:v>
                </c:pt>
                <c:pt idx="222">
                  <c:v>50</c:v>
                </c:pt>
                <c:pt idx="223">
                  <c:v>50</c:v>
                </c:pt>
                <c:pt idx="224">
                  <c:v>50</c:v>
                </c:pt>
                <c:pt idx="225">
                  <c:v>50</c:v>
                </c:pt>
                <c:pt idx="226">
                  <c:v>50</c:v>
                </c:pt>
                <c:pt idx="227">
                  <c:v>50</c:v>
                </c:pt>
                <c:pt idx="228">
                  <c:v>50</c:v>
                </c:pt>
                <c:pt idx="229">
                  <c:v>50</c:v>
                </c:pt>
                <c:pt idx="230">
                  <c:v>50</c:v>
                </c:pt>
                <c:pt idx="231">
                  <c:v>50</c:v>
                </c:pt>
                <c:pt idx="232">
                  <c:v>50</c:v>
                </c:pt>
                <c:pt idx="233">
                  <c:v>50</c:v>
                </c:pt>
                <c:pt idx="234">
                  <c:v>50</c:v>
                </c:pt>
                <c:pt idx="235">
                  <c:v>50</c:v>
                </c:pt>
                <c:pt idx="236">
                  <c:v>50</c:v>
                </c:pt>
                <c:pt idx="237">
                  <c:v>50</c:v>
                </c:pt>
                <c:pt idx="238">
                  <c:v>50</c:v>
                </c:pt>
                <c:pt idx="239">
                  <c:v>50</c:v>
                </c:pt>
                <c:pt idx="240">
                  <c:v>50</c:v>
                </c:pt>
                <c:pt idx="241">
                  <c:v>50</c:v>
                </c:pt>
                <c:pt idx="242">
                  <c:v>50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</c:v>
                </c:pt>
                <c:pt idx="247">
                  <c:v>50</c:v>
                </c:pt>
                <c:pt idx="248">
                  <c:v>50</c:v>
                </c:pt>
                <c:pt idx="249">
                  <c:v>50</c:v>
                </c:pt>
                <c:pt idx="250">
                  <c:v>50</c:v>
                </c:pt>
                <c:pt idx="251">
                  <c:v>50</c:v>
                </c:pt>
                <c:pt idx="252">
                  <c:v>50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</c:v>
                </c:pt>
                <c:pt idx="286">
                  <c:v>50</c:v>
                </c:pt>
                <c:pt idx="287">
                  <c:v>50</c:v>
                </c:pt>
                <c:pt idx="288">
                  <c:v>50</c:v>
                </c:pt>
                <c:pt idx="289">
                  <c:v>50</c:v>
                </c:pt>
                <c:pt idx="290">
                  <c:v>50</c:v>
                </c:pt>
                <c:pt idx="291">
                  <c:v>50</c:v>
                </c:pt>
                <c:pt idx="292">
                  <c:v>50</c:v>
                </c:pt>
                <c:pt idx="293">
                  <c:v>50</c:v>
                </c:pt>
                <c:pt idx="294">
                  <c:v>50</c:v>
                </c:pt>
                <c:pt idx="295">
                  <c:v>50</c:v>
                </c:pt>
                <c:pt idx="296">
                  <c:v>50</c:v>
                </c:pt>
                <c:pt idx="297">
                  <c:v>50</c:v>
                </c:pt>
                <c:pt idx="298">
                  <c:v>50</c:v>
                </c:pt>
                <c:pt idx="299">
                  <c:v>50</c:v>
                </c:pt>
                <c:pt idx="300">
                  <c:v>50</c:v>
                </c:pt>
                <c:pt idx="301">
                  <c:v>50</c:v>
                </c:pt>
                <c:pt idx="302">
                  <c:v>50</c:v>
                </c:pt>
                <c:pt idx="303">
                  <c:v>50</c:v>
                </c:pt>
                <c:pt idx="304">
                  <c:v>50</c:v>
                </c:pt>
                <c:pt idx="305">
                  <c:v>50</c:v>
                </c:pt>
                <c:pt idx="306">
                  <c:v>50</c:v>
                </c:pt>
                <c:pt idx="307">
                  <c:v>50</c:v>
                </c:pt>
                <c:pt idx="308">
                  <c:v>50</c:v>
                </c:pt>
                <c:pt idx="309">
                  <c:v>50</c:v>
                </c:pt>
                <c:pt idx="310">
                  <c:v>50</c:v>
                </c:pt>
                <c:pt idx="311">
                  <c:v>50</c:v>
                </c:pt>
                <c:pt idx="312">
                  <c:v>50</c:v>
                </c:pt>
                <c:pt idx="313">
                  <c:v>50</c:v>
                </c:pt>
                <c:pt idx="314">
                  <c:v>50</c:v>
                </c:pt>
                <c:pt idx="315">
                  <c:v>50</c:v>
                </c:pt>
                <c:pt idx="316">
                  <c:v>50</c:v>
                </c:pt>
                <c:pt idx="317">
                  <c:v>50</c:v>
                </c:pt>
                <c:pt idx="318">
                  <c:v>50</c:v>
                </c:pt>
                <c:pt idx="319">
                  <c:v>50</c:v>
                </c:pt>
                <c:pt idx="320">
                  <c:v>50</c:v>
                </c:pt>
                <c:pt idx="321">
                  <c:v>50</c:v>
                </c:pt>
                <c:pt idx="322">
                  <c:v>50</c:v>
                </c:pt>
                <c:pt idx="323">
                  <c:v>50</c:v>
                </c:pt>
                <c:pt idx="324">
                  <c:v>50</c:v>
                </c:pt>
                <c:pt idx="325">
                  <c:v>50</c:v>
                </c:pt>
                <c:pt idx="326">
                  <c:v>50</c:v>
                </c:pt>
                <c:pt idx="327">
                  <c:v>50</c:v>
                </c:pt>
                <c:pt idx="328">
                  <c:v>50</c:v>
                </c:pt>
                <c:pt idx="329">
                  <c:v>50</c:v>
                </c:pt>
                <c:pt idx="330">
                  <c:v>50</c:v>
                </c:pt>
                <c:pt idx="331">
                  <c:v>50</c:v>
                </c:pt>
                <c:pt idx="332">
                  <c:v>50</c:v>
                </c:pt>
                <c:pt idx="333">
                  <c:v>50</c:v>
                </c:pt>
                <c:pt idx="334">
                  <c:v>50</c:v>
                </c:pt>
                <c:pt idx="335">
                  <c:v>50</c:v>
                </c:pt>
                <c:pt idx="336">
                  <c:v>50</c:v>
                </c:pt>
                <c:pt idx="337">
                  <c:v>50</c:v>
                </c:pt>
                <c:pt idx="338">
                  <c:v>50</c:v>
                </c:pt>
                <c:pt idx="339">
                  <c:v>50</c:v>
                </c:pt>
                <c:pt idx="340">
                  <c:v>50</c:v>
                </c:pt>
                <c:pt idx="341">
                  <c:v>50</c:v>
                </c:pt>
                <c:pt idx="342">
                  <c:v>50</c:v>
                </c:pt>
                <c:pt idx="343">
                  <c:v>50</c:v>
                </c:pt>
                <c:pt idx="344">
                  <c:v>50</c:v>
                </c:pt>
                <c:pt idx="345">
                  <c:v>50</c:v>
                </c:pt>
                <c:pt idx="346">
                  <c:v>50</c:v>
                </c:pt>
                <c:pt idx="347">
                  <c:v>50</c:v>
                </c:pt>
                <c:pt idx="348">
                  <c:v>50</c:v>
                </c:pt>
                <c:pt idx="349">
                  <c:v>50</c:v>
                </c:pt>
                <c:pt idx="350">
                  <c:v>50</c:v>
                </c:pt>
                <c:pt idx="351">
                  <c:v>50</c:v>
                </c:pt>
                <c:pt idx="352">
                  <c:v>50</c:v>
                </c:pt>
                <c:pt idx="353">
                  <c:v>50</c:v>
                </c:pt>
                <c:pt idx="354">
                  <c:v>50</c:v>
                </c:pt>
                <c:pt idx="355">
                  <c:v>50</c:v>
                </c:pt>
                <c:pt idx="356">
                  <c:v>50</c:v>
                </c:pt>
                <c:pt idx="357">
                  <c:v>50</c:v>
                </c:pt>
                <c:pt idx="358">
                  <c:v>50</c:v>
                </c:pt>
                <c:pt idx="359">
                  <c:v>50</c:v>
                </c:pt>
                <c:pt idx="360">
                  <c:v>50</c:v>
                </c:pt>
                <c:pt idx="361">
                  <c:v>50</c:v>
                </c:pt>
                <c:pt idx="362">
                  <c:v>50</c:v>
                </c:pt>
                <c:pt idx="363">
                  <c:v>50</c:v>
                </c:pt>
                <c:pt idx="364">
                  <c:v>50</c:v>
                </c:pt>
                <c:pt idx="365">
                  <c:v>50</c:v>
                </c:pt>
                <c:pt idx="366">
                  <c:v>50</c:v>
                </c:pt>
                <c:pt idx="367">
                  <c:v>50</c:v>
                </c:pt>
                <c:pt idx="368">
                  <c:v>50</c:v>
                </c:pt>
                <c:pt idx="369">
                  <c:v>50</c:v>
                </c:pt>
                <c:pt idx="370">
                  <c:v>50</c:v>
                </c:pt>
                <c:pt idx="371">
                  <c:v>50</c:v>
                </c:pt>
                <c:pt idx="372">
                  <c:v>50</c:v>
                </c:pt>
                <c:pt idx="373">
                  <c:v>50</c:v>
                </c:pt>
                <c:pt idx="374">
                  <c:v>50</c:v>
                </c:pt>
                <c:pt idx="375">
                  <c:v>50</c:v>
                </c:pt>
                <c:pt idx="376">
                  <c:v>50</c:v>
                </c:pt>
                <c:pt idx="377">
                  <c:v>50</c:v>
                </c:pt>
                <c:pt idx="378">
                  <c:v>50</c:v>
                </c:pt>
                <c:pt idx="379">
                  <c:v>50</c:v>
                </c:pt>
                <c:pt idx="380">
                  <c:v>50</c:v>
                </c:pt>
                <c:pt idx="381">
                  <c:v>50</c:v>
                </c:pt>
                <c:pt idx="382">
                  <c:v>50</c:v>
                </c:pt>
                <c:pt idx="383">
                  <c:v>50</c:v>
                </c:pt>
                <c:pt idx="384">
                  <c:v>50</c:v>
                </c:pt>
                <c:pt idx="385">
                  <c:v>50</c:v>
                </c:pt>
                <c:pt idx="386">
                  <c:v>50</c:v>
                </c:pt>
                <c:pt idx="387">
                  <c:v>50</c:v>
                </c:pt>
                <c:pt idx="388">
                  <c:v>50</c:v>
                </c:pt>
                <c:pt idx="389">
                  <c:v>50</c:v>
                </c:pt>
                <c:pt idx="390">
                  <c:v>50</c:v>
                </c:pt>
                <c:pt idx="391">
                  <c:v>50</c:v>
                </c:pt>
                <c:pt idx="392">
                  <c:v>50</c:v>
                </c:pt>
                <c:pt idx="393">
                  <c:v>50</c:v>
                </c:pt>
                <c:pt idx="394">
                  <c:v>50</c:v>
                </c:pt>
                <c:pt idx="395">
                  <c:v>50</c:v>
                </c:pt>
                <c:pt idx="396">
                  <c:v>50</c:v>
                </c:pt>
                <c:pt idx="397">
                  <c:v>50</c:v>
                </c:pt>
                <c:pt idx="398">
                  <c:v>50</c:v>
                </c:pt>
                <c:pt idx="399">
                  <c:v>50</c:v>
                </c:pt>
                <c:pt idx="400">
                  <c:v>50</c:v>
                </c:pt>
                <c:pt idx="401">
                  <c:v>50</c:v>
                </c:pt>
                <c:pt idx="402">
                  <c:v>50</c:v>
                </c:pt>
                <c:pt idx="403">
                  <c:v>50</c:v>
                </c:pt>
                <c:pt idx="404">
                  <c:v>50</c:v>
                </c:pt>
                <c:pt idx="405">
                  <c:v>50</c:v>
                </c:pt>
                <c:pt idx="406">
                  <c:v>50</c:v>
                </c:pt>
                <c:pt idx="407">
                  <c:v>50</c:v>
                </c:pt>
                <c:pt idx="408">
                  <c:v>50</c:v>
                </c:pt>
                <c:pt idx="409">
                  <c:v>50</c:v>
                </c:pt>
                <c:pt idx="410">
                  <c:v>50</c:v>
                </c:pt>
                <c:pt idx="411">
                  <c:v>50</c:v>
                </c:pt>
                <c:pt idx="412">
                  <c:v>50</c:v>
                </c:pt>
                <c:pt idx="413">
                  <c:v>50</c:v>
                </c:pt>
                <c:pt idx="414">
                  <c:v>50</c:v>
                </c:pt>
                <c:pt idx="415">
                  <c:v>50</c:v>
                </c:pt>
                <c:pt idx="416">
                  <c:v>50</c:v>
                </c:pt>
                <c:pt idx="417">
                  <c:v>50</c:v>
                </c:pt>
                <c:pt idx="418">
                  <c:v>50</c:v>
                </c:pt>
                <c:pt idx="419">
                  <c:v>50</c:v>
                </c:pt>
                <c:pt idx="420">
                  <c:v>50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50</c:v>
                </c:pt>
                <c:pt idx="425">
                  <c:v>50</c:v>
                </c:pt>
                <c:pt idx="426">
                  <c:v>50</c:v>
                </c:pt>
                <c:pt idx="427">
                  <c:v>50</c:v>
                </c:pt>
                <c:pt idx="428">
                  <c:v>50</c:v>
                </c:pt>
                <c:pt idx="429">
                  <c:v>50</c:v>
                </c:pt>
                <c:pt idx="430">
                  <c:v>50</c:v>
                </c:pt>
                <c:pt idx="431">
                  <c:v>50</c:v>
                </c:pt>
                <c:pt idx="432">
                  <c:v>50</c:v>
                </c:pt>
                <c:pt idx="433">
                  <c:v>50</c:v>
                </c:pt>
                <c:pt idx="434">
                  <c:v>50</c:v>
                </c:pt>
                <c:pt idx="435">
                  <c:v>50</c:v>
                </c:pt>
                <c:pt idx="436">
                  <c:v>50</c:v>
                </c:pt>
                <c:pt idx="437">
                  <c:v>50</c:v>
                </c:pt>
                <c:pt idx="438">
                  <c:v>50</c:v>
                </c:pt>
                <c:pt idx="439">
                  <c:v>50</c:v>
                </c:pt>
                <c:pt idx="440">
                  <c:v>50</c:v>
                </c:pt>
                <c:pt idx="441">
                  <c:v>50</c:v>
                </c:pt>
                <c:pt idx="442">
                  <c:v>50</c:v>
                </c:pt>
                <c:pt idx="443">
                  <c:v>50</c:v>
                </c:pt>
                <c:pt idx="444">
                  <c:v>50</c:v>
                </c:pt>
                <c:pt idx="445">
                  <c:v>50</c:v>
                </c:pt>
                <c:pt idx="446">
                  <c:v>50</c:v>
                </c:pt>
                <c:pt idx="447">
                  <c:v>50</c:v>
                </c:pt>
                <c:pt idx="448">
                  <c:v>50</c:v>
                </c:pt>
                <c:pt idx="449">
                  <c:v>50</c:v>
                </c:pt>
                <c:pt idx="450">
                  <c:v>50</c:v>
                </c:pt>
                <c:pt idx="451">
                  <c:v>50</c:v>
                </c:pt>
                <c:pt idx="452">
                  <c:v>50</c:v>
                </c:pt>
                <c:pt idx="453">
                  <c:v>50</c:v>
                </c:pt>
                <c:pt idx="454">
                  <c:v>50</c:v>
                </c:pt>
                <c:pt idx="455">
                  <c:v>50</c:v>
                </c:pt>
                <c:pt idx="456">
                  <c:v>50</c:v>
                </c:pt>
                <c:pt idx="457">
                  <c:v>50</c:v>
                </c:pt>
                <c:pt idx="458">
                  <c:v>50</c:v>
                </c:pt>
                <c:pt idx="459">
                  <c:v>50</c:v>
                </c:pt>
                <c:pt idx="460">
                  <c:v>50</c:v>
                </c:pt>
                <c:pt idx="461">
                  <c:v>50</c:v>
                </c:pt>
                <c:pt idx="462">
                  <c:v>50</c:v>
                </c:pt>
                <c:pt idx="463">
                  <c:v>50</c:v>
                </c:pt>
                <c:pt idx="464">
                  <c:v>50</c:v>
                </c:pt>
                <c:pt idx="465">
                  <c:v>50</c:v>
                </c:pt>
                <c:pt idx="466">
                  <c:v>50</c:v>
                </c:pt>
                <c:pt idx="467">
                  <c:v>50</c:v>
                </c:pt>
                <c:pt idx="468">
                  <c:v>50</c:v>
                </c:pt>
                <c:pt idx="469">
                  <c:v>50</c:v>
                </c:pt>
                <c:pt idx="470">
                  <c:v>50</c:v>
                </c:pt>
                <c:pt idx="471">
                  <c:v>50</c:v>
                </c:pt>
                <c:pt idx="472">
                  <c:v>50</c:v>
                </c:pt>
                <c:pt idx="473">
                  <c:v>50</c:v>
                </c:pt>
                <c:pt idx="474">
                  <c:v>50</c:v>
                </c:pt>
                <c:pt idx="475">
                  <c:v>50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50</c:v>
                </c:pt>
                <c:pt idx="482">
                  <c:v>50</c:v>
                </c:pt>
                <c:pt idx="483">
                  <c:v>50</c:v>
                </c:pt>
                <c:pt idx="484">
                  <c:v>50</c:v>
                </c:pt>
                <c:pt idx="485">
                  <c:v>50</c:v>
                </c:pt>
                <c:pt idx="486">
                  <c:v>50</c:v>
                </c:pt>
                <c:pt idx="487">
                  <c:v>50</c:v>
                </c:pt>
                <c:pt idx="488">
                  <c:v>50</c:v>
                </c:pt>
                <c:pt idx="489">
                  <c:v>50</c:v>
                </c:pt>
                <c:pt idx="490">
                  <c:v>50</c:v>
                </c:pt>
                <c:pt idx="491">
                  <c:v>50</c:v>
                </c:pt>
                <c:pt idx="492">
                  <c:v>50</c:v>
                </c:pt>
                <c:pt idx="493">
                  <c:v>50</c:v>
                </c:pt>
                <c:pt idx="494">
                  <c:v>50</c:v>
                </c:pt>
                <c:pt idx="495">
                  <c:v>50</c:v>
                </c:pt>
                <c:pt idx="496">
                  <c:v>50</c:v>
                </c:pt>
                <c:pt idx="497">
                  <c:v>50</c:v>
                </c:pt>
                <c:pt idx="498">
                  <c:v>50</c:v>
                </c:pt>
                <c:pt idx="499">
                  <c:v>50</c:v>
                </c:pt>
                <c:pt idx="500">
                  <c:v>50</c:v>
                </c:pt>
                <c:pt idx="501">
                  <c:v>50</c:v>
                </c:pt>
                <c:pt idx="502">
                  <c:v>50</c:v>
                </c:pt>
                <c:pt idx="503">
                  <c:v>50</c:v>
                </c:pt>
                <c:pt idx="504">
                  <c:v>50</c:v>
                </c:pt>
                <c:pt idx="505">
                  <c:v>50</c:v>
                </c:pt>
                <c:pt idx="506">
                  <c:v>50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</c:v>
                </c:pt>
                <c:pt idx="511">
                  <c:v>50</c:v>
                </c:pt>
                <c:pt idx="512">
                  <c:v>50</c:v>
                </c:pt>
                <c:pt idx="513">
                  <c:v>50</c:v>
                </c:pt>
                <c:pt idx="514">
                  <c:v>50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</c:v>
                </c:pt>
                <c:pt idx="522">
                  <c:v>50</c:v>
                </c:pt>
                <c:pt idx="523">
                  <c:v>50</c:v>
                </c:pt>
                <c:pt idx="524">
                  <c:v>50</c:v>
                </c:pt>
                <c:pt idx="525">
                  <c:v>50</c:v>
                </c:pt>
                <c:pt idx="526">
                  <c:v>50</c:v>
                </c:pt>
                <c:pt idx="527">
                  <c:v>50</c:v>
                </c:pt>
                <c:pt idx="528">
                  <c:v>50</c:v>
                </c:pt>
                <c:pt idx="529">
                  <c:v>50</c:v>
                </c:pt>
                <c:pt idx="530">
                  <c:v>50</c:v>
                </c:pt>
                <c:pt idx="531">
                  <c:v>50</c:v>
                </c:pt>
                <c:pt idx="532">
                  <c:v>50</c:v>
                </c:pt>
                <c:pt idx="533">
                  <c:v>50</c:v>
                </c:pt>
                <c:pt idx="534">
                  <c:v>50</c:v>
                </c:pt>
                <c:pt idx="535">
                  <c:v>50</c:v>
                </c:pt>
                <c:pt idx="536">
                  <c:v>50</c:v>
                </c:pt>
                <c:pt idx="537">
                  <c:v>50</c:v>
                </c:pt>
                <c:pt idx="538">
                  <c:v>50</c:v>
                </c:pt>
                <c:pt idx="539">
                  <c:v>50</c:v>
                </c:pt>
                <c:pt idx="540">
                  <c:v>50</c:v>
                </c:pt>
                <c:pt idx="541">
                  <c:v>50</c:v>
                </c:pt>
                <c:pt idx="542">
                  <c:v>50</c:v>
                </c:pt>
                <c:pt idx="543">
                  <c:v>50</c:v>
                </c:pt>
                <c:pt idx="544">
                  <c:v>50</c:v>
                </c:pt>
                <c:pt idx="545">
                  <c:v>50</c:v>
                </c:pt>
                <c:pt idx="546">
                  <c:v>50</c:v>
                </c:pt>
                <c:pt idx="547">
                  <c:v>50</c:v>
                </c:pt>
                <c:pt idx="548">
                  <c:v>50</c:v>
                </c:pt>
                <c:pt idx="549">
                  <c:v>50</c:v>
                </c:pt>
                <c:pt idx="550">
                  <c:v>50</c:v>
                </c:pt>
                <c:pt idx="551">
                  <c:v>50</c:v>
                </c:pt>
                <c:pt idx="552">
                  <c:v>50</c:v>
                </c:pt>
                <c:pt idx="553">
                  <c:v>50</c:v>
                </c:pt>
                <c:pt idx="554">
                  <c:v>50</c:v>
                </c:pt>
                <c:pt idx="555">
                  <c:v>50</c:v>
                </c:pt>
                <c:pt idx="556">
                  <c:v>50</c:v>
                </c:pt>
                <c:pt idx="557">
                  <c:v>50</c:v>
                </c:pt>
                <c:pt idx="558">
                  <c:v>50</c:v>
                </c:pt>
                <c:pt idx="559">
                  <c:v>50</c:v>
                </c:pt>
                <c:pt idx="560">
                  <c:v>50</c:v>
                </c:pt>
                <c:pt idx="561">
                  <c:v>50</c:v>
                </c:pt>
                <c:pt idx="562">
                  <c:v>50</c:v>
                </c:pt>
                <c:pt idx="563">
                  <c:v>50</c:v>
                </c:pt>
                <c:pt idx="564">
                  <c:v>50</c:v>
                </c:pt>
                <c:pt idx="565">
                  <c:v>50</c:v>
                </c:pt>
                <c:pt idx="566">
                  <c:v>50</c:v>
                </c:pt>
                <c:pt idx="567">
                  <c:v>50</c:v>
                </c:pt>
                <c:pt idx="568">
                  <c:v>50</c:v>
                </c:pt>
                <c:pt idx="569">
                  <c:v>50</c:v>
                </c:pt>
                <c:pt idx="570">
                  <c:v>50</c:v>
                </c:pt>
                <c:pt idx="571">
                  <c:v>50</c:v>
                </c:pt>
                <c:pt idx="572">
                  <c:v>50</c:v>
                </c:pt>
                <c:pt idx="573">
                  <c:v>50</c:v>
                </c:pt>
                <c:pt idx="574">
                  <c:v>50</c:v>
                </c:pt>
                <c:pt idx="575">
                  <c:v>50</c:v>
                </c:pt>
                <c:pt idx="576">
                  <c:v>50</c:v>
                </c:pt>
                <c:pt idx="577">
                  <c:v>50</c:v>
                </c:pt>
                <c:pt idx="578">
                  <c:v>50</c:v>
                </c:pt>
                <c:pt idx="579">
                  <c:v>50</c:v>
                </c:pt>
                <c:pt idx="580">
                  <c:v>50</c:v>
                </c:pt>
                <c:pt idx="581">
                  <c:v>50</c:v>
                </c:pt>
                <c:pt idx="582">
                  <c:v>50</c:v>
                </c:pt>
                <c:pt idx="583">
                  <c:v>50</c:v>
                </c:pt>
                <c:pt idx="584">
                  <c:v>50</c:v>
                </c:pt>
                <c:pt idx="585">
                  <c:v>50</c:v>
                </c:pt>
                <c:pt idx="586">
                  <c:v>50</c:v>
                </c:pt>
                <c:pt idx="587">
                  <c:v>50</c:v>
                </c:pt>
                <c:pt idx="588">
                  <c:v>50</c:v>
                </c:pt>
                <c:pt idx="589">
                  <c:v>50</c:v>
                </c:pt>
                <c:pt idx="590">
                  <c:v>50</c:v>
                </c:pt>
                <c:pt idx="591">
                  <c:v>50</c:v>
                </c:pt>
                <c:pt idx="592">
                  <c:v>50</c:v>
                </c:pt>
                <c:pt idx="593">
                  <c:v>50</c:v>
                </c:pt>
                <c:pt idx="594">
                  <c:v>50</c:v>
                </c:pt>
                <c:pt idx="595">
                  <c:v>50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F6-4785-B8A6-76E581FAE220}"/>
            </c:ext>
          </c:extLst>
        </c:ser>
        <c:ser>
          <c:idx val="1"/>
          <c:order val="1"/>
          <c:tx>
            <c:strRef>
              <c:f>'50'!$C$1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'50'!$A$2:$A$602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'50'!$C$2:$C$602</c:f>
              <c:numCache>
                <c:formatCode>General</c:formatCode>
                <c:ptCount val="601"/>
                <c:pt idx="0">
                  <c:v>26.46</c:v>
                </c:pt>
                <c:pt idx="1">
                  <c:v>26.47</c:v>
                </c:pt>
                <c:pt idx="2">
                  <c:v>26.59</c:v>
                </c:pt>
                <c:pt idx="3">
                  <c:v>26.57</c:v>
                </c:pt>
                <c:pt idx="4">
                  <c:v>26.65</c:v>
                </c:pt>
                <c:pt idx="5">
                  <c:v>26.73</c:v>
                </c:pt>
                <c:pt idx="6">
                  <c:v>26.85</c:v>
                </c:pt>
                <c:pt idx="7">
                  <c:v>27.08</c:v>
                </c:pt>
                <c:pt idx="8">
                  <c:v>27.39</c:v>
                </c:pt>
                <c:pt idx="9">
                  <c:v>27.71</c:v>
                </c:pt>
                <c:pt idx="10">
                  <c:v>28.14</c:v>
                </c:pt>
                <c:pt idx="11">
                  <c:v>28.54</c:v>
                </c:pt>
                <c:pt idx="12">
                  <c:v>29.01</c:v>
                </c:pt>
                <c:pt idx="13">
                  <c:v>29.48</c:v>
                </c:pt>
                <c:pt idx="14">
                  <c:v>30.01</c:v>
                </c:pt>
                <c:pt idx="15">
                  <c:v>30.53</c:v>
                </c:pt>
                <c:pt idx="16">
                  <c:v>31.09</c:v>
                </c:pt>
                <c:pt idx="17">
                  <c:v>31.63</c:v>
                </c:pt>
                <c:pt idx="18">
                  <c:v>32.22</c:v>
                </c:pt>
                <c:pt idx="19">
                  <c:v>32.81</c:v>
                </c:pt>
                <c:pt idx="20">
                  <c:v>33.380000000000003</c:v>
                </c:pt>
                <c:pt idx="21">
                  <c:v>33.94</c:v>
                </c:pt>
                <c:pt idx="22">
                  <c:v>34.53</c:v>
                </c:pt>
                <c:pt idx="23">
                  <c:v>35.130000000000003</c:v>
                </c:pt>
                <c:pt idx="24">
                  <c:v>35.71</c:v>
                </c:pt>
                <c:pt idx="25">
                  <c:v>36.229999999999997</c:v>
                </c:pt>
                <c:pt idx="26">
                  <c:v>36.78</c:v>
                </c:pt>
                <c:pt idx="27">
                  <c:v>37.35</c:v>
                </c:pt>
                <c:pt idx="28">
                  <c:v>37.9</c:v>
                </c:pt>
                <c:pt idx="29">
                  <c:v>38.44</c:v>
                </c:pt>
                <c:pt idx="30">
                  <c:v>39</c:v>
                </c:pt>
                <c:pt idx="31">
                  <c:v>39.549999999999997</c:v>
                </c:pt>
                <c:pt idx="32">
                  <c:v>40.049999999999997</c:v>
                </c:pt>
                <c:pt idx="33">
                  <c:v>40.619999999999997</c:v>
                </c:pt>
                <c:pt idx="34">
                  <c:v>41.11</c:v>
                </c:pt>
                <c:pt idx="35">
                  <c:v>41.63</c:v>
                </c:pt>
                <c:pt idx="36">
                  <c:v>42.13</c:v>
                </c:pt>
                <c:pt idx="37">
                  <c:v>42.68</c:v>
                </c:pt>
                <c:pt idx="38">
                  <c:v>43.2</c:v>
                </c:pt>
                <c:pt idx="39">
                  <c:v>43.71</c:v>
                </c:pt>
                <c:pt idx="40">
                  <c:v>44.18</c:v>
                </c:pt>
                <c:pt idx="41">
                  <c:v>44.7</c:v>
                </c:pt>
                <c:pt idx="42">
                  <c:v>45.2</c:v>
                </c:pt>
                <c:pt idx="43">
                  <c:v>45.7</c:v>
                </c:pt>
                <c:pt idx="44">
                  <c:v>46.18</c:v>
                </c:pt>
                <c:pt idx="45">
                  <c:v>46.68</c:v>
                </c:pt>
                <c:pt idx="46">
                  <c:v>47.14</c:v>
                </c:pt>
                <c:pt idx="47">
                  <c:v>47.57</c:v>
                </c:pt>
                <c:pt idx="48">
                  <c:v>48.04</c:v>
                </c:pt>
                <c:pt idx="49">
                  <c:v>48.52</c:v>
                </c:pt>
                <c:pt idx="50">
                  <c:v>48.98</c:v>
                </c:pt>
                <c:pt idx="51">
                  <c:v>49.41</c:v>
                </c:pt>
                <c:pt idx="52">
                  <c:v>49.81</c:v>
                </c:pt>
                <c:pt idx="53">
                  <c:v>50.2</c:v>
                </c:pt>
                <c:pt idx="54">
                  <c:v>50.6</c:v>
                </c:pt>
                <c:pt idx="55">
                  <c:v>50.89</c:v>
                </c:pt>
                <c:pt idx="56">
                  <c:v>51.04</c:v>
                </c:pt>
                <c:pt idx="57">
                  <c:v>51.27</c:v>
                </c:pt>
                <c:pt idx="58">
                  <c:v>51.46</c:v>
                </c:pt>
                <c:pt idx="59">
                  <c:v>51.6</c:v>
                </c:pt>
                <c:pt idx="60">
                  <c:v>51.68</c:v>
                </c:pt>
                <c:pt idx="61">
                  <c:v>51.77</c:v>
                </c:pt>
                <c:pt idx="62">
                  <c:v>51.75</c:v>
                </c:pt>
                <c:pt idx="63">
                  <c:v>51.7</c:v>
                </c:pt>
                <c:pt idx="64">
                  <c:v>51.68</c:v>
                </c:pt>
                <c:pt idx="65">
                  <c:v>51.57</c:v>
                </c:pt>
                <c:pt idx="66">
                  <c:v>51.45</c:v>
                </c:pt>
                <c:pt idx="67">
                  <c:v>51.34</c:v>
                </c:pt>
                <c:pt idx="68">
                  <c:v>51.21</c:v>
                </c:pt>
                <c:pt idx="69">
                  <c:v>51.05</c:v>
                </c:pt>
                <c:pt idx="70">
                  <c:v>50.91</c:v>
                </c:pt>
                <c:pt idx="71">
                  <c:v>50.73</c:v>
                </c:pt>
                <c:pt idx="72">
                  <c:v>50.72</c:v>
                </c:pt>
                <c:pt idx="73">
                  <c:v>50.39</c:v>
                </c:pt>
                <c:pt idx="74">
                  <c:v>50.4</c:v>
                </c:pt>
                <c:pt idx="75">
                  <c:v>50.22</c:v>
                </c:pt>
                <c:pt idx="76">
                  <c:v>50.1</c:v>
                </c:pt>
                <c:pt idx="77">
                  <c:v>50</c:v>
                </c:pt>
                <c:pt idx="78">
                  <c:v>49.85</c:v>
                </c:pt>
                <c:pt idx="79">
                  <c:v>49.79</c:v>
                </c:pt>
                <c:pt idx="80">
                  <c:v>49.74</c:v>
                </c:pt>
                <c:pt idx="81">
                  <c:v>49.68</c:v>
                </c:pt>
                <c:pt idx="82">
                  <c:v>49.67</c:v>
                </c:pt>
                <c:pt idx="83">
                  <c:v>49.62</c:v>
                </c:pt>
                <c:pt idx="84">
                  <c:v>49.62</c:v>
                </c:pt>
                <c:pt idx="85">
                  <c:v>49.66</c:v>
                </c:pt>
                <c:pt idx="86">
                  <c:v>49.66</c:v>
                </c:pt>
                <c:pt idx="87">
                  <c:v>49.7</c:v>
                </c:pt>
                <c:pt idx="88">
                  <c:v>49.72</c:v>
                </c:pt>
                <c:pt idx="89">
                  <c:v>49.78</c:v>
                </c:pt>
                <c:pt idx="90">
                  <c:v>49.74</c:v>
                </c:pt>
                <c:pt idx="91">
                  <c:v>49.84</c:v>
                </c:pt>
                <c:pt idx="92">
                  <c:v>49.89</c:v>
                </c:pt>
                <c:pt idx="93">
                  <c:v>49.91</c:v>
                </c:pt>
                <c:pt idx="94">
                  <c:v>49.98</c:v>
                </c:pt>
                <c:pt idx="95">
                  <c:v>49.97</c:v>
                </c:pt>
                <c:pt idx="96">
                  <c:v>50.02</c:v>
                </c:pt>
                <c:pt idx="97">
                  <c:v>49.99</c:v>
                </c:pt>
                <c:pt idx="98">
                  <c:v>50.1</c:v>
                </c:pt>
                <c:pt idx="99">
                  <c:v>49.99</c:v>
                </c:pt>
                <c:pt idx="100">
                  <c:v>50.18</c:v>
                </c:pt>
                <c:pt idx="101">
                  <c:v>50.04</c:v>
                </c:pt>
                <c:pt idx="102">
                  <c:v>50.21</c:v>
                </c:pt>
                <c:pt idx="103">
                  <c:v>50.09</c:v>
                </c:pt>
                <c:pt idx="104">
                  <c:v>50.26</c:v>
                </c:pt>
                <c:pt idx="105">
                  <c:v>50.15</c:v>
                </c:pt>
                <c:pt idx="106">
                  <c:v>50.29</c:v>
                </c:pt>
                <c:pt idx="107">
                  <c:v>50.16</c:v>
                </c:pt>
                <c:pt idx="108">
                  <c:v>50.37</c:v>
                </c:pt>
                <c:pt idx="109">
                  <c:v>50.22</c:v>
                </c:pt>
                <c:pt idx="110">
                  <c:v>50.34</c:v>
                </c:pt>
                <c:pt idx="111">
                  <c:v>50.22</c:v>
                </c:pt>
                <c:pt idx="112">
                  <c:v>50.32</c:v>
                </c:pt>
                <c:pt idx="113">
                  <c:v>50.23</c:v>
                </c:pt>
                <c:pt idx="114">
                  <c:v>50.29</c:v>
                </c:pt>
                <c:pt idx="115">
                  <c:v>50.29</c:v>
                </c:pt>
                <c:pt idx="116">
                  <c:v>50.31</c:v>
                </c:pt>
                <c:pt idx="117">
                  <c:v>50.29</c:v>
                </c:pt>
                <c:pt idx="118">
                  <c:v>50.32</c:v>
                </c:pt>
                <c:pt idx="119">
                  <c:v>50.31</c:v>
                </c:pt>
                <c:pt idx="120">
                  <c:v>50.29</c:v>
                </c:pt>
                <c:pt idx="121">
                  <c:v>50.32</c:v>
                </c:pt>
                <c:pt idx="122">
                  <c:v>50.33</c:v>
                </c:pt>
                <c:pt idx="123">
                  <c:v>50.29</c:v>
                </c:pt>
                <c:pt idx="124">
                  <c:v>50.31</c:v>
                </c:pt>
                <c:pt idx="125">
                  <c:v>50.29</c:v>
                </c:pt>
                <c:pt idx="126">
                  <c:v>50.27</c:v>
                </c:pt>
                <c:pt idx="127">
                  <c:v>50.27</c:v>
                </c:pt>
                <c:pt idx="128">
                  <c:v>50.25</c:v>
                </c:pt>
                <c:pt idx="129">
                  <c:v>50.25</c:v>
                </c:pt>
                <c:pt idx="130">
                  <c:v>50.27</c:v>
                </c:pt>
                <c:pt idx="131">
                  <c:v>50.2</c:v>
                </c:pt>
                <c:pt idx="132">
                  <c:v>50.19</c:v>
                </c:pt>
                <c:pt idx="133">
                  <c:v>50.2</c:v>
                </c:pt>
                <c:pt idx="134">
                  <c:v>50.18</c:v>
                </c:pt>
                <c:pt idx="135">
                  <c:v>50.2</c:v>
                </c:pt>
                <c:pt idx="136">
                  <c:v>50.2</c:v>
                </c:pt>
                <c:pt idx="137">
                  <c:v>50.18</c:v>
                </c:pt>
                <c:pt idx="138">
                  <c:v>50.14</c:v>
                </c:pt>
                <c:pt idx="139">
                  <c:v>50.17</c:v>
                </c:pt>
                <c:pt idx="140">
                  <c:v>50.15</c:v>
                </c:pt>
                <c:pt idx="141">
                  <c:v>50.13</c:v>
                </c:pt>
                <c:pt idx="142">
                  <c:v>50.12</c:v>
                </c:pt>
                <c:pt idx="143">
                  <c:v>50.15</c:v>
                </c:pt>
                <c:pt idx="144">
                  <c:v>50.12</c:v>
                </c:pt>
                <c:pt idx="145">
                  <c:v>50.13</c:v>
                </c:pt>
                <c:pt idx="146">
                  <c:v>50.12</c:v>
                </c:pt>
                <c:pt idx="147">
                  <c:v>50.09</c:v>
                </c:pt>
                <c:pt idx="148">
                  <c:v>50.1</c:v>
                </c:pt>
                <c:pt idx="149">
                  <c:v>50.11</c:v>
                </c:pt>
                <c:pt idx="150">
                  <c:v>50.07</c:v>
                </c:pt>
                <c:pt idx="151">
                  <c:v>50.06</c:v>
                </c:pt>
                <c:pt idx="152">
                  <c:v>50.08</c:v>
                </c:pt>
                <c:pt idx="153">
                  <c:v>50.09</c:v>
                </c:pt>
                <c:pt idx="154">
                  <c:v>50.08</c:v>
                </c:pt>
                <c:pt idx="155">
                  <c:v>50.06</c:v>
                </c:pt>
                <c:pt idx="156">
                  <c:v>50.04</c:v>
                </c:pt>
                <c:pt idx="157">
                  <c:v>50.06</c:v>
                </c:pt>
                <c:pt idx="158">
                  <c:v>50.04</c:v>
                </c:pt>
                <c:pt idx="159">
                  <c:v>50.03</c:v>
                </c:pt>
                <c:pt idx="160">
                  <c:v>50.03</c:v>
                </c:pt>
                <c:pt idx="161">
                  <c:v>50.02</c:v>
                </c:pt>
                <c:pt idx="162">
                  <c:v>50.04</c:v>
                </c:pt>
                <c:pt idx="163">
                  <c:v>50.04</c:v>
                </c:pt>
                <c:pt idx="164">
                  <c:v>50.06</c:v>
                </c:pt>
                <c:pt idx="165">
                  <c:v>50.02</c:v>
                </c:pt>
                <c:pt idx="166">
                  <c:v>50.02</c:v>
                </c:pt>
                <c:pt idx="167">
                  <c:v>50.04</c:v>
                </c:pt>
                <c:pt idx="168">
                  <c:v>50.02</c:v>
                </c:pt>
                <c:pt idx="169">
                  <c:v>49.99</c:v>
                </c:pt>
                <c:pt idx="170">
                  <c:v>50.02</c:v>
                </c:pt>
                <c:pt idx="171">
                  <c:v>50.04</c:v>
                </c:pt>
                <c:pt idx="172">
                  <c:v>50.01</c:v>
                </c:pt>
                <c:pt idx="173">
                  <c:v>49.98</c:v>
                </c:pt>
                <c:pt idx="174">
                  <c:v>50.02</c:v>
                </c:pt>
                <c:pt idx="175">
                  <c:v>50.02</c:v>
                </c:pt>
                <c:pt idx="176">
                  <c:v>50.03</c:v>
                </c:pt>
                <c:pt idx="177">
                  <c:v>50.02</c:v>
                </c:pt>
                <c:pt idx="178">
                  <c:v>50.05</c:v>
                </c:pt>
                <c:pt idx="179">
                  <c:v>50.06</c:v>
                </c:pt>
                <c:pt idx="180">
                  <c:v>50.02</c:v>
                </c:pt>
                <c:pt idx="181">
                  <c:v>50.07</c:v>
                </c:pt>
                <c:pt idx="182">
                  <c:v>50.04</c:v>
                </c:pt>
                <c:pt idx="183">
                  <c:v>50.06</c:v>
                </c:pt>
                <c:pt idx="184">
                  <c:v>50.06</c:v>
                </c:pt>
                <c:pt idx="185">
                  <c:v>50.06</c:v>
                </c:pt>
                <c:pt idx="186">
                  <c:v>50.07</c:v>
                </c:pt>
                <c:pt idx="187">
                  <c:v>50.06</c:v>
                </c:pt>
                <c:pt idx="188">
                  <c:v>50.09</c:v>
                </c:pt>
                <c:pt idx="189">
                  <c:v>50.08</c:v>
                </c:pt>
                <c:pt idx="190">
                  <c:v>50.06</c:v>
                </c:pt>
                <c:pt idx="191">
                  <c:v>50.1</c:v>
                </c:pt>
                <c:pt idx="192">
                  <c:v>50.09</c:v>
                </c:pt>
                <c:pt idx="193">
                  <c:v>50.08</c:v>
                </c:pt>
                <c:pt idx="194">
                  <c:v>50.09</c:v>
                </c:pt>
                <c:pt idx="195">
                  <c:v>50.12</c:v>
                </c:pt>
                <c:pt idx="196">
                  <c:v>50.08</c:v>
                </c:pt>
                <c:pt idx="197">
                  <c:v>50.12</c:v>
                </c:pt>
                <c:pt idx="198">
                  <c:v>50.1</c:v>
                </c:pt>
                <c:pt idx="199">
                  <c:v>50.06</c:v>
                </c:pt>
                <c:pt idx="200">
                  <c:v>50.04</c:v>
                </c:pt>
                <c:pt idx="201">
                  <c:v>50.06</c:v>
                </c:pt>
                <c:pt idx="202">
                  <c:v>50.06</c:v>
                </c:pt>
                <c:pt idx="203">
                  <c:v>50.06</c:v>
                </c:pt>
                <c:pt idx="204">
                  <c:v>50.09</c:v>
                </c:pt>
                <c:pt idx="205">
                  <c:v>50.04</c:v>
                </c:pt>
                <c:pt idx="206">
                  <c:v>50.06</c:v>
                </c:pt>
                <c:pt idx="207">
                  <c:v>50.08</c:v>
                </c:pt>
                <c:pt idx="208">
                  <c:v>50.09</c:v>
                </c:pt>
                <c:pt idx="209">
                  <c:v>50.06</c:v>
                </c:pt>
                <c:pt idx="210">
                  <c:v>50.04</c:v>
                </c:pt>
                <c:pt idx="211">
                  <c:v>50.08</c:v>
                </c:pt>
                <c:pt idx="212">
                  <c:v>50.05</c:v>
                </c:pt>
                <c:pt idx="213">
                  <c:v>50.05</c:v>
                </c:pt>
                <c:pt idx="214">
                  <c:v>50.1</c:v>
                </c:pt>
                <c:pt idx="215">
                  <c:v>50.08</c:v>
                </c:pt>
                <c:pt idx="216">
                  <c:v>50.08</c:v>
                </c:pt>
                <c:pt idx="217">
                  <c:v>50.08</c:v>
                </c:pt>
                <c:pt idx="218">
                  <c:v>50.09</c:v>
                </c:pt>
                <c:pt idx="219">
                  <c:v>50.09</c:v>
                </c:pt>
                <c:pt idx="220">
                  <c:v>50.08</c:v>
                </c:pt>
                <c:pt idx="221">
                  <c:v>50.06</c:v>
                </c:pt>
                <c:pt idx="222">
                  <c:v>50.05</c:v>
                </c:pt>
                <c:pt idx="223">
                  <c:v>50.07</c:v>
                </c:pt>
                <c:pt idx="224">
                  <c:v>50.09</c:v>
                </c:pt>
                <c:pt idx="225">
                  <c:v>50.06</c:v>
                </c:pt>
                <c:pt idx="226">
                  <c:v>50.09</c:v>
                </c:pt>
                <c:pt idx="227">
                  <c:v>50.09</c:v>
                </c:pt>
                <c:pt idx="228">
                  <c:v>50.06</c:v>
                </c:pt>
                <c:pt idx="229">
                  <c:v>50.08</c:v>
                </c:pt>
                <c:pt idx="230">
                  <c:v>50.07</c:v>
                </c:pt>
                <c:pt idx="231">
                  <c:v>50.08</c:v>
                </c:pt>
                <c:pt idx="232">
                  <c:v>50.06</c:v>
                </c:pt>
                <c:pt idx="233">
                  <c:v>50.1</c:v>
                </c:pt>
                <c:pt idx="234">
                  <c:v>50.08</c:v>
                </c:pt>
                <c:pt idx="235">
                  <c:v>50.06</c:v>
                </c:pt>
                <c:pt idx="236">
                  <c:v>50.09</c:v>
                </c:pt>
                <c:pt idx="237">
                  <c:v>50.07</c:v>
                </c:pt>
                <c:pt idx="238">
                  <c:v>50.07</c:v>
                </c:pt>
                <c:pt idx="239">
                  <c:v>50.07</c:v>
                </c:pt>
                <c:pt idx="240">
                  <c:v>50.07</c:v>
                </c:pt>
                <c:pt idx="241">
                  <c:v>50.08</c:v>
                </c:pt>
                <c:pt idx="242">
                  <c:v>50.09</c:v>
                </c:pt>
                <c:pt idx="243">
                  <c:v>50.09</c:v>
                </c:pt>
                <c:pt idx="244">
                  <c:v>50.09</c:v>
                </c:pt>
                <c:pt idx="245">
                  <c:v>50.08</c:v>
                </c:pt>
                <c:pt idx="246">
                  <c:v>50.1</c:v>
                </c:pt>
                <c:pt idx="247">
                  <c:v>50.1</c:v>
                </c:pt>
                <c:pt idx="248">
                  <c:v>50.12</c:v>
                </c:pt>
                <c:pt idx="249">
                  <c:v>50.09</c:v>
                </c:pt>
                <c:pt idx="250">
                  <c:v>50.1</c:v>
                </c:pt>
                <c:pt idx="251">
                  <c:v>50.12</c:v>
                </c:pt>
                <c:pt idx="252">
                  <c:v>50.1</c:v>
                </c:pt>
                <c:pt idx="253">
                  <c:v>50.08</c:v>
                </c:pt>
                <c:pt idx="254">
                  <c:v>50.11</c:v>
                </c:pt>
                <c:pt idx="255">
                  <c:v>50.1</c:v>
                </c:pt>
                <c:pt idx="256">
                  <c:v>50.1</c:v>
                </c:pt>
                <c:pt idx="257">
                  <c:v>50.07</c:v>
                </c:pt>
                <c:pt idx="258">
                  <c:v>50.07</c:v>
                </c:pt>
                <c:pt idx="259">
                  <c:v>50.12</c:v>
                </c:pt>
                <c:pt idx="260">
                  <c:v>50.08</c:v>
                </c:pt>
                <c:pt idx="261">
                  <c:v>50.08</c:v>
                </c:pt>
                <c:pt idx="262">
                  <c:v>50.11</c:v>
                </c:pt>
                <c:pt idx="263">
                  <c:v>50.13</c:v>
                </c:pt>
                <c:pt idx="264">
                  <c:v>50.11</c:v>
                </c:pt>
                <c:pt idx="265">
                  <c:v>50.13</c:v>
                </c:pt>
                <c:pt idx="266">
                  <c:v>50.09</c:v>
                </c:pt>
                <c:pt idx="267">
                  <c:v>50.1</c:v>
                </c:pt>
                <c:pt idx="268">
                  <c:v>50.12</c:v>
                </c:pt>
                <c:pt idx="269">
                  <c:v>50.12</c:v>
                </c:pt>
                <c:pt idx="270">
                  <c:v>50.09</c:v>
                </c:pt>
                <c:pt idx="271">
                  <c:v>50.1</c:v>
                </c:pt>
                <c:pt idx="272">
                  <c:v>50.1</c:v>
                </c:pt>
                <c:pt idx="273">
                  <c:v>50.12</c:v>
                </c:pt>
                <c:pt idx="274">
                  <c:v>50.1</c:v>
                </c:pt>
                <c:pt idx="275">
                  <c:v>50.13</c:v>
                </c:pt>
                <c:pt idx="276">
                  <c:v>50.11</c:v>
                </c:pt>
                <c:pt idx="277">
                  <c:v>50.12</c:v>
                </c:pt>
                <c:pt idx="278">
                  <c:v>50.12</c:v>
                </c:pt>
                <c:pt idx="279">
                  <c:v>50.06</c:v>
                </c:pt>
                <c:pt idx="280">
                  <c:v>50.08</c:v>
                </c:pt>
                <c:pt idx="281">
                  <c:v>50.1</c:v>
                </c:pt>
                <c:pt idx="282">
                  <c:v>50.07</c:v>
                </c:pt>
                <c:pt idx="283">
                  <c:v>50.1</c:v>
                </c:pt>
                <c:pt idx="284">
                  <c:v>50.12</c:v>
                </c:pt>
                <c:pt idx="285">
                  <c:v>50.07</c:v>
                </c:pt>
                <c:pt idx="286">
                  <c:v>50.11</c:v>
                </c:pt>
                <c:pt idx="287">
                  <c:v>50.08</c:v>
                </c:pt>
                <c:pt idx="288">
                  <c:v>50.1</c:v>
                </c:pt>
                <c:pt idx="289">
                  <c:v>50.1</c:v>
                </c:pt>
                <c:pt idx="290">
                  <c:v>50.1</c:v>
                </c:pt>
                <c:pt idx="291">
                  <c:v>50.07</c:v>
                </c:pt>
                <c:pt idx="292">
                  <c:v>50.09</c:v>
                </c:pt>
                <c:pt idx="293">
                  <c:v>50.1</c:v>
                </c:pt>
                <c:pt idx="294">
                  <c:v>50.11</c:v>
                </c:pt>
                <c:pt idx="295">
                  <c:v>50.1</c:v>
                </c:pt>
                <c:pt idx="296">
                  <c:v>50.06</c:v>
                </c:pt>
                <c:pt idx="297">
                  <c:v>50.1</c:v>
                </c:pt>
                <c:pt idx="298">
                  <c:v>50.09</c:v>
                </c:pt>
                <c:pt idx="299">
                  <c:v>50.08</c:v>
                </c:pt>
                <c:pt idx="300">
                  <c:v>50.07</c:v>
                </c:pt>
                <c:pt idx="301">
                  <c:v>50.1</c:v>
                </c:pt>
                <c:pt idx="302">
                  <c:v>50.08</c:v>
                </c:pt>
                <c:pt idx="303">
                  <c:v>50.06</c:v>
                </c:pt>
                <c:pt idx="304">
                  <c:v>50.12</c:v>
                </c:pt>
                <c:pt idx="305">
                  <c:v>50.06</c:v>
                </c:pt>
                <c:pt idx="306">
                  <c:v>50.1</c:v>
                </c:pt>
                <c:pt idx="307">
                  <c:v>50.11</c:v>
                </c:pt>
                <c:pt idx="308">
                  <c:v>50.07</c:v>
                </c:pt>
                <c:pt idx="309">
                  <c:v>50.1</c:v>
                </c:pt>
                <c:pt idx="310">
                  <c:v>50.07</c:v>
                </c:pt>
                <c:pt idx="311">
                  <c:v>50.11</c:v>
                </c:pt>
                <c:pt idx="312">
                  <c:v>50.08</c:v>
                </c:pt>
                <c:pt idx="313">
                  <c:v>50.08</c:v>
                </c:pt>
                <c:pt idx="314">
                  <c:v>50.11</c:v>
                </c:pt>
                <c:pt idx="315">
                  <c:v>50.07</c:v>
                </c:pt>
                <c:pt idx="316">
                  <c:v>50.1</c:v>
                </c:pt>
                <c:pt idx="317">
                  <c:v>50.11</c:v>
                </c:pt>
                <c:pt idx="318">
                  <c:v>50.1</c:v>
                </c:pt>
                <c:pt idx="319">
                  <c:v>50.11</c:v>
                </c:pt>
                <c:pt idx="320">
                  <c:v>50.12</c:v>
                </c:pt>
                <c:pt idx="321">
                  <c:v>50.13</c:v>
                </c:pt>
                <c:pt idx="322">
                  <c:v>50.12</c:v>
                </c:pt>
                <c:pt idx="323">
                  <c:v>50.1</c:v>
                </c:pt>
                <c:pt idx="324">
                  <c:v>50.15</c:v>
                </c:pt>
                <c:pt idx="325">
                  <c:v>50.13</c:v>
                </c:pt>
                <c:pt idx="326">
                  <c:v>50.15</c:v>
                </c:pt>
                <c:pt idx="327">
                  <c:v>50.14</c:v>
                </c:pt>
                <c:pt idx="328">
                  <c:v>50.13</c:v>
                </c:pt>
                <c:pt idx="329">
                  <c:v>50.13</c:v>
                </c:pt>
                <c:pt idx="330">
                  <c:v>50.14</c:v>
                </c:pt>
                <c:pt idx="331">
                  <c:v>50.15</c:v>
                </c:pt>
                <c:pt idx="332">
                  <c:v>50.12</c:v>
                </c:pt>
                <c:pt idx="333">
                  <c:v>50.1</c:v>
                </c:pt>
                <c:pt idx="334">
                  <c:v>50.14</c:v>
                </c:pt>
                <c:pt idx="335">
                  <c:v>50.16</c:v>
                </c:pt>
                <c:pt idx="336">
                  <c:v>50.17</c:v>
                </c:pt>
                <c:pt idx="337">
                  <c:v>50.14</c:v>
                </c:pt>
                <c:pt idx="338">
                  <c:v>50.1</c:v>
                </c:pt>
                <c:pt idx="339">
                  <c:v>50.14</c:v>
                </c:pt>
                <c:pt idx="340">
                  <c:v>50.11</c:v>
                </c:pt>
                <c:pt idx="341">
                  <c:v>50.12</c:v>
                </c:pt>
                <c:pt idx="342">
                  <c:v>50.12</c:v>
                </c:pt>
                <c:pt idx="343">
                  <c:v>50.11</c:v>
                </c:pt>
                <c:pt idx="344">
                  <c:v>50.11</c:v>
                </c:pt>
                <c:pt idx="345">
                  <c:v>50.14</c:v>
                </c:pt>
                <c:pt idx="346">
                  <c:v>50.12</c:v>
                </c:pt>
                <c:pt idx="347">
                  <c:v>50.12</c:v>
                </c:pt>
                <c:pt idx="348">
                  <c:v>50.14</c:v>
                </c:pt>
                <c:pt idx="349">
                  <c:v>50.09</c:v>
                </c:pt>
                <c:pt idx="350">
                  <c:v>50.12</c:v>
                </c:pt>
                <c:pt idx="351">
                  <c:v>50.13</c:v>
                </c:pt>
                <c:pt idx="352">
                  <c:v>50.12</c:v>
                </c:pt>
                <c:pt idx="353">
                  <c:v>50.15</c:v>
                </c:pt>
                <c:pt idx="354">
                  <c:v>50.11</c:v>
                </c:pt>
                <c:pt idx="355">
                  <c:v>50.12</c:v>
                </c:pt>
                <c:pt idx="356">
                  <c:v>50.13</c:v>
                </c:pt>
                <c:pt idx="357">
                  <c:v>50.12</c:v>
                </c:pt>
                <c:pt idx="358">
                  <c:v>50.1</c:v>
                </c:pt>
                <c:pt idx="359">
                  <c:v>50.13</c:v>
                </c:pt>
                <c:pt idx="360">
                  <c:v>50.14</c:v>
                </c:pt>
                <c:pt idx="361">
                  <c:v>50.12</c:v>
                </c:pt>
                <c:pt idx="362">
                  <c:v>50.12</c:v>
                </c:pt>
                <c:pt idx="363">
                  <c:v>50.12</c:v>
                </c:pt>
                <c:pt idx="364">
                  <c:v>50.12</c:v>
                </c:pt>
                <c:pt idx="365">
                  <c:v>50.12</c:v>
                </c:pt>
                <c:pt idx="366">
                  <c:v>50.15</c:v>
                </c:pt>
                <c:pt idx="367">
                  <c:v>50.1</c:v>
                </c:pt>
                <c:pt idx="368">
                  <c:v>50.08</c:v>
                </c:pt>
                <c:pt idx="369">
                  <c:v>50.12</c:v>
                </c:pt>
                <c:pt idx="370">
                  <c:v>50.11</c:v>
                </c:pt>
                <c:pt idx="371">
                  <c:v>50.12</c:v>
                </c:pt>
                <c:pt idx="372">
                  <c:v>50.15</c:v>
                </c:pt>
                <c:pt idx="373">
                  <c:v>50.1</c:v>
                </c:pt>
                <c:pt idx="374">
                  <c:v>50.12</c:v>
                </c:pt>
                <c:pt idx="375">
                  <c:v>50.13</c:v>
                </c:pt>
                <c:pt idx="376">
                  <c:v>50.09</c:v>
                </c:pt>
                <c:pt idx="377">
                  <c:v>50.09</c:v>
                </c:pt>
                <c:pt idx="378">
                  <c:v>50.14</c:v>
                </c:pt>
                <c:pt idx="379">
                  <c:v>50.12</c:v>
                </c:pt>
                <c:pt idx="380">
                  <c:v>50.11</c:v>
                </c:pt>
                <c:pt idx="381">
                  <c:v>50.1</c:v>
                </c:pt>
                <c:pt idx="382">
                  <c:v>50.11</c:v>
                </c:pt>
                <c:pt idx="383">
                  <c:v>50.1</c:v>
                </c:pt>
                <c:pt idx="384">
                  <c:v>50.16</c:v>
                </c:pt>
                <c:pt idx="385">
                  <c:v>50.13</c:v>
                </c:pt>
                <c:pt idx="386">
                  <c:v>50.14</c:v>
                </c:pt>
                <c:pt idx="387">
                  <c:v>50.15</c:v>
                </c:pt>
                <c:pt idx="388">
                  <c:v>50.13</c:v>
                </c:pt>
                <c:pt idx="389">
                  <c:v>50.13</c:v>
                </c:pt>
                <c:pt idx="390">
                  <c:v>50.11</c:v>
                </c:pt>
                <c:pt idx="391">
                  <c:v>50.13</c:v>
                </c:pt>
                <c:pt idx="392">
                  <c:v>50.15</c:v>
                </c:pt>
                <c:pt idx="393">
                  <c:v>50.15</c:v>
                </c:pt>
                <c:pt idx="394">
                  <c:v>50.14</c:v>
                </c:pt>
                <c:pt idx="395">
                  <c:v>50.12</c:v>
                </c:pt>
                <c:pt idx="396">
                  <c:v>50.13</c:v>
                </c:pt>
                <c:pt idx="397">
                  <c:v>50.12</c:v>
                </c:pt>
                <c:pt idx="398">
                  <c:v>50.13</c:v>
                </c:pt>
                <c:pt idx="399">
                  <c:v>50.14</c:v>
                </c:pt>
                <c:pt idx="400">
                  <c:v>50.14</c:v>
                </c:pt>
                <c:pt idx="401">
                  <c:v>50.1</c:v>
                </c:pt>
                <c:pt idx="402">
                  <c:v>50.16</c:v>
                </c:pt>
                <c:pt idx="403">
                  <c:v>50.13</c:v>
                </c:pt>
                <c:pt idx="404">
                  <c:v>50.14</c:v>
                </c:pt>
                <c:pt idx="405">
                  <c:v>50.16</c:v>
                </c:pt>
                <c:pt idx="406">
                  <c:v>50.15</c:v>
                </c:pt>
                <c:pt idx="407">
                  <c:v>50.13</c:v>
                </c:pt>
                <c:pt idx="408">
                  <c:v>50.14</c:v>
                </c:pt>
                <c:pt idx="409">
                  <c:v>50.15</c:v>
                </c:pt>
                <c:pt idx="410">
                  <c:v>50.15</c:v>
                </c:pt>
                <c:pt idx="411">
                  <c:v>50.13</c:v>
                </c:pt>
                <c:pt idx="412">
                  <c:v>50.12</c:v>
                </c:pt>
                <c:pt idx="413">
                  <c:v>50.13</c:v>
                </c:pt>
                <c:pt idx="414">
                  <c:v>50.14</c:v>
                </c:pt>
                <c:pt idx="415">
                  <c:v>50.13</c:v>
                </c:pt>
                <c:pt idx="416">
                  <c:v>50.12</c:v>
                </c:pt>
                <c:pt idx="417">
                  <c:v>50.14</c:v>
                </c:pt>
                <c:pt idx="418">
                  <c:v>50.14</c:v>
                </c:pt>
                <c:pt idx="419">
                  <c:v>50.14</c:v>
                </c:pt>
                <c:pt idx="420">
                  <c:v>50.12</c:v>
                </c:pt>
                <c:pt idx="421">
                  <c:v>50.1</c:v>
                </c:pt>
                <c:pt idx="422">
                  <c:v>50.13</c:v>
                </c:pt>
                <c:pt idx="423">
                  <c:v>50.14</c:v>
                </c:pt>
                <c:pt idx="424">
                  <c:v>50.14</c:v>
                </c:pt>
                <c:pt idx="425">
                  <c:v>50.12</c:v>
                </c:pt>
                <c:pt idx="426">
                  <c:v>50.12</c:v>
                </c:pt>
                <c:pt idx="427">
                  <c:v>50.1</c:v>
                </c:pt>
                <c:pt idx="428">
                  <c:v>50.14</c:v>
                </c:pt>
                <c:pt idx="429">
                  <c:v>50.11</c:v>
                </c:pt>
                <c:pt idx="430">
                  <c:v>50.1</c:v>
                </c:pt>
                <c:pt idx="431">
                  <c:v>50.11</c:v>
                </c:pt>
                <c:pt idx="432">
                  <c:v>50.1</c:v>
                </c:pt>
                <c:pt idx="433">
                  <c:v>50.1</c:v>
                </c:pt>
                <c:pt idx="434">
                  <c:v>50.12</c:v>
                </c:pt>
                <c:pt idx="435">
                  <c:v>50.1</c:v>
                </c:pt>
                <c:pt idx="436">
                  <c:v>50.12</c:v>
                </c:pt>
                <c:pt idx="437">
                  <c:v>50.12</c:v>
                </c:pt>
                <c:pt idx="438">
                  <c:v>50.12</c:v>
                </c:pt>
                <c:pt idx="439">
                  <c:v>50.12</c:v>
                </c:pt>
                <c:pt idx="440">
                  <c:v>50.11</c:v>
                </c:pt>
                <c:pt idx="441">
                  <c:v>50.14</c:v>
                </c:pt>
                <c:pt idx="442">
                  <c:v>50.15</c:v>
                </c:pt>
                <c:pt idx="443">
                  <c:v>50.09</c:v>
                </c:pt>
                <c:pt idx="444">
                  <c:v>50.13</c:v>
                </c:pt>
                <c:pt idx="445">
                  <c:v>50.12</c:v>
                </c:pt>
                <c:pt idx="446">
                  <c:v>50.13</c:v>
                </c:pt>
                <c:pt idx="447">
                  <c:v>50.12</c:v>
                </c:pt>
                <c:pt idx="448">
                  <c:v>50.12</c:v>
                </c:pt>
                <c:pt idx="449">
                  <c:v>50.14</c:v>
                </c:pt>
                <c:pt idx="450">
                  <c:v>50.09</c:v>
                </c:pt>
                <c:pt idx="451">
                  <c:v>50.11</c:v>
                </c:pt>
                <c:pt idx="452">
                  <c:v>50.14</c:v>
                </c:pt>
                <c:pt idx="453">
                  <c:v>50.12</c:v>
                </c:pt>
                <c:pt idx="454">
                  <c:v>50.12</c:v>
                </c:pt>
                <c:pt idx="455">
                  <c:v>50.15</c:v>
                </c:pt>
                <c:pt idx="456">
                  <c:v>50.12</c:v>
                </c:pt>
                <c:pt idx="457">
                  <c:v>50.13</c:v>
                </c:pt>
                <c:pt idx="458">
                  <c:v>50.17</c:v>
                </c:pt>
                <c:pt idx="459">
                  <c:v>50.16</c:v>
                </c:pt>
                <c:pt idx="460">
                  <c:v>50.12</c:v>
                </c:pt>
                <c:pt idx="461">
                  <c:v>50.15</c:v>
                </c:pt>
                <c:pt idx="462">
                  <c:v>50.15</c:v>
                </c:pt>
                <c:pt idx="463">
                  <c:v>50.14</c:v>
                </c:pt>
                <c:pt idx="464">
                  <c:v>50.12</c:v>
                </c:pt>
                <c:pt idx="465">
                  <c:v>50.14</c:v>
                </c:pt>
                <c:pt idx="466">
                  <c:v>50.15</c:v>
                </c:pt>
                <c:pt idx="467">
                  <c:v>50.16</c:v>
                </c:pt>
                <c:pt idx="468">
                  <c:v>50.15</c:v>
                </c:pt>
                <c:pt idx="469">
                  <c:v>50.16</c:v>
                </c:pt>
                <c:pt idx="470">
                  <c:v>50.16</c:v>
                </c:pt>
                <c:pt idx="471">
                  <c:v>50.17</c:v>
                </c:pt>
                <c:pt idx="472">
                  <c:v>50.13</c:v>
                </c:pt>
                <c:pt idx="473">
                  <c:v>50.17</c:v>
                </c:pt>
                <c:pt idx="474">
                  <c:v>50.17</c:v>
                </c:pt>
                <c:pt idx="475">
                  <c:v>50.19</c:v>
                </c:pt>
                <c:pt idx="476">
                  <c:v>50.22</c:v>
                </c:pt>
                <c:pt idx="477">
                  <c:v>50.22</c:v>
                </c:pt>
                <c:pt idx="478">
                  <c:v>50.21</c:v>
                </c:pt>
                <c:pt idx="479">
                  <c:v>50.25</c:v>
                </c:pt>
                <c:pt idx="480">
                  <c:v>50.25</c:v>
                </c:pt>
                <c:pt idx="481">
                  <c:v>50.22</c:v>
                </c:pt>
                <c:pt idx="482">
                  <c:v>50.24</c:v>
                </c:pt>
                <c:pt idx="483">
                  <c:v>50.27</c:v>
                </c:pt>
                <c:pt idx="484">
                  <c:v>50.29</c:v>
                </c:pt>
                <c:pt idx="485">
                  <c:v>50.31</c:v>
                </c:pt>
                <c:pt idx="486">
                  <c:v>50.31</c:v>
                </c:pt>
                <c:pt idx="487">
                  <c:v>50.29</c:v>
                </c:pt>
                <c:pt idx="488">
                  <c:v>50.28</c:v>
                </c:pt>
                <c:pt idx="489">
                  <c:v>50.25</c:v>
                </c:pt>
                <c:pt idx="490">
                  <c:v>50.26</c:v>
                </c:pt>
                <c:pt idx="491">
                  <c:v>50.29</c:v>
                </c:pt>
                <c:pt idx="492">
                  <c:v>50.24</c:v>
                </c:pt>
                <c:pt idx="493">
                  <c:v>50.25</c:v>
                </c:pt>
                <c:pt idx="494">
                  <c:v>50.28</c:v>
                </c:pt>
                <c:pt idx="495">
                  <c:v>50.19</c:v>
                </c:pt>
                <c:pt idx="496">
                  <c:v>50.21</c:v>
                </c:pt>
                <c:pt idx="497">
                  <c:v>50.2</c:v>
                </c:pt>
                <c:pt idx="498">
                  <c:v>50.24</c:v>
                </c:pt>
                <c:pt idx="499">
                  <c:v>50.22</c:v>
                </c:pt>
                <c:pt idx="500">
                  <c:v>50.22</c:v>
                </c:pt>
                <c:pt idx="501">
                  <c:v>50.22</c:v>
                </c:pt>
                <c:pt idx="502">
                  <c:v>50.22</c:v>
                </c:pt>
                <c:pt idx="503">
                  <c:v>50.18</c:v>
                </c:pt>
                <c:pt idx="504">
                  <c:v>50.18</c:v>
                </c:pt>
                <c:pt idx="505">
                  <c:v>50.18</c:v>
                </c:pt>
                <c:pt idx="506">
                  <c:v>50.19</c:v>
                </c:pt>
                <c:pt idx="507">
                  <c:v>50.22</c:v>
                </c:pt>
                <c:pt idx="508">
                  <c:v>50.19</c:v>
                </c:pt>
                <c:pt idx="509">
                  <c:v>50.21</c:v>
                </c:pt>
                <c:pt idx="510">
                  <c:v>50.18</c:v>
                </c:pt>
                <c:pt idx="511">
                  <c:v>50.16</c:v>
                </c:pt>
                <c:pt idx="512">
                  <c:v>50.21</c:v>
                </c:pt>
                <c:pt idx="513">
                  <c:v>50.19</c:v>
                </c:pt>
                <c:pt idx="514">
                  <c:v>50.17</c:v>
                </c:pt>
                <c:pt idx="515">
                  <c:v>50.17</c:v>
                </c:pt>
                <c:pt idx="516">
                  <c:v>50.15</c:v>
                </c:pt>
                <c:pt idx="517">
                  <c:v>50.16</c:v>
                </c:pt>
                <c:pt idx="518">
                  <c:v>50.18</c:v>
                </c:pt>
                <c:pt idx="519">
                  <c:v>50.19</c:v>
                </c:pt>
                <c:pt idx="520">
                  <c:v>50.18</c:v>
                </c:pt>
                <c:pt idx="521">
                  <c:v>50.18</c:v>
                </c:pt>
                <c:pt idx="522">
                  <c:v>50.19</c:v>
                </c:pt>
                <c:pt idx="523">
                  <c:v>50.17</c:v>
                </c:pt>
                <c:pt idx="524">
                  <c:v>50.19</c:v>
                </c:pt>
                <c:pt idx="525">
                  <c:v>50.15</c:v>
                </c:pt>
                <c:pt idx="526">
                  <c:v>50.19</c:v>
                </c:pt>
                <c:pt idx="527">
                  <c:v>50.22</c:v>
                </c:pt>
                <c:pt idx="528">
                  <c:v>50.19</c:v>
                </c:pt>
                <c:pt idx="529">
                  <c:v>50.14</c:v>
                </c:pt>
                <c:pt idx="530">
                  <c:v>50.18</c:v>
                </c:pt>
                <c:pt idx="531">
                  <c:v>50.17</c:v>
                </c:pt>
                <c:pt idx="532">
                  <c:v>50.2</c:v>
                </c:pt>
                <c:pt idx="533">
                  <c:v>50.19</c:v>
                </c:pt>
                <c:pt idx="534">
                  <c:v>50.18</c:v>
                </c:pt>
                <c:pt idx="535">
                  <c:v>50.23</c:v>
                </c:pt>
                <c:pt idx="536">
                  <c:v>50.17</c:v>
                </c:pt>
                <c:pt idx="537">
                  <c:v>50.19</c:v>
                </c:pt>
                <c:pt idx="538">
                  <c:v>50.22</c:v>
                </c:pt>
                <c:pt idx="539">
                  <c:v>50.22</c:v>
                </c:pt>
                <c:pt idx="540">
                  <c:v>50.21</c:v>
                </c:pt>
                <c:pt idx="541">
                  <c:v>50.22</c:v>
                </c:pt>
                <c:pt idx="542">
                  <c:v>50.2</c:v>
                </c:pt>
                <c:pt idx="543">
                  <c:v>50.22</c:v>
                </c:pt>
                <c:pt idx="544">
                  <c:v>50.22</c:v>
                </c:pt>
                <c:pt idx="545">
                  <c:v>50.26</c:v>
                </c:pt>
                <c:pt idx="546">
                  <c:v>50.21</c:v>
                </c:pt>
                <c:pt idx="547">
                  <c:v>50.19</c:v>
                </c:pt>
                <c:pt idx="548">
                  <c:v>50.24</c:v>
                </c:pt>
                <c:pt idx="549">
                  <c:v>50.22</c:v>
                </c:pt>
                <c:pt idx="550">
                  <c:v>50.22</c:v>
                </c:pt>
                <c:pt idx="551">
                  <c:v>50.21</c:v>
                </c:pt>
                <c:pt idx="552">
                  <c:v>50.18</c:v>
                </c:pt>
                <c:pt idx="553">
                  <c:v>50.23</c:v>
                </c:pt>
                <c:pt idx="554">
                  <c:v>50.16</c:v>
                </c:pt>
                <c:pt idx="555">
                  <c:v>50.2</c:v>
                </c:pt>
                <c:pt idx="556">
                  <c:v>50.22</c:v>
                </c:pt>
                <c:pt idx="557">
                  <c:v>50.21</c:v>
                </c:pt>
                <c:pt idx="558">
                  <c:v>50.2</c:v>
                </c:pt>
                <c:pt idx="559">
                  <c:v>50.19</c:v>
                </c:pt>
                <c:pt idx="560">
                  <c:v>50.22</c:v>
                </c:pt>
                <c:pt idx="561">
                  <c:v>50.19</c:v>
                </c:pt>
                <c:pt idx="562">
                  <c:v>50.22</c:v>
                </c:pt>
                <c:pt idx="563">
                  <c:v>50.19</c:v>
                </c:pt>
                <c:pt idx="564">
                  <c:v>50.19</c:v>
                </c:pt>
                <c:pt idx="565">
                  <c:v>50.25</c:v>
                </c:pt>
                <c:pt idx="566">
                  <c:v>50.22</c:v>
                </c:pt>
                <c:pt idx="567">
                  <c:v>50.23</c:v>
                </c:pt>
                <c:pt idx="568">
                  <c:v>50.21</c:v>
                </c:pt>
                <c:pt idx="569">
                  <c:v>50.23</c:v>
                </c:pt>
                <c:pt idx="570">
                  <c:v>50.23</c:v>
                </c:pt>
                <c:pt idx="571">
                  <c:v>50.2</c:v>
                </c:pt>
                <c:pt idx="572">
                  <c:v>50.24</c:v>
                </c:pt>
                <c:pt idx="573">
                  <c:v>50.24</c:v>
                </c:pt>
                <c:pt idx="574">
                  <c:v>50.22</c:v>
                </c:pt>
                <c:pt idx="575">
                  <c:v>50.26</c:v>
                </c:pt>
                <c:pt idx="576">
                  <c:v>50.25</c:v>
                </c:pt>
                <c:pt idx="577">
                  <c:v>50.25</c:v>
                </c:pt>
                <c:pt idx="578">
                  <c:v>50.27</c:v>
                </c:pt>
                <c:pt idx="579">
                  <c:v>50.24</c:v>
                </c:pt>
                <c:pt idx="580">
                  <c:v>50.22</c:v>
                </c:pt>
                <c:pt idx="581">
                  <c:v>50.25</c:v>
                </c:pt>
                <c:pt idx="582">
                  <c:v>50.24</c:v>
                </c:pt>
                <c:pt idx="583">
                  <c:v>50.26</c:v>
                </c:pt>
                <c:pt idx="584">
                  <c:v>50.21</c:v>
                </c:pt>
                <c:pt idx="585">
                  <c:v>50.23</c:v>
                </c:pt>
                <c:pt idx="586">
                  <c:v>50.23</c:v>
                </c:pt>
                <c:pt idx="587">
                  <c:v>50.24</c:v>
                </c:pt>
                <c:pt idx="588">
                  <c:v>50.22</c:v>
                </c:pt>
                <c:pt idx="589">
                  <c:v>50.19</c:v>
                </c:pt>
                <c:pt idx="590">
                  <c:v>50.2</c:v>
                </c:pt>
                <c:pt idx="591">
                  <c:v>50.2</c:v>
                </c:pt>
                <c:pt idx="592">
                  <c:v>50.23</c:v>
                </c:pt>
                <c:pt idx="593">
                  <c:v>50.19</c:v>
                </c:pt>
                <c:pt idx="594">
                  <c:v>50.19</c:v>
                </c:pt>
                <c:pt idx="595">
                  <c:v>50.23</c:v>
                </c:pt>
                <c:pt idx="596">
                  <c:v>50.21</c:v>
                </c:pt>
                <c:pt idx="597">
                  <c:v>50.22</c:v>
                </c:pt>
                <c:pt idx="598">
                  <c:v>50.21</c:v>
                </c:pt>
                <c:pt idx="599">
                  <c:v>50.19</c:v>
                </c:pt>
                <c:pt idx="600">
                  <c:v>50.22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F6-4785-B8A6-76E581FAE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577056"/>
        <c:axId val="923577536"/>
      </c:scatterChart>
      <c:valAx>
        <c:axId val="92357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77536"/>
        <c:crosses val="autoZero"/>
        <c:crossBetween val="midCat"/>
      </c:valAx>
      <c:valAx>
        <c:axId val="9235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577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'53'!$B$1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'53'!$A$2:$A$602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'53'!$B$2:$B$602</c:f>
              <c:numCache>
                <c:formatCode>General</c:formatCode>
                <c:ptCount val="60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53</c:v>
                </c:pt>
                <c:pt idx="26">
                  <c:v>53</c:v>
                </c:pt>
                <c:pt idx="27">
                  <c:v>53</c:v>
                </c:pt>
                <c:pt idx="28">
                  <c:v>53</c:v>
                </c:pt>
                <c:pt idx="29">
                  <c:v>53</c:v>
                </c:pt>
                <c:pt idx="30">
                  <c:v>53</c:v>
                </c:pt>
                <c:pt idx="31">
                  <c:v>53</c:v>
                </c:pt>
                <c:pt idx="32">
                  <c:v>53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53</c:v>
                </c:pt>
                <c:pt idx="70">
                  <c:v>53</c:v>
                </c:pt>
                <c:pt idx="71">
                  <c:v>53</c:v>
                </c:pt>
                <c:pt idx="72">
                  <c:v>53</c:v>
                </c:pt>
                <c:pt idx="73">
                  <c:v>53</c:v>
                </c:pt>
                <c:pt idx="74">
                  <c:v>53</c:v>
                </c:pt>
                <c:pt idx="75">
                  <c:v>53</c:v>
                </c:pt>
                <c:pt idx="76">
                  <c:v>53</c:v>
                </c:pt>
                <c:pt idx="77">
                  <c:v>53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53</c:v>
                </c:pt>
                <c:pt idx="83">
                  <c:v>53</c:v>
                </c:pt>
                <c:pt idx="84">
                  <c:v>53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53</c:v>
                </c:pt>
                <c:pt idx="93">
                  <c:v>53</c:v>
                </c:pt>
                <c:pt idx="94">
                  <c:v>53</c:v>
                </c:pt>
                <c:pt idx="95">
                  <c:v>53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53</c:v>
                </c:pt>
                <c:pt idx="118">
                  <c:v>53</c:v>
                </c:pt>
                <c:pt idx="119">
                  <c:v>53</c:v>
                </c:pt>
                <c:pt idx="120">
                  <c:v>53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53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53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</c:v>
                </c:pt>
                <c:pt idx="259">
                  <c:v>53</c:v>
                </c:pt>
                <c:pt idx="260">
                  <c:v>53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53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53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53</c:v>
                </c:pt>
                <c:pt idx="280">
                  <c:v>53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53</c:v>
                </c:pt>
                <c:pt idx="291">
                  <c:v>53</c:v>
                </c:pt>
                <c:pt idx="292">
                  <c:v>53</c:v>
                </c:pt>
                <c:pt idx="293">
                  <c:v>53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</c:v>
                </c:pt>
                <c:pt idx="302">
                  <c:v>53</c:v>
                </c:pt>
                <c:pt idx="303">
                  <c:v>53</c:v>
                </c:pt>
                <c:pt idx="304">
                  <c:v>53</c:v>
                </c:pt>
                <c:pt idx="305">
                  <c:v>53</c:v>
                </c:pt>
                <c:pt idx="306">
                  <c:v>53</c:v>
                </c:pt>
                <c:pt idx="307">
                  <c:v>53</c:v>
                </c:pt>
                <c:pt idx="308">
                  <c:v>53</c:v>
                </c:pt>
                <c:pt idx="309">
                  <c:v>53</c:v>
                </c:pt>
                <c:pt idx="310">
                  <c:v>53</c:v>
                </c:pt>
                <c:pt idx="311">
                  <c:v>53</c:v>
                </c:pt>
                <c:pt idx="312">
                  <c:v>53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53</c:v>
                </c:pt>
                <c:pt idx="322">
                  <c:v>53</c:v>
                </c:pt>
                <c:pt idx="323">
                  <c:v>53</c:v>
                </c:pt>
                <c:pt idx="324">
                  <c:v>53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53</c:v>
                </c:pt>
                <c:pt idx="330">
                  <c:v>53</c:v>
                </c:pt>
                <c:pt idx="331">
                  <c:v>53</c:v>
                </c:pt>
                <c:pt idx="332">
                  <c:v>53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53</c:v>
                </c:pt>
                <c:pt idx="338">
                  <c:v>53</c:v>
                </c:pt>
                <c:pt idx="339">
                  <c:v>53</c:v>
                </c:pt>
                <c:pt idx="340">
                  <c:v>53</c:v>
                </c:pt>
                <c:pt idx="341">
                  <c:v>53</c:v>
                </c:pt>
                <c:pt idx="342">
                  <c:v>53</c:v>
                </c:pt>
                <c:pt idx="343">
                  <c:v>53</c:v>
                </c:pt>
                <c:pt idx="344">
                  <c:v>53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53</c:v>
                </c:pt>
                <c:pt idx="360">
                  <c:v>53</c:v>
                </c:pt>
                <c:pt idx="361">
                  <c:v>53</c:v>
                </c:pt>
                <c:pt idx="362">
                  <c:v>53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53</c:v>
                </c:pt>
                <c:pt idx="371">
                  <c:v>53</c:v>
                </c:pt>
                <c:pt idx="372">
                  <c:v>53</c:v>
                </c:pt>
                <c:pt idx="373">
                  <c:v>53</c:v>
                </c:pt>
                <c:pt idx="374">
                  <c:v>53</c:v>
                </c:pt>
                <c:pt idx="375">
                  <c:v>53</c:v>
                </c:pt>
                <c:pt idx="376">
                  <c:v>53</c:v>
                </c:pt>
                <c:pt idx="377">
                  <c:v>53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53</c:v>
                </c:pt>
                <c:pt idx="382">
                  <c:v>53</c:v>
                </c:pt>
                <c:pt idx="383">
                  <c:v>53</c:v>
                </c:pt>
                <c:pt idx="384">
                  <c:v>53</c:v>
                </c:pt>
                <c:pt idx="385">
                  <c:v>53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</c:v>
                </c:pt>
                <c:pt idx="392">
                  <c:v>53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53</c:v>
                </c:pt>
                <c:pt idx="401">
                  <c:v>53</c:v>
                </c:pt>
                <c:pt idx="402">
                  <c:v>53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53</c:v>
                </c:pt>
                <c:pt idx="409">
                  <c:v>53</c:v>
                </c:pt>
                <c:pt idx="410">
                  <c:v>53</c:v>
                </c:pt>
                <c:pt idx="411">
                  <c:v>53</c:v>
                </c:pt>
                <c:pt idx="412">
                  <c:v>53</c:v>
                </c:pt>
                <c:pt idx="413">
                  <c:v>53</c:v>
                </c:pt>
                <c:pt idx="414">
                  <c:v>53</c:v>
                </c:pt>
                <c:pt idx="415">
                  <c:v>53</c:v>
                </c:pt>
                <c:pt idx="416">
                  <c:v>53</c:v>
                </c:pt>
                <c:pt idx="417">
                  <c:v>53</c:v>
                </c:pt>
                <c:pt idx="418">
                  <c:v>53</c:v>
                </c:pt>
                <c:pt idx="419">
                  <c:v>53</c:v>
                </c:pt>
                <c:pt idx="420">
                  <c:v>53</c:v>
                </c:pt>
                <c:pt idx="421">
                  <c:v>53</c:v>
                </c:pt>
                <c:pt idx="422">
                  <c:v>53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53</c:v>
                </c:pt>
                <c:pt idx="430">
                  <c:v>53</c:v>
                </c:pt>
                <c:pt idx="431">
                  <c:v>53</c:v>
                </c:pt>
                <c:pt idx="432">
                  <c:v>53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53</c:v>
                </c:pt>
                <c:pt idx="439">
                  <c:v>53</c:v>
                </c:pt>
                <c:pt idx="440">
                  <c:v>53</c:v>
                </c:pt>
                <c:pt idx="441">
                  <c:v>53</c:v>
                </c:pt>
                <c:pt idx="442">
                  <c:v>53</c:v>
                </c:pt>
                <c:pt idx="443">
                  <c:v>53</c:v>
                </c:pt>
                <c:pt idx="444">
                  <c:v>53</c:v>
                </c:pt>
                <c:pt idx="445">
                  <c:v>53</c:v>
                </c:pt>
                <c:pt idx="446">
                  <c:v>53</c:v>
                </c:pt>
                <c:pt idx="447">
                  <c:v>53</c:v>
                </c:pt>
                <c:pt idx="448">
                  <c:v>53</c:v>
                </c:pt>
                <c:pt idx="449">
                  <c:v>53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53</c:v>
                </c:pt>
                <c:pt idx="459">
                  <c:v>53</c:v>
                </c:pt>
                <c:pt idx="460">
                  <c:v>53</c:v>
                </c:pt>
                <c:pt idx="461">
                  <c:v>53</c:v>
                </c:pt>
                <c:pt idx="462">
                  <c:v>53</c:v>
                </c:pt>
                <c:pt idx="463">
                  <c:v>53</c:v>
                </c:pt>
                <c:pt idx="464">
                  <c:v>53</c:v>
                </c:pt>
                <c:pt idx="465">
                  <c:v>53</c:v>
                </c:pt>
                <c:pt idx="466">
                  <c:v>53</c:v>
                </c:pt>
                <c:pt idx="467">
                  <c:v>53</c:v>
                </c:pt>
                <c:pt idx="468">
                  <c:v>53</c:v>
                </c:pt>
                <c:pt idx="469">
                  <c:v>53</c:v>
                </c:pt>
                <c:pt idx="470">
                  <c:v>53</c:v>
                </c:pt>
                <c:pt idx="471">
                  <c:v>53</c:v>
                </c:pt>
                <c:pt idx="472">
                  <c:v>53</c:v>
                </c:pt>
                <c:pt idx="473">
                  <c:v>53</c:v>
                </c:pt>
                <c:pt idx="474">
                  <c:v>53</c:v>
                </c:pt>
                <c:pt idx="475">
                  <c:v>53</c:v>
                </c:pt>
                <c:pt idx="476">
                  <c:v>53</c:v>
                </c:pt>
                <c:pt idx="477">
                  <c:v>53</c:v>
                </c:pt>
                <c:pt idx="478">
                  <c:v>53</c:v>
                </c:pt>
                <c:pt idx="479">
                  <c:v>53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</c:v>
                </c:pt>
                <c:pt idx="489">
                  <c:v>53</c:v>
                </c:pt>
                <c:pt idx="490">
                  <c:v>53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</c:v>
                </c:pt>
                <c:pt idx="501">
                  <c:v>53</c:v>
                </c:pt>
                <c:pt idx="502">
                  <c:v>53</c:v>
                </c:pt>
                <c:pt idx="503">
                  <c:v>53</c:v>
                </c:pt>
                <c:pt idx="504">
                  <c:v>53</c:v>
                </c:pt>
                <c:pt idx="505">
                  <c:v>53</c:v>
                </c:pt>
                <c:pt idx="506">
                  <c:v>53</c:v>
                </c:pt>
                <c:pt idx="507">
                  <c:v>53</c:v>
                </c:pt>
                <c:pt idx="508">
                  <c:v>53</c:v>
                </c:pt>
                <c:pt idx="509">
                  <c:v>53</c:v>
                </c:pt>
                <c:pt idx="510">
                  <c:v>53</c:v>
                </c:pt>
                <c:pt idx="511">
                  <c:v>53</c:v>
                </c:pt>
                <c:pt idx="512">
                  <c:v>53</c:v>
                </c:pt>
                <c:pt idx="513">
                  <c:v>53</c:v>
                </c:pt>
                <c:pt idx="514">
                  <c:v>53</c:v>
                </c:pt>
                <c:pt idx="515">
                  <c:v>53</c:v>
                </c:pt>
                <c:pt idx="516">
                  <c:v>53</c:v>
                </c:pt>
                <c:pt idx="517">
                  <c:v>53</c:v>
                </c:pt>
                <c:pt idx="518">
                  <c:v>53</c:v>
                </c:pt>
                <c:pt idx="519">
                  <c:v>53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</c:v>
                </c:pt>
                <c:pt idx="525">
                  <c:v>53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</c:v>
                </c:pt>
                <c:pt idx="539">
                  <c:v>53</c:v>
                </c:pt>
                <c:pt idx="540">
                  <c:v>53</c:v>
                </c:pt>
                <c:pt idx="541">
                  <c:v>53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53</c:v>
                </c:pt>
                <c:pt idx="546">
                  <c:v>53</c:v>
                </c:pt>
                <c:pt idx="547">
                  <c:v>53</c:v>
                </c:pt>
                <c:pt idx="548">
                  <c:v>53</c:v>
                </c:pt>
                <c:pt idx="549">
                  <c:v>53</c:v>
                </c:pt>
                <c:pt idx="550">
                  <c:v>53</c:v>
                </c:pt>
                <c:pt idx="551">
                  <c:v>53</c:v>
                </c:pt>
                <c:pt idx="552">
                  <c:v>53</c:v>
                </c:pt>
                <c:pt idx="553">
                  <c:v>53</c:v>
                </c:pt>
                <c:pt idx="554">
                  <c:v>53</c:v>
                </c:pt>
                <c:pt idx="555">
                  <c:v>53</c:v>
                </c:pt>
                <c:pt idx="556">
                  <c:v>53</c:v>
                </c:pt>
                <c:pt idx="557">
                  <c:v>53</c:v>
                </c:pt>
                <c:pt idx="558">
                  <c:v>53</c:v>
                </c:pt>
                <c:pt idx="559">
                  <c:v>53</c:v>
                </c:pt>
                <c:pt idx="560">
                  <c:v>53</c:v>
                </c:pt>
                <c:pt idx="561">
                  <c:v>53</c:v>
                </c:pt>
                <c:pt idx="562">
                  <c:v>53</c:v>
                </c:pt>
                <c:pt idx="563">
                  <c:v>53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53</c:v>
                </c:pt>
                <c:pt idx="585">
                  <c:v>53</c:v>
                </c:pt>
                <c:pt idx="586">
                  <c:v>53</c:v>
                </c:pt>
                <c:pt idx="587">
                  <c:v>53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</c:v>
                </c:pt>
                <c:pt idx="592">
                  <c:v>53</c:v>
                </c:pt>
                <c:pt idx="593">
                  <c:v>53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8B-4323-9865-E7BBFB18C03A}"/>
            </c:ext>
          </c:extLst>
        </c:ser>
        <c:ser>
          <c:idx val="1"/>
          <c:order val="1"/>
          <c:tx>
            <c:strRef>
              <c:f>'53'!$C$1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'53'!$A$2:$A$602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'53'!$C$2:$C$602</c:f>
              <c:numCache>
                <c:formatCode>General</c:formatCode>
                <c:ptCount val="601"/>
                <c:pt idx="0">
                  <c:v>27.61</c:v>
                </c:pt>
                <c:pt idx="1">
                  <c:v>27.76</c:v>
                </c:pt>
                <c:pt idx="2">
                  <c:v>27.76</c:v>
                </c:pt>
                <c:pt idx="3">
                  <c:v>27.81</c:v>
                </c:pt>
                <c:pt idx="4">
                  <c:v>27.85</c:v>
                </c:pt>
                <c:pt idx="5">
                  <c:v>27.93</c:v>
                </c:pt>
                <c:pt idx="6">
                  <c:v>28.11</c:v>
                </c:pt>
                <c:pt idx="7">
                  <c:v>28.39</c:v>
                </c:pt>
                <c:pt idx="8">
                  <c:v>28.67</c:v>
                </c:pt>
                <c:pt idx="9">
                  <c:v>29.02</c:v>
                </c:pt>
                <c:pt idx="10">
                  <c:v>29.41</c:v>
                </c:pt>
                <c:pt idx="11">
                  <c:v>29.84</c:v>
                </c:pt>
                <c:pt idx="12">
                  <c:v>30.26</c:v>
                </c:pt>
                <c:pt idx="13">
                  <c:v>30.79</c:v>
                </c:pt>
                <c:pt idx="14">
                  <c:v>31.33</c:v>
                </c:pt>
                <c:pt idx="15">
                  <c:v>31.84</c:v>
                </c:pt>
                <c:pt idx="16">
                  <c:v>32.450000000000003</c:v>
                </c:pt>
                <c:pt idx="17">
                  <c:v>32.99</c:v>
                </c:pt>
                <c:pt idx="18">
                  <c:v>33.54</c:v>
                </c:pt>
                <c:pt idx="19">
                  <c:v>34.15</c:v>
                </c:pt>
                <c:pt idx="20">
                  <c:v>34.69</c:v>
                </c:pt>
                <c:pt idx="21">
                  <c:v>35.29</c:v>
                </c:pt>
                <c:pt idx="22">
                  <c:v>35.85</c:v>
                </c:pt>
                <c:pt idx="23">
                  <c:v>36.4</c:v>
                </c:pt>
                <c:pt idx="24">
                  <c:v>37.01</c:v>
                </c:pt>
                <c:pt idx="25">
                  <c:v>37.6</c:v>
                </c:pt>
                <c:pt idx="26">
                  <c:v>38.130000000000003</c:v>
                </c:pt>
                <c:pt idx="27">
                  <c:v>38.68</c:v>
                </c:pt>
                <c:pt idx="28">
                  <c:v>39.26</c:v>
                </c:pt>
                <c:pt idx="29">
                  <c:v>39.76</c:v>
                </c:pt>
                <c:pt idx="30">
                  <c:v>40.36</c:v>
                </c:pt>
                <c:pt idx="31">
                  <c:v>40.92</c:v>
                </c:pt>
                <c:pt idx="32">
                  <c:v>41.44</c:v>
                </c:pt>
                <c:pt idx="33">
                  <c:v>41.94</c:v>
                </c:pt>
                <c:pt idx="34">
                  <c:v>42.56</c:v>
                </c:pt>
                <c:pt idx="35">
                  <c:v>43.06</c:v>
                </c:pt>
                <c:pt idx="36">
                  <c:v>43.6</c:v>
                </c:pt>
                <c:pt idx="37">
                  <c:v>44.1</c:v>
                </c:pt>
                <c:pt idx="38">
                  <c:v>44.63</c:v>
                </c:pt>
                <c:pt idx="39">
                  <c:v>45.12</c:v>
                </c:pt>
                <c:pt idx="40">
                  <c:v>45.68</c:v>
                </c:pt>
                <c:pt idx="41">
                  <c:v>46.14</c:v>
                </c:pt>
                <c:pt idx="42">
                  <c:v>46.67</c:v>
                </c:pt>
                <c:pt idx="43">
                  <c:v>47.18</c:v>
                </c:pt>
                <c:pt idx="44">
                  <c:v>47.62</c:v>
                </c:pt>
                <c:pt idx="45">
                  <c:v>48.09</c:v>
                </c:pt>
                <c:pt idx="46">
                  <c:v>48.6</c:v>
                </c:pt>
                <c:pt idx="47">
                  <c:v>49.07</c:v>
                </c:pt>
                <c:pt idx="48">
                  <c:v>49.56</c:v>
                </c:pt>
                <c:pt idx="49">
                  <c:v>50.02</c:v>
                </c:pt>
                <c:pt idx="50">
                  <c:v>50.49</c:v>
                </c:pt>
                <c:pt idx="51">
                  <c:v>50.9</c:v>
                </c:pt>
                <c:pt idx="52">
                  <c:v>51.39</c:v>
                </c:pt>
                <c:pt idx="53">
                  <c:v>51.83</c:v>
                </c:pt>
                <c:pt idx="54">
                  <c:v>52.18</c:v>
                </c:pt>
                <c:pt idx="55">
                  <c:v>52.59</c:v>
                </c:pt>
                <c:pt idx="56">
                  <c:v>52.91</c:v>
                </c:pt>
                <c:pt idx="57">
                  <c:v>53.29</c:v>
                </c:pt>
                <c:pt idx="58">
                  <c:v>53.58</c:v>
                </c:pt>
                <c:pt idx="59">
                  <c:v>53.88</c:v>
                </c:pt>
                <c:pt idx="60">
                  <c:v>54.14</c:v>
                </c:pt>
                <c:pt idx="61">
                  <c:v>54.31</c:v>
                </c:pt>
                <c:pt idx="62">
                  <c:v>54.49</c:v>
                </c:pt>
                <c:pt idx="63">
                  <c:v>54.64</c:v>
                </c:pt>
                <c:pt idx="64">
                  <c:v>54.71</c:v>
                </c:pt>
                <c:pt idx="65">
                  <c:v>54.69</c:v>
                </c:pt>
                <c:pt idx="66">
                  <c:v>54.71</c:v>
                </c:pt>
                <c:pt idx="67">
                  <c:v>54.66</c:v>
                </c:pt>
                <c:pt idx="68">
                  <c:v>54.54</c:v>
                </c:pt>
                <c:pt idx="69">
                  <c:v>54.47</c:v>
                </c:pt>
                <c:pt idx="70">
                  <c:v>54.37</c:v>
                </c:pt>
                <c:pt idx="71">
                  <c:v>54.21</c:v>
                </c:pt>
                <c:pt idx="72">
                  <c:v>54.05</c:v>
                </c:pt>
                <c:pt idx="73">
                  <c:v>53.85</c:v>
                </c:pt>
                <c:pt idx="74">
                  <c:v>53.69</c:v>
                </c:pt>
                <c:pt idx="75">
                  <c:v>53.52</c:v>
                </c:pt>
                <c:pt idx="76">
                  <c:v>53.32</c:v>
                </c:pt>
                <c:pt idx="77">
                  <c:v>53.16</c:v>
                </c:pt>
                <c:pt idx="78">
                  <c:v>53.02</c:v>
                </c:pt>
                <c:pt idx="79">
                  <c:v>52.83</c:v>
                </c:pt>
                <c:pt idx="80">
                  <c:v>52.73</c:v>
                </c:pt>
                <c:pt idx="81">
                  <c:v>52.63</c:v>
                </c:pt>
                <c:pt idx="82">
                  <c:v>52.57</c:v>
                </c:pt>
                <c:pt idx="83">
                  <c:v>52.51</c:v>
                </c:pt>
                <c:pt idx="84">
                  <c:v>52.46</c:v>
                </c:pt>
                <c:pt idx="85">
                  <c:v>52.46</c:v>
                </c:pt>
                <c:pt idx="86">
                  <c:v>52.46</c:v>
                </c:pt>
                <c:pt idx="87">
                  <c:v>52.44</c:v>
                </c:pt>
                <c:pt idx="88">
                  <c:v>52.47</c:v>
                </c:pt>
                <c:pt idx="89">
                  <c:v>52.46</c:v>
                </c:pt>
                <c:pt idx="90">
                  <c:v>52.55</c:v>
                </c:pt>
                <c:pt idx="91">
                  <c:v>52.59</c:v>
                </c:pt>
                <c:pt idx="92">
                  <c:v>52.61</c:v>
                </c:pt>
                <c:pt idx="93">
                  <c:v>52.68</c:v>
                </c:pt>
                <c:pt idx="94">
                  <c:v>52.71</c:v>
                </c:pt>
                <c:pt idx="95">
                  <c:v>52.78</c:v>
                </c:pt>
                <c:pt idx="96">
                  <c:v>52.84</c:v>
                </c:pt>
                <c:pt idx="97">
                  <c:v>52.93</c:v>
                </c:pt>
                <c:pt idx="98">
                  <c:v>52.92</c:v>
                </c:pt>
                <c:pt idx="99">
                  <c:v>53.03</c:v>
                </c:pt>
                <c:pt idx="100">
                  <c:v>53.06</c:v>
                </c:pt>
                <c:pt idx="101">
                  <c:v>53.13</c:v>
                </c:pt>
                <c:pt idx="102">
                  <c:v>53.15</c:v>
                </c:pt>
                <c:pt idx="103">
                  <c:v>53.17</c:v>
                </c:pt>
                <c:pt idx="104">
                  <c:v>53.19</c:v>
                </c:pt>
                <c:pt idx="105">
                  <c:v>53.19</c:v>
                </c:pt>
                <c:pt idx="106">
                  <c:v>53.22</c:v>
                </c:pt>
                <c:pt idx="107">
                  <c:v>53.23</c:v>
                </c:pt>
                <c:pt idx="108">
                  <c:v>53.2</c:v>
                </c:pt>
                <c:pt idx="109">
                  <c:v>53.23</c:v>
                </c:pt>
                <c:pt idx="110">
                  <c:v>53.22</c:v>
                </c:pt>
                <c:pt idx="111">
                  <c:v>53.19</c:v>
                </c:pt>
                <c:pt idx="112">
                  <c:v>53.19</c:v>
                </c:pt>
                <c:pt idx="113">
                  <c:v>53.16</c:v>
                </c:pt>
                <c:pt idx="114">
                  <c:v>53.18</c:v>
                </c:pt>
                <c:pt idx="115">
                  <c:v>53.18</c:v>
                </c:pt>
                <c:pt idx="116">
                  <c:v>53.15</c:v>
                </c:pt>
                <c:pt idx="117">
                  <c:v>53.16</c:v>
                </c:pt>
                <c:pt idx="118">
                  <c:v>53.15</c:v>
                </c:pt>
                <c:pt idx="119">
                  <c:v>53.11</c:v>
                </c:pt>
                <c:pt idx="120">
                  <c:v>53.09</c:v>
                </c:pt>
                <c:pt idx="121">
                  <c:v>53.09</c:v>
                </c:pt>
                <c:pt idx="122">
                  <c:v>53.02</c:v>
                </c:pt>
                <c:pt idx="123">
                  <c:v>53.06</c:v>
                </c:pt>
                <c:pt idx="124">
                  <c:v>53.01</c:v>
                </c:pt>
                <c:pt idx="125">
                  <c:v>52.97</c:v>
                </c:pt>
                <c:pt idx="126">
                  <c:v>53.01</c:v>
                </c:pt>
                <c:pt idx="127">
                  <c:v>52.93</c:v>
                </c:pt>
                <c:pt idx="128">
                  <c:v>52.94</c:v>
                </c:pt>
                <c:pt idx="129">
                  <c:v>52.93</c:v>
                </c:pt>
                <c:pt idx="130">
                  <c:v>52.94</c:v>
                </c:pt>
                <c:pt idx="131">
                  <c:v>52.92</c:v>
                </c:pt>
                <c:pt idx="132">
                  <c:v>52.92</c:v>
                </c:pt>
                <c:pt idx="133">
                  <c:v>52.9</c:v>
                </c:pt>
                <c:pt idx="134">
                  <c:v>52.91</c:v>
                </c:pt>
                <c:pt idx="135">
                  <c:v>52.93</c:v>
                </c:pt>
                <c:pt idx="136">
                  <c:v>52.92</c:v>
                </c:pt>
                <c:pt idx="137">
                  <c:v>52.87</c:v>
                </c:pt>
                <c:pt idx="138">
                  <c:v>52.87</c:v>
                </c:pt>
                <c:pt idx="139">
                  <c:v>52.9</c:v>
                </c:pt>
                <c:pt idx="140">
                  <c:v>52.9</c:v>
                </c:pt>
                <c:pt idx="141">
                  <c:v>52.88</c:v>
                </c:pt>
                <c:pt idx="142">
                  <c:v>52.93</c:v>
                </c:pt>
                <c:pt idx="143">
                  <c:v>52.91</c:v>
                </c:pt>
                <c:pt idx="144">
                  <c:v>52.94</c:v>
                </c:pt>
                <c:pt idx="145">
                  <c:v>52.9</c:v>
                </c:pt>
                <c:pt idx="146">
                  <c:v>52.92</c:v>
                </c:pt>
                <c:pt idx="147">
                  <c:v>52.91</c:v>
                </c:pt>
                <c:pt idx="148">
                  <c:v>52.93</c:v>
                </c:pt>
                <c:pt idx="149">
                  <c:v>52.92</c:v>
                </c:pt>
                <c:pt idx="150">
                  <c:v>52.95</c:v>
                </c:pt>
                <c:pt idx="151">
                  <c:v>52.94</c:v>
                </c:pt>
                <c:pt idx="152">
                  <c:v>52.95</c:v>
                </c:pt>
                <c:pt idx="153">
                  <c:v>52.92</c:v>
                </c:pt>
                <c:pt idx="154">
                  <c:v>52.95</c:v>
                </c:pt>
                <c:pt idx="155">
                  <c:v>52.97</c:v>
                </c:pt>
                <c:pt idx="156">
                  <c:v>52.92</c:v>
                </c:pt>
                <c:pt idx="157">
                  <c:v>52.94</c:v>
                </c:pt>
                <c:pt idx="158">
                  <c:v>52.92</c:v>
                </c:pt>
                <c:pt idx="159">
                  <c:v>52.94</c:v>
                </c:pt>
                <c:pt idx="160">
                  <c:v>52.92</c:v>
                </c:pt>
                <c:pt idx="161">
                  <c:v>52.94</c:v>
                </c:pt>
                <c:pt idx="162">
                  <c:v>52.94</c:v>
                </c:pt>
                <c:pt idx="163">
                  <c:v>52.92</c:v>
                </c:pt>
                <c:pt idx="164">
                  <c:v>52.9</c:v>
                </c:pt>
                <c:pt idx="165">
                  <c:v>52.9</c:v>
                </c:pt>
                <c:pt idx="166">
                  <c:v>52.94</c:v>
                </c:pt>
                <c:pt idx="167">
                  <c:v>52.87</c:v>
                </c:pt>
                <c:pt idx="168">
                  <c:v>52.92</c:v>
                </c:pt>
                <c:pt idx="169">
                  <c:v>52.88</c:v>
                </c:pt>
                <c:pt idx="170">
                  <c:v>52.92</c:v>
                </c:pt>
                <c:pt idx="171">
                  <c:v>52.94</c:v>
                </c:pt>
                <c:pt idx="172">
                  <c:v>52.91</c:v>
                </c:pt>
                <c:pt idx="173">
                  <c:v>52.92</c:v>
                </c:pt>
                <c:pt idx="174">
                  <c:v>52.9</c:v>
                </c:pt>
                <c:pt idx="175">
                  <c:v>52.94</c:v>
                </c:pt>
                <c:pt idx="176">
                  <c:v>52.92</c:v>
                </c:pt>
                <c:pt idx="177">
                  <c:v>52.92</c:v>
                </c:pt>
                <c:pt idx="178">
                  <c:v>52.92</c:v>
                </c:pt>
                <c:pt idx="179">
                  <c:v>52.93</c:v>
                </c:pt>
                <c:pt idx="180">
                  <c:v>52.96</c:v>
                </c:pt>
                <c:pt idx="181">
                  <c:v>52.96</c:v>
                </c:pt>
                <c:pt idx="182">
                  <c:v>52.96</c:v>
                </c:pt>
                <c:pt idx="183">
                  <c:v>52.96</c:v>
                </c:pt>
                <c:pt idx="184">
                  <c:v>52.91</c:v>
                </c:pt>
                <c:pt idx="185">
                  <c:v>52.93</c:v>
                </c:pt>
                <c:pt idx="186">
                  <c:v>52.94</c:v>
                </c:pt>
                <c:pt idx="187">
                  <c:v>52.94</c:v>
                </c:pt>
                <c:pt idx="188">
                  <c:v>52.95</c:v>
                </c:pt>
                <c:pt idx="189">
                  <c:v>52.99</c:v>
                </c:pt>
                <c:pt idx="190">
                  <c:v>52.91</c:v>
                </c:pt>
                <c:pt idx="191">
                  <c:v>52.95</c:v>
                </c:pt>
                <c:pt idx="192">
                  <c:v>52.95</c:v>
                </c:pt>
                <c:pt idx="193">
                  <c:v>52.93</c:v>
                </c:pt>
                <c:pt idx="194">
                  <c:v>52.92</c:v>
                </c:pt>
                <c:pt idx="195">
                  <c:v>52.92</c:v>
                </c:pt>
                <c:pt idx="196">
                  <c:v>52.92</c:v>
                </c:pt>
                <c:pt idx="197">
                  <c:v>52.92</c:v>
                </c:pt>
                <c:pt idx="198">
                  <c:v>52.96</c:v>
                </c:pt>
                <c:pt idx="199">
                  <c:v>52.92</c:v>
                </c:pt>
                <c:pt idx="200">
                  <c:v>52.88</c:v>
                </c:pt>
                <c:pt idx="201">
                  <c:v>52.89</c:v>
                </c:pt>
                <c:pt idx="202">
                  <c:v>52.89</c:v>
                </c:pt>
                <c:pt idx="203">
                  <c:v>52.88</c:v>
                </c:pt>
                <c:pt idx="204">
                  <c:v>52.9</c:v>
                </c:pt>
                <c:pt idx="205">
                  <c:v>52.89</c:v>
                </c:pt>
                <c:pt idx="206">
                  <c:v>52.91</c:v>
                </c:pt>
                <c:pt idx="207">
                  <c:v>52.88</c:v>
                </c:pt>
                <c:pt idx="208">
                  <c:v>52.91</c:v>
                </c:pt>
                <c:pt idx="209">
                  <c:v>52.9</c:v>
                </c:pt>
                <c:pt idx="210">
                  <c:v>52.91</c:v>
                </c:pt>
                <c:pt idx="211">
                  <c:v>52.9</c:v>
                </c:pt>
                <c:pt idx="212">
                  <c:v>52.89</c:v>
                </c:pt>
                <c:pt idx="213">
                  <c:v>52.88</c:v>
                </c:pt>
                <c:pt idx="214">
                  <c:v>52.9</c:v>
                </c:pt>
                <c:pt idx="215">
                  <c:v>52.9</c:v>
                </c:pt>
                <c:pt idx="216">
                  <c:v>52.92</c:v>
                </c:pt>
                <c:pt idx="217">
                  <c:v>52.95</c:v>
                </c:pt>
                <c:pt idx="218">
                  <c:v>52.94</c:v>
                </c:pt>
                <c:pt idx="219">
                  <c:v>52.95</c:v>
                </c:pt>
                <c:pt idx="220">
                  <c:v>52.95</c:v>
                </c:pt>
                <c:pt idx="221">
                  <c:v>52.94</c:v>
                </c:pt>
                <c:pt idx="222">
                  <c:v>52.96</c:v>
                </c:pt>
                <c:pt idx="223">
                  <c:v>52.95</c:v>
                </c:pt>
                <c:pt idx="224">
                  <c:v>52.95</c:v>
                </c:pt>
                <c:pt idx="225">
                  <c:v>53</c:v>
                </c:pt>
                <c:pt idx="226">
                  <c:v>52.97</c:v>
                </c:pt>
                <c:pt idx="227">
                  <c:v>52.97</c:v>
                </c:pt>
                <c:pt idx="228">
                  <c:v>52.95</c:v>
                </c:pt>
                <c:pt idx="229">
                  <c:v>52.95</c:v>
                </c:pt>
                <c:pt idx="230">
                  <c:v>52.95</c:v>
                </c:pt>
                <c:pt idx="231">
                  <c:v>52.96</c:v>
                </c:pt>
                <c:pt idx="232">
                  <c:v>52.96</c:v>
                </c:pt>
                <c:pt idx="233">
                  <c:v>52.92</c:v>
                </c:pt>
                <c:pt idx="234">
                  <c:v>52.95</c:v>
                </c:pt>
                <c:pt idx="235">
                  <c:v>52.92</c:v>
                </c:pt>
                <c:pt idx="236">
                  <c:v>52.94</c:v>
                </c:pt>
                <c:pt idx="237">
                  <c:v>52.91</c:v>
                </c:pt>
                <c:pt idx="238">
                  <c:v>52.93</c:v>
                </c:pt>
                <c:pt idx="239">
                  <c:v>52.91</c:v>
                </c:pt>
                <c:pt idx="240">
                  <c:v>52.91</c:v>
                </c:pt>
                <c:pt idx="241">
                  <c:v>52.94</c:v>
                </c:pt>
                <c:pt idx="242">
                  <c:v>52.9</c:v>
                </c:pt>
                <c:pt idx="243">
                  <c:v>52.92</c:v>
                </c:pt>
                <c:pt idx="244">
                  <c:v>52.92</c:v>
                </c:pt>
                <c:pt idx="245">
                  <c:v>52.9</c:v>
                </c:pt>
                <c:pt idx="246">
                  <c:v>52.88</c:v>
                </c:pt>
                <c:pt idx="247">
                  <c:v>52.93</c:v>
                </c:pt>
                <c:pt idx="248">
                  <c:v>52.95</c:v>
                </c:pt>
                <c:pt idx="249">
                  <c:v>52.91</c:v>
                </c:pt>
                <c:pt idx="250">
                  <c:v>52.94</c:v>
                </c:pt>
                <c:pt idx="251">
                  <c:v>52.89</c:v>
                </c:pt>
                <c:pt idx="252">
                  <c:v>52.93</c:v>
                </c:pt>
                <c:pt idx="253">
                  <c:v>52.93</c:v>
                </c:pt>
                <c:pt idx="254">
                  <c:v>52.95</c:v>
                </c:pt>
                <c:pt idx="255">
                  <c:v>52.9</c:v>
                </c:pt>
                <c:pt idx="256">
                  <c:v>52.9</c:v>
                </c:pt>
                <c:pt idx="257">
                  <c:v>52.94</c:v>
                </c:pt>
                <c:pt idx="258">
                  <c:v>52.92</c:v>
                </c:pt>
                <c:pt idx="259">
                  <c:v>52.89</c:v>
                </c:pt>
                <c:pt idx="260">
                  <c:v>52.89</c:v>
                </c:pt>
                <c:pt idx="261">
                  <c:v>52.9</c:v>
                </c:pt>
                <c:pt idx="262">
                  <c:v>52.93</c:v>
                </c:pt>
                <c:pt idx="263">
                  <c:v>52.89</c:v>
                </c:pt>
                <c:pt idx="264">
                  <c:v>52.92</c:v>
                </c:pt>
                <c:pt idx="265">
                  <c:v>52.91</c:v>
                </c:pt>
                <c:pt idx="266">
                  <c:v>52.94</c:v>
                </c:pt>
                <c:pt idx="267">
                  <c:v>52.98</c:v>
                </c:pt>
                <c:pt idx="268">
                  <c:v>52.92</c:v>
                </c:pt>
                <c:pt idx="269">
                  <c:v>52.93</c:v>
                </c:pt>
                <c:pt idx="270">
                  <c:v>52.92</c:v>
                </c:pt>
                <c:pt idx="271">
                  <c:v>52.94</c:v>
                </c:pt>
                <c:pt idx="272">
                  <c:v>52.94</c:v>
                </c:pt>
                <c:pt idx="273">
                  <c:v>52.94</c:v>
                </c:pt>
                <c:pt idx="274">
                  <c:v>52.97</c:v>
                </c:pt>
                <c:pt idx="275">
                  <c:v>52.94</c:v>
                </c:pt>
                <c:pt idx="276">
                  <c:v>52.94</c:v>
                </c:pt>
                <c:pt idx="277">
                  <c:v>52.94</c:v>
                </c:pt>
                <c:pt idx="278">
                  <c:v>52.95</c:v>
                </c:pt>
                <c:pt idx="279">
                  <c:v>52.97</c:v>
                </c:pt>
                <c:pt idx="280">
                  <c:v>52.93</c:v>
                </c:pt>
                <c:pt idx="281">
                  <c:v>52.93</c:v>
                </c:pt>
                <c:pt idx="282">
                  <c:v>52.93</c:v>
                </c:pt>
                <c:pt idx="283">
                  <c:v>52.98</c:v>
                </c:pt>
                <c:pt idx="284">
                  <c:v>52.95</c:v>
                </c:pt>
                <c:pt idx="285">
                  <c:v>52.95</c:v>
                </c:pt>
                <c:pt idx="286">
                  <c:v>52.96</c:v>
                </c:pt>
                <c:pt idx="287">
                  <c:v>52.92</c:v>
                </c:pt>
                <c:pt idx="288">
                  <c:v>52.91</c:v>
                </c:pt>
                <c:pt idx="289">
                  <c:v>52.96</c:v>
                </c:pt>
                <c:pt idx="290">
                  <c:v>52.92</c:v>
                </c:pt>
                <c:pt idx="291">
                  <c:v>52.9</c:v>
                </c:pt>
                <c:pt idx="292">
                  <c:v>52.94</c:v>
                </c:pt>
                <c:pt idx="293">
                  <c:v>52.91</c:v>
                </c:pt>
                <c:pt idx="294">
                  <c:v>52.91</c:v>
                </c:pt>
                <c:pt idx="295">
                  <c:v>52.93</c:v>
                </c:pt>
                <c:pt idx="296">
                  <c:v>52.89</c:v>
                </c:pt>
                <c:pt idx="297">
                  <c:v>52.93</c:v>
                </c:pt>
                <c:pt idx="298">
                  <c:v>52.9</c:v>
                </c:pt>
                <c:pt idx="299">
                  <c:v>52.9</c:v>
                </c:pt>
                <c:pt idx="300">
                  <c:v>52.93</c:v>
                </c:pt>
                <c:pt idx="301">
                  <c:v>52.94</c:v>
                </c:pt>
                <c:pt idx="302">
                  <c:v>52.93</c:v>
                </c:pt>
                <c:pt idx="303">
                  <c:v>52.93</c:v>
                </c:pt>
                <c:pt idx="304">
                  <c:v>52.95</c:v>
                </c:pt>
                <c:pt idx="305">
                  <c:v>52.94</c:v>
                </c:pt>
                <c:pt idx="306">
                  <c:v>52.94</c:v>
                </c:pt>
                <c:pt idx="307">
                  <c:v>52.97</c:v>
                </c:pt>
                <c:pt idx="308">
                  <c:v>52.96</c:v>
                </c:pt>
                <c:pt idx="309">
                  <c:v>52.93</c:v>
                </c:pt>
                <c:pt idx="310">
                  <c:v>52.96</c:v>
                </c:pt>
                <c:pt idx="311">
                  <c:v>52.93</c:v>
                </c:pt>
                <c:pt idx="312">
                  <c:v>52.96</c:v>
                </c:pt>
                <c:pt idx="313">
                  <c:v>52.97</c:v>
                </c:pt>
                <c:pt idx="314">
                  <c:v>52.94</c:v>
                </c:pt>
                <c:pt idx="315">
                  <c:v>52.95</c:v>
                </c:pt>
                <c:pt idx="316">
                  <c:v>52.95</c:v>
                </c:pt>
                <c:pt idx="317">
                  <c:v>52.97</c:v>
                </c:pt>
                <c:pt idx="318">
                  <c:v>52.94</c:v>
                </c:pt>
                <c:pt idx="319">
                  <c:v>52.96</c:v>
                </c:pt>
                <c:pt idx="320">
                  <c:v>52.97</c:v>
                </c:pt>
                <c:pt idx="321">
                  <c:v>52.94</c:v>
                </c:pt>
                <c:pt idx="322">
                  <c:v>52.95</c:v>
                </c:pt>
                <c:pt idx="323">
                  <c:v>52.96</c:v>
                </c:pt>
                <c:pt idx="324">
                  <c:v>52.97</c:v>
                </c:pt>
                <c:pt idx="325">
                  <c:v>52.93</c:v>
                </c:pt>
                <c:pt idx="326">
                  <c:v>52.93</c:v>
                </c:pt>
                <c:pt idx="327">
                  <c:v>52.95</c:v>
                </c:pt>
                <c:pt idx="328">
                  <c:v>52.98</c:v>
                </c:pt>
                <c:pt idx="329">
                  <c:v>52.97</c:v>
                </c:pt>
                <c:pt idx="330">
                  <c:v>52.93</c:v>
                </c:pt>
                <c:pt idx="331">
                  <c:v>52.96</c:v>
                </c:pt>
                <c:pt idx="332">
                  <c:v>52.96</c:v>
                </c:pt>
                <c:pt idx="333">
                  <c:v>52.95</c:v>
                </c:pt>
                <c:pt idx="334">
                  <c:v>52.96</c:v>
                </c:pt>
                <c:pt idx="335">
                  <c:v>52.94</c:v>
                </c:pt>
                <c:pt idx="336">
                  <c:v>52.92</c:v>
                </c:pt>
                <c:pt idx="337">
                  <c:v>52.95</c:v>
                </c:pt>
                <c:pt idx="338">
                  <c:v>52.97</c:v>
                </c:pt>
                <c:pt idx="339">
                  <c:v>52.96</c:v>
                </c:pt>
                <c:pt idx="340">
                  <c:v>52.98</c:v>
                </c:pt>
                <c:pt idx="341">
                  <c:v>52.91</c:v>
                </c:pt>
                <c:pt idx="342">
                  <c:v>52.92</c:v>
                </c:pt>
                <c:pt idx="343">
                  <c:v>52.93</c:v>
                </c:pt>
                <c:pt idx="344">
                  <c:v>52.96</c:v>
                </c:pt>
                <c:pt idx="345">
                  <c:v>52.95</c:v>
                </c:pt>
                <c:pt idx="346">
                  <c:v>53.01</c:v>
                </c:pt>
                <c:pt idx="347">
                  <c:v>53.01</c:v>
                </c:pt>
                <c:pt idx="348">
                  <c:v>53.02</c:v>
                </c:pt>
                <c:pt idx="349">
                  <c:v>53.05</c:v>
                </c:pt>
                <c:pt idx="350">
                  <c:v>53.04</c:v>
                </c:pt>
                <c:pt idx="351">
                  <c:v>53.07</c:v>
                </c:pt>
                <c:pt idx="352">
                  <c:v>53.07</c:v>
                </c:pt>
                <c:pt idx="353">
                  <c:v>53.12</c:v>
                </c:pt>
                <c:pt idx="354">
                  <c:v>53.09</c:v>
                </c:pt>
                <c:pt idx="355">
                  <c:v>53.09</c:v>
                </c:pt>
                <c:pt idx="356">
                  <c:v>53.12</c:v>
                </c:pt>
                <c:pt idx="357">
                  <c:v>53.11</c:v>
                </c:pt>
                <c:pt idx="358">
                  <c:v>53.08</c:v>
                </c:pt>
                <c:pt idx="359">
                  <c:v>53.05</c:v>
                </c:pt>
                <c:pt idx="360">
                  <c:v>53.02</c:v>
                </c:pt>
                <c:pt idx="361">
                  <c:v>53.02</c:v>
                </c:pt>
                <c:pt idx="362">
                  <c:v>53</c:v>
                </c:pt>
                <c:pt idx="363">
                  <c:v>53.02</c:v>
                </c:pt>
                <c:pt idx="364">
                  <c:v>52.94</c:v>
                </c:pt>
                <c:pt idx="365">
                  <c:v>52.98</c:v>
                </c:pt>
                <c:pt idx="366">
                  <c:v>52.97</c:v>
                </c:pt>
                <c:pt idx="367">
                  <c:v>52.96</c:v>
                </c:pt>
                <c:pt idx="368">
                  <c:v>52.93</c:v>
                </c:pt>
                <c:pt idx="369">
                  <c:v>52.93</c:v>
                </c:pt>
                <c:pt idx="370">
                  <c:v>52.93</c:v>
                </c:pt>
                <c:pt idx="371">
                  <c:v>52.96</c:v>
                </c:pt>
                <c:pt idx="372">
                  <c:v>52.95</c:v>
                </c:pt>
                <c:pt idx="373">
                  <c:v>52.92</c:v>
                </c:pt>
                <c:pt idx="374">
                  <c:v>52.93</c:v>
                </c:pt>
                <c:pt idx="375">
                  <c:v>52.92</c:v>
                </c:pt>
                <c:pt idx="376">
                  <c:v>52.94</c:v>
                </c:pt>
                <c:pt idx="377">
                  <c:v>52.94</c:v>
                </c:pt>
                <c:pt idx="378">
                  <c:v>52.95</c:v>
                </c:pt>
                <c:pt idx="379">
                  <c:v>52.92</c:v>
                </c:pt>
                <c:pt idx="380">
                  <c:v>52.93</c:v>
                </c:pt>
                <c:pt idx="381">
                  <c:v>52.91</c:v>
                </c:pt>
                <c:pt idx="382">
                  <c:v>52.95</c:v>
                </c:pt>
                <c:pt idx="383">
                  <c:v>52.98</c:v>
                </c:pt>
                <c:pt idx="384">
                  <c:v>52.93</c:v>
                </c:pt>
                <c:pt idx="385">
                  <c:v>52.98</c:v>
                </c:pt>
                <c:pt idx="386">
                  <c:v>52.93</c:v>
                </c:pt>
                <c:pt idx="387">
                  <c:v>52.88</c:v>
                </c:pt>
                <c:pt idx="388">
                  <c:v>52.96</c:v>
                </c:pt>
                <c:pt idx="389">
                  <c:v>52.96</c:v>
                </c:pt>
                <c:pt idx="390">
                  <c:v>52.92</c:v>
                </c:pt>
                <c:pt idx="391">
                  <c:v>52.92</c:v>
                </c:pt>
                <c:pt idx="392">
                  <c:v>52.91</c:v>
                </c:pt>
                <c:pt idx="393">
                  <c:v>52.92</c:v>
                </c:pt>
                <c:pt idx="394">
                  <c:v>52.95</c:v>
                </c:pt>
                <c:pt idx="395">
                  <c:v>52.94</c:v>
                </c:pt>
                <c:pt idx="396">
                  <c:v>52.9</c:v>
                </c:pt>
                <c:pt idx="397">
                  <c:v>52.93</c:v>
                </c:pt>
                <c:pt idx="398">
                  <c:v>52.94</c:v>
                </c:pt>
                <c:pt idx="399">
                  <c:v>52.93</c:v>
                </c:pt>
                <c:pt idx="400">
                  <c:v>52.95</c:v>
                </c:pt>
                <c:pt idx="401">
                  <c:v>52.93</c:v>
                </c:pt>
                <c:pt idx="402">
                  <c:v>52.94</c:v>
                </c:pt>
                <c:pt idx="403">
                  <c:v>52.94</c:v>
                </c:pt>
                <c:pt idx="404">
                  <c:v>52.97</c:v>
                </c:pt>
                <c:pt idx="405">
                  <c:v>52.97</c:v>
                </c:pt>
                <c:pt idx="406">
                  <c:v>52.96</c:v>
                </c:pt>
                <c:pt idx="407">
                  <c:v>52.98</c:v>
                </c:pt>
                <c:pt idx="408">
                  <c:v>52.96</c:v>
                </c:pt>
                <c:pt idx="409">
                  <c:v>52.95</c:v>
                </c:pt>
                <c:pt idx="410">
                  <c:v>52.96</c:v>
                </c:pt>
                <c:pt idx="411">
                  <c:v>52.94</c:v>
                </c:pt>
                <c:pt idx="412">
                  <c:v>52.97</c:v>
                </c:pt>
                <c:pt idx="413">
                  <c:v>52.94</c:v>
                </c:pt>
                <c:pt idx="414">
                  <c:v>52.97</c:v>
                </c:pt>
                <c:pt idx="415">
                  <c:v>52.95</c:v>
                </c:pt>
                <c:pt idx="416">
                  <c:v>52.98</c:v>
                </c:pt>
                <c:pt idx="417">
                  <c:v>52.94</c:v>
                </c:pt>
                <c:pt idx="418">
                  <c:v>52.92</c:v>
                </c:pt>
                <c:pt idx="419">
                  <c:v>52.93</c:v>
                </c:pt>
                <c:pt idx="420">
                  <c:v>52.96</c:v>
                </c:pt>
                <c:pt idx="421">
                  <c:v>52.94</c:v>
                </c:pt>
                <c:pt idx="422">
                  <c:v>52.95</c:v>
                </c:pt>
                <c:pt idx="423">
                  <c:v>52.97</c:v>
                </c:pt>
                <c:pt idx="424">
                  <c:v>52.92</c:v>
                </c:pt>
                <c:pt idx="425">
                  <c:v>52.92</c:v>
                </c:pt>
                <c:pt idx="426">
                  <c:v>52.91</c:v>
                </c:pt>
                <c:pt idx="427">
                  <c:v>52.94</c:v>
                </c:pt>
                <c:pt idx="428">
                  <c:v>52.92</c:v>
                </c:pt>
                <c:pt idx="429">
                  <c:v>52.91</c:v>
                </c:pt>
                <c:pt idx="430">
                  <c:v>52.95</c:v>
                </c:pt>
                <c:pt idx="431">
                  <c:v>52.95</c:v>
                </c:pt>
                <c:pt idx="432">
                  <c:v>52.94</c:v>
                </c:pt>
                <c:pt idx="433">
                  <c:v>52.97</c:v>
                </c:pt>
                <c:pt idx="434">
                  <c:v>52.92</c:v>
                </c:pt>
                <c:pt idx="435">
                  <c:v>52.97</c:v>
                </c:pt>
                <c:pt idx="436">
                  <c:v>52.95</c:v>
                </c:pt>
                <c:pt idx="437">
                  <c:v>53</c:v>
                </c:pt>
                <c:pt idx="438">
                  <c:v>52.97</c:v>
                </c:pt>
                <c:pt idx="439">
                  <c:v>52.98</c:v>
                </c:pt>
                <c:pt idx="440">
                  <c:v>52.98</c:v>
                </c:pt>
                <c:pt idx="441">
                  <c:v>52.96</c:v>
                </c:pt>
                <c:pt idx="442">
                  <c:v>52.98</c:v>
                </c:pt>
                <c:pt idx="443">
                  <c:v>52.94</c:v>
                </c:pt>
                <c:pt idx="444">
                  <c:v>52.93</c:v>
                </c:pt>
                <c:pt idx="445">
                  <c:v>52.94</c:v>
                </c:pt>
                <c:pt idx="446">
                  <c:v>52.95</c:v>
                </c:pt>
                <c:pt idx="447">
                  <c:v>52.98</c:v>
                </c:pt>
                <c:pt idx="448">
                  <c:v>52.97</c:v>
                </c:pt>
                <c:pt idx="449">
                  <c:v>52.93</c:v>
                </c:pt>
                <c:pt idx="450">
                  <c:v>52.96</c:v>
                </c:pt>
                <c:pt idx="451">
                  <c:v>52.94</c:v>
                </c:pt>
                <c:pt idx="452">
                  <c:v>52.94</c:v>
                </c:pt>
                <c:pt idx="453">
                  <c:v>52.94</c:v>
                </c:pt>
                <c:pt idx="454">
                  <c:v>52.97</c:v>
                </c:pt>
                <c:pt idx="455">
                  <c:v>52.93</c:v>
                </c:pt>
                <c:pt idx="456">
                  <c:v>52.93</c:v>
                </c:pt>
                <c:pt idx="457">
                  <c:v>52.94</c:v>
                </c:pt>
                <c:pt idx="458">
                  <c:v>52.99</c:v>
                </c:pt>
                <c:pt idx="459">
                  <c:v>52.94</c:v>
                </c:pt>
                <c:pt idx="460">
                  <c:v>52.94</c:v>
                </c:pt>
                <c:pt idx="461">
                  <c:v>52.99</c:v>
                </c:pt>
                <c:pt idx="462">
                  <c:v>52.97</c:v>
                </c:pt>
                <c:pt idx="463">
                  <c:v>53</c:v>
                </c:pt>
                <c:pt idx="464">
                  <c:v>52.99</c:v>
                </c:pt>
                <c:pt idx="465">
                  <c:v>52.93</c:v>
                </c:pt>
                <c:pt idx="466">
                  <c:v>52.98</c:v>
                </c:pt>
                <c:pt idx="467">
                  <c:v>52.92</c:v>
                </c:pt>
                <c:pt idx="468">
                  <c:v>52.98</c:v>
                </c:pt>
                <c:pt idx="469">
                  <c:v>52.93</c:v>
                </c:pt>
                <c:pt idx="470">
                  <c:v>52.96</c:v>
                </c:pt>
                <c:pt idx="471">
                  <c:v>52.96</c:v>
                </c:pt>
                <c:pt idx="472">
                  <c:v>52.95</c:v>
                </c:pt>
                <c:pt idx="473">
                  <c:v>52.92</c:v>
                </c:pt>
                <c:pt idx="474">
                  <c:v>52.98</c:v>
                </c:pt>
                <c:pt idx="475">
                  <c:v>52.9</c:v>
                </c:pt>
                <c:pt idx="476">
                  <c:v>52.94</c:v>
                </c:pt>
                <c:pt idx="477">
                  <c:v>52.92</c:v>
                </c:pt>
                <c:pt idx="478">
                  <c:v>52.92</c:v>
                </c:pt>
                <c:pt idx="479">
                  <c:v>52.96</c:v>
                </c:pt>
                <c:pt idx="480">
                  <c:v>52.93</c:v>
                </c:pt>
                <c:pt idx="481">
                  <c:v>52.97</c:v>
                </c:pt>
                <c:pt idx="482">
                  <c:v>52.94</c:v>
                </c:pt>
                <c:pt idx="483">
                  <c:v>52.94</c:v>
                </c:pt>
                <c:pt idx="484">
                  <c:v>52.97</c:v>
                </c:pt>
                <c:pt idx="485">
                  <c:v>52.96</c:v>
                </c:pt>
                <c:pt idx="486">
                  <c:v>52.99</c:v>
                </c:pt>
                <c:pt idx="487">
                  <c:v>52.94</c:v>
                </c:pt>
                <c:pt idx="488">
                  <c:v>52.95</c:v>
                </c:pt>
                <c:pt idx="489">
                  <c:v>52.97</c:v>
                </c:pt>
                <c:pt idx="490">
                  <c:v>52.91</c:v>
                </c:pt>
                <c:pt idx="491">
                  <c:v>52.95</c:v>
                </c:pt>
                <c:pt idx="492">
                  <c:v>52.92</c:v>
                </c:pt>
                <c:pt idx="493">
                  <c:v>52.94</c:v>
                </c:pt>
                <c:pt idx="494">
                  <c:v>52.91</c:v>
                </c:pt>
                <c:pt idx="495">
                  <c:v>52.89</c:v>
                </c:pt>
                <c:pt idx="496">
                  <c:v>52.97</c:v>
                </c:pt>
                <c:pt idx="497">
                  <c:v>52.86</c:v>
                </c:pt>
                <c:pt idx="498">
                  <c:v>52.95</c:v>
                </c:pt>
                <c:pt idx="499">
                  <c:v>52.86</c:v>
                </c:pt>
                <c:pt idx="500">
                  <c:v>52.97</c:v>
                </c:pt>
                <c:pt idx="501">
                  <c:v>52.79</c:v>
                </c:pt>
                <c:pt idx="502">
                  <c:v>52.99</c:v>
                </c:pt>
                <c:pt idx="503">
                  <c:v>52.8</c:v>
                </c:pt>
                <c:pt idx="504">
                  <c:v>53.03</c:v>
                </c:pt>
                <c:pt idx="505">
                  <c:v>52.81</c:v>
                </c:pt>
                <c:pt idx="506">
                  <c:v>53.03</c:v>
                </c:pt>
                <c:pt idx="507">
                  <c:v>52.82</c:v>
                </c:pt>
                <c:pt idx="508">
                  <c:v>53.03</c:v>
                </c:pt>
                <c:pt idx="509">
                  <c:v>52.86</c:v>
                </c:pt>
                <c:pt idx="510">
                  <c:v>53.04</c:v>
                </c:pt>
                <c:pt idx="511">
                  <c:v>52.89</c:v>
                </c:pt>
                <c:pt idx="512">
                  <c:v>53.07</c:v>
                </c:pt>
                <c:pt idx="513">
                  <c:v>52.91</c:v>
                </c:pt>
                <c:pt idx="514">
                  <c:v>53.05</c:v>
                </c:pt>
                <c:pt idx="515">
                  <c:v>52.95</c:v>
                </c:pt>
                <c:pt idx="516">
                  <c:v>52.97</c:v>
                </c:pt>
                <c:pt idx="517">
                  <c:v>52.97</c:v>
                </c:pt>
                <c:pt idx="518">
                  <c:v>53</c:v>
                </c:pt>
                <c:pt idx="519">
                  <c:v>53</c:v>
                </c:pt>
                <c:pt idx="520">
                  <c:v>53.05</c:v>
                </c:pt>
                <c:pt idx="521">
                  <c:v>52.98</c:v>
                </c:pt>
                <c:pt idx="522">
                  <c:v>53.08</c:v>
                </c:pt>
                <c:pt idx="523">
                  <c:v>53.03</c:v>
                </c:pt>
                <c:pt idx="524">
                  <c:v>53.04</c:v>
                </c:pt>
                <c:pt idx="525">
                  <c:v>53.04</c:v>
                </c:pt>
                <c:pt idx="526">
                  <c:v>53.04</c:v>
                </c:pt>
                <c:pt idx="527">
                  <c:v>53.01</c:v>
                </c:pt>
                <c:pt idx="528">
                  <c:v>53.02</c:v>
                </c:pt>
                <c:pt idx="529">
                  <c:v>53.01</c:v>
                </c:pt>
                <c:pt idx="530">
                  <c:v>53.01</c:v>
                </c:pt>
                <c:pt idx="531">
                  <c:v>53.05</c:v>
                </c:pt>
                <c:pt idx="532">
                  <c:v>53.02</c:v>
                </c:pt>
                <c:pt idx="533">
                  <c:v>52.98</c:v>
                </c:pt>
                <c:pt idx="534">
                  <c:v>52.99</c:v>
                </c:pt>
                <c:pt idx="535">
                  <c:v>53.01</c:v>
                </c:pt>
                <c:pt idx="536">
                  <c:v>52.97</c:v>
                </c:pt>
                <c:pt idx="537">
                  <c:v>53.01</c:v>
                </c:pt>
                <c:pt idx="538">
                  <c:v>52.99</c:v>
                </c:pt>
                <c:pt idx="539">
                  <c:v>53</c:v>
                </c:pt>
                <c:pt idx="540">
                  <c:v>52.94</c:v>
                </c:pt>
                <c:pt idx="541">
                  <c:v>52.94</c:v>
                </c:pt>
                <c:pt idx="542">
                  <c:v>52.96</c:v>
                </c:pt>
                <c:pt idx="543">
                  <c:v>52.96</c:v>
                </c:pt>
                <c:pt idx="544">
                  <c:v>52.94</c:v>
                </c:pt>
                <c:pt idx="545">
                  <c:v>52.96</c:v>
                </c:pt>
                <c:pt idx="546">
                  <c:v>52.98</c:v>
                </c:pt>
                <c:pt idx="547">
                  <c:v>52.92</c:v>
                </c:pt>
                <c:pt idx="548">
                  <c:v>52.91</c:v>
                </c:pt>
                <c:pt idx="549">
                  <c:v>52.91</c:v>
                </c:pt>
                <c:pt idx="550">
                  <c:v>52.93</c:v>
                </c:pt>
                <c:pt idx="551">
                  <c:v>52.93</c:v>
                </c:pt>
                <c:pt idx="552">
                  <c:v>52.92</c:v>
                </c:pt>
                <c:pt idx="553">
                  <c:v>52.92</c:v>
                </c:pt>
                <c:pt idx="554">
                  <c:v>52.9</c:v>
                </c:pt>
                <c:pt idx="555">
                  <c:v>52.89</c:v>
                </c:pt>
                <c:pt idx="556">
                  <c:v>52.94</c:v>
                </c:pt>
                <c:pt idx="557">
                  <c:v>52.94</c:v>
                </c:pt>
                <c:pt idx="558">
                  <c:v>52.89</c:v>
                </c:pt>
                <c:pt idx="559">
                  <c:v>52.92</c:v>
                </c:pt>
                <c:pt idx="560">
                  <c:v>52.92</c:v>
                </c:pt>
                <c:pt idx="561">
                  <c:v>52.94</c:v>
                </c:pt>
                <c:pt idx="562">
                  <c:v>52.94</c:v>
                </c:pt>
                <c:pt idx="563">
                  <c:v>52.92</c:v>
                </c:pt>
                <c:pt idx="564">
                  <c:v>52.96</c:v>
                </c:pt>
                <c:pt idx="565">
                  <c:v>52.92</c:v>
                </c:pt>
                <c:pt idx="566">
                  <c:v>52.96</c:v>
                </c:pt>
                <c:pt idx="567">
                  <c:v>52.91</c:v>
                </c:pt>
                <c:pt idx="568">
                  <c:v>52.96</c:v>
                </c:pt>
                <c:pt idx="569">
                  <c:v>52.97</c:v>
                </c:pt>
                <c:pt idx="570">
                  <c:v>53.01</c:v>
                </c:pt>
                <c:pt idx="571">
                  <c:v>52.94</c:v>
                </c:pt>
                <c:pt idx="572">
                  <c:v>53.01</c:v>
                </c:pt>
                <c:pt idx="573">
                  <c:v>52.98</c:v>
                </c:pt>
                <c:pt idx="574">
                  <c:v>52.97</c:v>
                </c:pt>
                <c:pt idx="575">
                  <c:v>52.94</c:v>
                </c:pt>
                <c:pt idx="576">
                  <c:v>53.02</c:v>
                </c:pt>
                <c:pt idx="577">
                  <c:v>52.97</c:v>
                </c:pt>
                <c:pt idx="578">
                  <c:v>52.93</c:v>
                </c:pt>
                <c:pt idx="579">
                  <c:v>53</c:v>
                </c:pt>
                <c:pt idx="580">
                  <c:v>52.97</c:v>
                </c:pt>
                <c:pt idx="581">
                  <c:v>52.99</c:v>
                </c:pt>
                <c:pt idx="582">
                  <c:v>52.98</c:v>
                </c:pt>
                <c:pt idx="583">
                  <c:v>52.94</c:v>
                </c:pt>
                <c:pt idx="584">
                  <c:v>52.98</c:v>
                </c:pt>
                <c:pt idx="585">
                  <c:v>52.99</c:v>
                </c:pt>
                <c:pt idx="586">
                  <c:v>53</c:v>
                </c:pt>
                <c:pt idx="587">
                  <c:v>52.99</c:v>
                </c:pt>
                <c:pt idx="588">
                  <c:v>52.96</c:v>
                </c:pt>
                <c:pt idx="589">
                  <c:v>52.97</c:v>
                </c:pt>
                <c:pt idx="590">
                  <c:v>52.97</c:v>
                </c:pt>
                <c:pt idx="591">
                  <c:v>52.96</c:v>
                </c:pt>
                <c:pt idx="592">
                  <c:v>52.98</c:v>
                </c:pt>
                <c:pt idx="593">
                  <c:v>53.01</c:v>
                </c:pt>
                <c:pt idx="594">
                  <c:v>52.99</c:v>
                </c:pt>
                <c:pt idx="595">
                  <c:v>52.99</c:v>
                </c:pt>
                <c:pt idx="596">
                  <c:v>53</c:v>
                </c:pt>
                <c:pt idx="597">
                  <c:v>52.98</c:v>
                </c:pt>
                <c:pt idx="598">
                  <c:v>52.97</c:v>
                </c:pt>
                <c:pt idx="599">
                  <c:v>52.94</c:v>
                </c:pt>
                <c:pt idx="600">
                  <c:v>53.36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8B-4323-9865-E7BBFB18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938672"/>
        <c:axId val="702939152"/>
      </c:scatterChart>
      <c:valAx>
        <c:axId val="702938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39152"/>
        <c:crosses val="autoZero"/>
        <c:crossBetween val="midCat"/>
      </c:valAx>
      <c:valAx>
        <c:axId val="7029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938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'53'!$R$1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'53'!$Q$2:$Q$602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'53'!$R$2:$R$602</c:f>
              <c:numCache>
                <c:formatCode>General</c:formatCode>
                <c:ptCount val="601"/>
                <c:pt idx="0">
                  <c:v>34.39</c:v>
                </c:pt>
                <c:pt idx="1">
                  <c:v>35.090000000000003</c:v>
                </c:pt>
                <c:pt idx="2">
                  <c:v>35.130000000000003</c:v>
                </c:pt>
                <c:pt idx="3">
                  <c:v>35.270000000000003</c:v>
                </c:pt>
                <c:pt idx="4">
                  <c:v>35.369999999999997</c:v>
                </c:pt>
                <c:pt idx="5">
                  <c:v>35.520000000000003</c:v>
                </c:pt>
                <c:pt idx="6">
                  <c:v>35.79</c:v>
                </c:pt>
                <c:pt idx="7">
                  <c:v>36.07</c:v>
                </c:pt>
                <c:pt idx="8">
                  <c:v>36.369999999999997</c:v>
                </c:pt>
                <c:pt idx="9">
                  <c:v>36.82</c:v>
                </c:pt>
                <c:pt idx="10">
                  <c:v>37.22</c:v>
                </c:pt>
                <c:pt idx="11">
                  <c:v>37.729999999999997</c:v>
                </c:pt>
                <c:pt idx="12">
                  <c:v>38.19</c:v>
                </c:pt>
                <c:pt idx="13">
                  <c:v>38.68</c:v>
                </c:pt>
                <c:pt idx="14">
                  <c:v>39.19</c:v>
                </c:pt>
                <c:pt idx="15">
                  <c:v>39.72</c:v>
                </c:pt>
                <c:pt idx="16">
                  <c:v>40.22</c:v>
                </c:pt>
                <c:pt idx="17">
                  <c:v>40.78</c:v>
                </c:pt>
                <c:pt idx="18">
                  <c:v>41.28</c:v>
                </c:pt>
                <c:pt idx="19">
                  <c:v>41.81</c:v>
                </c:pt>
                <c:pt idx="20">
                  <c:v>42.38</c:v>
                </c:pt>
                <c:pt idx="21">
                  <c:v>42.85</c:v>
                </c:pt>
                <c:pt idx="22">
                  <c:v>43.35</c:v>
                </c:pt>
                <c:pt idx="23">
                  <c:v>43.85</c:v>
                </c:pt>
                <c:pt idx="24">
                  <c:v>44.32</c:v>
                </c:pt>
                <c:pt idx="25">
                  <c:v>44.73</c:v>
                </c:pt>
                <c:pt idx="26">
                  <c:v>45.23</c:v>
                </c:pt>
                <c:pt idx="27">
                  <c:v>45.65</c:v>
                </c:pt>
                <c:pt idx="28">
                  <c:v>46.07</c:v>
                </c:pt>
                <c:pt idx="29">
                  <c:v>46.48</c:v>
                </c:pt>
                <c:pt idx="30">
                  <c:v>46.83</c:v>
                </c:pt>
                <c:pt idx="31">
                  <c:v>47.24</c:v>
                </c:pt>
                <c:pt idx="32">
                  <c:v>47.62</c:v>
                </c:pt>
                <c:pt idx="33">
                  <c:v>47.95</c:v>
                </c:pt>
                <c:pt idx="34">
                  <c:v>48.27</c:v>
                </c:pt>
                <c:pt idx="35">
                  <c:v>48.56</c:v>
                </c:pt>
                <c:pt idx="36">
                  <c:v>48.88</c:v>
                </c:pt>
                <c:pt idx="37">
                  <c:v>49.16</c:v>
                </c:pt>
                <c:pt idx="38">
                  <c:v>49.46</c:v>
                </c:pt>
                <c:pt idx="39">
                  <c:v>49.73</c:v>
                </c:pt>
                <c:pt idx="40">
                  <c:v>49.95</c:v>
                </c:pt>
                <c:pt idx="41">
                  <c:v>50.21</c:v>
                </c:pt>
                <c:pt idx="42">
                  <c:v>50.43</c:v>
                </c:pt>
                <c:pt idx="43">
                  <c:v>50.69</c:v>
                </c:pt>
                <c:pt idx="44">
                  <c:v>50.81</c:v>
                </c:pt>
                <c:pt idx="45">
                  <c:v>51.06</c:v>
                </c:pt>
                <c:pt idx="46">
                  <c:v>51.26</c:v>
                </c:pt>
                <c:pt idx="47">
                  <c:v>51.47</c:v>
                </c:pt>
                <c:pt idx="48">
                  <c:v>51.62</c:v>
                </c:pt>
                <c:pt idx="49">
                  <c:v>51.78</c:v>
                </c:pt>
                <c:pt idx="50">
                  <c:v>51.95</c:v>
                </c:pt>
                <c:pt idx="51">
                  <c:v>52.06</c:v>
                </c:pt>
                <c:pt idx="52">
                  <c:v>52.21</c:v>
                </c:pt>
                <c:pt idx="53">
                  <c:v>52.33</c:v>
                </c:pt>
                <c:pt idx="54">
                  <c:v>52.45</c:v>
                </c:pt>
                <c:pt idx="55">
                  <c:v>52.61</c:v>
                </c:pt>
                <c:pt idx="56">
                  <c:v>52.69</c:v>
                </c:pt>
                <c:pt idx="57">
                  <c:v>52.8</c:v>
                </c:pt>
                <c:pt idx="58">
                  <c:v>52.96</c:v>
                </c:pt>
                <c:pt idx="59">
                  <c:v>52.99</c:v>
                </c:pt>
                <c:pt idx="60">
                  <c:v>53.08</c:v>
                </c:pt>
                <c:pt idx="61">
                  <c:v>53.18</c:v>
                </c:pt>
                <c:pt idx="62">
                  <c:v>53.25</c:v>
                </c:pt>
                <c:pt idx="63">
                  <c:v>53.33</c:v>
                </c:pt>
                <c:pt idx="64">
                  <c:v>53.39</c:v>
                </c:pt>
                <c:pt idx="65">
                  <c:v>53.45</c:v>
                </c:pt>
                <c:pt idx="66">
                  <c:v>53.49</c:v>
                </c:pt>
                <c:pt idx="67">
                  <c:v>53.6</c:v>
                </c:pt>
                <c:pt idx="68">
                  <c:v>53.63</c:v>
                </c:pt>
                <c:pt idx="69">
                  <c:v>53.67</c:v>
                </c:pt>
                <c:pt idx="70">
                  <c:v>53.73</c:v>
                </c:pt>
                <c:pt idx="71">
                  <c:v>53.83</c:v>
                </c:pt>
                <c:pt idx="72">
                  <c:v>53.8</c:v>
                </c:pt>
                <c:pt idx="73">
                  <c:v>53.86</c:v>
                </c:pt>
                <c:pt idx="74">
                  <c:v>53.88</c:v>
                </c:pt>
                <c:pt idx="75">
                  <c:v>53.91</c:v>
                </c:pt>
                <c:pt idx="76">
                  <c:v>53.93</c:v>
                </c:pt>
                <c:pt idx="77">
                  <c:v>53.94</c:v>
                </c:pt>
                <c:pt idx="78">
                  <c:v>53.96</c:v>
                </c:pt>
                <c:pt idx="79">
                  <c:v>54.02</c:v>
                </c:pt>
                <c:pt idx="80">
                  <c:v>54.01</c:v>
                </c:pt>
                <c:pt idx="81">
                  <c:v>54</c:v>
                </c:pt>
                <c:pt idx="82">
                  <c:v>54.05</c:v>
                </c:pt>
                <c:pt idx="83">
                  <c:v>54.04</c:v>
                </c:pt>
                <c:pt idx="84">
                  <c:v>54.04</c:v>
                </c:pt>
                <c:pt idx="85">
                  <c:v>54.07</c:v>
                </c:pt>
                <c:pt idx="86">
                  <c:v>54.04</c:v>
                </c:pt>
                <c:pt idx="87">
                  <c:v>54.03</c:v>
                </c:pt>
                <c:pt idx="88">
                  <c:v>54.05</c:v>
                </c:pt>
                <c:pt idx="89">
                  <c:v>54.1</c:v>
                </c:pt>
                <c:pt idx="90">
                  <c:v>54.09</c:v>
                </c:pt>
                <c:pt idx="91">
                  <c:v>54.06</c:v>
                </c:pt>
                <c:pt idx="92">
                  <c:v>54.09</c:v>
                </c:pt>
                <c:pt idx="93">
                  <c:v>54.08</c:v>
                </c:pt>
                <c:pt idx="94">
                  <c:v>54.06</c:v>
                </c:pt>
                <c:pt idx="95">
                  <c:v>54.08</c:v>
                </c:pt>
                <c:pt idx="96">
                  <c:v>54.1</c:v>
                </c:pt>
                <c:pt idx="97">
                  <c:v>54.08</c:v>
                </c:pt>
                <c:pt idx="98">
                  <c:v>54.04</c:v>
                </c:pt>
                <c:pt idx="99">
                  <c:v>53.96</c:v>
                </c:pt>
                <c:pt idx="100">
                  <c:v>54</c:v>
                </c:pt>
                <c:pt idx="101">
                  <c:v>53.82</c:v>
                </c:pt>
                <c:pt idx="102">
                  <c:v>54.03</c:v>
                </c:pt>
                <c:pt idx="103">
                  <c:v>53.5</c:v>
                </c:pt>
                <c:pt idx="104">
                  <c:v>54.02</c:v>
                </c:pt>
                <c:pt idx="105">
                  <c:v>53.46</c:v>
                </c:pt>
                <c:pt idx="106">
                  <c:v>54.03</c:v>
                </c:pt>
                <c:pt idx="107">
                  <c:v>53.36</c:v>
                </c:pt>
                <c:pt idx="108">
                  <c:v>54.01</c:v>
                </c:pt>
                <c:pt idx="109">
                  <c:v>53.37</c:v>
                </c:pt>
                <c:pt idx="110">
                  <c:v>53.96</c:v>
                </c:pt>
                <c:pt idx="111">
                  <c:v>53.36</c:v>
                </c:pt>
                <c:pt idx="112">
                  <c:v>53.88</c:v>
                </c:pt>
                <c:pt idx="113">
                  <c:v>53.34</c:v>
                </c:pt>
                <c:pt idx="114">
                  <c:v>53.67</c:v>
                </c:pt>
                <c:pt idx="115">
                  <c:v>53.3</c:v>
                </c:pt>
                <c:pt idx="116">
                  <c:v>53.57</c:v>
                </c:pt>
                <c:pt idx="117">
                  <c:v>53.29</c:v>
                </c:pt>
                <c:pt idx="118">
                  <c:v>53.37</c:v>
                </c:pt>
                <c:pt idx="119">
                  <c:v>53.3</c:v>
                </c:pt>
                <c:pt idx="120">
                  <c:v>53.33</c:v>
                </c:pt>
                <c:pt idx="121">
                  <c:v>53.33</c:v>
                </c:pt>
                <c:pt idx="122">
                  <c:v>53.29</c:v>
                </c:pt>
                <c:pt idx="123">
                  <c:v>53.29</c:v>
                </c:pt>
                <c:pt idx="124">
                  <c:v>53.34</c:v>
                </c:pt>
                <c:pt idx="125">
                  <c:v>53.3</c:v>
                </c:pt>
                <c:pt idx="126">
                  <c:v>53.3</c:v>
                </c:pt>
                <c:pt idx="127">
                  <c:v>53.35</c:v>
                </c:pt>
                <c:pt idx="128">
                  <c:v>53.25</c:v>
                </c:pt>
                <c:pt idx="129">
                  <c:v>53.37</c:v>
                </c:pt>
                <c:pt idx="130">
                  <c:v>53.3</c:v>
                </c:pt>
                <c:pt idx="131">
                  <c:v>53.27</c:v>
                </c:pt>
                <c:pt idx="132">
                  <c:v>53.3</c:v>
                </c:pt>
                <c:pt idx="133">
                  <c:v>53.27</c:v>
                </c:pt>
                <c:pt idx="134">
                  <c:v>53.32</c:v>
                </c:pt>
                <c:pt idx="135">
                  <c:v>53.29</c:v>
                </c:pt>
                <c:pt idx="136">
                  <c:v>53.32</c:v>
                </c:pt>
                <c:pt idx="137">
                  <c:v>53.34</c:v>
                </c:pt>
                <c:pt idx="138">
                  <c:v>53.3</c:v>
                </c:pt>
                <c:pt idx="139">
                  <c:v>53.3</c:v>
                </c:pt>
                <c:pt idx="140">
                  <c:v>53.28</c:v>
                </c:pt>
                <c:pt idx="141">
                  <c:v>53.34</c:v>
                </c:pt>
                <c:pt idx="142">
                  <c:v>53.32</c:v>
                </c:pt>
                <c:pt idx="143">
                  <c:v>53.25</c:v>
                </c:pt>
                <c:pt idx="144">
                  <c:v>53.27</c:v>
                </c:pt>
                <c:pt idx="145">
                  <c:v>53.3</c:v>
                </c:pt>
                <c:pt idx="146">
                  <c:v>53.29</c:v>
                </c:pt>
                <c:pt idx="147">
                  <c:v>53.32</c:v>
                </c:pt>
                <c:pt idx="148">
                  <c:v>53.3</c:v>
                </c:pt>
                <c:pt idx="149">
                  <c:v>53.27</c:v>
                </c:pt>
                <c:pt idx="150">
                  <c:v>53.28</c:v>
                </c:pt>
                <c:pt idx="151">
                  <c:v>53.27</c:v>
                </c:pt>
                <c:pt idx="152">
                  <c:v>53.28</c:v>
                </c:pt>
                <c:pt idx="153">
                  <c:v>53.3</c:v>
                </c:pt>
                <c:pt idx="154">
                  <c:v>53.26</c:v>
                </c:pt>
                <c:pt idx="155">
                  <c:v>53.25</c:v>
                </c:pt>
                <c:pt idx="156">
                  <c:v>53.26</c:v>
                </c:pt>
                <c:pt idx="157">
                  <c:v>53.25</c:v>
                </c:pt>
                <c:pt idx="158">
                  <c:v>53.3</c:v>
                </c:pt>
                <c:pt idx="159">
                  <c:v>53.24</c:v>
                </c:pt>
                <c:pt idx="160">
                  <c:v>53.31</c:v>
                </c:pt>
                <c:pt idx="161">
                  <c:v>53.31</c:v>
                </c:pt>
                <c:pt idx="162">
                  <c:v>53.26</c:v>
                </c:pt>
                <c:pt idx="163">
                  <c:v>53.24</c:v>
                </c:pt>
                <c:pt idx="164">
                  <c:v>53.26</c:v>
                </c:pt>
                <c:pt idx="165">
                  <c:v>53.27</c:v>
                </c:pt>
                <c:pt idx="166">
                  <c:v>53.27</c:v>
                </c:pt>
                <c:pt idx="167">
                  <c:v>53.27</c:v>
                </c:pt>
                <c:pt idx="168">
                  <c:v>53.24</c:v>
                </c:pt>
                <c:pt idx="169">
                  <c:v>53.23</c:v>
                </c:pt>
                <c:pt idx="170">
                  <c:v>53.24</c:v>
                </c:pt>
                <c:pt idx="171">
                  <c:v>53.28</c:v>
                </c:pt>
                <c:pt idx="172">
                  <c:v>53.19</c:v>
                </c:pt>
                <c:pt idx="173">
                  <c:v>53.22</c:v>
                </c:pt>
                <c:pt idx="174">
                  <c:v>53.22</c:v>
                </c:pt>
                <c:pt idx="175">
                  <c:v>53.27</c:v>
                </c:pt>
                <c:pt idx="176">
                  <c:v>53.26</c:v>
                </c:pt>
                <c:pt idx="177">
                  <c:v>53.22</c:v>
                </c:pt>
                <c:pt idx="178">
                  <c:v>53.21</c:v>
                </c:pt>
                <c:pt idx="179">
                  <c:v>53.21</c:v>
                </c:pt>
                <c:pt idx="180">
                  <c:v>53.17</c:v>
                </c:pt>
                <c:pt idx="181">
                  <c:v>53.24</c:v>
                </c:pt>
                <c:pt idx="182">
                  <c:v>53.23</c:v>
                </c:pt>
                <c:pt idx="183">
                  <c:v>53.21</c:v>
                </c:pt>
                <c:pt idx="184">
                  <c:v>53.25</c:v>
                </c:pt>
                <c:pt idx="185">
                  <c:v>53.22</c:v>
                </c:pt>
                <c:pt idx="186">
                  <c:v>53.2</c:v>
                </c:pt>
                <c:pt idx="187">
                  <c:v>53.22</c:v>
                </c:pt>
                <c:pt idx="188">
                  <c:v>53.21</c:v>
                </c:pt>
                <c:pt idx="189">
                  <c:v>53.21</c:v>
                </c:pt>
                <c:pt idx="190">
                  <c:v>53.25</c:v>
                </c:pt>
                <c:pt idx="191">
                  <c:v>53.25</c:v>
                </c:pt>
                <c:pt idx="192">
                  <c:v>53.3</c:v>
                </c:pt>
                <c:pt idx="193">
                  <c:v>53.24</c:v>
                </c:pt>
                <c:pt idx="194">
                  <c:v>53.23</c:v>
                </c:pt>
                <c:pt idx="195">
                  <c:v>53.17</c:v>
                </c:pt>
                <c:pt idx="196">
                  <c:v>53.23</c:v>
                </c:pt>
                <c:pt idx="197">
                  <c:v>53.14</c:v>
                </c:pt>
                <c:pt idx="198">
                  <c:v>53.17</c:v>
                </c:pt>
                <c:pt idx="199">
                  <c:v>53.25</c:v>
                </c:pt>
                <c:pt idx="200">
                  <c:v>53.21</c:v>
                </c:pt>
                <c:pt idx="201">
                  <c:v>53.23</c:v>
                </c:pt>
                <c:pt idx="202">
                  <c:v>53.23</c:v>
                </c:pt>
                <c:pt idx="203">
                  <c:v>53.17</c:v>
                </c:pt>
                <c:pt idx="204">
                  <c:v>53.23</c:v>
                </c:pt>
                <c:pt idx="205">
                  <c:v>53.18</c:v>
                </c:pt>
                <c:pt idx="206">
                  <c:v>53.18</c:v>
                </c:pt>
                <c:pt idx="207">
                  <c:v>53.22</c:v>
                </c:pt>
                <c:pt idx="208">
                  <c:v>53.2</c:v>
                </c:pt>
                <c:pt idx="209">
                  <c:v>53.14</c:v>
                </c:pt>
                <c:pt idx="210">
                  <c:v>53.21</c:v>
                </c:pt>
                <c:pt idx="211">
                  <c:v>53.15</c:v>
                </c:pt>
                <c:pt idx="212">
                  <c:v>53.2</c:v>
                </c:pt>
                <c:pt idx="213">
                  <c:v>53.21</c:v>
                </c:pt>
                <c:pt idx="214">
                  <c:v>53.17</c:v>
                </c:pt>
                <c:pt idx="215">
                  <c:v>53.2</c:v>
                </c:pt>
                <c:pt idx="216">
                  <c:v>53.15</c:v>
                </c:pt>
                <c:pt idx="217">
                  <c:v>53.17</c:v>
                </c:pt>
                <c:pt idx="218">
                  <c:v>53.17</c:v>
                </c:pt>
                <c:pt idx="219">
                  <c:v>53.19</c:v>
                </c:pt>
                <c:pt idx="220">
                  <c:v>53.19</c:v>
                </c:pt>
                <c:pt idx="221">
                  <c:v>53.16</c:v>
                </c:pt>
                <c:pt idx="222">
                  <c:v>53.17</c:v>
                </c:pt>
                <c:pt idx="223">
                  <c:v>53.16</c:v>
                </c:pt>
                <c:pt idx="224">
                  <c:v>53.14</c:v>
                </c:pt>
                <c:pt idx="225">
                  <c:v>53.17</c:v>
                </c:pt>
                <c:pt idx="226">
                  <c:v>53.1</c:v>
                </c:pt>
                <c:pt idx="227">
                  <c:v>53.17</c:v>
                </c:pt>
                <c:pt idx="228">
                  <c:v>53.15</c:v>
                </c:pt>
                <c:pt idx="229">
                  <c:v>53.07</c:v>
                </c:pt>
                <c:pt idx="230">
                  <c:v>53.14</c:v>
                </c:pt>
                <c:pt idx="231">
                  <c:v>53.12</c:v>
                </c:pt>
                <c:pt idx="232">
                  <c:v>53.11</c:v>
                </c:pt>
                <c:pt idx="233">
                  <c:v>53.13</c:v>
                </c:pt>
                <c:pt idx="234">
                  <c:v>53.12</c:v>
                </c:pt>
                <c:pt idx="235">
                  <c:v>53.11</c:v>
                </c:pt>
                <c:pt idx="236">
                  <c:v>53.14</c:v>
                </c:pt>
                <c:pt idx="237">
                  <c:v>53.09</c:v>
                </c:pt>
                <c:pt idx="238">
                  <c:v>53.09</c:v>
                </c:pt>
                <c:pt idx="239">
                  <c:v>53.05</c:v>
                </c:pt>
                <c:pt idx="240">
                  <c:v>53.14</c:v>
                </c:pt>
                <c:pt idx="241">
                  <c:v>53.07</c:v>
                </c:pt>
                <c:pt idx="242">
                  <c:v>53.09</c:v>
                </c:pt>
                <c:pt idx="243">
                  <c:v>53.03</c:v>
                </c:pt>
                <c:pt idx="244">
                  <c:v>53.09</c:v>
                </c:pt>
                <c:pt idx="245">
                  <c:v>53.15</c:v>
                </c:pt>
                <c:pt idx="246">
                  <c:v>53.12</c:v>
                </c:pt>
                <c:pt idx="247">
                  <c:v>53.09</c:v>
                </c:pt>
                <c:pt idx="248">
                  <c:v>53.12</c:v>
                </c:pt>
                <c:pt idx="249">
                  <c:v>53.08</c:v>
                </c:pt>
                <c:pt idx="250">
                  <c:v>53.13</c:v>
                </c:pt>
                <c:pt idx="251">
                  <c:v>53.12</c:v>
                </c:pt>
                <c:pt idx="252">
                  <c:v>53.09</c:v>
                </c:pt>
                <c:pt idx="253">
                  <c:v>53.1</c:v>
                </c:pt>
                <c:pt idx="254">
                  <c:v>53.11</c:v>
                </c:pt>
                <c:pt idx="255">
                  <c:v>53.1</c:v>
                </c:pt>
                <c:pt idx="256">
                  <c:v>53.07</c:v>
                </c:pt>
                <c:pt idx="257">
                  <c:v>53.07</c:v>
                </c:pt>
                <c:pt idx="258">
                  <c:v>53.06</c:v>
                </c:pt>
                <c:pt idx="259">
                  <c:v>53.12</c:v>
                </c:pt>
                <c:pt idx="260">
                  <c:v>53.05</c:v>
                </c:pt>
                <c:pt idx="261">
                  <c:v>53.09</c:v>
                </c:pt>
                <c:pt idx="262">
                  <c:v>53.09</c:v>
                </c:pt>
                <c:pt idx="263">
                  <c:v>53.04</c:v>
                </c:pt>
                <c:pt idx="264">
                  <c:v>53.17</c:v>
                </c:pt>
                <c:pt idx="265">
                  <c:v>53.11</c:v>
                </c:pt>
                <c:pt idx="266">
                  <c:v>53.09</c:v>
                </c:pt>
                <c:pt idx="267">
                  <c:v>53.13</c:v>
                </c:pt>
                <c:pt idx="268">
                  <c:v>53.13</c:v>
                </c:pt>
                <c:pt idx="269">
                  <c:v>53.17</c:v>
                </c:pt>
                <c:pt idx="270">
                  <c:v>53.09</c:v>
                </c:pt>
                <c:pt idx="271">
                  <c:v>53.15</c:v>
                </c:pt>
                <c:pt idx="272">
                  <c:v>53.1</c:v>
                </c:pt>
                <c:pt idx="273">
                  <c:v>53.11</c:v>
                </c:pt>
                <c:pt idx="274">
                  <c:v>53.18</c:v>
                </c:pt>
                <c:pt idx="275">
                  <c:v>53.11</c:v>
                </c:pt>
                <c:pt idx="276">
                  <c:v>53.17</c:v>
                </c:pt>
                <c:pt idx="277">
                  <c:v>53.17</c:v>
                </c:pt>
                <c:pt idx="278">
                  <c:v>53.13</c:v>
                </c:pt>
                <c:pt idx="279">
                  <c:v>53.12</c:v>
                </c:pt>
                <c:pt idx="280">
                  <c:v>53.15</c:v>
                </c:pt>
                <c:pt idx="281">
                  <c:v>53.15</c:v>
                </c:pt>
                <c:pt idx="282">
                  <c:v>53.15</c:v>
                </c:pt>
                <c:pt idx="283">
                  <c:v>53.1</c:v>
                </c:pt>
                <c:pt idx="284">
                  <c:v>53.17</c:v>
                </c:pt>
                <c:pt idx="285">
                  <c:v>53.15</c:v>
                </c:pt>
                <c:pt idx="286">
                  <c:v>53.14</c:v>
                </c:pt>
                <c:pt idx="287">
                  <c:v>53.13</c:v>
                </c:pt>
                <c:pt idx="288">
                  <c:v>53.13</c:v>
                </c:pt>
                <c:pt idx="289">
                  <c:v>53.11</c:v>
                </c:pt>
                <c:pt idx="290">
                  <c:v>53.11</c:v>
                </c:pt>
                <c:pt idx="291">
                  <c:v>53.13</c:v>
                </c:pt>
                <c:pt idx="292">
                  <c:v>53.15</c:v>
                </c:pt>
                <c:pt idx="293">
                  <c:v>53.14</c:v>
                </c:pt>
                <c:pt idx="294">
                  <c:v>53.13</c:v>
                </c:pt>
                <c:pt idx="295">
                  <c:v>53.11</c:v>
                </c:pt>
                <c:pt idx="296">
                  <c:v>53.1</c:v>
                </c:pt>
                <c:pt idx="297">
                  <c:v>53.09</c:v>
                </c:pt>
                <c:pt idx="298">
                  <c:v>53.1</c:v>
                </c:pt>
                <c:pt idx="299">
                  <c:v>53.13</c:v>
                </c:pt>
                <c:pt idx="300">
                  <c:v>53.09</c:v>
                </c:pt>
                <c:pt idx="301">
                  <c:v>53.13</c:v>
                </c:pt>
                <c:pt idx="302">
                  <c:v>53.1</c:v>
                </c:pt>
                <c:pt idx="303">
                  <c:v>53.17</c:v>
                </c:pt>
                <c:pt idx="304">
                  <c:v>53.08</c:v>
                </c:pt>
                <c:pt idx="305">
                  <c:v>53.11</c:v>
                </c:pt>
                <c:pt idx="306">
                  <c:v>53.11</c:v>
                </c:pt>
                <c:pt idx="307">
                  <c:v>53.11</c:v>
                </c:pt>
                <c:pt idx="308">
                  <c:v>53.16</c:v>
                </c:pt>
                <c:pt idx="309">
                  <c:v>53.13</c:v>
                </c:pt>
                <c:pt idx="310">
                  <c:v>53.09</c:v>
                </c:pt>
                <c:pt idx="311">
                  <c:v>53.09</c:v>
                </c:pt>
                <c:pt idx="312">
                  <c:v>53.12</c:v>
                </c:pt>
                <c:pt idx="313">
                  <c:v>53.1</c:v>
                </c:pt>
                <c:pt idx="314">
                  <c:v>53.08</c:v>
                </c:pt>
                <c:pt idx="315">
                  <c:v>53.13</c:v>
                </c:pt>
                <c:pt idx="316">
                  <c:v>53.08</c:v>
                </c:pt>
                <c:pt idx="317">
                  <c:v>53.1</c:v>
                </c:pt>
                <c:pt idx="318">
                  <c:v>53.07</c:v>
                </c:pt>
                <c:pt idx="319">
                  <c:v>53.08</c:v>
                </c:pt>
                <c:pt idx="320">
                  <c:v>53.13</c:v>
                </c:pt>
                <c:pt idx="321">
                  <c:v>53.11</c:v>
                </c:pt>
                <c:pt idx="322">
                  <c:v>53.05</c:v>
                </c:pt>
                <c:pt idx="323">
                  <c:v>53.09</c:v>
                </c:pt>
                <c:pt idx="324">
                  <c:v>53.06</c:v>
                </c:pt>
                <c:pt idx="325">
                  <c:v>53.11</c:v>
                </c:pt>
                <c:pt idx="326">
                  <c:v>53.04</c:v>
                </c:pt>
                <c:pt idx="327">
                  <c:v>53.05</c:v>
                </c:pt>
                <c:pt idx="328">
                  <c:v>53.09</c:v>
                </c:pt>
                <c:pt idx="329">
                  <c:v>53.1</c:v>
                </c:pt>
                <c:pt idx="330">
                  <c:v>53.07</c:v>
                </c:pt>
                <c:pt idx="331">
                  <c:v>53.07</c:v>
                </c:pt>
                <c:pt idx="332">
                  <c:v>53.05</c:v>
                </c:pt>
                <c:pt idx="333">
                  <c:v>53.06</c:v>
                </c:pt>
                <c:pt idx="334">
                  <c:v>53.06</c:v>
                </c:pt>
                <c:pt idx="335">
                  <c:v>53.05</c:v>
                </c:pt>
                <c:pt idx="336">
                  <c:v>53.07</c:v>
                </c:pt>
                <c:pt idx="337">
                  <c:v>53.13</c:v>
                </c:pt>
                <c:pt idx="338">
                  <c:v>53.05</c:v>
                </c:pt>
                <c:pt idx="339">
                  <c:v>53.07</c:v>
                </c:pt>
                <c:pt idx="340">
                  <c:v>53.06</c:v>
                </c:pt>
                <c:pt idx="341">
                  <c:v>53.06</c:v>
                </c:pt>
                <c:pt idx="342">
                  <c:v>53.07</c:v>
                </c:pt>
                <c:pt idx="343">
                  <c:v>53.09</c:v>
                </c:pt>
                <c:pt idx="344">
                  <c:v>53.08</c:v>
                </c:pt>
                <c:pt idx="345">
                  <c:v>53.08</c:v>
                </c:pt>
                <c:pt idx="346">
                  <c:v>53.07</c:v>
                </c:pt>
                <c:pt idx="347">
                  <c:v>53.05</c:v>
                </c:pt>
                <c:pt idx="348">
                  <c:v>53.06</c:v>
                </c:pt>
                <c:pt idx="349">
                  <c:v>53.03</c:v>
                </c:pt>
                <c:pt idx="350">
                  <c:v>53.02</c:v>
                </c:pt>
                <c:pt idx="351">
                  <c:v>53.09</c:v>
                </c:pt>
                <c:pt idx="352">
                  <c:v>53.09</c:v>
                </c:pt>
                <c:pt idx="353">
                  <c:v>53.04</c:v>
                </c:pt>
                <c:pt idx="354">
                  <c:v>53.01</c:v>
                </c:pt>
                <c:pt idx="355">
                  <c:v>53.07</c:v>
                </c:pt>
                <c:pt idx="356">
                  <c:v>53.06</c:v>
                </c:pt>
                <c:pt idx="357">
                  <c:v>53.04</c:v>
                </c:pt>
                <c:pt idx="358">
                  <c:v>53.09</c:v>
                </c:pt>
                <c:pt idx="359">
                  <c:v>53.06</c:v>
                </c:pt>
                <c:pt idx="360">
                  <c:v>53.06</c:v>
                </c:pt>
                <c:pt idx="361">
                  <c:v>53.01</c:v>
                </c:pt>
                <c:pt idx="362">
                  <c:v>53.08</c:v>
                </c:pt>
                <c:pt idx="363">
                  <c:v>53.03</c:v>
                </c:pt>
                <c:pt idx="364">
                  <c:v>53.09</c:v>
                </c:pt>
                <c:pt idx="365">
                  <c:v>53.06</c:v>
                </c:pt>
                <c:pt idx="366">
                  <c:v>53.02</c:v>
                </c:pt>
                <c:pt idx="367">
                  <c:v>53.03</c:v>
                </c:pt>
                <c:pt idx="368">
                  <c:v>52.98</c:v>
                </c:pt>
                <c:pt idx="369">
                  <c:v>53.05</c:v>
                </c:pt>
                <c:pt idx="370">
                  <c:v>53.03</c:v>
                </c:pt>
                <c:pt idx="371">
                  <c:v>53</c:v>
                </c:pt>
                <c:pt idx="372">
                  <c:v>53</c:v>
                </c:pt>
                <c:pt idx="373">
                  <c:v>53.03</c:v>
                </c:pt>
                <c:pt idx="374">
                  <c:v>53.01</c:v>
                </c:pt>
                <c:pt idx="375">
                  <c:v>52.92</c:v>
                </c:pt>
                <c:pt idx="376">
                  <c:v>52.97</c:v>
                </c:pt>
                <c:pt idx="377">
                  <c:v>52.99</c:v>
                </c:pt>
                <c:pt idx="378">
                  <c:v>53.02</c:v>
                </c:pt>
                <c:pt idx="379">
                  <c:v>52.94</c:v>
                </c:pt>
                <c:pt idx="380">
                  <c:v>53.01</c:v>
                </c:pt>
                <c:pt idx="381">
                  <c:v>52.97</c:v>
                </c:pt>
                <c:pt idx="382">
                  <c:v>52.98</c:v>
                </c:pt>
                <c:pt idx="383">
                  <c:v>52.96</c:v>
                </c:pt>
                <c:pt idx="384">
                  <c:v>52.98</c:v>
                </c:pt>
                <c:pt idx="385">
                  <c:v>53.01</c:v>
                </c:pt>
                <c:pt idx="386">
                  <c:v>52.92</c:v>
                </c:pt>
                <c:pt idx="387">
                  <c:v>52.99</c:v>
                </c:pt>
                <c:pt idx="388">
                  <c:v>52.97</c:v>
                </c:pt>
                <c:pt idx="389">
                  <c:v>52.97</c:v>
                </c:pt>
                <c:pt idx="390">
                  <c:v>53</c:v>
                </c:pt>
                <c:pt idx="391">
                  <c:v>53.01</c:v>
                </c:pt>
                <c:pt idx="392">
                  <c:v>53.02</c:v>
                </c:pt>
                <c:pt idx="393">
                  <c:v>52.98</c:v>
                </c:pt>
                <c:pt idx="394">
                  <c:v>52.96</c:v>
                </c:pt>
                <c:pt idx="395">
                  <c:v>52.92</c:v>
                </c:pt>
                <c:pt idx="396">
                  <c:v>52.97</c:v>
                </c:pt>
                <c:pt idx="397">
                  <c:v>52.94</c:v>
                </c:pt>
                <c:pt idx="398">
                  <c:v>52.92</c:v>
                </c:pt>
                <c:pt idx="399">
                  <c:v>52.99</c:v>
                </c:pt>
                <c:pt idx="400">
                  <c:v>52.98</c:v>
                </c:pt>
                <c:pt idx="401">
                  <c:v>53.01</c:v>
                </c:pt>
                <c:pt idx="402">
                  <c:v>52.96</c:v>
                </c:pt>
                <c:pt idx="403">
                  <c:v>52.97</c:v>
                </c:pt>
                <c:pt idx="404">
                  <c:v>52.97</c:v>
                </c:pt>
                <c:pt idx="405">
                  <c:v>53.01</c:v>
                </c:pt>
                <c:pt idx="406">
                  <c:v>52.95</c:v>
                </c:pt>
                <c:pt idx="407">
                  <c:v>53</c:v>
                </c:pt>
                <c:pt idx="408">
                  <c:v>52.96</c:v>
                </c:pt>
                <c:pt idx="409">
                  <c:v>52.91</c:v>
                </c:pt>
                <c:pt idx="410">
                  <c:v>52.99</c:v>
                </c:pt>
                <c:pt idx="411">
                  <c:v>52.92</c:v>
                </c:pt>
                <c:pt idx="412">
                  <c:v>52.97</c:v>
                </c:pt>
                <c:pt idx="413">
                  <c:v>52.98</c:v>
                </c:pt>
                <c:pt idx="414">
                  <c:v>53.05</c:v>
                </c:pt>
                <c:pt idx="415">
                  <c:v>52.92</c:v>
                </c:pt>
                <c:pt idx="416">
                  <c:v>53.02</c:v>
                </c:pt>
                <c:pt idx="417">
                  <c:v>52.92</c:v>
                </c:pt>
                <c:pt idx="418">
                  <c:v>52.9</c:v>
                </c:pt>
                <c:pt idx="419">
                  <c:v>52.94</c:v>
                </c:pt>
                <c:pt idx="420">
                  <c:v>53</c:v>
                </c:pt>
                <c:pt idx="421">
                  <c:v>52.99</c:v>
                </c:pt>
                <c:pt idx="422">
                  <c:v>52.97</c:v>
                </c:pt>
                <c:pt idx="423">
                  <c:v>52.99</c:v>
                </c:pt>
                <c:pt idx="424">
                  <c:v>52.97</c:v>
                </c:pt>
                <c:pt idx="425">
                  <c:v>52.99</c:v>
                </c:pt>
                <c:pt idx="426">
                  <c:v>52.94</c:v>
                </c:pt>
                <c:pt idx="427">
                  <c:v>52.91</c:v>
                </c:pt>
                <c:pt idx="428">
                  <c:v>52.96</c:v>
                </c:pt>
                <c:pt idx="429">
                  <c:v>52.98</c:v>
                </c:pt>
                <c:pt idx="430">
                  <c:v>53.03</c:v>
                </c:pt>
                <c:pt idx="431">
                  <c:v>53.04</c:v>
                </c:pt>
                <c:pt idx="432">
                  <c:v>52.99</c:v>
                </c:pt>
                <c:pt idx="433">
                  <c:v>53.01</c:v>
                </c:pt>
                <c:pt idx="434">
                  <c:v>52.96</c:v>
                </c:pt>
                <c:pt idx="435">
                  <c:v>52.97</c:v>
                </c:pt>
                <c:pt idx="436">
                  <c:v>53.03</c:v>
                </c:pt>
                <c:pt idx="437">
                  <c:v>53.01</c:v>
                </c:pt>
                <c:pt idx="438">
                  <c:v>53.04</c:v>
                </c:pt>
                <c:pt idx="439">
                  <c:v>52.98</c:v>
                </c:pt>
                <c:pt idx="440">
                  <c:v>53.01</c:v>
                </c:pt>
                <c:pt idx="441">
                  <c:v>53.04</c:v>
                </c:pt>
                <c:pt idx="442">
                  <c:v>52.94</c:v>
                </c:pt>
                <c:pt idx="443">
                  <c:v>53.03</c:v>
                </c:pt>
                <c:pt idx="444">
                  <c:v>52.99</c:v>
                </c:pt>
                <c:pt idx="445">
                  <c:v>53.03</c:v>
                </c:pt>
                <c:pt idx="446">
                  <c:v>52.99</c:v>
                </c:pt>
                <c:pt idx="447">
                  <c:v>53.01</c:v>
                </c:pt>
                <c:pt idx="448">
                  <c:v>53.02</c:v>
                </c:pt>
                <c:pt idx="449">
                  <c:v>53.01</c:v>
                </c:pt>
                <c:pt idx="450">
                  <c:v>53.04</c:v>
                </c:pt>
                <c:pt idx="451">
                  <c:v>53.04</c:v>
                </c:pt>
                <c:pt idx="452">
                  <c:v>53.01</c:v>
                </c:pt>
                <c:pt idx="453">
                  <c:v>53.01</c:v>
                </c:pt>
                <c:pt idx="454">
                  <c:v>52.99</c:v>
                </c:pt>
                <c:pt idx="455">
                  <c:v>52.96</c:v>
                </c:pt>
                <c:pt idx="456">
                  <c:v>53.02</c:v>
                </c:pt>
                <c:pt idx="457">
                  <c:v>53.03</c:v>
                </c:pt>
                <c:pt idx="458">
                  <c:v>53</c:v>
                </c:pt>
                <c:pt idx="459">
                  <c:v>52.96</c:v>
                </c:pt>
                <c:pt idx="460">
                  <c:v>53.05</c:v>
                </c:pt>
                <c:pt idx="461">
                  <c:v>53.09</c:v>
                </c:pt>
                <c:pt idx="462">
                  <c:v>53.02</c:v>
                </c:pt>
                <c:pt idx="463">
                  <c:v>53.02</c:v>
                </c:pt>
                <c:pt idx="464">
                  <c:v>53.03</c:v>
                </c:pt>
                <c:pt idx="465">
                  <c:v>53.03</c:v>
                </c:pt>
                <c:pt idx="466">
                  <c:v>53.01</c:v>
                </c:pt>
                <c:pt idx="467">
                  <c:v>53.07</c:v>
                </c:pt>
                <c:pt idx="468">
                  <c:v>53.01</c:v>
                </c:pt>
                <c:pt idx="469">
                  <c:v>53.02</c:v>
                </c:pt>
                <c:pt idx="470">
                  <c:v>53.01</c:v>
                </c:pt>
                <c:pt idx="471">
                  <c:v>53.02</c:v>
                </c:pt>
                <c:pt idx="472">
                  <c:v>53.05</c:v>
                </c:pt>
                <c:pt idx="473">
                  <c:v>53.03</c:v>
                </c:pt>
                <c:pt idx="474">
                  <c:v>53.01</c:v>
                </c:pt>
                <c:pt idx="475">
                  <c:v>52.97</c:v>
                </c:pt>
                <c:pt idx="476">
                  <c:v>53.01</c:v>
                </c:pt>
                <c:pt idx="477">
                  <c:v>53.07</c:v>
                </c:pt>
                <c:pt idx="478">
                  <c:v>52.99</c:v>
                </c:pt>
                <c:pt idx="479">
                  <c:v>52.98</c:v>
                </c:pt>
                <c:pt idx="480">
                  <c:v>53.01</c:v>
                </c:pt>
                <c:pt idx="481">
                  <c:v>53.03</c:v>
                </c:pt>
                <c:pt idx="482">
                  <c:v>53.05</c:v>
                </c:pt>
                <c:pt idx="483">
                  <c:v>53.05</c:v>
                </c:pt>
                <c:pt idx="484">
                  <c:v>53.09</c:v>
                </c:pt>
                <c:pt idx="485">
                  <c:v>53.01</c:v>
                </c:pt>
                <c:pt idx="486">
                  <c:v>53.04</c:v>
                </c:pt>
                <c:pt idx="487">
                  <c:v>53.05</c:v>
                </c:pt>
                <c:pt idx="488">
                  <c:v>53.04</c:v>
                </c:pt>
                <c:pt idx="489">
                  <c:v>53.01</c:v>
                </c:pt>
                <c:pt idx="490">
                  <c:v>53.03</c:v>
                </c:pt>
                <c:pt idx="491">
                  <c:v>53.01</c:v>
                </c:pt>
                <c:pt idx="492">
                  <c:v>53.05</c:v>
                </c:pt>
                <c:pt idx="493">
                  <c:v>53.03</c:v>
                </c:pt>
                <c:pt idx="494">
                  <c:v>53.04</c:v>
                </c:pt>
                <c:pt idx="495">
                  <c:v>53.04</c:v>
                </c:pt>
                <c:pt idx="496">
                  <c:v>53.05</c:v>
                </c:pt>
                <c:pt idx="497">
                  <c:v>53.03</c:v>
                </c:pt>
                <c:pt idx="498">
                  <c:v>53.03</c:v>
                </c:pt>
                <c:pt idx="499">
                  <c:v>53.03</c:v>
                </c:pt>
                <c:pt idx="500">
                  <c:v>53.02</c:v>
                </c:pt>
                <c:pt idx="501">
                  <c:v>53.1</c:v>
                </c:pt>
                <c:pt idx="502">
                  <c:v>53.06</c:v>
                </c:pt>
                <c:pt idx="503">
                  <c:v>53.05</c:v>
                </c:pt>
                <c:pt idx="504">
                  <c:v>53.02</c:v>
                </c:pt>
                <c:pt idx="505">
                  <c:v>53.02</c:v>
                </c:pt>
                <c:pt idx="506">
                  <c:v>52.99</c:v>
                </c:pt>
                <c:pt idx="507">
                  <c:v>52.98</c:v>
                </c:pt>
                <c:pt idx="508">
                  <c:v>53.08</c:v>
                </c:pt>
                <c:pt idx="509">
                  <c:v>53.03</c:v>
                </c:pt>
                <c:pt idx="510">
                  <c:v>53.05</c:v>
                </c:pt>
                <c:pt idx="511">
                  <c:v>53.02</c:v>
                </c:pt>
                <c:pt idx="512">
                  <c:v>53.02</c:v>
                </c:pt>
                <c:pt idx="513">
                  <c:v>53.05</c:v>
                </c:pt>
                <c:pt idx="514">
                  <c:v>53.01</c:v>
                </c:pt>
                <c:pt idx="515">
                  <c:v>53.05</c:v>
                </c:pt>
                <c:pt idx="516">
                  <c:v>53.08</c:v>
                </c:pt>
                <c:pt idx="517">
                  <c:v>53.07</c:v>
                </c:pt>
                <c:pt idx="518">
                  <c:v>53.16</c:v>
                </c:pt>
                <c:pt idx="519">
                  <c:v>53.26</c:v>
                </c:pt>
                <c:pt idx="520">
                  <c:v>53.3</c:v>
                </c:pt>
                <c:pt idx="521">
                  <c:v>53.42</c:v>
                </c:pt>
                <c:pt idx="522">
                  <c:v>53.5</c:v>
                </c:pt>
                <c:pt idx="523">
                  <c:v>53.58</c:v>
                </c:pt>
                <c:pt idx="524">
                  <c:v>53.59</c:v>
                </c:pt>
                <c:pt idx="525">
                  <c:v>53.62</c:v>
                </c:pt>
                <c:pt idx="526">
                  <c:v>53.69</c:v>
                </c:pt>
                <c:pt idx="527">
                  <c:v>53.65</c:v>
                </c:pt>
                <c:pt idx="528">
                  <c:v>53.63</c:v>
                </c:pt>
                <c:pt idx="529">
                  <c:v>53.67</c:v>
                </c:pt>
                <c:pt idx="530">
                  <c:v>53.65</c:v>
                </c:pt>
                <c:pt idx="531">
                  <c:v>53.62</c:v>
                </c:pt>
                <c:pt idx="532">
                  <c:v>53.66</c:v>
                </c:pt>
                <c:pt idx="533">
                  <c:v>53.64</c:v>
                </c:pt>
                <c:pt idx="534">
                  <c:v>53.56</c:v>
                </c:pt>
                <c:pt idx="535">
                  <c:v>53.59</c:v>
                </c:pt>
                <c:pt idx="536">
                  <c:v>53.55</c:v>
                </c:pt>
                <c:pt idx="537">
                  <c:v>53.66</c:v>
                </c:pt>
                <c:pt idx="538">
                  <c:v>53.56</c:v>
                </c:pt>
                <c:pt idx="539">
                  <c:v>53.48</c:v>
                </c:pt>
                <c:pt idx="540">
                  <c:v>53.46</c:v>
                </c:pt>
                <c:pt idx="541">
                  <c:v>53.51</c:v>
                </c:pt>
                <c:pt idx="542">
                  <c:v>53.47</c:v>
                </c:pt>
                <c:pt idx="543">
                  <c:v>53.45</c:v>
                </c:pt>
                <c:pt idx="544">
                  <c:v>53.46</c:v>
                </c:pt>
                <c:pt idx="545">
                  <c:v>53.41</c:v>
                </c:pt>
                <c:pt idx="546">
                  <c:v>53.39</c:v>
                </c:pt>
                <c:pt idx="547">
                  <c:v>53.4</c:v>
                </c:pt>
                <c:pt idx="548">
                  <c:v>53.37</c:v>
                </c:pt>
                <c:pt idx="549">
                  <c:v>53.34</c:v>
                </c:pt>
                <c:pt idx="550">
                  <c:v>53.32</c:v>
                </c:pt>
                <c:pt idx="551">
                  <c:v>53.33</c:v>
                </c:pt>
                <c:pt idx="552">
                  <c:v>53.34</c:v>
                </c:pt>
                <c:pt idx="553">
                  <c:v>53.4</c:v>
                </c:pt>
                <c:pt idx="554">
                  <c:v>53.31</c:v>
                </c:pt>
                <c:pt idx="555">
                  <c:v>53.25</c:v>
                </c:pt>
                <c:pt idx="556">
                  <c:v>53.26</c:v>
                </c:pt>
                <c:pt idx="557">
                  <c:v>53.29</c:v>
                </c:pt>
                <c:pt idx="558">
                  <c:v>53.29</c:v>
                </c:pt>
                <c:pt idx="559">
                  <c:v>53.26</c:v>
                </c:pt>
                <c:pt idx="560">
                  <c:v>53.25</c:v>
                </c:pt>
                <c:pt idx="561">
                  <c:v>53.25</c:v>
                </c:pt>
                <c:pt idx="562">
                  <c:v>53.18</c:v>
                </c:pt>
                <c:pt idx="563">
                  <c:v>53.23</c:v>
                </c:pt>
                <c:pt idx="564">
                  <c:v>53.21</c:v>
                </c:pt>
                <c:pt idx="565">
                  <c:v>53.18</c:v>
                </c:pt>
                <c:pt idx="566">
                  <c:v>53.2</c:v>
                </c:pt>
                <c:pt idx="567">
                  <c:v>53.16</c:v>
                </c:pt>
                <c:pt idx="568">
                  <c:v>53.13</c:v>
                </c:pt>
                <c:pt idx="569">
                  <c:v>53.16</c:v>
                </c:pt>
                <c:pt idx="570">
                  <c:v>53.17</c:v>
                </c:pt>
                <c:pt idx="571">
                  <c:v>53.15</c:v>
                </c:pt>
                <c:pt idx="572">
                  <c:v>53.1</c:v>
                </c:pt>
                <c:pt idx="573">
                  <c:v>53.14</c:v>
                </c:pt>
                <c:pt idx="574">
                  <c:v>53.07</c:v>
                </c:pt>
                <c:pt idx="575">
                  <c:v>53.11</c:v>
                </c:pt>
                <c:pt idx="576">
                  <c:v>53.08</c:v>
                </c:pt>
                <c:pt idx="577">
                  <c:v>53.09</c:v>
                </c:pt>
                <c:pt idx="578">
                  <c:v>53.04</c:v>
                </c:pt>
                <c:pt idx="579">
                  <c:v>53.07</c:v>
                </c:pt>
                <c:pt idx="580">
                  <c:v>53.08</c:v>
                </c:pt>
                <c:pt idx="581">
                  <c:v>53.05</c:v>
                </c:pt>
                <c:pt idx="582">
                  <c:v>53.06</c:v>
                </c:pt>
                <c:pt idx="583">
                  <c:v>53.06</c:v>
                </c:pt>
                <c:pt idx="584">
                  <c:v>53.09</c:v>
                </c:pt>
                <c:pt idx="585">
                  <c:v>53.09</c:v>
                </c:pt>
                <c:pt idx="586">
                  <c:v>53.06</c:v>
                </c:pt>
                <c:pt idx="587">
                  <c:v>53.06</c:v>
                </c:pt>
                <c:pt idx="588">
                  <c:v>53.08</c:v>
                </c:pt>
                <c:pt idx="589">
                  <c:v>53.04</c:v>
                </c:pt>
                <c:pt idx="590">
                  <c:v>53.09</c:v>
                </c:pt>
                <c:pt idx="591">
                  <c:v>53.03</c:v>
                </c:pt>
                <c:pt idx="592">
                  <c:v>53.07</c:v>
                </c:pt>
                <c:pt idx="593">
                  <c:v>52.97</c:v>
                </c:pt>
                <c:pt idx="594">
                  <c:v>53.01</c:v>
                </c:pt>
                <c:pt idx="595">
                  <c:v>53.03</c:v>
                </c:pt>
                <c:pt idx="596">
                  <c:v>53.04</c:v>
                </c:pt>
                <c:pt idx="597">
                  <c:v>53.01</c:v>
                </c:pt>
                <c:pt idx="598">
                  <c:v>52.99</c:v>
                </c:pt>
                <c:pt idx="599">
                  <c:v>53.02</c:v>
                </c:pt>
                <c:pt idx="600">
                  <c:v>53.01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0D-41E6-9137-523195D93455}"/>
            </c:ext>
          </c:extLst>
        </c:ser>
        <c:ser>
          <c:idx val="1"/>
          <c:order val="1"/>
          <c:tx>
            <c:strRef>
              <c:f>'53'!$S$1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'53'!$Q$2:$Q$602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'53'!$S$2:$S$602</c:f>
              <c:numCache>
                <c:formatCode>General</c:formatCode>
                <c:ptCount val="601"/>
                <c:pt idx="0">
                  <c:v>53</c:v>
                </c:pt>
                <c:pt idx="1">
                  <c:v>53</c:v>
                </c:pt>
                <c:pt idx="2">
                  <c:v>53</c:v>
                </c:pt>
                <c:pt idx="3">
                  <c:v>53</c:v>
                </c:pt>
                <c:pt idx="4">
                  <c:v>53</c:v>
                </c:pt>
                <c:pt idx="5">
                  <c:v>53</c:v>
                </c:pt>
                <c:pt idx="6">
                  <c:v>53</c:v>
                </c:pt>
                <c:pt idx="7">
                  <c:v>53</c:v>
                </c:pt>
                <c:pt idx="8">
                  <c:v>53</c:v>
                </c:pt>
                <c:pt idx="9">
                  <c:v>53</c:v>
                </c:pt>
                <c:pt idx="10">
                  <c:v>53</c:v>
                </c:pt>
                <c:pt idx="11">
                  <c:v>53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53</c:v>
                </c:pt>
                <c:pt idx="16">
                  <c:v>53</c:v>
                </c:pt>
                <c:pt idx="17">
                  <c:v>53</c:v>
                </c:pt>
                <c:pt idx="18">
                  <c:v>53</c:v>
                </c:pt>
                <c:pt idx="19">
                  <c:v>53</c:v>
                </c:pt>
                <c:pt idx="20">
                  <c:v>53</c:v>
                </c:pt>
                <c:pt idx="21">
                  <c:v>53</c:v>
                </c:pt>
                <c:pt idx="22">
                  <c:v>53</c:v>
                </c:pt>
                <c:pt idx="23">
                  <c:v>53</c:v>
                </c:pt>
                <c:pt idx="24">
                  <c:v>53</c:v>
                </c:pt>
                <c:pt idx="25">
                  <c:v>53</c:v>
                </c:pt>
                <c:pt idx="26">
                  <c:v>53</c:v>
                </c:pt>
                <c:pt idx="27">
                  <c:v>53</c:v>
                </c:pt>
                <c:pt idx="28">
                  <c:v>53</c:v>
                </c:pt>
                <c:pt idx="29">
                  <c:v>53</c:v>
                </c:pt>
                <c:pt idx="30">
                  <c:v>53</c:v>
                </c:pt>
                <c:pt idx="31">
                  <c:v>53</c:v>
                </c:pt>
                <c:pt idx="32">
                  <c:v>53</c:v>
                </c:pt>
                <c:pt idx="33">
                  <c:v>53</c:v>
                </c:pt>
                <c:pt idx="34">
                  <c:v>53</c:v>
                </c:pt>
                <c:pt idx="35">
                  <c:v>53</c:v>
                </c:pt>
                <c:pt idx="36">
                  <c:v>53</c:v>
                </c:pt>
                <c:pt idx="37">
                  <c:v>53</c:v>
                </c:pt>
                <c:pt idx="38">
                  <c:v>53</c:v>
                </c:pt>
                <c:pt idx="39">
                  <c:v>53</c:v>
                </c:pt>
                <c:pt idx="40">
                  <c:v>53</c:v>
                </c:pt>
                <c:pt idx="41">
                  <c:v>53</c:v>
                </c:pt>
                <c:pt idx="42">
                  <c:v>53</c:v>
                </c:pt>
                <c:pt idx="43">
                  <c:v>53</c:v>
                </c:pt>
                <c:pt idx="44">
                  <c:v>53</c:v>
                </c:pt>
                <c:pt idx="45">
                  <c:v>53</c:v>
                </c:pt>
                <c:pt idx="46">
                  <c:v>53</c:v>
                </c:pt>
                <c:pt idx="47">
                  <c:v>53</c:v>
                </c:pt>
                <c:pt idx="48">
                  <c:v>53</c:v>
                </c:pt>
                <c:pt idx="49">
                  <c:v>53</c:v>
                </c:pt>
                <c:pt idx="50">
                  <c:v>53</c:v>
                </c:pt>
                <c:pt idx="51">
                  <c:v>53</c:v>
                </c:pt>
                <c:pt idx="52">
                  <c:v>53</c:v>
                </c:pt>
                <c:pt idx="53">
                  <c:v>53</c:v>
                </c:pt>
                <c:pt idx="54">
                  <c:v>53</c:v>
                </c:pt>
                <c:pt idx="55">
                  <c:v>53</c:v>
                </c:pt>
                <c:pt idx="56">
                  <c:v>53</c:v>
                </c:pt>
                <c:pt idx="57">
                  <c:v>53</c:v>
                </c:pt>
                <c:pt idx="58">
                  <c:v>53</c:v>
                </c:pt>
                <c:pt idx="59">
                  <c:v>53</c:v>
                </c:pt>
                <c:pt idx="60">
                  <c:v>53</c:v>
                </c:pt>
                <c:pt idx="61">
                  <c:v>53</c:v>
                </c:pt>
                <c:pt idx="62">
                  <c:v>53</c:v>
                </c:pt>
                <c:pt idx="63">
                  <c:v>53</c:v>
                </c:pt>
                <c:pt idx="64">
                  <c:v>53</c:v>
                </c:pt>
                <c:pt idx="65">
                  <c:v>53</c:v>
                </c:pt>
                <c:pt idx="66">
                  <c:v>53</c:v>
                </c:pt>
                <c:pt idx="67">
                  <c:v>53</c:v>
                </c:pt>
                <c:pt idx="68">
                  <c:v>53</c:v>
                </c:pt>
                <c:pt idx="69">
                  <c:v>53</c:v>
                </c:pt>
                <c:pt idx="70">
                  <c:v>53</c:v>
                </c:pt>
                <c:pt idx="71">
                  <c:v>53</c:v>
                </c:pt>
                <c:pt idx="72">
                  <c:v>53</c:v>
                </c:pt>
                <c:pt idx="73">
                  <c:v>53</c:v>
                </c:pt>
                <c:pt idx="74">
                  <c:v>53</c:v>
                </c:pt>
                <c:pt idx="75">
                  <c:v>53</c:v>
                </c:pt>
                <c:pt idx="76">
                  <c:v>53</c:v>
                </c:pt>
                <c:pt idx="77">
                  <c:v>53</c:v>
                </c:pt>
                <c:pt idx="78">
                  <c:v>53</c:v>
                </c:pt>
                <c:pt idx="79">
                  <c:v>53</c:v>
                </c:pt>
                <c:pt idx="80">
                  <c:v>53</c:v>
                </c:pt>
                <c:pt idx="81">
                  <c:v>53</c:v>
                </c:pt>
                <c:pt idx="82">
                  <c:v>53</c:v>
                </c:pt>
                <c:pt idx="83">
                  <c:v>53</c:v>
                </c:pt>
                <c:pt idx="84">
                  <c:v>53</c:v>
                </c:pt>
                <c:pt idx="85">
                  <c:v>53</c:v>
                </c:pt>
                <c:pt idx="86">
                  <c:v>53</c:v>
                </c:pt>
                <c:pt idx="87">
                  <c:v>53</c:v>
                </c:pt>
                <c:pt idx="88">
                  <c:v>53</c:v>
                </c:pt>
                <c:pt idx="89">
                  <c:v>53</c:v>
                </c:pt>
                <c:pt idx="90">
                  <c:v>53</c:v>
                </c:pt>
                <c:pt idx="91">
                  <c:v>53</c:v>
                </c:pt>
                <c:pt idx="92">
                  <c:v>53</c:v>
                </c:pt>
                <c:pt idx="93">
                  <c:v>53</c:v>
                </c:pt>
                <c:pt idx="94">
                  <c:v>53</c:v>
                </c:pt>
                <c:pt idx="95">
                  <c:v>53</c:v>
                </c:pt>
                <c:pt idx="96">
                  <c:v>53</c:v>
                </c:pt>
                <c:pt idx="97">
                  <c:v>53</c:v>
                </c:pt>
                <c:pt idx="98">
                  <c:v>53</c:v>
                </c:pt>
                <c:pt idx="99">
                  <c:v>53</c:v>
                </c:pt>
                <c:pt idx="100">
                  <c:v>53</c:v>
                </c:pt>
                <c:pt idx="101">
                  <c:v>53</c:v>
                </c:pt>
                <c:pt idx="102">
                  <c:v>53</c:v>
                </c:pt>
                <c:pt idx="103">
                  <c:v>53</c:v>
                </c:pt>
                <c:pt idx="104">
                  <c:v>53</c:v>
                </c:pt>
                <c:pt idx="105">
                  <c:v>53</c:v>
                </c:pt>
                <c:pt idx="106">
                  <c:v>53</c:v>
                </c:pt>
                <c:pt idx="107">
                  <c:v>53</c:v>
                </c:pt>
                <c:pt idx="108">
                  <c:v>53</c:v>
                </c:pt>
                <c:pt idx="109">
                  <c:v>53</c:v>
                </c:pt>
                <c:pt idx="110">
                  <c:v>53</c:v>
                </c:pt>
                <c:pt idx="111">
                  <c:v>53</c:v>
                </c:pt>
                <c:pt idx="112">
                  <c:v>53</c:v>
                </c:pt>
                <c:pt idx="113">
                  <c:v>53</c:v>
                </c:pt>
                <c:pt idx="114">
                  <c:v>53</c:v>
                </c:pt>
                <c:pt idx="115">
                  <c:v>53</c:v>
                </c:pt>
                <c:pt idx="116">
                  <c:v>53</c:v>
                </c:pt>
                <c:pt idx="117">
                  <c:v>53</c:v>
                </c:pt>
                <c:pt idx="118">
                  <c:v>53</c:v>
                </c:pt>
                <c:pt idx="119">
                  <c:v>53</c:v>
                </c:pt>
                <c:pt idx="120">
                  <c:v>53</c:v>
                </c:pt>
                <c:pt idx="121">
                  <c:v>53</c:v>
                </c:pt>
                <c:pt idx="122">
                  <c:v>53</c:v>
                </c:pt>
                <c:pt idx="123">
                  <c:v>53</c:v>
                </c:pt>
                <c:pt idx="124">
                  <c:v>53</c:v>
                </c:pt>
                <c:pt idx="125">
                  <c:v>53</c:v>
                </c:pt>
                <c:pt idx="126">
                  <c:v>53</c:v>
                </c:pt>
                <c:pt idx="127">
                  <c:v>53</c:v>
                </c:pt>
                <c:pt idx="128">
                  <c:v>53</c:v>
                </c:pt>
                <c:pt idx="129">
                  <c:v>53</c:v>
                </c:pt>
                <c:pt idx="130">
                  <c:v>53</c:v>
                </c:pt>
                <c:pt idx="131">
                  <c:v>53</c:v>
                </c:pt>
                <c:pt idx="132">
                  <c:v>53</c:v>
                </c:pt>
                <c:pt idx="133">
                  <c:v>53</c:v>
                </c:pt>
                <c:pt idx="134">
                  <c:v>53</c:v>
                </c:pt>
                <c:pt idx="135">
                  <c:v>53</c:v>
                </c:pt>
                <c:pt idx="136">
                  <c:v>53</c:v>
                </c:pt>
                <c:pt idx="137">
                  <c:v>53</c:v>
                </c:pt>
                <c:pt idx="138">
                  <c:v>53</c:v>
                </c:pt>
                <c:pt idx="139">
                  <c:v>53</c:v>
                </c:pt>
                <c:pt idx="140">
                  <c:v>53</c:v>
                </c:pt>
                <c:pt idx="141">
                  <c:v>53</c:v>
                </c:pt>
                <c:pt idx="142">
                  <c:v>53</c:v>
                </c:pt>
                <c:pt idx="143">
                  <c:v>53</c:v>
                </c:pt>
                <c:pt idx="144">
                  <c:v>53</c:v>
                </c:pt>
                <c:pt idx="145">
                  <c:v>53</c:v>
                </c:pt>
                <c:pt idx="146">
                  <c:v>53</c:v>
                </c:pt>
                <c:pt idx="147">
                  <c:v>53</c:v>
                </c:pt>
                <c:pt idx="148">
                  <c:v>53</c:v>
                </c:pt>
                <c:pt idx="149">
                  <c:v>53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53</c:v>
                </c:pt>
                <c:pt idx="163">
                  <c:v>53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53</c:v>
                </c:pt>
                <c:pt idx="172">
                  <c:v>53</c:v>
                </c:pt>
                <c:pt idx="173">
                  <c:v>53</c:v>
                </c:pt>
                <c:pt idx="174">
                  <c:v>53</c:v>
                </c:pt>
                <c:pt idx="175">
                  <c:v>53</c:v>
                </c:pt>
                <c:pt idx="176">
                  <c:v>53</c:v>
                </c:pt>
                <c:pt idx="177">
                  <c:v>53</c:v>
                </c:pt>
                <c:pt idx="178">
                  <c:v>53</c:v>
                </c:pt>
                <c:pt idx="179">
                  <c:v>53</c:v>
                </c:pt>
                <c:pt idx="180">
                  <c:v>53</c:v>
                </c:pt>
                <c:pt idx="181">
                  <c:v>53</c:v>
                </c:pt>
                <c:pt idx="182">
                  <c:v>53</c:v>
                </c:pt>
                <c:pt idx="183">
                  <c:v>53</c:v>
                </c:pt>
                <c:pt idx="184">
                  <c:v>53</c:v>
                </c:pt>
                <c:pt idx="185">
                  <c:v>53</c:v>
                </c:pt>
                <c:pt idx="186">
                  <c:v>53</c:v>
                </c:pt>
                <c:pt idx="187">
                  <c:v>53</c:v>
                </c:pt>
                <c:pt idx="188">
                  <c:v>53</c:v>
                </c:pt>
                <c:pt idx="189">
                  <c:v>53</c:v>
                </c:pt>
                <c:pt idx="190">
                  <c:v>53</c:v>
                </c:pt>
                <c:pt idx="191">
                  <c:v>53</c:v>
                </c:pt>
                <c:pt idx="192">
                  <c:v>53</c:v>
                </c:pt>
                <c:pt idx="193">
                  <c:v>53</c:v>
                </c:pt>
                <c:pt idx="194">
                  <c:v>53</c:v>
                </c:pt>
                <c:pt idx="195">
                  <c:v>53</c:v>
                </c:pt>
                <c:pt idx="196">
                  <c:v>53</c:v>
                </c:pt>
                <c:pt idx="197">
                  <c:v>53</c:v>
                </c:pt>
                <c:pt idx="198">
                  <c:v>53</c:v>
                </c:pt>
                <c:pt idx="199">
                  <c:v>53</c:v>
                </c:pt>
                <c:pt idx="200">
                  <c:v>53</c:v>
                </c:pt>
                <c:pt idx="201">
                  <c:v>53</c:v>
                </c:pt>
                <c:pt idx="202">
                  <c:v>53</c:v>
                </c:pt>
                <c:pt idx="203">
                  <c:v>53</c:v>
                </c:pt>
                <c:pt idx="204">
                  <c:v>53</c:v>
                </c:pt>
                <c:pt idx="205">
                  <c:v>53</c:v>
                </c:pt>
                <c:pt idx="206">
                  <c:v>53</c:v>
                </c:pt>
                <c:pt idx="207">
                  <c:v>53</c:v>
                </c:pt>
                <c:pt idx="208">
                  <c:v>53</c:v>
                </c:pt>
                <c:pt idx="209">
                  <c:v>53</c:v>
                </c:pt>
                <c:pt idx="210">
                  <c:v>53</c:v>
                </c:pt>
                <c:pt idx="211">
                  <c:v>53</c:v>
                </c:pt>
                <c:pt idx="212">
                  <c:v>53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53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53</c:v>
                </c:pt>
                <c:pt idx="223">
                  <c:v>53</c:v>
                </c:pt>
                <c:pt idx="224">
                  <c:v>53</c:v>
                </c:pt>
                <c:pt idx="225">
                  <c:v>53</c:v>
                </c:pt>
                <c:pt idx="226">
                  <c:v>53</c:v>
                </c:pt>
                <c:pt idx="227">
                  <c:v>53</c:v>
                </c:pt>
                <c:pt idx="228">
                  <c:v>53</c:v>
                </c:pt>
                <c:pt idx="229">
                  <c:v>53</c:v>
                </c:pt>
                <c:pt idx="230">
                  <c:v>53</c:v>
                </c:pt>
                <c:pt idx="231">
                  <c:v>53</c:v>
                </c:pt>
                <c:pt idx="232">
                  <c:v>53</c:v>
                </c:pt>
                <c:pt idx="233">
                  <c:v>53</c:v>
                </c:pt>
                <c:pt idx="234">
                  <c:v>53</c:v>
                </c:pt>
                <c:pt idx="235">
                  <c:v>53</c:v>
                </c:pt>
                <c:pt idx="236">
                  <c:v>53</c:v>
                </c:pt>
                <c:pt idx="237">
                  <c:v>53</c:v>
                </c:pt>
                <c:pt idx="238">
                  <c:v>53</c:v>
                </c:pt>
                <c:pt idx="239">
                  <c:v>53</c:v>
                </c:pt>
                <c:pt idx="240">
                  <c:v>53</c:v>
                </c:pt>
                <c:pt idx="241">
                  <c:v>53</c:v>
                </c:pt>
                <c:pt idx="242">
                  <c:v>53</c:v>
                </c:pt>
                <c:pt idx="243">
                  <c:v>53</c:v>
                </c:pt>
                <c:pt idx="244">
                  <c:v>53</c:v>
                </c:pt>
                <c:pt idx="245">
                  <c:v>53</c:v>
                </c:pt>
                <c:pt idx="246">
                  <c:v>53</c:v>
                </c:pt>
                <c:pt idx="247">
                  <c:v>53</c:v>
                </c:pt>
                <c:pt idx="248">
                  <c:v>53</c:v>
                </c:pt>
                <c:pt idx="249">
                  <c:v>53</c:v>
                </c:pt>
                <c:pt idx="250">
                  <c:v>53</c:v>
                </c:pt>
                <c:pt idx="251">
                  <c:v>53</c:v>
                </c:pt>
                <c:pt idx="252">
                  <c:v>53</c:v>
                </c:pt>
                <c:pt idx="253">
                  <c:v>53</c:v>
                </c:pt>
                <c:pt idx="254">
                  <c:v>53</c:v>
                </c:pt>
                <c:pt idx="255">
                  <c:v>53</c:v>
                </c:pt>
                <c:pt idx="256">
                  <c:v>53</c:v>
                </c:pt>
                <c:pt idx="257">
                  <c:v>53</c:v>
                </c:pt>
                <c:pt idx="258">
                  <c:v>53</c:v>
                </c:pt>
                <c:pt idx="259">
                  <c:v>53</c:v>
                </c:pt>
                <c:pt idx="260">
                  <c:v>53</c:v>
                </c:pt>
                <c:pt idx="261">
                  <c:v>53</c:v>
                </c:pt>
                <c:pt idx="262">
                  <c:v>53</c:v>
                </c:pt>
                <c:pt idx="263">
                  <c:v>53</c:v>
                </c:pt>
                <c:pt idx="264">
                  <c:v>53</c:v>
                </c:pt>
                <c:pt idx="265">
                  <c:v>53</c:v>
                </c:pt>
                <c:pt idx="266">
                  <c:v>53</c:v>
                </c:pt>
                <c:pt idx="267">
                  <c:v>53</c:v>
                </c:pt>
                <c:pt idx="268">
                  <c:v>53</c:v>
                </c:pt>
                <c:pt idx="269">
                  <c:v>53</c:v>
                </c:pt>
                <c:pt idx="270">
                  <c:v>53</c:v>
                </c:pt>
                <c:pt idx="271">
                  <c:v>53</c:v>
                </c:pt>
                <c:pt idx="272">
                  <c:v>53</c:v>
                </c:pt>
                <c:pt idx="273">
                  <c:v>53</c:v>
                </c:pt>
                <c:pt idx="274">
                  <c:v>53</c:v>
                </c:pt>
                <c:pt idx="275">
                  <c:v>53</c:v>
                </c:pt>
                <c:pt idx="276">
                  <c:v>53</c:v>
                </c:pt>
                <c:pt idx="277">
                  <c:v>53</c:v>
                </c:pt>
                <c:pt idx="278">
                  <c:v>53</c:v>
                </c:pt>
                <c:pt idx="279">
                  <c:v>53</c:v>
                </c:pt>
                <c:pt idx="280">
                  <c:v>53</c:v>
                </c:pt>
                <c:pt idx="281">
                  <c:v>53</c:v>
                </c:pt>
                <c:pt idx="282">
                  <c:v>53</c:v>
                </c:pt>
                <c:pt idx="283">
                  <c:v>53</c:v>
                </c:pt>
                <c:pt idx="284">
                  <c:v>53</c:v>
                </c:pt>
                <c:pt idx="285">
                  <c:v>53</c:v>
                </c:pt>
                <c:pt idx="286">
                  <c:v>53</c:v>
                </c:pt>
                <c:pt idx="287">
                  <c:v>53</c:v>
                </c:pt>
                <c:pt idx="288">
                  <c:v>53</c:v>
                </c:pt>
                <c:pt idx="289">
                  <c:v>53</c:v>
                </c:pt>
                <c:pt idx="290">
                  <c:v>53</c:v>
                </c:pt>
                <c:pt idx="291">
                  <c:v>53</c:v>
                </c:pt>
                <c:pt idx="292">
                  <c:v>53</c:v>
                </c:pt>
                <c:pt idx="293">
                  <c:v>53</c:v>
                </c:pt>
                <c:pt idx="294">
                  <c:v>53</c:v>
                </c:pt>
                <c:pt idx="295">
                  <c:v>53</c:v>
                </c:pt>
                <c:pt idx="296">
                  <c:v>53</c:v>
                </c:pt>
                <c:pt idx="297">
                  <c:v>53</c:v>
                </c:pt>
                <c:pt idx="298">
                  <c:v>53</c:v>
                </c:pt>
                <c:pt idx="299">
                  <c:v>53</c:v>
                </c:pt>
                <c:pt idx="300">
                  <c:v>53</c:v>
                </c:pt>
                <c:pt idx="301">
                  <c:v>53</c:v>
                </c:pt>
                <c:pt idx="302">
                  <c:v>53</c:v>
                </c:pt>
                <c:pt idx="303">
                  <c:v>53</c:v>
                </c:pt>
                <c:pt idx="304">
                  <c:v>53</c:v>
                </c:pt>
                <c:pt idx="305">
                  <c:v>53</c:v>
                </c:pt>
                <c:pt idx="306">
                  <c:v>53</c:v>
                </c:pt>
                <c:pt idx="307">
                  <c:v>53</c:v>
                </c:pt>
                <c:pt idx="308">
                  <c:v>53</c:v>
                </c:pt>
                <c:pt idx="309">
                  <c:v>53</c:v>
                </c:pt>
                <c:pt idx="310">
                  <c:v>53</c:v>
                </c:pt>
                <c:pt idx="311">
                  <c:v>53</c:v>
                </c:pt>
                <c:pt idx="312">
                  <c:v>53</c:v>
                </c:pt>
                <c:pt idx="313">
                  <c:v>53</c:v>
                </c:pt>
                <c:pt idx="314">
                  <c:v>53</c:v>
                </c:pt>
                <c:pt idx="315">
                  <c:v>53</c:v>
                </c:pt>
                <c:pt idx="316">
                  <c:v>53</c:v>
                </c:pt>
                <c:pt idx="317">
                  <c:v>53</c:v>
                </c:pt>
                <c:pt idx="318">
                  <c:v>53</c:v>
                </c:pt>
                <c:pt idx="319">
                  <c:v>53</c:v>
                </c:pt>
                <c:pt idx="320">
                  <c:v>53</c:v>
                </c:pt>
                <c:pt idx="321">
                  <c:v>53</c:v>
                </c:pt>
                <c:pt idx="322">
                  <c:v>53</c:v>
                </c:pt>
                <c:pt idx="323">
                  <c:v>53</c:v>
                </c:pt>
                <c:pt idx="324">
                  <c:v>53</c:v>
                </c:pt>
                <c:pt idx="325">
                  <c:v>53</c:v>
                </c:pt>
                <c:pt idx="326">
                  <c:v>53</c:v>
                </c:pt>
                <c:pt idx="327">
                  <c:v>53</c:v>
                </c:pt>
                <c:pt idx="328">
                  <c:v>53</c:v>
                </c:pt>
                <c:pt idx="329">
                  <c:v>53</c:v>
                </c:pt>
                <c:pt idx="330">
                  <c:v>53</c:v>
                </c:pt>
                <c:pt idx="331">
                  <c:v>53</c:v>
                </c:pt>
                <c:pt idx="332">
                  <c:v>53</c:v>
                </c:pt>
                <c:pt idx="333">
                  <c:v>53</c:v>
                </c:pt>
                <c:pt idx="334">
                  <c:v>53</c:v>
                </c:pt>
                <c:pt idx="335">
                  <c:v>53</c:v>
                </c:pt>
                <c:pt idx="336">
                  <c:v>53</c:v>
                </c:pt>
                <c:pt idx="337">
                  <c:v>53</c:v>
                </c:pt>
                <c:pt idx="338">
                  <c:v>53</c:v>
                </c:pt>
                <c:pt idx="339">
                  <c:v>53</c:v>
                </c:pt>
                <c:pt idx="340">
                  <c:v>53</c:v>
                </c:pt>
                <c:pt idx="341">
                  <c:v>53</c:v>
                </c:pt>
                <c:pt idx="342">
                  <c:v>53</c:v>
                </c:pt>
                <c:pt idx="343">
                  <c:v>53</c:v>
                </c:pt>
                <c:pt idx="344">
                  <c:v>53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53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</c:v>
                </c:pt>
                <c:pt idx="353">
                  <c:v>53</c:v>
                </c:pt>
                <c:pt idx="354">
                  <c:v>53</c:v>
                </c:pt>
                <c:pt idx="355">
                  <c:v>53</c:v>
                </c:pt>
                <c:pt idx="356">
                  <c:v>53</c:v>
                </c:pt>
                <c:pt idx="357">
                  <c:v>53</c:v>
                </c:pt>
                <c:pt idx="358">
                  <c:v>53</c:v>
                </c:pt>
                <c:pt idx="359">
                  <c:v>53</c:v>
                </c:pt>
                <c:pt idx="360">
                  <c:v>53</c:v>
                </c:pt>
                <c:pt idx="361">
                  <c:v>53</c:v>
                </c:pt>
                <c:pt idx="362">
                  <c:v>53</c:v>
                </c:pt>
                <c:pt idx="363">
                  <c:v>53</c:v>
                </c:pt>
                <c:pt idx="364">
                  <c:v>53</c:v>
                </c:pt>
                <c:pt idx="365">
                  <c:v>53</c:v>
                </c:pt>
                <c:pt idx="366">
                  <c:v>53</c:v>
                </c:pt>
                <c:pt idx="367">
                  <c:v>53</c:v>
                </c:pt>
                <c:pt idx="368">
                  <c:v>53</c:v>
                </c:pt>
                <c:pt idx="369">
                  <c:v>53</c:v>
                </c:pt>
                <c:pt idx="370">
                  <c:v>53</c:v>
                </c:pt>
                <c:pt idx="371">
                  <c:v>53</c:v>
                </c:pt>
                <c:pt idx="372">
                  <c:v>53</c:v>
                </c:pt>
                <c:pt idx="373">
                  <c:v>53</c:v>
                </c:pt>
                <c:pt idx="374">
                  <c:v>53</c:v>
                </c:pt>
                <c:pt idx="375">
                  <c:v>53</c:v>
                </c:pt>
                <c:pt idx="376">
                  <c:v>53</c:v>
                </c:pt>
                <c:pt idx="377">
                  <c:v>53</c:v>
                </c:pt>
                <c:pt idx="378">
                  <c:v>53</c:v>
                </c:pt>
                <c:pt idx="379">
                  <c:v>53</c:v>
                </c:pt>
                <c:pt idx="380">
                  <c:v>53</c:v>
                </c:pt>
                <c:pt idx="381">
                  <c:v>53</c:v>
                </c:pt>
                <c:pt idx="382">
                  <c:v>53</c:v>
                </c:pt>
                <c:pt idx="383">
                  <c:v>53</c:v>
                </c:pt>
                <c:pt idx="384">
                  <c:v>53</c:v>
                </c:pt>
                <c:pt idx="385">
                  <c:v>53</c:v>
                </c:pt>
                <c:pt idx="386">
                  <c:v>53</c:v>
                </c:pt>
                <c:pt idx="387">
                  <c:v>53</c:v>
                </c:pt>
                <c:pt idx="388">
                  <c:v>53</c:v>
                </c:pt>
                <c:pt idx="389">
                  <c:v>53</c:v>
                </c:pt>
                <c:pt idx="390">
                  <c:v>53</c:v>
                </c:pt>
                <c:pt idx="391">
                  <c:v>53</c:v>
                </c:pt>
                <c:pt idx="392">
                  <c:v>53</c:v>
                </c:pt>
                <c:pt idx="393">
                  <c:v>53</c:v>
                </c:pt>
                <c:pt idx="394">
                  <c:v>53</c:v>
                </c:pt>
                <c:pt idx="395">
                  <c:v>53</c:v>
                </c:pt>
                <c:pt idx="396">
                  <c:v>53</c:v>
                </c:pt>
                <c:pt idx="397">
                  <c:v>53</c:v>
                </c:pt>
                <c:pt idx="398">
                  <c:v>53</c:v>
                </c:pt>
                <c:pt idx="399">
                  <c:v>53</c:v>
                </c:pt>
                <c:pt idx="400">
                  <c:v>53</c:v>
                </c:pt>
                <c:pt idx="401">
                  <c:v>53</c:v>
                </c:pt>
                <c:pt idx="402">
                  <c:v>53</c:v>
                </c:pt>
                <c:pt idx="403">
                  <c:v>53</c:v>
                </c:pt>
                <c:pt idx="404">
                  <c:v>53</c:v>
                </c:pt>
                <c:pt idx="405">
                  <c:v>53</c:v>
                </c:pt>
                <c:pt idx="406">
                  <c:v>53</c:v>
                </c:pt>
                <c:pt idx="407">
                  <c:v>53</c:v>
                </c:pt>
                <c:pt idx="408">
                  <c:v>53</c:v>
                </c:pt>
                <c:pt idx="409">
                  <c:v>53</c:v>
                </c:pt>
                <c:pt idx="410">
                  <c:v>53</c:v>
                </c:pt>
                <c:pt idx="411">
                  <c:v>53</c:v>
                </c:pt>
                <c:pt idx="412">
                  <c:v>53</c:v>
                </c:pt>
                <c:pt idx="413">
                  <c:v>53</c:v>
                </c:pt>
                <c:pt idx="414">
                  <c:v>53</c:v>
                </c:pt>
                <c:pt idx="415">
                  <c:v>53</c:v>
                </c:pt>
                <c:pt idx="416">
                  <c:v>53</c:v>
                </c:pt>
                <c:pt idx="417">
                  <c:v>53</c:v>
                </c:pt>
                <c:pt idx="418">
                  <c:v>53</c:v>
                </c:pt>
                <c:pt idx="419">
                  <c:v>53</c:v>
                </c:pt>
                <c:pt idx="420">
                  <c:v>53</c:v>
                </c:pt>
                <c:pt idx="421">
                  <c:v>53</c:v>
                </c:pt>
                <c:pt idx="422">
                  <c:v>53</c:v>
                </c:pt>
                <c:pt idx="423">
                  <c:v>53</c:v>
                </c:pt>
                <c:pt idx="424">
                  <c:v>53</c:v>
                </c:pt>
                <c:pt idx="425">
                  <c:v>53</c:v>
                </c:pt>
                <c:pt idx="426">
                  <c:v>53</c:v>
                </c:pt>
                <c:pt idx="427">
                  <c:v>53</c:v>
                </c:pt>
                <c:pt idx="428">
                  <c:v>53</c:v>
                </c:pt>
                <c:pt idx="429">
                  <c:v>53</c:v>
                </c:pt>
                <c:pt idx="430">
                  <c:v>53</c:v>
                </c:pt>
                <c:pt idx="431">
                  <c:v>53</c:v>
                </c:pt>
                <c:pt idx="432">
                  <c:v>53</c:v>
                </c:pt>
                <c:pt idx="433">
                  <c:v>53</c:v>
                </c:pt>
                <c:pt idx="434">
                  <c:v>53</c:v>
                </c:pt>
                <c:pt idx="435">
                  <c:v>53</c:v>
                </c:pt>
                <c:pt idx="436">
                  <c:v>53</c:v>
                </c:pt>
                <c:pt idx="437">
                  <c:v>53</c:v>
                </c:pt>
                <c:pt idx="438">
                  <c:v>53</c:v>
                </c:pt>
                <c:pt idx="439">
                  <c:v>53</c:v>
                </c:pt>
                <c:pt idx="440">
                  <c:v>53</c:v>
                </c:pt>
                <c:pt idx="441">
                  <c:v>53</c:v>
                </c:pt>
                <c:pt idx="442">
                  <c:v>53</c:v>
                </c:pt>
                <c:pt idx="443">
                  <c:v>53</c:v>
                </c:pt>
                <c:pt idx="444">
                  <c:v>53</c:v>
                </c:pt>
                <c:pt idx="445">
                  <c:v>53</c:v>
                </c:pt>
                <c:pt idx="446">
                  <c:v>53</c:v>
                </c:pt>
                <c:pt idx="447">
                  <c:v>53</c:v>
                </c:pt>
                <c:pt idx="448">
                  <c:v>53</c:v>
                </c:pt>
                <c:pt idx="449">
                  <c:v>53</c:v>
                </c:pt>
                <c:pt idx="450">
                  <c:v>53</c:v>
                </c:pt>
                <c:pt idx="451">
                  <c:v>53</c:v>
                </c:pt>
                <c:pt idx="452">
                  <c:v>53</c:v>
                </c:pt>
                <c:pt idx="453">
                  <c:v>53</c:v>
                </c:pt>
                <c:pt idx="454">
                  <c:v>53</c:v>
                </c:pt>
                <c:pt idx="455">
                  <c:v>53</c:v>
                </c:pt>
                <c:pt idx="456">
                  <c:v>53</c:v>
                </c:pt>
                <c:pt idx="457">
                  <c:v>53</c:v>
                </c:pt>
                <c:pt idx="458">
                  <c:v>53</c:v>
                </c:pt>
                <c:pt idx="459">
                  <c:v>53</c:v>
                </c:pt>
                <c:pt idx="460">
                  <c:v>53</c:v>
                </c:pt>
                <c:pt idx="461">
                  <c:v>53</c:v>
                </c:pt>
                <c:pt idx="462">
                  <c:v>53</c:v>
                </c:pt>
                <c:pt idx="463">
                  <c:v>53</c:v>
                </c:pt>
                <c:pt idx="464">
                  <c:v>53</c:v>
                </c:pt>
                <c:pt idx="465">
                  <c:v>53</c:v>
                </c:pt>
                <c:pt idx="466">
                  <c:v>53</c:v>
                </c:pt>
                <c:pt idx="467">
                  <c:v>53</c:v>
                </c:pt>
                <c:pt idx="468">
                  <c:v>53</c:v>
                </c:pt>
                <c:pt idx="469">
                  <c:v>53</c:v>
                </c:pt>
                <c:pt idx="470">
                  <c:v>53</c:v>
                </c:pt>
                <c:pt idx="471">
                  <c:v>53</c:v>
                </c:pt>
                <c:pt idx="472">
                  <c:v>53</c:v>
                </c:pt>
                <c:pt idx="473">
                  <c:v>53</c:v>
                </c:pt>
                <c:pt idx="474">
                  <c:v>53</c:v>
                </c:pt>
                <c:pt idx="475">
                  <c:v>53</c:v>
                </c:pt>
                <c:pt idx="476">
                  <c:v>53</c:v>
                </c:pt>
                <c:pt idx="477">
                  <c:v>53</c:v>
                </c:pt>
                <c:pt idx="478">
                  <c:v>53</c:v>
                </c:pt>
                <c:pt idx="479">
                  <c:v>53</c:v>
                </c:pt>
                <c:pt idx="480">
                  <c:v>53</c:v>
                </c:pt>
                <c:pt idx="481">
                  <c:v>53</c:v>
                </c:pt>
                <c:pt idx="482">
                  <c:v>53</c:v>
                </c:pt>
                <c:pt idx="483">
                  <c:v>53</c:v>
                </c:pt>
                <c:pt idx="484">
                  <c:v>53</c:v>
                </c:pt>
                <c:pt idx="485">
                  <c:v>53</c:v>
                </c:pt>
                <c:pt idx="486">
                  <c:v>53</c:v>
                </c:pt>
                <c:pt idx="487">
                  <c:v>53</c:v>
                </c:pt>
                <c:pt idx="488">
                  <c:v>53</c:v>
                </c:pt>
                <c:pt idx="489">
                  <c:v>53</c:v>
                </c:pt>
                <c:pt idx="490">
                  <c:v>53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53</c:v>
                </c:pt>
                <c:pt idx="497">
                  <c:v>53</c:v>
                </c:pt>
                <c:pt idx="498">
                  <c:v>53</c:v>
                </c:pt>
                <c:pt idx="499">
                  <c:v>53</c:v>
                </c:pt>
                <c:pt idx="500">
                  <c:v>53</c:v>
                </c:pt>
                <c:pt idx="501">
                  <c:v>53</c:v>
                </c:pt>
                <c:pt idx="502">
                  <c:v>53</c:v>
                </c:pt>
                <c:pt idx="503">
                  <c:v>53</c:v>
                </c:pt>
                <c:pt idx="504">
                  <c:v>53</c:v>
                </c:pt>
                <c:pt idx="505">
                  <c:v>53</c:v>
                </c:pt>
                <c:pt idx="506">
                  <c:v>53</c:v>
                </c:pt>
                <c:pt idx="507">
                  <c:v>53</c:v>
                </c:pt>
                <c:pt idx="508">
                  <c:v>53</c:v>
                </c:pt>
                <c:pt idx="509">
                  <c:v>53</c:v>
                </c:pt>
                <c:pt idx="510">
                  <c:v>53</c:v>
                </c:pt>
                <c:pt idx="511">
                  <c:v>53</c:v>
                </c:pt>
                <c:pt idx="512">
                  <c:v>53</c:v>
                </c:pt>
                <c:pt idx="513">
                  <c:v>53</c:v>
                </c:pt>
                <c:pt idx="514">
                  <c:v>53</c:v>
                </c:pt>
                <c:pt idx="515">
                  <c:v>53</c:v>
                </c:pt>
                <c:pt idx="516">
                  <c:v>53</c:v>
                </c:pt>
                <c:pt idx="517">
                  <c:v>53</c:v>
                </c:pt>
                <c:pt idx="518">
                  <c:v>53</c:v>
                </c:pt>
                <c:pt idx="519">
                  <c:v>53</c:v>
                </c:pt>
                <c:pt idx="520">
                  <c:v>53</c:v>
                </c:pt>
                <c:pt idx="521">
                  <c:v>53</c:v>
                </c:pt>
                <c:pt idx="522">
                  <c:v>53</c:v>
                </c:pt>
                <c:pt idx="523">
                  <c:v>53</c:v>
                </c:pt>
                <c:pt idx="524">
                  <c:v>53</c:v>
                </c:pt>
                <c:pt idx="525">
                  <c:v>53</c:v>
                </c:pt>
                <c:pt idx="526">
                  <c:v>53</c:v>
                </c:pt>
                <c:pt idx="527">
                  <c:v>53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</c:v>
                </c:pt>
                <c:pt idx="534">
                  <c:v>53</c:v>
                </c:pt>
                <c:pt idx="535">
                  <c:v>53</c:v>
                </c:pt>
                <c:pt idx="536">
                  <c:v>53</c:v>
                </c:pt>
                <c:pt idx="537">
                  <c:v>53</c:v>
                </c:pt>
                <c:pt idx="538">
                  <c:v>53</c:v>
                </c:pt>
                <c:pt idx="539">
                  <c:v>53</c:v>
                </c:pt>
                <c:pt idx="540">
                  <c:v>53</c:v>
                </c:pt>
                <c:pt idx="541">
                  <c:v>53</c:v>
                </c:pt>
                <c:pt idx="542">
                  <c:v>53</c:v>
                </c:pt>
                <c:pt idx="543">
                  <c:v>53</c:v>
                </c:pt>
                <c:pt idx="544">
                  <c:v>53</c:v>
                </c:pt>
                <c:pt idx="545">
                  <c:v>53</c:v>
                </c:pt>
                <c:pt idx="546">
                  <c:v>53</c:v>
                </c:pt>
                <c:pt idx="547">
                  <c:v>53</c:v>
                </c:pt>
                <c:pt idx="548">
                  <c:v>53</c:v>
                </c:pt>
                <c:pt idx="549">
                  <c:v>53</c:v>
                </c:pt>
                <c:pt idx="550">
                  <c:v>53</c:v>
                </c:pt>
                <c:pt idx="551">
                  <c:v>53</c:v>
                </c:pt>
                <c:pt idx="552">
                  <c:v>53</c:v>
                </c:pt>
                <c:pt idx="553">
                  <c:v>53</c:v>
                </c:pt>
                <c:pt idx="554">
                  <c:v>53</c:v>
                </c:pt>
                <c:pt idx="555">
                  <c:v>53</c:v>
                </c:pt>
                <c:pt idx="556">
                  <c:v>53</c:v>
                </c:pt>
                <c:pt idx="557">
                  <c:v>53</c:v>
                </c:pt>
                <c:pt idx="558">
                  <c:v>53</c:v>
                </c:pt>
                <c:pt idx="559">
                  <c:v>53</c:v>
                </c:pt>
                <c:pt idx="560">
                  <c:v>53</c:v>
                </c:pt>
                <c:pt idx="561">
                  <c:v>53</c:v>
                </c:pt>
                <c:pt idx="562">
                  <c:v>53</c:v>
                </c:pt>
                <c:pt idx="563">
                  <c:v>53</c:v>
                </c:pt>
                <c:pt idx="564">
                  <c:v>53</c:v>
                </c:pt>
                <c:pt idx="565">
                  <c:v>53</c:v>
                </c:pt>
                <c:pt idx="566">
                  <c:v>53</c:v>
                </c:pt>
                <c:pt idx="567">
                  <c:v>53</c:v>
                </c:pt>
                <c:pt idx="568">
                  <c:v>53</c:v>
                </c:pt>
                <c:pt idx="569">
                  <c:v>53</c:v>
                </c:pt>
                <c:pt idx="570">
                  <c:v>53</c:v>
                </c:pt>
                <c:pt idx="571">
                  <c:v>53</c:v>
                </c:pt>
                <c:pt idx="572">
                  <c:v>53</c:v>
                </c:pt>
                <c:pt idx="573">
                  <c:v>53</c:v>
                </c:pt>
                <c:pt idx="574">
                  <c:v>53</c:v>
                </c:pt>
                <c:pt idx="575">
                  <c:v>53</c:v>
                </c:pt>
                <c:pt idx="576">
                  <c:v>53</c:v>
                </c:pt>
                <c:pt idx="577">
                  <c:v>53</c:v>
                </c:pt>
                <c:pt idx="578">
                  <c:v>53</c:v>
                </c:pt>
                <c:pt idx="579">
                  <c:v>53</c:v>
                </c:pt>
                <c:pt idx="580">
                  <c:v>53</c:v>
                </c:pt>
                <c:pt idx="581">
                  <c:v>53</c:v>
                </c:pt>
                <c:pt idx="582">
                  <c:v>53</c:v>
                </c:pt>
                <c:pt idx="583">
                  <c:v>53</c:v>
                </c:pt>
                <c:pt idx="584">
                  <c:v>53</c:v>
                </c:pt>
                <c:pt idx="585">
                  <c:v>53</c:v>
                </c:pt>
                <c:pt idx="586">
                  <c:v>53</c:v>
                </c:pt>
                <c:pt idx="587">
                  <c:v>53</c:v>
                </c:pt>
                <c:pt idx="588">
                  <c:v>53</c:v>
                </c:pt>
                <c:pt idx="589">
                  <c:v>53</c:v>
                </c:pt>
                <c:pt idx="590">
                  <c:v>53</c:v>
                </c:pt>
                <c:pt idx="591">
                  <c:v>53</c:v>
                </c:pt>
                <c:pt idx="592">
                  <c:v>53</c:v>
                </c:pt>
                <c:pt idx="593">
                  <c:v>53</c:v>
                </c:pt>
                <c:pt idx="594">
                  <c:v>53</c:v>
                </c:pt>
                <c:pt idx="595">
                  <c:v>53</c:v>
                </c:pt>
                <c:pt idx="596">
                  <c:v>53</c:v>
                </c:pt>
                <c:pt idx="597">
                  <c:v>53</c:v>
                </c:pt>
                <c:pt idx="598">
                  <c:v>53</c:v>
                </c:pt>
                <c:pt idx="599">
                  <c:v>53</c:v>
                </c:pt>
                <c:pt idx="600">
                  <c:v>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0D-41E6-9137-523195D93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7948208"/>
        <c:axId val="1577950608"/>
      </c:scatterChart>
      <c:valAx>
        <c:axId val="1577948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50608"/>
        <c:crosses val="autoZero"/>
        <c:crossBetween val="midCat"/>
      </c:valAx>
      <c:valAx>
        <c:axId val="1577950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48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'56'!$B$1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'56'!$A$2:$A$602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'56'!$B$2:$B$602</c:f>
              <c:numCache>
                <c:formatCode>General</c:formatCode>
                <c:ptCount val="601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56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56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56</c:v>
                </c:pt>
                <c:pt idx="34">
                  <c:v>56</c:v>
                </c:pt>
                <c:pt idx="35">
                  <c:v>56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</c:v>
                </c:pt>
                <c:pt idx="63">
                  <c:v>56</c:v>
                </c:pt>
                <c:pt idx="64">
                  <c:v>56</c:v>
                </c:pt>
                <c:pt idx="65">
                  <c:v>56</c:v>
                </c:pt>
                <c:pt idx="66">
                  <c:v>56</c:v>
                </c:pt>
                <c:pt idx="67">
                  <c:v>56</c:v>
                </c:pt>
                <c:pt idx="68">
                  <c:v>56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56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56</c:v>
                </c:pt>
                <c:pt idx="78">
                  <c:v>56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56</c:v>
                </c:pt>
                <c:pt idx="86">
                  <c:v>56</c:v>
                </c:pt>
                <c:pt idx="87">
                  <c:v>56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56</c:v>
                </c:pt>
                <c:pt idx="136">
                  <c:v>56</c:v>
                </c:pt>
                <c:pt idx="137">
                  <c:v>56</c:v>
                </c:pt>
                <c:pt idx="138">
                  <c:v>56</c:v>
                </c:pt>
                <c:pt idx="139">
                  <c:v>56</c:v>
                </c:pt>
                <c:pt idx="140">
                  <c:v>56</c:v>
                </c:pt>
                <c:pt idx="141">
                  <c:v>56</c:v>
                </c:pt>
                <c:pt idx="142">
                  <c:v>56</c:v>
                </c:pt>
                <c:pt idx="143">
                  <c:v>56</c:v>
                </c:pt>
                <c:pt idx="144">
                  <c:v>56</c:v>
                </c:pt>
                <c:pt idx="145">
                  <c:v>56</c:v>
                </c:pt>
                <c:pt idx="146">
                  <c:v>56</c:v>
                </c:pt>
                <c:pt idx="147">
                  <c:v>56</c:v>
                </c:pt>
                <c:pt idx="148">
                  <c:v>56</c:v>
                </c:pt>
                <c:pt idx="149">
                  <c:v>56</c:v>
                </c:pt>
                <c:pt idx="150">
                  <c:v>56</c:v>
                </c:pt>
                <c:pt idx="151">
                  <c:v>56</c:v>
                </c:pt>
                <c:pt idx="152">
                  <c:v>56</c:v>
                </c:pt>
                <c:pt idx="153">
                  <c:v>56</c:v>
                </c:pt>
                <c:pt idx="154">
                  <c:v>56</c:v>
                </c:pt>
                <c:pt idx="155">
                  <c:v>56</c:v>
                </c:pt>
                <c:pt idx="156">
                  <c:v>56</c:v>
                </c:pt>
                <c:pt idx="157">
                  <c:v>56</c:v>
                </c:pt>
                <c:pt idx="158">
                  <c:v>56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56</c:v>
                </c:pt>
                <c:pt idx="167">
                  <c:v>56</c:v>
                </c:pt>
                <c:pt idx="168">
                  <c:v>56</c:v>
                </c:pt>
                <c:pt idx="169">
                  <c:v>56</c:v>
                </c:pt>
                <c:pt idx="170">
                  <c:v>56</c:v>
                </c:pt>
                <c:pt idx="171">
                  <c:v>56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56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56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56</c:v>
                </c:pt>
                <c:pt idx="201">
                  <c:v>56</c:v>
                </c:pt>
                <c:pt idx="202">
                  <c:v>56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56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56</c:v>
                </c:pt>
                <c:pt idx="234">
                  <c:v>56</c:v>
                </c:pt>
                <c:pt idx="235">
                  <c:v>56</c:v>
                </c:pt>
                <c:pt idx="236">
                  <c:v>56</c:v>
                </c:pt>
                <c:pt idx="237">
                  <c:v>56</c:v>
                </c:pt>
                <c:pt idx="238">
                  <c:v>56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</c:v>
                </c:pt>
                <c:pt idx="247">
                  <c:v>56</c:v>
                </c:pt>
                <c:pt idx="248">
                  <c:v>56</c:v>
                </c:pt>
                <c:pt idx="249">
                  <c:v>56</c:v>
                </c:pt>
                <c:pt idx="250">
                  <c:v>56</c:v>
                </c:pt>
                <c:pt idx="251">
                  <c:v>56</c:v>
                </c:pt>
                <c:pt idx="252">
                  <c:v>56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56</c:v>
                </c:pt>
                <c:pt idx="257">
                  <c:v>56</c:v>
                </c:pt>
                <c:pt idx="258">
                  <c:v>56</c:v>
                </c:pt>
                <c:pt idx="259">
                  <c:v>56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56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56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56</c:v>
                </c:pt>
                <c:pt idx="289">
                  <c:v>56</c:v>
                </c:pt>
                <c:pt idx="290">
                  <c:v>56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</c:v>
                </c:pt>
                <c:pt idx="296">
                  <c:v>56</c:v>
                </c:pt>
                <c:pt idx="297">
                  <c:v>56</c:v>
                </c:pt>
                <c:pt idx="298">
                  <c:v>56</c:v>
                </c:pt>
                <c:pt idx="299">
                  <c:v>56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56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56</c:v>
                </c:pt>
                <c:pt idx="313">
                  <c:v>56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56</c:v>
                </c:pt>
                <c:pt idx="323">
                  <c:v>56</c:v>
                </c:pt>
                <c:pt idx="324">
                  <c:v>56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56</c:v>
                </c:pt>
                <c:pt idx="335">
                  <c:v>56</c:v>
                </c:pt>
                <c:pt idx="336">
                  <c:v>56</c:v>
                </c:pt>
                <c:pt idx="337">
                  <c:v>56</c:v>
                </c:pt>
                <c:pt idx="338">
                  <c:v>56</c:v>
                </c:pt>
                <c:pt idx="339">
                  <c:v>56</c:v>
                </c:pt>
                <c:pt idx="340">
                  <c:v>56</c:v>
                </c:pt>
                <c:pt idx="341">
                  <c:v>56</c:v>
                </c:pt>
                <c:pt idx="342">
                  <c:v>56</c:v>
                </c:pt>
                <c:pt idx="343">
                  <c:v>56</c:v>
                </c:pt>
                <c:pt idx="344">
                  <c:v>56</c:v>
                </c:pt>
                <c:pt idx="345">
                  <c:v>56</c:v>
                </c:pt>
                <c:pt idx="346">
                  <c:v>56</c:v>
                </c:pt>
                <c:pt idx="347">
                  <c:v>56</c:v>
                </c:pt>
                <c:pt idx="348">
                  <c:v>56</c:v>
                </c:pt>
                <c:pt idx="349">
                  <c:v>56</c:v>
                </c:pt>
                <c:pt idx="350">
                  <c:v>56</c:v>
                </c:pt>
                <c:pt idx="351">
                  <c:v>56</c:v>
                </c:pt>
                <c:pt idx="352">
                  <c:v>56</c:v>
                </c:pt>
                <c:pt idx="353">
                  <c:v>56</c:v>
                </c:pt>
                <c:pt idx="354">
                  <c:v>56</c:v>
                </c:pt>
                <c:pt idx="355">
                  <c:v>56</c:v>
                </c:pt>
                <c:pt idx="356">
                  <c:v>56</c:v>
                </c:pt>
                <c:pt idx="357">
                  <c:v>56</c:v>
                </c:pt>
                <c:pt idx="358">
                  <c:v>56</c:v>
                </c:pt>
                <c:pt idx="359">
                  <c:v>56</c:v>
                </c:pt>
                <c:pt idx="360">
                  <c:v>56</c:v>
                </c:pt>
                <c:pt idx="361">
                  <c:v>56</c:v>
                </c:pt>
                <c:pt idx="362">
                  <c:v>56</c:v>
                </c:pt>
                <c:pt idx="363">
                  <c:v>56</c:v>
                </c:pt>
                <c:pt idx="364">
                  <c:v>56</c:v>
                </c:pt>
                <c:pt idx="365">
                  <c:v>56</c:v>
                </c:pt>
                <c:pt idx="366">
                  <c:v>56</c:v>
                </c:pt>
                <c:pt idx="367">
                  <c:v>56</c:v>
                </c:pt>
                <c:pt idx="368">
                  <c:v>56</c:v>
                </c:pt>
                <c:pt idx="369">
                  <c:v>56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56</c:v>
                </c:pt>
                <c:pt idx="376">
                  <c:v>56</c:v>
                </c:pt>
                <c:pt idx="377">
                  <c:v>56</c:v>
                </c:pt>
                <c:pt idx="378">
                  <c:v>56</c:v>
                </c:pt>
                <c:pt idx="379">
                  <c:v>56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56</c:v>
                </c:pt>
                <c:pt idx="387">
                  <c:v>56</c:v>
                </c:pt>
                <c:pt idx="388">
                  <c:v>56</c:v>
                </c:pt>
                <c:pt idx="389">
                  <c:v>56</c:v>
                </c:pt>
                <c:pt idx="390">
                  <c:v>56</c:v>
                </c:pt>
                <c:pt idx="391">
                  <c:v>56</c:v>
                </c:pt>
                <c:pt idx="392">
                  <c:v>56</c:v>
                </c:pt>
                <c:pt idx="393">
                  <c:v>56</c:v>
                </c:pt>
                <c:pt idx="394">
                  <c:v>56</c:v>
                </c:pt>
                <c:pt idx="395">
                  <c:v>56</c:v>
                </c:pt>
                <c:pt idx="396">
                  <c:v>56</c:v>
                </c:pt>
                <c:pt idx="397">
                  <c:v>56</c:v>
                </c:pt>
                <c:pt idx="398">
                  <c:v>56</c:v>
                </c:pt>
                <c:pt idx="399">
                  <c:v>56</c:v>
                </c:pt>
                <c:pt idx="400">
                  <c:v>56</c:v>
                </c:pt>
                <c:pt idx="401">
                  <c:v>56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56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56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56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56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</c:v>
                </c:pt>
                <c:pt idx="435">
                  <c:v>56</c:v>
                </c:pt>
                <c:pt idx="436">
                  <c:v>56</c:v>
                </c:pt>
                <c:pt idx="437">
                  <c:v>56</c:v>
                </c:pt>
                <c:pt idx="438">
                  <c:v>56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56</c:v>
                </c:pt>
                <c:pt idx="449">
                  <c:v>56</c:v>
                </c:pt>
                <c:pt idx="450">
                  <c:v>56</c:v>
                </c:pt>
                <c:pt idx="451">
                  <c:v>56</c:v>
                </c:pt>
                <c:pt idx="452">
                  <c:v>56</c:v>
                </c:pt>
                <c:pt idx="453">
                  <c:v>56</c:v>
                </c:pt>
                <c:pt idx="454">
                  <c:v>56</c:v>
                </c:pt>
                <c:pt idx="455">
                  <c:v>56</c:v>
                </c:pt>
                <c:pt idx="456">
                  <c:v>56</c:v>
                </c:pt>
                <c:pt idx="457">
                  <c:v>56</c:v>
                </c:pt>
                <c:pt idx="458">
                  <c:v>56</c:v>
                </c:pt>
                <c:pt idx="459">
                  <c:v>56</c:v>
                </c:pt>
                <c:pt idx="460">
                  <c:v>56</c:v>
                </c:pt>
                <c:pt idx="461">
                  <c:v>56</c:v>
                </c:pt>
                <c:pt idx="462">
                  <c:v>56</c:v>
                </c:pt>
                <c:pt idx="463">
                  <c:v>56</c:v>
                </c:pt>
                <c:pt idx="464">
                  <c:v>56</c:v>
                </c:pt>
                <c:pt idx="465">
                  <c:v>56</c:v>
                </c:pt>
                <c:pt idx="466">
                  <c:v>56</c:v>
                </c:pt>
                <c:pt idx="467">
                  <c:v>56</c:v>
                </c:pt>
                <c:pt idx="468">
                  <c:v>56</c:v>
                </c:pt>
                <c:pt idx="469">
                  <c:v>56</c:v>
                </c:pt>
                <c:pt idx="470">
                  <c:v>56</c:v>
                </c:pt>
                <c:pt idx="471">
                  <c:v>56</c:v>
                </c:pt>
                <c:pt idx="472">
                  <c:v>56</c:v>
                </c:pt>
                <c:pt idx="473">
                  <c:v>56</c:v>
                </c:pt>
                <c:pt idx="474">
                  <c:v>56</c:v>
                </c:pt>
                <c:pt idx="475">
                  <c:v>56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</c:v>
                </c:pt>
                <c:pt idx="484">
                  <c:v>56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56</c:v>
                </c:pt>
                <c:pt idx="489">
                  <c:v>56</c:v>
                </c:pt>
                <c:pt idx="490">
                  <c:v>56</c:v>
                </c:pt>
                <c:pt idx="491">
                  <c:v>56</c:v>
                </c:pt>
                <c:pt idx="492">
                  <c:v>56</c:v>
                </c:pt>
                <c:pt idx="493">
                  <c:v>56</c:v>
                </c:pt>
                <c:pt idx="494">
                  <c:v>56</c:v>
                </c:pt>
                <c:pt idx="495">
                  <c:v>56</c:v>
                </c:pt>
                <c:pt idx="496">
                  <c:v>56</c:v>
                </c:pt>
                <c:pt idx="497">
                  <c:v>56</c:v>
                </c:pt>
                <c:pt idx="498">
                  <c:v>56</c:v>
                </c:pt>
                <c:pt idx="499">
                  <c:v>56</c:v>
                </c:pt>
                <c:pt idx="500">
                  <c:v>56</c:v>
                </c:pt>
                <c:pt idx="501">
                  <c:v>56</c:v>
                </c:pt>
                <c:pt idx="502">
                  <c:v>56</c:v>
                </c:pt>
                <c:pt idx="503">
                  <c:v>56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56</c:v>
                </c:pt>
                <c:pt idx="510">
                  <c:v>56</c:v>
                </c:pt>
                <c:pt idx="511">
                  <c:v>56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56</c:v>
                </c:pt>
                <c:pt idx="516">
                  <c:v>56</c:v>
                </c:pt>
                <c:pt idx="517">
                  <c:v>56</c:v>
                </c:pt>
                <c:pt idx="518">
                  <c:v>56</c:v>
                </c:pt>
                <c:pt idx="519">
                  <c:v>56</c:v>
                </c:pt>
                <c:pt idx="520">
                  <c:v>56</c:v>
                </c:pt>
                <c:pt idx="521">
                  <c:v>56</c:v>
                </c:pt>
                <c:pt idx="522">
                  <c:v>56</c:v>
                </c:pt>
                <c:pt idx="523">
                  <c:v>56</c:v>
                </c:pt>
                <c:pt idx="524">
                  <c:v>56</c:v>
                </c:pt>
                <c:pt idx="525">
                  <c:v>56</c:v>
                </c:pt>
                <c:pt idx="526">
                  <c:v>56</c:v>
                </c:pt>
                <c:pt idx="527">
                  <c:v>56</c:v>
                </c:pt>
                <c:pt idx="528">
                  <c:v>56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56</c:v>
                </c:pt>
                <c:pt idx="533">
                  <c:v>56</c:v>
                </c:pt>
                <c:pt idx="534">
                  <c:v>56</c:v>
                </c:pt>
                <c:pt idx="535">
                  <c:v>56</c:v>
                </c:pt>
                <c:pt idx="536">
                  <c:v>56</c:v>
                </c:pt>
                <c:pt idx="537">
                  <c:v>56</c:v>
                </c:pt>
                <c:pt idx="538">
                  <c:v>56</c:v>
                </c:pt>
                <c:pt idx="539">
                  <c:v>56</c:v>
                </c:pt>
                <c:pt idx="540">
                  <c:v>56</c:v>
                </c:pt>
                <c:pt idx="541">
                  <c:v>56</c:v>
                </c:pt>
                <c:pt idx="542">
                  <c:v>56</c:v>
                </c:pt>
                <c:pt idx="543">
                  <c:v>56</c:v>
                </c:pt>
                <c:pt idx="544">
                  <c:v>56</c:v>
                </c:pt>
                <c:pt idx="545">
                  <c:v>56</c:v>
                </c:pt>
                <c:pt idx="546">
                  <c:v>56</c:v>
                </c:pt>
                <c:pt idx="547">
                  <c:v>56</c:v>
                </c:pt>
                <c:pt idx="548">
                  <c:v>56</c:v>
                </c:pt>
                <c:pt idx="549">
                  <c:v>56</c:v>
                </c:pt>
                <c:pt idx="550">
                  <c:v>56</c:v>
                </c:pt>
                <c:pt idx="551">
                  <c:v>56</c:v>
                </c:pt>
                <c:pt idx="552">
                  <c:v>56</c:v>
                </c:pt>
                <c:pt idx="553">
                  <c:v>56</c:v>
                </c:pt>
                <c:pt idx="554">
                  <c:v>56</c:v>
                </c:pt>
                <c:pt idx="555">
                  <c:v>56</c:v>
                </c:pt>
                <c:pt idx="556">
                  <c:v>56</c:v>
                </c:pt>
                <c:pt idx="557">
                  <c:v>56</c:v>
                </c:pt>
                <c:pt idx="558">
                  <c:v>56</c:v>
                </c:pt>
                <c:pt idx="559">
                  <c:v>56</c:v>
                </c:pt>
                <c:pt idx="560">
                  <c:v>56</c:v>
                </c:pt>
                <c:pt idx="561">
                  <c:v>56</c:v>
                </c:pt>
                <c:pt idx="562">
                  <c:v>56</c:v>
                </c:pt>
                <c:pt idx="563">
                  <c:v>56</c:v>
                </c:pt>
                <c:pt idx="564">
                  <c:v>56</c:v>
                </c:pt>
                <c:pt idx="565">
                  <c:v>56</c:v>
                </c:pt>
                <c:pt idx="566">
                  <c:v>56</c:v>
                </c:pt>
                <c:pt idx="567">
                  <c:v>56</c:v>
                </c:pt>
                <c:pt idx="568">
                  <c:v>56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56</c:v>
                </c:pt>
                <c:pt idx="574">
                  <c:v>56</c:v>
                </c:pt>
                <c:pt idx="575">
                  <c:v>56</c:v>
                </c:pt>
                <c:pt idx="576">
                  <c:v>56</c:v>
                </c:pt>
                <c:pt idx="577">
                  <c:v>56</c:v>
                </c:pt>
                <c:pt idx="578">
                  <c:v>56</c:v>
                </c:pt>
                <c:pt idx="579">
                  <c:v>56</c:v>
                </c:pt>
                <c:pt idx="580">
                  <c:v>56</c:v>
                </c:pt>
                <c:pt idx="581">
                  <c:v>56</c:v>
                </c:pt>
                <c:pt idx="582">
                  <c:v>56</c:v>
                </c:pt>
                <c:pt idx="583">
                  <c:v>56</c:v>
                </c:pt>
                <c:pt idx="584">
                  <c:v>56</c:v>
                </c:pt>
                <c:pt idx="585">
                  <c:v>56</c:v>
                </c:pt>
                <c:pt idx="586">
                  <c:v>56</c:v>
                </c:pt>
                <c:pt idx="587">
                  <c:v>56</c:v>
                </c:pt>
                <c:pt idx="588">
                  <c:v>56</c:v>
                </c:pt>
                <c:pt idx="589">
                  <c:v>56</c:v>
                </c:pt>
                <c:pt idx="590">
                  <c:v>56</c:v>
                </c:pt>
                <c:pt idx="591">
                  <c:v>56</c:v>
                </c:pt>
                <c:pt idx="592">
                  <c:v>56</c:v>
                </c:pt>
                <c:pt idx="593">
                  <c:v>56</c:v>
                </c:pt>
                <c:pt idx="594">
                  <c:v>56</c:v>
                </c:pt>
                <c:pt idx="595">
                  <c:v>56</c:v>
                </c:pt>
                <c:pt idx="596">
                  <c:v>56</c:v>
                </c:pt>
                <c:pt idx="597">
                  <c:v>56</c:v>
                </c:pt>
                <c:pt idx="598">
                  <c:v>56</c:v>
                </c:pt>
                <c:pt idx="599">
                  <c:v>56</c:v>
                </c:pt>
                <c:pt idx="600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67-44C6-ADA5-B128B2D81098}"/>
            </c:ext>
          </c:extLst>
        </c:ser>
        <c:ser>
          <c:idx val="1"/>
          <c:order val="1"/>
          <c:tx>
            <c:strRef>
              <c:f>'56'!$C$1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'56'!$A$2:$A$602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'56'!$C$2:$C$602</c:f>
              <c:numCache>
                <c:formatCode>General</c:formatCode>
                <c:ptCount val="601"/>
                <c:pt idx="0">
                  <c:v>28.24</c:v>
                </c:pt>
                <c:pt idx="1">
                  <c:v>28.27</c:v>
                </c:pt>
                <c:pt idx="2">
                  <c:v>28.38</c:v>
                </c:pt>
                <c:pt idx="3">
                  <c:v>28.37</c:v>
                </c:pt>
                <c:pt idx="4">
                  <c:v>28.42</c:v>
                </c:pt>
                <c:pt idx="5">
                  <c:v>28.55</c:v>
                </c:pt>
                <c:pt idx="6">
                  <c:v>28.71</c:v>
                </c:pt>
                <c:pt idx="7">
                  <c:v>28.96</c:v>
                </c:pt>
                <c:pt idx="8">
                  <c:v>29.2</c:v>
                </c:pt>
                <c:pt idx="9">
                  <c:v>29.55</c:v>
                </c:pt>
                <c:pt idx="10">
                  <c:v>29.98</c:v>
                </c:pt>
                <c:pt idx="11">
                  <c:v>30.41</c:v>
                </c:pt>
                <c:pt idx="12">
                  <c:v>30.89</c:v>
                </c:pt>
                <c:pt idx="13">
                  <c:v>31.37</c:v>
                </c:pt>
                <c:pt idx="14">
                  <c:v>31.92</c:v>
                </c:pt>
                <c:pt idx="15">
                  <c:v>32.5</c:v>
                </c:pt>
                <c:pt idx="16">
                  <c:v>33.03</c:v>
                </c:pt>
                <c:pt idx="17">
                  <c:v>33.58</c:v>
                </c:pt>
                <c:pt idx="18">
                  <c:v>34.200000000000003</c:v>
                </c:pt>
                <c:pt idx="19">
                  <c:v>34.799999999999997</c:v>
                </c:pt>
                <c:pt idx="20">
                  <c:v>35.32</c:v>
                </c:pt>
                <c:pt idx="21">
                  <c:v>35.9</c:v>
                </c:pt>
                <c:pt idx="22">
                  <c:v>36.479999999999997</c:v>
                </c:pt>
                <c:pt idx="23">
                  <c:v>37.06</c:v>
                </c:pt>
                <c:pt idx="24">
                  <c:v>37.68</c:v>
                </c:pt>
                <c:pt idx="25">
                  <c:v>38.21</c:v>
                </c:pt>
                <c:pt idx="26">
                  <c:v>38.83</c:v>
                </c:pt>
                <c:pt idx="27">
                  <c:v>39.32</c:v>
                </c:pt>
                <c:pt idx="28">
                  <c:v>39.950000000000003</c:v>
                </c:pt>
                <c:pt idx="29">
                  <c:v>40.51</c:v>
                </c:pt>
                <c:pt idx="30">
                  <c:v>41.05</c:v>
                </c:pt>
                <c:pt idx="31">
                  <c:v>41.61</c:v>
                </c:pt>
                <c:pt idx="32">
                  <c:v>42.17</c:v>
                </c:pt>
                <c:pt idx="33">
                  <c:v>42.74</c:v>
                </c:pt>
                <c:pt idx="34">
                  <c:v>43.22</c:v>
                </c:pt>
                <c:pt idx="35">
                  <c:v>43.78</c:v>
                </c:pt>
                <c:pt idx="36">
                  <c:v>44.31</c:v>
                </c:pt>
                <c:pt idx="37">
                  <c:v>44.75</c:v>
                </c:pt>
                <c:pt idx="38">
                  <c:v>45.34</c:v>
                </c:pt>
                <c:pt idx="39">
                  <c:v>45.83</c:v>
                </c:pt>
                <c:pt idx="40">
                  <c:v>46.33</c:v>
                </c:pt>
                <c:pt idx="41">
                  <c:v>46.85</c:v>
                </c:pt>
                <c:pt idx="42">
                  <c:v>47.3</c:v>
                </c:pt>
                <c:pt idx="43">
                  <c:v>47.78</c:v>
                </c:pt>
                <c:pt idx="44">
                  <c:v>48.32</c:v>
                </c:pt>
                <c:pt idx="45">
                  <c:v>48.82</c:v>
                </c:pt>
                <c:pt idx="46">
                  <c:v>49.24</c:v>
                </c:pt>
                <c:pt idx="47">
                  <c:v>49.75</c:v>
                </c:pt>
                <c:pt idx="48">
                  <c:v>50.22</c:v>
                </c:pt>
                <c:pt idx="49">
                  <c:v>50.71</c:v>
                </c:pt>
                <c:pt idx="50">
                  <c:v>51.13</c:v>
                </c:pt>
                <c:pt idx="51">
                  <c:v>51.61</c:v>
                </c:pt>
                <c:pt idx="52">
                  <c:v>52.08</c:v>
                </c:pt>
                <c:pt idx="53">
                  <c:v>52.51</c:v>
                </c:pt>
                <c:pt idx="54">
                  <c:v>52.97</c:v>
                </c:pt>
                <c:pt idx="55">
                  <c:v>53.4</c:v>
                </c:pt>
                <c:pt idx="56">
                  <c:v>53.86</c:v>
                </c:pt>
                <c:pt idx="57">
                  <c:v>54.31</c:v>
                </c:pt>
                <c:pt idx="58">
                  <c:v>54.5</c:v>
                </c:pt>
                <c:pt idx="59">
                  <c:v>54.96</c:v>
                </c:pt>
                <c:pt idx="60">
                  <c:v>55.39</c:v>
                </c:pt>
                <c:pt idx="61">
                  <c:v>55.79</c:v>
                </c:pt>
                <c:pt idx="62">
                  <c:v>56.12</c:v>
                </c:pt>
                <c:pt idx="63">
                  <c:v>56.41</c:v>
                </c:pt>
                <c:pt idx="64">
                  <c:v>56.7</c:v>
                </c:pt>
                <c:pt idx="65">
                  <c:v>56.94</c:v>
                </c:pt>
                <c:pt idx="66">
                  <c:v>57.18</c:v>
                </c:pt>
                <c:pt idx="67">
                  <c:v>57.3</c:v>
                </c:pt>
                <c:pt idx="68">
                  <c:v>57.45</c:v>
                </c:pt>
                <c:pt idx="69">
                  <c:v>57.49</c:v>
                </c:pt>
                <c:pt idx="70">
                  <c:v>57.51</c:v>
                </c:pt>
                <c:pt idx="71">
                  <c:v>57.51</c:v>
                </c:pt>
                <c:pt idx="72">
                  <c:v>57.49</c:v>
                </c:pt>
                <c:pt idx="73">
                  <c:v>57.38</c:v>
                </c:pt>
                <c:pt idx="74">
                  <c:v>57.3</c:v>
                </c:pt>
                <c:pt idx="75">
                  <c:v>57.12</c:v>
                </c:pt>
                <c:pt idx="76">
                  <c:v>57.03</c:v>
                </c:pt>
                <c:pt idx="77">
                  <c:v>56.8</c:v>
                </c:pt>
                <c:pt idx="78">
                  <c:v>56.61</c:v>
                </c:pt>
                <c:pt idx="79">
                  <c:v>56.49</c:v>
                </c:pt>
                <c:pt idx="80">
                  <c:v>56.24</c:v>
                </c:pt>
                <c:pt idx="81">
                  <c:v>56.08</c:v>
                </c:pt>
                <c:pt idx="82">
                  <c:v>55.9</c:v>
                </c:pt>
                <c:pt idx="83">
                  <c:v>55.75</c:v>
                </c:pt>
                <c:pt idx="84">
                  <c:v>55.65</c:v>
                </c:pt>
                <c:pt idx="85">
                  <c:v>55.5</c:v>
                </c:pt>
                <c:pt idx="86">
                  <c:v>55.45</c:v>
                </c:pt>
                <c:pt idx="87">
                  <c:v>55.35</c:v>
                </c:pt>
                <c:pt idx="88">
                  <c:v>55.31</c:v>
                </c:pt>
                <c:pt idx="89">
                  <c:v>55.31</c:v>
                </c:pt>
                <c:pt idx="90">
                  <c:v>55.29</c:v>
                </c:pt>
                <c:pt idx="91">
                  <c:v>55.29</c:v>
                </c:pt>
                <c:pt idx="92">
                  <c:v>55.27</c:v>
                </c:pt>
                <c:pt idx="93">
                  <c:v>55.3</c:v>
                </c:pt>
                <c:pt idx="94">
                  <c:v>55.35</c:v>
                </c:pt>
                <c:pt idx="95">
                  <c:v>55.36</c:v>
                </c:pt>
                <c:pt idx="96">
                  <c:v>55.44</c:v>
                </c:pt>
                <c:pt idx="97">
                  <c:v>55.45</c:v>
                </c:pt>
                <c:pt idx="98">
                  <c:v>55.54</c:v>
                </c:pt>
                <c:pt idx="99">
                  <c:v>55.62</c:v>
                </c:pt>
                <c:pt idx="100">
                  <c:v>55.68</c:v>
                </c:pt>
                <c:pt idx="101">
                  <c:v>55.72</c:v>
                </c:pt>
                <c:pt idx="102">
                  <c:v>55.79</c:v>
                </c:pt>
                <c:pt idx="103">
                  <c:v>55.88</c:v>
                </c:pt>
                <c:pt idx="104">
                  <c:v>55.91</c:v>
                </c:pt>
                <c:pt idx="105">
                  <c:v>55.98</c:v>
                </c:pt>
                <c:pt idx="106">
                  <c:v>56</c:v>
                </c:pt>
                <c:pt idx="107">
                  <c:v>56.06</c:v>
                </c:pt>
                <c:pt idx="108">
                  <c:v>56.08</c:v>
                </c:pt>
                <c:pt idx="109">
                  <c:v>56.1</c:v>
                </c:pt>
                <c:pt idx="110">
                  <c:v>56.12</c:v>
                </c:pt>
                <c:pt idx="111">
                  <c:v>56.17</c:v>
                </c:pt>
                <c:pt idx="112">
                  <c:v>56.1</c:v>
                </c:pt>
                <c:pt idx="113">
                  <c:v>56.08</c:v>
                </c:pt>
                <c:pt idx="114">
                  <c:v>56.1</c:v>
                </c:pt>
                <c:pt idx="115">
                  <c:v>56.11</c:v>
                </c:pt>
                <c:pt idx="116">
                  <c:v>56.06</c:v>
                </c:pt>
                <c:pt idx="117">
                  <c:v>56.07</c:v>
                </c:pt>
                <c:pt idx="118">
                  <c:v>56.04</c:v>
                </c:pt>
                <c:pt idx="119">
                  <c:v>56</c:v>
                </c:pt>
                <c:pt idx="120">
                  <c:v>55.95</c:v>
                </c:pt>
                <c:pt idx="121">
                  <c:v>55.96</c:v>
                </c:pt>
                <c:pt idx="122">
                  <c:v>55.88</c:v>
                </c:pt>
                <c:pt idx="123">
                  <c:v>55.88</c:v>
                </c:pt>
                <c:pt idx="124">
                  <c:v>55.85</c:v>
                </c:pt>
                <c:pt idx="125">
                  <c:v>55.8</c:v>
                </c:pt>
                <c:pt idx="126">
                  <c:v>55.81</c:v>
                </c:pt>
                <c:pt idx="127">
                  <c:v>55.82</c:v>
                </c:pt>
                <c:pt idx="128">
                  <c:v>55.8</c:v>
                </c:pt>
                <c:pt idx="129">
                  <c:v>55.78</c:v>
                </c:pt>
                <c:pt idx="130">
                  <c:v>55.72</c:v>
                </c:pt>
                <c:pt idx="131">
                  <c:v>55.76</c:v>
                </c:pt>
                <c:pt idx="132">
                  <c:v>55.75</c:v>
                </c:pt>
                <c:pt idx="133">
                  <c:v>55.76</c:v>
                </c:pt>
                <c:pt idx="134">
                  <c:v>55.7</c:v>
                </c:pt>
                <c:pt idx="135">
                  <c:v>55.73</c:v>
                </c:pt>
                <c:pt idx="136">
                  <c:v>55.72</c:v>
                </c:pt>
                <c:pt idx="137">
                  <c:v>55.7</c:v>
                </c:pt>
                <c:pt idx="138">
                  <c:v>55.71</c:v>
                </c:pt>
                <c:pt idx="139">
                  <c:v>55.72</c:v>
                </c:pt>
                <c:pt idx="140">
                  <c:v>55.71</c:v>
                </c:pt>
                <c:pt idx="141">
                  <c:v>55.75</c:v>
                </c:pt>
                <c:pt idx="142">
                  <c:v>55.74</c:v>
                </c:pt>
                <c:pt idx="143">
                  <c:v>55.75</c:v>
                </c:pt>
                <c:pt idx="144">
                  <c:v>55.73</c:v>
                </c:pt>
                <c:pt idx="145">
                  <c:v>55.77</c:v>
                </c:pt>
                <c:pt idx="146">
                  <c:v>55.77</c:v>
                </c:pt>
                <c:pt idx="147">
                  <c:v>55.79</c:v>
                </c:pt>
                <c:pt idx="148">
                  <c:v>55.79</c:v>
                </c:pt>
                <c:pt idx="149">
                  <c:v>55.77</c:v>
                </c:pt>
                <c:pt idx="150">
                  <c:v>55.81</c:v>
                </c:pt>
                <c:pt idx="151">
                  <c:v>55.81</c:v>
                </c:pt>
                <c:pt idx="152">
                  <c:v>55.83</c:v>
                </c:pt>
                <c:pt idx="153">
                  <c:v>55.83</c:v>
                </c:pt>
                <c:pt idx="154">
                  <c:v>55.81</c:v>
                </c:pt>
                <c:pt idx="155">
                  <c:v>55.85</c:v>
                </c:pt>
                <c:pt idx="156">
                  <c:v>55.87</c:v>
                </c:pt>
                <c:pt idx="157">
                  <c:v>55.83</c:v>
                </c:pt>
                <c:pt idx="158">
                  <c:v>55.87</c:v>
                </c:pt>
                <c:pt idx="159">
                  <c:v>55.88</c:v>
                </c:pt>
                <c:pt idx="160">
                  <c:v>55.83</c:v>
                </c:pt>
                <c:pt idx="161">
                  <c:v>55.85</c:v>
                </c:pt>
                <c:pt idx="162">
                  <c:v>55.83</c:v>
                </c:pt>
                <c:pt idx="163">
                  <c:v>55.87</c:v>
                </c:pt>
                <c:pt idx="164">
                  <c:v>55.86</c:v>
                </c:pt>
                <c:pt idx="165">
                  <c:v>55.81</c:v>
                </c:pt>
                <c:pt idx="166">
                  <c:v>55.8</c:v>
                </c:pt>
                <c:pt idx="167">
                  <c:v>55.83</c:v>
                </c:pt>
                <c:pt idx="168">
                  <c:v>55.81</c:v>
                </c:pt>
                <c:pt idx="169">
                  <c:v>55.85</c:v>
                </c:pt>
                <c:pt idx="170">
                  <c:v>55.83</c:v>
                </c:pt>
                <c:pt idx="171">
                  <c:v>55.79</c:v>
                </c:pt>
                <c:pt idx="172">
                  <c:v>55.82</c:v>
                </c:pt>
                <c:pt idx="173">
                  <c:v>55.86</c:v>
                </c:pt>
                <c:pt idx="174">
                  <c:v>55.79</c:v>
                </c:pt>
                <c:pt idx="175">
                  <c:v>55.82</c:v>
                </c:pt>
                <c:pt idx="176">
                  <c:v>55.82</c:v>
                </c:pt>
                <c:pt idx="177">
                  <c:v>55.82</c:v>
                </c:pt>
                <c:pt idx="178">
                  <c:v>55.81</c:v>
                </c:pt>
                <c:pt idx="179">
                  <c:v>55.79</c:v>
                </c:pt>
                <c:pt idx="180">
                  <c:v>55.83</c:v>
                </c:pt>
                <c:pt idx="181">
                  <c:v>55.77</c:v>
                </c:pt>
                <c:pt idx="182">
                  <c:v>55.82</c:v>
                </c:pt>
                <c:pt idx="183">
                  <c:v>55.8</c:v>
                </c:pt>
                <c:pt idx="184">
                  <c:v>55.8</c:v>
                </c:pt>
                <c:pt idx="185">
                  <c:v>55.77</c:v>
                </c:pt>
                <c:pt idx="186">
                  <c:v>55.79</c:v>
                </c:pt>
                <c:pt idx="187">
                  <c:v>55.79</c:v>
                </c:pt>
                <c:pt idx="188">
                  <c:v>55.75</c:v>
                </c:pt>
                <c:pt idx="189">
                  <c:v>55.79</c:v>
                </c:pt>
                <c:pt idx="190">
                  <c:v>55.75</c:v>
                </c:pt>
                <c:pt idx="191">
                  <c:v>55.78</c:v>
                </c:pt>
                <c:pt idx="192">
                  <c:v>55.73</c:v>
                </c:pt>
                <c:pt idx="193">
                  <c:v>55.74</c:v>
                </c:pt>
                <c:pt idx="194">
                  <c:v>55.78</c:v>
                </c:pt>
                <c:pt idx="195">
                  <c:v>55.79</c:v>
                </c:pt>
                <c:pt idx="196">
                  <c:v>55.79</c:v>
                </c:pt>
                <c:pt idx="197">
                  <c:v>55.79</c:v>
                </c:pt>
                <c:pt idx="198">
                  <c:v>55.79</c:v>
                </c:pt>
                <c:pt idx="199">
                  <c:v>55.75</c:v>
                </c:pt>
                <c:pt idx="200">
                  <c:v>55.75</c:v>
                </c:pt>
                <c:pt idx="201">
                  <c:v>55.75</c:v>
                </c:pt>
                <c:pt idx="202">
                  <c:v>55.75</c:v>
                </c:pt>
                <c:pt idx="203">
                  <c:v>55.82</c:v>
                </c:pt>
                <c:pt idx="204">
                  <c:v>55.77</c:v>
                </c:pt>
                <c:pt idx="205">
                  <c:v>55.79</c:v>
                </c:pt>
                <c:pt idx="206">
                  <c:v>55.81</c:v>
                </c:pt>
                <c:pt idx="207">
                  <c:v>55.77</c:v>
                </c:pt>
                <c:pt idx="208">
                  <c:v>55.83</c:v>
                </c:pt>
                <c:pt idx="209">
                  <c:v>55.82</c:v>
                </c:pt>
                <c:pt idx="210">
                  <c:v>55.83</c:v>
                </c:pt>
                <c:pt idx="211">
                  <c:v>55.85</c:v>
                </c:pt>
                <c:pt idx="212">
                  <c:v>55.85</c:v>
                </c:pt>
                <c:pt idx="213">
                  <c:v>55.86</c:v>
                </c:pt>
                <c:pt idx="214">
                  <c:v>55.83</c:v>
                </c:pt>
                <c:pt idx="215">
                  <c:v>55.83</c:v>
                </c:pt>
                <c:pt idx="216">
                  <c:v>55.83</c:v>
                </c:pt>
                <c:pt idx="217">
                  <c:v>55.84</c:v>
                </c:pt>
                <c:pt idx="218">
                  <c:v>55.84</c:v>
                </c:pt>
                <c:pt idx="219">
                  <c:v>55.84</c:v>
                </c:pt>
                <c:pt idx="220">
                  <c:v>55.84</c:v>
                </c:pt>
                <c:pt idx="221">
                  <c:v>55.79</c:v>
                </c:pt>
                <c:pt idx="222">
                  <c:v>55.81</c:v>
                </c:pt>
                <c:pt idx="223">
                  <c:v>55.79</c:v>
                </c:pt>
                <c:pt idx="224">
                  <c:v>55.77</c:v>
                </c:pt>
                <c:pt idx="225">
                  <c:v>55.81</c:v>
                </c:pt>
                <c:pt idx="226">
                  <c:v>55.8</c:v>
                </c:pt>
                <c:pt idx="227">
                  <c:v>55.76</c:v>
                </c:pt>
                <c:pt idx="228">
                  <c:v>55.77</c:v>
                </c:pt>
                <c:pt idx="229">
                  <c:v>55.73</c:v>
                </c:pt>
                <c:pt idx="230">
                  <c:v>55.75</c:v>
                </c:pt>
                <c:pt idx="231">
                  <c:v>55.79</c:v>
                </c:pt>
                <c:pt idx="232">
                  <c:v>55.75</c:v>
                </c:pt>
                <c:pt idx="233">
                  <c:v>55.79</c:v>
                </c:pt>
                <c:pt idx="234">
                  <c:v>55.81</c:v>
                </c:pt>
                <c:pt idx="235">
                  <c:v>55.81</c:v>
                </c:pt>
                <c:pt idx="236">
                  <c:v>55.82</c:v>
                </c:pt>
                <c:pt idx="237">
                  <c:v>55.77</c:v>
                </c:pt>
                <c:pt idx="238">
                  <c:v>55.78</c:v>
                </c:pt>
                <c:pt idx="239">
                  <c:v>55.81</c:v>
                </c:pt>
                <c:pt idx="240">
                  <c:v>55.8</c:v>
                </c:pt>
                <c:pt idx="241">
                  <c:v>55.81</c:v>
                </c:pt>
                <c:pt idx="242">
                  <c:v>55.76</c:v>
                </c:pt>
                <c:pt idx="243">
                  <c:v>55.77</c:v>
                </c:pt>
                <c:pt idx="244">
                  <c:v>55.77</c:v>
                </c:pt>
                <c:pt idx="245">
                  <c:v>55.81</c:v>
                </c:pt>
                <c:pt idx="246">
                  <c:v>55.83</c:v>
                </c:pt>
                <c:pt idx="247">
                  <c:v>55.78</c:v>
                </c:pt>
                <c:pt idx="248">
                  <c:v>55.81</c:v>
                </c:pt>
                <c:pt idx="249">
                  <c:v>55.8</c:v>
                </c:pt>
                <c:pt idx="250">
                  <c:v>55.79</c:v>
                </c:pt>
                <c:pt idx="251">
                  <c:v>55.83</c:v>
                </c:pt>
                <c:pt idx="252">
                  <c:v>55.77</c:v>
                </c:pt>
                <c:pt idx="253">
                  <c:v>55.82</c:v>
                </c:pt>
                <c:pt idx="254">
                  <c:v>55.82</c:v>
                </c:pt>
                <c:pt idx="255">
                  <c:v>55.84</c:v>
                </c:pt>
                <c:pt idx="256">
                  <c:v>55.87</c:v>
                </c:pt>
                <c:pt idx="257">
                  <c:v>55.88</c:v>
                </c:pt>
                <c:pt idx="258">
                  <c:v>55.85</c:v>
                </c:pt>
                <c:pt idx="259">
                  <c:v>55.88</c:v>
                </c:pt>
                <c:pt idx="260">
                  <c:v>55.93</c:v>
                </c:pt>
                <c:pt idx="261">
                  <c:v>55.94</c:v>
                </c:pt>
                <c:pt idx="262">
                  <c:v>55.95</c:v>
                </c:pt>
                <c:pt idx="263">
                  <c:v>55.96</c:v>
                </c:pt>
                <c:pt idx="264">
                  <c:v>55.95</c:v>
                </c:pt>
                <c:pt idx="265">
                  <c:v>55.95</c:v>
                </c:pt>
                <c:pt idx="266">
                  <c:v>55.96</c:v>
                </c:pt>
                <c:pt idx="267">
                  <c:v>55.95</c:v>
                </c:pt>
                <c:pt idx="268">
                  <c:v>55.92</c:v>
                </c:pt>
                <c:pt idx="269">
                  <c:v>55.92</c:v>
                </c:pt>
                <c:pt idx="270">
                  <c:v>55.86</c:v>
                </c:pt>
                <c:pt idx="271">
                  <c:v>55.85</c:v>
                </c:pt>
                <c:pt idx="272">
                  <c:v>55.87</c:v>
                </c:pt>
                <c:pt idx="273">
                  <c:v>55.87</c:v>
                </c:pt>
                <c:pt idx="274">
                  <c:v>55.8</c:v>
                </c:pt>
                <c:pt idx="275">
                  <c:v>55.8</c:v>
                </c:pt>
                <c:pt idx="276">
                  <c:v>55.8</c:v>
                </c:pt>
                <c:pt idx="277">
                  <c:v>55.82</c:v>
                </c:pt>
                <c:pt idx="278">
                  <c:v>55.75</c:v>
                </c:pt>
                <c:pt idx="279">
                  <c:v>55.72</c:v>
                </c:pt>
                <c:pt idx="280">
                  <c:v>55.74</c:v>
                </c:pt>
                <c:pt idx="281">
                  <c:v>55.76</c:v>
                </c:pt>
                <c:pt idx="282">
                  <c:v>55.75</c:v>
                </c:pt>
                <c:pt idx="283">
                  <c:v>55.75</c:v>
                </c:pt>
                <c:pt idx="284">
                  <c:v>55.75</c:v>
                </c:pt>
                <c:pt idx="285">
                  <c:v>55.72</c:v>
                </c:pt>
                <c:pt idx="286">
                  <c:v>55.76</c:v>
                </c:pt>
                <c:pt idx="287">
                  <c:v>55.74</c:v>
                </c:pt>
                <c:pt idx="288">
                  <c:v>55.76</c:v>
                </c:pt>
                <c:pt idx="289">
                  <c:v>55.72</c:v>
                </c:pt>
                <c:pt idx="290">
                  <c:v>55.78</c:v>
                </c:pt>
                <c:pt idx="291">
                  <c:v>55.75</c:v>
                </c:pt>
                <c:pt idx="292">
                  <c:v>55.77</c:v>
                </c:pt>
                <c:pt idx="293">
                  <c:v>55.79</c:v>
                </c:pt>
                <c:pt idx="294">
                  <c:v>55.79</c:v>
                </c:pt>
                <c:pt idx="295">
                  <c:v>55.8</c:v>
                </c:pt>
                <c:pt idx="296">
                  <c:v>55.78</c:v>
                </c:pt>
                <c:pt idx="297">
                  <c:v>55.83</c:v>
                </c:pt>
                <c:pt idx="298">
                  <c:v>55.79</c:v>
                </c:pt>
                <c:pt idx="299">
                  <c:v>55.83</c:v>
                </c:pt>
                <c:pt idx="300">
                  <c:v>55.87</c:v>
                </c:pt>
                <c:pt idx="301">
                  <c:v>55.84</c:v>
                </c:pt>
                <c:pt idx="302">
                  <c:v>55.85</c:v>
                </c:pt>
                <c:pt idx="303">
                  <c:v>55.85</c:v>
                </c:pt>
                <c:pt idx="304">
                  <c:v>55.88</c:v>
                </c:pt>
                <c:pt idx="305">
                  <c:v>55.89</c:v>
                </c:pt>
                <c:pt idx="306">
                  <c:v>55.87</c:v>
                </c:pt>
                <c:pt idx="307">
                  <c:v>55.93</c:v>
                </c:pt>
                <c:pt idx="308">
                  <c:v>55.9</c:v>
                </c:pt>
                <c:pt idx="309">
                  <c:v>55.91</c:v>
                </c:pt>
                <c:pt idx="310">
                  <c:v>55.87</c:v>
                </c:pt>
                <c:pt idx="311">
                  <c:v>55.91</c:v>
                </c:pt>
                <c:pt idx="312">
                  <c:v>55.89</c:v>
                </c:pt>
                <c:pt idx="313">
                  <c:v>55.87</c:v>
                </c:pt>
                <c:pt idx="314">
                  <c:v>55.83</c:v>
                </c:pt>
                <c:pt idx="315">
                  <c:v>55.82</c:v>
                </c:pt>
                <c:pt idx="316">
                  <c:v>55.83</c:v>
                </c:pt>
                <c:pt idx="317">
                  <c:v>55.87</c:v>
                </c:pt>
                <c:pt idx="318">
                  <c:v>55.83</c:v>
                </c:pt>
                <c:pt idx="319">
                  <c:v>55.86</c:v>
                </c:pt>
                <c:pt idx="320">
                  <c:v>55.83</c:v>
                </c:pt>
                <c:pt idx="321">
                  <c:v>55.82</c:v>
                </c:pt>
                <c:pt idx="322">
                  <c:v>55.81</c:v>
                </c:pt>
                <c:pt idx="323">
                  <c:v>55.83</c:v>
                </c:pt>
                <c:pt idx="324">
                  <c:v>55.79</c:v>
                </c:pt>
                <c:pt idx="325">
                  <c:v>55.84</c:v>
                </c:pt>
                <c:pt idx="326">
                  <c:v>55.78</c:v>
                </c:pt>
                <c:pt idx="327">
                  <c:v>55.79</c:v>
                </c:pt>
                <c:pt idx="328">
                  <c:v>55.81</c:v>
                </c:pt>
                <c:pt idx="329">
                  <c:v>55.84</c:v>
                </c:pt>
                <c:pt idx="330">
                  <c:v>55.79</c:v>
                </c:pt>
                <c:pt idx="331">
                  <c:v>55.84</c:v>
                </c:pt>
                <c:pt idx="332">
                  <c:v>55.84</c:v>
                </c:pt>
                <c:pt idx="333">
                  <c:v>55.78</c:v>
                </c:pt>
                <c:pt idx="334">
                  <c:v>55.79</c:v>
                </c:pt>
                <c:pt idx="335">
                  <c:v>55.84</c:v>
                </c:pt>
                <c:pt idx="336">
                  <c:v>55.87</c:v>
                </c:pt>
                <c:pt idx="337">
                  <c:v>55.85</c:v>
                </c:pt>
                <c:pt idx="338">
                  <c:v>55.81</c:v>
                </c:pt>
                <c:pt idx="339">
                  <c:v>55.86</c:v>
                </c:pt>
                <c:pt idx="340">
                  <c:v>55.81</c:v>
                </c:pt>
                <c:pt idx="341">
                  <c:v>55.81</c:v>
                </c:pt>
                <c:pt idx="342">
                  <c:v>55.86</c:v>
                </c:pt>
                <c:pt idx="343">
                  <c:v>55.85</c:v>
                </c:pt>
                <c:pt idx="344">
                  <c:v>55.84</c:v>
                </c:pt>
                <c:pt idx="345">
                  <c:v>55.83</c:v>
                </c:pt>
                <c:pt idx="346">
                  <c:v>55.87</c:v>
                </c:pt>
                <c:pt idx="347">
                  <c:v>55.89</c:v>
                </c:pt>
                <c:pt idx="348">
                  <c:v>55.87</c:v>
                </c:pt>
                <c:pt idx="349">
                  <c:v>55.83</c:v>
                </c:pt>
                <c:pt idx="350">
                  <c:v>55.81</c:v>
                </c:pt>
                <c:pt idx="351">
                  <c:v>55.82</c:v>
                </c:pt>
                <c:pt idx="352">
                  <c:v>55.87</c:v>
                </c:pt>
                <c:pt idx="353">
                  <c:v>55.83</c:v>
                </c:pt>
                <c:pt idx="354">
                  <c:v>55.84</c:v>
                </c:pt>
                <c:pt idx="355">
                  <c:v>55.84</c:v>
                </c:pt>
                <c:pt idx="356">
                  <c:v>55.82</c:v>
                </c:pt>
                <c:pt idx="357">
                  <c:v>55.83</c:v>
                </c:pt>
                <c:pt idx="358">
                  <c:v>55.79</c:v>
                </c:pt>
                <c:pt idx="359">
                  <c:v>55.84</c:v>
                </c:pt>
                <c:pt idx="360">
                  <c:v>55.81</c:v>
                </c:pt>
                <c:pt idx="361">
                  <c:v>55.8</c:v>
                </c:pt>
                <c:pt idx="362">
                  <c:v>55.77</c:v>
                </c:pt>
                <c:pt idx="363">
                  <c:v>55.78</c:v>
                </c:pt>
                <c:pt idx="364">
                  <c:v>55.77</c:v>
                </c:pt>
                <c:pt idx="365">
                  <c:v>55.79</c:v>
                </c:pt>
                <c:pt idx="366">
                  <c:v>55.8</c:v>
                </c:pt>
                <c:pt idx="367">
                  <c:v>55.77</c:v>
                </c:pt>
                <c:pt idx="368">
                  <c:v>55.79</c:v>
                </c:pt>
                <c:pt idx="369">
                  <c:v>55.77</c:v>
                </c:pt>
                <c:pt idx="370">
                  <c:v>55.77</c:v>
                </c:pt>
                <c:pt idx="371">
                  <c:v>55.76</c:v>
                </c:pt>
                <c:pt idx="372">
                  <c:v>55.8</c:v>
                </c:pt>
                <c:pt idx="373">
                  <c:v>55.79</c:v>
                </c:pt>
                <c:pt idx="374">
                  <c:v>55.81</c:v>
                </c:pt>
                <c:pt idx="375">
                  <c:v>55.83</c:v>
                </c:pt>
                <c:pt idx="376">
                  <c:v>55.81</c:v>
                </c:pt>
                <c:pt idx="377">
                  <c:v>55.81</c:v>
                </c:pt>
                <c:pt idx="378">
                  <c:v>55.81</c:v>
                </c:pt>
                <c:pt idx="379">
                  <c:v>55.83</c:v>
                </c:pt>
                <c:pt idx="380">
                  <c:v>55.83</c:v>
                </c:pt>
                <c:pt idx="381">
                  <c:v>55.8</c:v>
                </c:pt>
                <c:pt idx="382">
                  <c:v>55.85</c:v>
                </c:pt>
                <c:pt idx="383">
                  <c:v>55.87</c:v>
                </c:pt>
                <c:pt idx="384">
                  <c:v>55.85</c:v>
                </c:pt>
                <c:pt idx="385">
                  <c:v>55.8</c:v>
                </c:pt>
                <c:pt idx="386">
                  <c:v>55.8</c:v>
                </c:pt>
                <c:pt idx="387">
                  <c:v>55.82</c:v>
                </c:pt>
                <c:pt idx="388">
                  <c:v>55.82</c:v>
                </c:pt>
                <c:pt idx="389">
                  <c:v>55.79</c:v>
                </c:pt>
                <c:pt idx="390">
                  <c:v>55.81</c:v>
                </c:pt>
                <c:pt idx="391">
                  <c:v>55.84</c:v>
                </c:pt>
                <c:pt idx="392">
                  <c:v>55.83</c:v>
                </c:pt>
                <c:pt idx="393">
                  <c:v>55.85</c:v>
                </c:pt>
                <c:pt idx="394">
                  <c:v>55.84</c:v>
                </c:pt>
                <c:pt idx="395">
                  <c:v>55.8</c:v>
                </c:pt>
                <c:pt idx="396">
                  <c:v>55.84</c:v>
                </c:pt>
                <c:pt idx="397">
                  <c:v>55.82</c:v>
                </c:pt>
                <c:pt idx="398">
                  <c:v>55.83</c:v>
                </c:pt>
                <c:pt idx="399">
                  <c:v>55.82</c:v>
                </c:pt>
                <c:pt idx="400">
                  <c:v>55.82</c:v>
                </c:pt>
                <c:pt idx="401">
                  <c:v>55.77</c:v>
                </c:pt>
                <c:pt idx="402">
                  <c:v>55.8</c:v>
                </c:pt>
                <c:pt idx="403">
                  <c:v>55.83</c:v>
                </c:pt>
                <c:pt idx="404">
                  <c:v>55.86</c:v>
                </c:pt>
                <c:pt idx="405">
                  <c:v>55.84</c:v>
                </c:pt>
                <c:pt idx="406">
                  <c:v>55.87</c:v>
                </c:pt>
                <c:pt idx="407">
                  <c:v>55.86</c:v>
                </c:pt>
                <c:pt idx="408">
                  <c:v>55.85</c:v>
                </c:pt>
                <c:pt idx="409">
                  <c:v>55.83</c:v>
                </c:pt>
                <c:pt idx="410">
                  <c:v>55.81</c:v>
                </c:pt>
                <c:pt idx="411">
                  <c:v>55.85</c:v>
                </c:pt>
                <c:pt idx="412">
                  <c:v>55.79</c:v>
                </c:pt>
                <c:pt idx="413">
                  <c:v>55.85</c:v>
                </c:pt>
                <c:pt idx="414">
                  <c:v>55.8</c:v>
                </c:pt>
                <c:pt idx="415">
                  <c:v>55.84</c:v>
                </c:pt>
                <c:pt idx="416">
                  <c:v>55.78</c:v>
                </c:pt>
                <c:pt idx="417">
                  <c:v>55.82</c:v>
                </c:pt>
                <c:pt idx="418">
                  <c:v>55.74</c:v>
                </c:pt>
                <c:pt idx="419">
                  <c:v>55.81</c:v>
                </c:pt>
                <c:pt idx="420">
                  <c:v>55.78</c:v>
                </c:pt>
                <c:pt idx="421">
                  <c:v>55.79</c:v>
                </c:pt>
                <c:pt idx="422">
                  <c:v>55.75</c:v>
                </c:pt>
                <c:pt idx="423">
                  <c:v>55.77</c:v>
                </c:pt>
                <c:pt idx="424">
                  <c:v>55.74</c:v>
                </c:pt>
                <c:pt idx="425">
                  <c:v>55.79</c:v>
                </c:pt>
                <c:pt idx="426">
                  <c:v>55.73</c:v>
                </c:pt>
                <c:pt idx="427">
                  <c:v>55.78</c:v>
                </c:pt>
                <c:pt idx="428">
                  <c:v>55.74</c:v>
                </c:pt>
                <c:pt idx="429">
                  <c:v>55.81</c:v>
                </c:pt>
                <c:pt idx="430">
                  <c:v>55.73</c:v>
                </c:pt>
                <c:pt idx="431">
                  <c:v>55.77</c:v>
                </c:pt>
                <c:pt idx="432">
                  <c:v>55.72</c:v>
                </c:pt>
                <c:pt idx="433">
                  <c:v>55.78</c:v>
                </c:pt>
                <c:pt idx="434">
                  <c:v>55.77</c:v>
                </c:pt>
                <c:pt idx="435">
                  <c:v>55.8</c:v>
                </c:pt>
                <c:pt idx="436">
                  <c:v>55.8</c:v>
                </c:pt>
                <c:pt idx="437">
                  <c:v>55.77</c:v>
                </c:pt>
                <c:pt idx="438">
                  <c:v>55.78</c:v>
                </c:pt>
                <c:pt idx="439">
                  <c:v>55.81</c:v>
                </c:pt>
                <c:pt idx="440">
                  <c:v>55.83</c:v>
                </c:pt>
                <c:pt idx="441">
                  <c:v>55.81</c:v>
                </c:pt>
                <c:pt idx="442">
                  <c:v>55.81</c:v>
                </c:pt>
                <c:pt idx="443">
                  <c:v>55.81</c:v>
                </c:pt>
                <c:pt idx="444">
                  <c:v>55.81</c:v>
                </c:pt>
                <c:pt idx="445">
                  <c:v>55.85</c:v>
                </c:pt>
                <c:pt idx="446">
                  <c:v>55.85</c:v>
                </c:pt>
                <c:pt idx="447">
                  <c:v>55.85</c:v>
                </c:pt>
                <c:pt idx="448">
                  <c:v>55.8</c:v>
                </c:pt>
                <c:pt idx="449">
                  <c:v>55.85</c:v>
                </c:pt>
                <c:pt idx="450">
                  <c:v>55.83</c:v>
                </c:pt>
                <c:pt idx="451">
                  <c:v>55.85</c:v>
                </c:pt>
                <c:pt idx="452">
                  <c:v>55.83</c:v>
                </c:pt>
                <c:pt idx="453">
                  <c:v>55.8</c:v>
                </c:pt>
                <c:pt idx="454">
                  <c:v>55.85</c:v>
                </c:pt>
                <c:pt idx="455">
                  <c:v>55.83</c:v>
                </c:pt>
                <c:pt idx="456">
                  <c:v>55.84</c:v>
                </c:pt>
                <c:pt idx="457">
                  <c:v>55.85</c:v>
                </c:pt>
                <c:pt idx="458">
                  <c:v>55.85</c:v>
                </c:pt>
                <c:pt idx="459">
                  <c:v>55.84</c:v>
                </c:pt>
                <c:pt idx="460">
                  <c:v>55.8</c:v>
                </c:pt>
                <c:pt idx="461">
                  <c:v>55.83</c:v>
                </c:pt>
                <c:pt idx="462">
                  <c:v>55.82</c:v>
                </c:pt>
                <c:pt idx="463">
                  <c:v>55.82</c:v>
                </c:pt>
                <c:pt idx="464">
                  <c:v>55.82</c:v>
                </c:pt>
                <c:pt idx="465">
                  <c:v>55.79</c:v>
                </c:pt>
                <c:pt idx="466">
                  <c:v>55.79</c:v>
                </c:pt>
                <c:pt idx="467">
                  <c:v>55.82</c:v>
                </c:pt>
                <c:pt idx="468">
                  <c:v>55.77</c:v>
                </c:pt>
                <c:pt idx="469">
                  <c:v>55.79</c:v>
                </c:pt>
                <c:pt idx="470">
                  <c:v>55.79</c:v>
                </c:pt>
                <c:pt idx="471">
                  <c:v>55.81</c:v>
                </c:pt>
                <c:pt idx="472">
                  <c:v>55.78</c:v>
                </c:pt>
                <c:pt idx="473">
                  <c:v>55.77</c:v>
                </c:pt>
                <c:pt idx="474">
                  <c:v>55.76</c:v>
                </c:pt>
                <c:pt idx="475">
                  <c:v>55.81</c:v>
                </c:pt>
                <c:pt idx="476">
                  <c:v>55.81</c:v>
                </c:pt>
                <c:pt idx="477">
                  <c:v>55.76</c:v>
                </c:pt>
                <c:pt idx="478">
                  <c:v>55.81</c:v>
                </c:pt>
                <c:pt idx="479">
                  <c:v>55.8</c:v>
                </c:pt>
                <c:pt idx="480">
                  <c:v>55.84</c:v>
                </c:pt>
                <c:pt idx="481">
                  <c:v>55.79</c:v>
                </c:pt>
                <c:pt idx="482">
                  <c:v>55.87</c:v>
                </c:pt>
                <c:pt idx="483">
                  <c:v>55.83</c:v>
                </c:pt>
                <c:pt idx="484">
                  <c:v>55.85</c:v>
                </c:pt>
                <c:pt idx="485">
                  <c:v>55.79</c:v>
                </c:pt>
                <c:pt idx="486">
                  <c:v>55.81</c:v>
                </c:pt>
                <c:pt idx="487">
                  <c:v>55.81</c:v>
                </c:pt>
                <c:pt idx="488">
                  <c:v>55.82</c:v>
                </c:pt>
                <c:pt idx="489">
                  <c:v>55.83</c:v>
                </c:pt>
                <c:pt idx="490">
                  <c:v>55.87</c:v>
                </c:pt>
                <c:pt idx="491">
                  <c:v>55.84</c:v>
                </c:pt>
                <c:pt idx="492">
                  <c:v>55.86</c:v>
                </c:pt>
                <c:pt idx="493">
                  <c:v>55.84</c:v>
                </c:pt>
                <c:pt idx="494">
                  <c:v>55.85</c:v>
                </c:pt>
                <c:pt idx="495">
                  <c:v>55.88</c:v>
                </c:pt>
                <c:pt idx="496">
                  <c:v>55.88</c:v>
                </c:pt>
                <c:pt idx="497">
                  <c:v>55.91</c:v>
                </c:pt>
                <c:pt idx="498">
                  <c:v>55.88</c:v>
                </c:pt>
                <c:pt idx="499">
                  <c:v>55.9</c:v>
                </c:pt>
                <c:pt idx="500">
                  <c:v>55.91</c:v>
                </c:pt>
                <c:pt idx="501">
                  <c:v>55.91</c:v>
                </c:pt>
                <c:pt idx="502">
                  <c:v>55.91</c:v>
                </c:pt>
                <c:pt idx="503">
                  <c:v>55.87</c:v>
                </c:pt>
                <c:pt idx="504">
                  <c:v>55.86</c:v>
                </c:pt>
                <c:pt idx="505">
                  <c:v>55.87</c:v>
                </c:pt>
                <c:pt idx="506">
                  <c:v>55.88</c:v>
                </c:pt>
                <c:pt idx="507">
                  <c:v>55.85</c:v>
                </c:pt>
                <c:pt idx="508">
                  <c:v>55.84</c:v>
                </c:pt>
                <c:pt idx="509">
                  <c:v>55.89</c:v>
                </c:pt>
                <c:pt idx="510">
                  <c:v>55.82</c:v>
                </c:pt>
                <c:pt idx="511">
                  <c:v>55.83</c:v>
                </c:pt>
                <c:pt idx="512">
                  <c:v>55.85</c:v>
                </c:pt>
                <c:pt idx="513">
                  <c:v>55.84</c:v>
                </c:pt>
                <c:pt idx="514">
                  <c:v>55.86</c:v>
                </c:pt>
                <c:pt idx="515">
                  <c:v>55.8</c:v>
                </c:pt>
                <c:pt idx="516">
                  <c:v>55.79</c:v>
                </c:pt>
                <c:pt idx="517">
                  <c:v>55.84</c:v>
                </c:pt>
                <c:pt idx="518">
                  <c:v>55.78</c:v>
                </c:pt>
                <c:pt idx="519">
                  <c:v>55.79</c:v>
                </c:pt>
                <c:pt idx="520">
                  <c:v>55.77</c:v>
                </c:pt>
                <c:pt idx="521">
                  <c:v>55.82</c:v>
                </c:pt>
                <c:pt idx="522">
                  <c:v>55.79</c:v>
                </c:pt>
                <c:pt idx="523">
                  <c:v>55.8</c:v>
                </c:pt>
                <c:pt idx="524">
                  <c:v>55.84</c:v>
                </c:pt>
                <c:pt idx="525">
                  <c:v>55.77</c:v>
                </c:pt>
                <c:pt idx="526">
                  <c:v>55.82</c:v>
                </c:pt>
                <c:pt idx="527">
                  <c:v>55.83</c:v>
                </c:pt>
                <c:pt idx="528">
                  <c:v>55.85</c:v>
                </c:pt>
                <c:pt idx="529">
                  <c:v>55.81</c:v>
                </c:pt>
                <c:pt idx="530">
                  <c:v>55.85</c:v>
                </c:pt>
                <c:pt idx="531">
                  <c:v>55.81</c:v>
                </c:pt>
                <c:pt idx="532">
                  <c:v>55.89</c:v>
                </c:pt>
                <c:pt idx="533">
                  <c:v>55.89</c:v>
                </c:pt>
                <c:pt idx="534">
                  <c:v>55.9</c:v>
                </c:pt>
                <c:pt idx="535">
                  <c:v>55.89</c:v>
                </c:pt>
                <c:pt idx="536">
                  <c:v>55.86</c:v>
                </c:pt>
                <c:pt idx="537">
                  <c:v>55.91</c:v>
                </c:pt>
                <c:pt idx="538">
                  <c:v>55.88</c:v>
                </c:pt>
                <c:pt idx="539">
                  <c:v>55.86</c:v>
                </c:pt>
                <c:pt idx="540">
                  <c:v>55.83</c:v>
                </c:pt>
                <c:pt idx="541">
                  <c:v>55.83</c:v>
                </c:pt>
                <c:pt idx="542">
                  <c:v>55.81</c:v>
                </c:pt>
                <c:pt idx="543">
                  <c:v>55.82</c:v>
                </c:pt>
                <c:pt idx="544">
                  <c:v>55.85</c:v>
                </c:pt>
                <c:pt idx="545">
                  <c:v>55.87</c:v>
                </c:pt>
                <c:pt idx="546">
                  <c:v>55.84</c:v>
                </c:pt>
                <c:pt idx="547">
                  <c:v>55.83</c:v>
                </c:pt>
                <c:pt idx="548">
                  <c:v>55.83</c:v>
                </c:pt>
                <c:pt idx="549">
                  <c:v>55.83</c:v>
                </c:pt>
                <c:pt idx="550">
                  <c:v>55.83</c:v>
                </c:pt>
                <c:pt idx="551">
                  <c:v>55.82</c:v>
                </c:pt>
                <c:pt idx="552">
                  <c:v>55.81</c:v>
                </c:pt>
                <c:pt idx="553">
                  <c:v>55.79</c:v>
                </c:pt>
                <c:pt idx="554">
                  <c:v>55.83</c:v>
                </c:pt>
                <c:pt idx="555">
                  <c:v>55.79</c:v>
                </c:pt>
                <c:pt idx="556">
                  <c:v>55.84</c:v>
                </c:pt>
                <c:pt idx="557">
                  <c:v>55.81</c:v>
                </c:pt>
                <c:pt idx="558">
                  <c:v>55.81</c:v>
                </c:pt>
                <c:pt idx="559">
                  <c:v>55.77</c:v>
                </c:pt>
                <c:pt idx="560">
                  <c:v>55.82</c:v>
                </c:pt>
                <c:pt idx="561">
                  <c:v>55.79</c:v>
                </c:pt>
                <c:pt idx="562">
                  <c:v>55.83</c:v>
                </c:pt>
                <c:pt idx="563">
                  <c:v>55.8</c:v>
                </c:pt>
                <c:pt idx="564">
                  <c:v>55.83</c:v>
                </c:pt>
                <c:pt idx="565">
                  <c:v>55.85</c:v>
                </c:pt>
                <c:pt idx="566">
                  <c:v>55.86</c:v>
                </c:pt>
                <c:pt idx="567">
                  <c:v>55.83</c:v>
                </c:pt>
                <c:pt idx="568">
                  <c:v>55.81</c:v>
                </c:pt>
                <c:pt idx="569">
                  <c:v>55.82</c:v>
                </c:pt>
                <c:pt idx="570">
                  <c:v>55.87</c:v>
                </c:pt>
                <c:pt idx="571">
                  <c:v>55.83</c:v>
                </c:pt>
                <c:pt idx="572">
                  <c:v>55.87</c:v>
                </c:pt>
                <c:pt idx="573">
                  <c:v>55.85</c:v>
                </c:pt>
                <c:pt idx="574">
                  <c:v>55.82</c:v>
                </c:pt>
                <c:pt idx="575">
                  <c:v>55.83</c:v>
                </c:pt>
                <c:pt idx="576">
                  <c:v>55.87</c:v>
                </c:pt>
                <c:pt idx="577">
                  <c:v>55.88</c:v>
                </c:pt>
                <c:pt idx="578">
                  <c:v>55.87</c:v>
                </c:pt>
                <c:pt idx="579">
                  <c:v>55.83</c:v>
                </c:pt>
                <c:pt idx="580">
                  <c:v>55.83</c:v>
                </c:pt>
                <c:pt idx="581">
                  <c:v>55.85</c:v>
                </c:pt>
                <c:pt idx="582">
                  <c:v>55.87</c:v>
                </c:pt>
                <c:pt idx="583">
                  <c:v>55.82</c:v>
                </c:pt>
                <c:pt idx="584">
                  <c:v>55.88</c:v>
                </c:pt>
                <c:pt idx="585">
                  <c:v>55.87</c:v>
                </c:pt>
                <c:pt idx="586">
                  <c:v>55.84</c:v>
                </c:pt>
                <c:pt idx="587">
                  <c:v>55.84</c:v>
                </c:pt>
                <c:pt idx="588">
                  <c:v>55.81</c:v>
                </c:pt>
                <c:pt idx="589">
                  <c:v>55.82</c:v>
                </c:pt>
                <c:pt idx="590">
                  <c:v>55.85</c:v>
                </c:pt>
                <c:pt idx="591">
                  <c:v>55.8</c:v>
                </c:pt>
                <c:pt idx="592">
                  <c:v>55.82</c:v>
                </c:pt>
                <c:pt idx="593">
                  <c:v>55.85</c:v>
                </c:pt>
                <c:pt idx="594">
                  <c:v>55.81</c:v>
                </c:pt>
                <c:pt idx="595">
                  <c:v>55.79</c:v>
                </c:pt>
                <c:pt idx="596">
                  <c:v>55.83</c:v>
                </c:pt>
                <c:pt idx="597">
                  <c:v>55.85</c:v>
                </c:pt>
                <c:pt idx="598">
                  <c:v>55.8</c:v>
                </c:pt>
                <c:pt idx="599">
                  <c:v>55.79</c:v>
                </c:pt>
                <c:pt idx="600">
                  <c:v>55.87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D67-44C6-ADA5-B128B2D81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4003696"/>
        <c:axId val="1574004176"/>
      </c:scatterChart>
      <c:valAx>
        <c:axId val="1574003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04176"/>
        <c:crosses val="autoZero"/>
        <c:crossBetween val="midCat"/>
      </c:valAx>
      <c:valAx>
        <c:axId val="15740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00369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'56'!$R$1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'56'!$Q$2:$Q$602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'56'!$R$2:$R$602</c:f>
              <c:numCache>
                <c:formatCode>General</c:formatCode>
                <c:ptCount val="601"/>
                <c:pt idx="0">
                  <c:v>34.43</c:v>
                </c:pt>
                <c:pt idx="1">
                  <c:v>35.28</c:v>
                </c:pt>
                <c:pt idx="2">
                  <c:v>35.24</c:v>
                </c:pt>
                <c:pt idx="3">
                  <c:v>35.28</c:v>
                </c:pt>
                <c:pt idx="4">
                  <c:v>35.49</c:v>
                </c:pt>
                <c:pt idx="5">
                  <c:v>35.68</c:v>
                </c:pt>
                <c:pt idx="6">
                  <c:v>35.94</c:v>
                </c:pt>
                <c:pt idx="7">
                  <c:v>36.28</c:v>
                </c:pt>
                <c:pt idx="8">
                  <c:v>36.65</c:v>
                </c:pt>
                <c:pt idx="9">
                  <c:v>37.11</c:v>
                </c:pt>
                <c:pt idx="10">
                  <c:v>37.65</c:v>
                </c:pt>
                <c:pt idx="11">
                  <c:v>38.159999999999997</c:v>
                </c:pt>
                <c:pt idx="12">
                  <c:v>38.67</c:v>
                </c:pt>
                <c:pt idx="13">
                  <c:v>39.25</c:v>
                </c:pt>
                <c:pt idx="14">
                  <c:v>39.81</c:v>
                </c:pt>
                <c:pt idx="15">
                  <c:v>40.49</c:v>
                </c:pt>
                <c:pt idx="16">
                  <c:v>41.05</c:v>
                </c:pt>
                <c:pt idx="17">
                  <c:v>41.64</c:v>
                </c:pt>
                <c:pt idx="18">
                  <c:v>42.27</c:v>
                </c:pt>
                <c:pt idx="19">
                  <c:v>42.88</c:v>
                </c:pt>
                <c:pt idx="20">
                  <c:v>43.47</c:v>
                </c:pt>
                <c:pt idx="21">
                  <c:v>44.08</c:v>
                </c:pt>
                <c:pt idx="22">
                  <c:v>44.63</c:v>
                </c:pt>
                <c:pt idx="23">
                  <c:v>45.16</c:v>
                </c:pt>
                <c:pt idx="24">
                  <c:v>45.78</c:v>
                </c:pt>
                <c:pt idx="25">
                  <c:v>46.26</c:v>
                </c:pt>
                <c:pt idx="26">
                  <c:v>46.74</c:v>
                </c:pt>
                <c:pt idx="27">
                  <c:v>47.27</c:v>
                </c:pt>
                <c:pt idx="28">
                  <c:v>47.74</c:v>
                </c:pt>
                <c:pt idx="29">
                  <c:v>48.2</c:v>
                </c:pt>
                <c:pt idx="30">
                  <c:v>48.69</c:v>
                </c:pt>
                <c:pt idx="31">
                  <c:v>49.17</c:v>
                </c:pt>
                <c:pt idx="32">
                  <c:v>49.52</c:v>
                </c:pt>
                <c:pt idx="33">
                  <c:v>49.93</c:v>
                </c:pt>
                <c:pt idx="34">
                  <c:v>50.37</c:v>
                </c:pt>
                <c:pt idx="35">
                  <c:v>50.69</c:v>
                </c:pt>
                <c:pt idx="36">
                  <c:v>51.06</c:v>
                </c:pt>
                <c:pt idx="37">
                  <c:v>51.34</c:v>
                </c:pt>
                <c:pt idx="38">
                  <c:v>51.72</c:v>
                </c:pt>
                <c:pt idx="39">
                  <c:v>52.03</c:v>
                </c:pt>
                <c:pt idx="40">
                  <c:v>52.29</c:v>
                </c:pt>
                <c:pt idx="41">
                  <c:v>52.56</c:v>
                </c:pt>
                <c:pt idx="42">
                  <c:v>52.84</c:v>
                </c:pt>
                <c:pt idx="43">
                  <c:v>53.13</c:v>
                </c:pt>
                <c:pt idx="44">
                  <c:v>53.36</c:v>
                </c:pt>
                <c:pt idx="45">
                  <c:v>53.57</c:v>
                </c:pt>
                <c:pt idx="46">
                  <c:v>53.78</c:v>
                </c:pt>
                <c:pt idx="47">
                  <c:v>54</c:v>
                </c:pt>
                <c:pt idx="48">
                  <c:v>54.18</c:v>
                </c:pt>
                <c:pt idx="49">
                  <c:v>54.4</c:v>
                </c:pt>
                <c:pt idx="50">
                  <c:v>54.55</c:v>
                </c:pt>
                <c:pt idx="51">
                  <c:v>54.71</c:v>
                </c:pt>
                <c:pt idx="52">
                  <c:v>54.92</c:v>
                </c:pt>
                <c:pt idx="53">
                  <c:v>55.07</c:v>
                </c:pt>
                <c:pt idx="54">
                  <c:v>55.22</c:v>
                </c:pt>
                <c:pt idx="55">
                  <c:v>55.33</c:v>
                </c:pt>
                <c:pt idx="56">
                  <c:v>55.42</c:v>
                </c:pt>
                <c:pt idx="57">
                  <c:v>55.6</c:v>
                </c:pt>
                <c:pt idx="58">
                  <c:v>55.67</c:v>
                </c:pt>
                <c:pt idx="59">
                  <c:v>55.79</c:v>
                </c:pt>
                <c:pt idx="60">
                  <c:v>55.88</c:v>
                </c:pt>
                <c:pt idx="61">
                  <c:v>55.99</c:v>
                </c:pt>
                <c:pt idx="62">
                  <c:v>56.06</c:v>
                </c:pt>
                <c:pt idx="63">
                  <c:v>56.14</c:v>
                </c:pt>
                <c:pt idx="64">
                  <c:v>56.24</c:v>
                </c:pt>
                <c:pt idx="65">
                  <c:v>56.27</c:v>
                </c:pt>
                <c:pt idx="66">
                  <c:v>56.33</c:v>
                </c:pt>
                <c:pt idx="67">
                  <c:v>56.44</c:v>
                </c:pt>
                <c:pt idx="68">
                  <c:v>56.5</c:v>
                </c:pt>
                <c:pt idx="69">
                  <c:v>56.53</c:v>
                </c:pt>
                <c:pt idx="70">
                  <c:v>56.62</c:v>
                </c:pt>
                <c:pt idx="71">
                  <c:v>56.68</c:v>
                </c:pt>
                <c:pt idx="72">
                  <c:v>56.68</c:v>
                </c:pt>
                <c:pt idx="73">
                  <c:v>56.75</c:v>
                </c:pt>
                <c:pt idx="74">
                  <c:v>56.87</c:v>
                </c:pt>
                <c:pt idx="75">
                  <c:v>56.82</c:v>
                </c:pt>
                <c:pt idx="76">
                  <c:v>56.86</c:v>
                </c:pt>
                <c:pt idx="77">
                  <c:v>56.88</c:v>
                </c:pt>
                <c:pt idx="78">
                  <c:v>56.91</c:v>
                </c:pt>
                <c:pt idx="79">
                  <c:v>56.93</c:v>
                </c:pt>
                <c:pt idx="80">
                  <c:v>56.94</c:v>
                </c:pt>
                <c:pt idx="81">
                  <c:v>56.95</c:v>
                </c:pt>
                <c:pt idx="82">
                  <c:v>56.99</c:v>
                </c:pt>
                <c:pt idx="83">
                  <c:v>57.01</c:v>
                </c:pt>
                <c:pt idx="84">
                  <c:v>57.04</c:v>
                </c:pt>
                <c:pt idx="85">
                  <c:v>57.03</c:v>
                </c:pt>
                <c:pt idx="86">
                  <c:v>57.07</c:v>
                </c:pt>
                <c:pt idx="87">
                  <c:v>57.04</c:v>
                </c:pt>
                <c:pt idx="88">
                  <c:v>57.09</c:v>
                </c:pt>
                <c:pt idx="89">
                  <c:v>57.12</c:v>
                </c:pt>
                <c:pt idx="90">
                  <c:v>57.1</c:v>
                </c:pt>
                <c:pt idx="91">
                  <c:v>57.08</c:v>
                </c:pt>
                <c:pt idx="92">
                  <c:v>57.09</c:v>
                </c:pt>
                <c:pt idx="93">
                  <c:v>57.09</c:v>
                </c:pt>
                <c:pt idx="94">
                  <c:v>57.13</c:v>
                </c:pt>
                <c:pt idx="95">
                  <c:v>57.09</c:v>
                </c:pt>
                <c:pt idx="96">
                  <c:v>57.11</c:v>
                </c:pt>
                <c:pt idx="97">
                  <c:v>57.09</c:v>
                </c:pt>
                <c:pt idx="98">
                  <c:v>57.05</c:v>
                </c:pt>
                <c:pt idx="99">
                  <c:v>57.09</c:v>
                </c:pt>
                <c:pt idx="100">
                  <c:v>57.1</c:v>
                </c:pt>
                <c:pt idx="101">
                  <c:v>57.07</c:v>
                </c:pt>
                <c:pt idx="102">
                  <c:v>57.1</c:v>
                </c:pt>
                <c:pt idx="103">
                  <c:v>57.1</c:v>
                </c:pt>
                <c:pt idx="104">
                  <c:v>57.06</c:v>
                </c:pt>
                <c:pt idx="105">
                  <c:v>57.07</c:v>
                </c:pt>
                <c:pt idx="106">
                  <c:v>57.09</c:v>
                </c:pt>
                <c:pt idx="107">
                  <c:v>57.05</c:v>
                </c:pt>
                <c:pt idx="108">
                  <c:v>57.03</c:v>
                </c:pt>
                <c:pt idx="109">
                  <c:v>56.95</c:v>
                </c:pt>
                <c:pt idx="110">
                  <c:v>56.93</c:v>
                </c:pt>
                <c:pt idx="111">
                  <c:v>57.03</c:v>
                </c:pt>
                <c:pt idx="112">
                  <c:v>56.99</c:v>
                </c:pt>
                <c:pt idx="113">
                  <c:v>57.04</c:v>
                </c:pt>
                <c:pt idx="114">
                  <c:v>56.98</c:v>
                </c:pt>
                <c:pt idx="115">
                  <c:v>56.94</c:v>
                </c:pt>
                <c:pt idx="116">
                  <c:v>56.92</c:v>
                </c:pt>
                <c:pt idx="117">
                  <c:v>56.95</c:v>
                </c:pt>
                <c:pt idx="118">
                  <c:v>56.83</c:v>
                </c:pt>
                <c:pt idx="119">
                  <c:v>56.91</c:v>
                </c:pt>
                <c:pt idx="120">
                  <c:v>56.61</c:v>
                </c:pt>
                <c:pt idx="121">
                  <c:v>56.91</c:v>
                </c:pt>
                <c:pt idx="122">
                  <c:v>56.24</c:v>
                </c:pt>
                <c:pt idx="123">
                  <c:v>56.87</c:v>
                </c:pt>
                <c:pt idx="124">
                  <c:v>56.18</c:v>
                </c:pt>
                <c:pt idx="125">
                  <c:v>56.83</c:v>
                </c:pt>
                <c:pt idx="126">
                  <c:v>56.22</c:v>
                </c:pt>
                <c:pt idx="127">
                  <c:v>56.86</c:v>
                </c:pt>
                <c:pt idx="128">
                  <c:v>56.18</c:v>
                </c:pt>
                <c:pt idx="129">
                  <c:v>56.78</c:v>
                </c:pt>
                <c:pt idx="130">
                  <c:v>56.14</c:v>
                </c:pt>
                <c:pt idx="131">
                  <c:v>56.82</c:v>
                </c:pt>
                <c:pt idx="132">
                  <c:v>56.12</c:v>
                </c:pt>
                <c:pt idx="133">
                  <c:v>56.82</c:v>
                </c:pt>
                <c:pt idx="134">
                  <c:v>56.04</c:v>
                </c:pt>
                <c:pt idx="135">
                  <c:v>56.81</c:v>
                </c:pt>
                <c:pt idx="136">
                  <c:v>56.07</c:v>
                </c:pt>
                <c:pt idx="137">
                  <c:v>56.77</c:v>
                </c:pt>
                <c:pt idx="138">
                  <c:v>56.03</c:v>
                </c:pt>
                <c:pt idx="139">
                  <c:v>56.79</c:v>
                </c:pt>
                <c:pt idx="140">
                  <c:v>55.99</c:v>
                </c:pt>
                <c:pt idx="141">
                  <c:v>56.77</c:v>
                </c:pt>
                <c:pt idx="142">
                  <c:v>56</c:v>
                </c:pt>
                <c:pt idx="143">
                  <c:v>56.53</c:v>
                </c:pt>
                <c:pt idx="144">
                  <c:v>55.95</c:v>
                </c:pt>
                <c:pt idx="145">
                  <c:v>56.24</c:v>
                </c:pt>
                <c:pt idx="146">
                  <c:v>56.02</c:v>
                </c:pt>
                <c:pt idx="147">
                  <c:v>56.12</c:v>
                </c:pt>
                <c:pt idx="148">
                  <c:v>56.06</c:v>
                </c:pt>
                <c:pt idx="149">
                  <c:v>56.06</c:v>
                </c:pt>
                <c:pt idx="150">
                  <c:v>56.06</c:v>
                </c:pt>
                <c:pt idx="151">
                  <c:v>56.12</c:v>
                </c:pt>
                <c:pt idx="152">
                  <c:v>56.03</c:v>
                </c:pt>
                <c:pt idx="153">
                  <c:v>56.12</c:v>
                </c:pt>
                <c:pt idx="154">
                  <c:v>56.09</c:v>
                </c:pt>
                <c:pt idx="155">
                  <c:v>56.06</c:v>
                </c:pt>
                <c:pt idx="156">
                  <c:v>56.07</c:v>
                </c:pt>
                <c:pt idx="157">
                  <c:v>56.07</c:v>
                </c:pt>
                <c:pt idx="158">
                  <c:v>56.09</c:v>
                </c:pt>
                <c:pt idx="159">
                  <c:v>56.05</c:v>
                </c:pt>
                <c:pt idx="160">
                  <c:v>56.12</c:v>
                </c:pt>
                <c:pt idx="161">
                  <c:v>56.07</c:v>
                </c:pt>
                <c:pt idx="162">
                  <c:v>56.09</c:v>
                </c:pt>
                <c:pt idx="163">
                  <c:v>56.08</c:v>
                </c:pt>
                <c:pt idx="164">
                  <c:v>56.11</c:v>
                </c:pt>
                <c:pt idx="165">
                  <c:v>56.12</c:v>
                </c:pt>
                <c:pt idx="166">
                  <c:v>56.11</c:v>
                </c:pt>
                <c:pt idx="167">
                  <c:v>56.09</c:v>
                </c:pt>
                <c:pt idx="168">
                  <c:v>56.1</c:v>
                </c:pt>
                <c:pt idx="169">
                  <c:v>56.13</c:v>
                </c:pt>
                <c:pt idx="170">
                  <c:v>56.12</c:v>
                </c:pt>
                <c:pt idx="171">
                  <c:v>56.15</c:v>
                </c:pt>
                <c:pt idx="172">
                  <c:v>56.08</c:v>
                </c:pt>
                <c:pt idx="173">
                  <c:v>56.14</c:v>
                </c:pt>
                <c:pt idx="174">
                  <c:v>56.14</c:v>
                </c:pt>
                <c:pt idx="175">
                  <c:v>56.15</c:v>
                </c:pt>
                <c:pt idx="176">
                  <c:v>56.18</c:v>
                </c:pt>
                <c:pt idx="177">
                  <c:v>56.16</c:v>
                </c:pt>
                <c:pt idx="178">
                  <c:v>56.13</c:v>
                </c:pt>
                <c:pt idx="179">
                  <c:v>56.16</c:v>
                </c:pt>
                <c:pt idx="180">
                  <c:v>56.17</c:v>
                </c:pt>
                <c:pt idx="181">
                  <c:v>56.13</c:v>
                </c:pt>
                <c:pt idx="182">
                  <c:v>56.18</c:v>
                </c:pt>
                <c:pt idx="183">
                  <c:v>56.11</c:v>
                </c:pt>
                <c:pt idx="184">
                  <c:v>56.19</c:v>
                </c:pt>
                <c:pt idx="185">
                  <c:v>56.23</c:v>
                </c:pt>
                <c:pt idx="186">
                  <c:v>56.19</c:v>
                </c:pt>
                <c:pt idx="187">
                  <c:v>56.16</c:v>
                </c:pt>
                <c:pt idx="188">
                  <c:v>56.17</c:v>
                </c:pt>
                <c:pt idx="189">
                  <c:v>56.15</c:v>
                </c:pt>
                <c:pt idx="190">
                  <c:v>56.17</c:v>
                </c:pt>
                <c:pt idx="191">
                  <c:v>56.16</c:v>
                </c:pt>
                <c:pt idx="192">
                  <c:v>56.19</c:v>
                </c:pt>
                <c:pt idx="193">
                  <c:v>56.19</c:v>
                </c:pt>
                <c:pt idx="194">
                  <c:v>56.13</c:v>
                </c:pt>
                <c:pt idx="195">
                  <c:v>56.17</c:v>
                </c:pt>
                <c:pt idx="196">
                  <c:v>56.14</c:v>
                </c:pt>
                <c:pt idx="197">
                  <c:v>56.16</c:v>
                </c:pt>
                <c:pt idx="198">
                  <c:v>56.21</c:v>
                </c:pt>
                <c:pt idx="199">
                  <c:v>56.17</c:v>
                </c:pt>
                <c:pt idx="200">
                  <c:v>56.19</c:v>
                </c:pt>
                <c:pt idx="201">
                  <c:v>56.14</c:v>
                </c:pt>
                <c:pt idx="202">
                  <c:v>56.16</c:v>
                </c:pt>
                <c:pt idx="203">
                  <c:v>56.18</c:v>
                </c:pt>
                <c:pt idx="204">
                  <c:v>56.2</c:v>
                </c:pt>
                <c:pt idx="205">
                  <c:v>56.13</c:v>
                </c:pt>
                <c:pt idx="206">
                  <c:v>56.19</c:v>
                </c:pt>
                <c:pt idx="207">
                  <c:v>56.16</c:v>
                </c:pt>
                <c:pt idx="208">
                  <c:v>56.14</c:v>
                </c:pt>
                <c:pt idx="209">
                  <c:v>56.2</c:v>
                </c:pt>
                <c:pt idx="210">
                  <c:v>56.16</c:v>
                </c:pt>
                <c:pt idx="211">
                  <c:v>56.17</c:v>
                </c:pt>
                <c:pt idx="212">
                  <c:v>56.14</c:v>
                </c:pt>
                <c:pt idx="213">
                  <c:v>56.15</c:v>
                </c:pt>
                <c:pt idx="214">
                  <c:v>56.17</c:v>
                </c:pt>
                <c:pt idx="215">
                  <c:v>56.16</c:v>
                </c:pt>
                <c:pt idx="216">
                  <c:v>56.18</c:v>
                </c:pt>
                <c:pt idx="217">
                  <c:v>56.12</c:v>
                </c:pt>
                <c:pt idx="218">
                  <c:v>56.15</c:v>
                </c:pt>
                <c:pt idx="219">
                  <c:v>56.13</c:v>
                </c:pt>
                <c:pt idx="220">
                  <c:v>56.14</c:v>
                </c:pt>
                <c:pt idx="221">
                  <c:v>56.13</c:v>
                </c:pt>
                <c:pt idx="222">
                  <c:v>56.09</c:v>
                </c:pt>
                <c:pt idx="223">
                  <c:v>56.11</c:v>
                </c:pt>
                <c:pt idx="224">
                  <c:v>56.12</c:v>
                </c:pt>
                <c:pt idx="225">
                  <c:v>56.11</c:v>
                </c:pt>
                <c:pt idx="226">
                  <c:v>56.11</c:v>
                </c:pt>
                <c:pt idx="227">
                  <c:v>56.12</c:v>
                </c:pt>
                <c:pt idx="228">
                  <c:v>56.11</c:v>
                </c:pt>
                <c:pt idx="229">
                  <c:v>56.14</c:v>
                </c:pt>
                <c:pt idx="230">
                  <c:v>56.11</c:v>
                </c:pt>
                <c:pt idx="231">
                  <c:v>56.12</c:v>
                </c:pt>
                <c:pt idx="232">
                  <c:v>56.12</c:v>
                </c:pt>
                <c:pt idx="233">
                  <c:v>56.13</c:v>
                </c:pt>
                <c:pt idx="234">
                  <c:v>56.07</c:v>
                </c:pt>
                <c:pt idx="235">
                  <c:v>56.16</c:v>
                </c:pt>
                <c:pt idx="236">
                  <c:v>56.18</c:v>
                </c:pt>
                <c:pt idx="237">
                  <c:v>56.14</c:v>
                </c:pt>
                <c:pt idx="238">
                  <c:v>56.14</c:v>
                </c:pt>
                <c:pt idx="239">
                  <c:v>56.11</c:v>
                </c:pt>
                <c:pt idx="240">
                  <c:v>56.13</c:v>
                </c:pt>
                <c:pt idx="241">
                  <c:v>56.12</c:v>
                </c:pt>
                <c:pt idx="242">
                  <c:v>56.12</c:v>
                </c:pt>
                <c:pt idx="243">
                  <c:v>56.12</c:v>
                </c:pt>
                <c:pt idx="244">
                  <c:v>56.05</c:v>
                </c:pt>
                <c:pt idx="245">
                  <c:v>56.14</c:v>
                </c:pt>
                <c:pt idx="246">
                  <c:v>56.12</c:v>
                </c:pt>
                <c:pt idx="247">
                  <c:v>56.14</c:v>
                </c:pt>
                <c:pt idx="248">
                  <c:v>56.15</c:v>
                </c:pt>
                <c:pt idx="249">
                  <c:v>56.08</c:v>
                </c:pt>
                <c:pt idx="250">
                  <c:v>56.12</c:v>
                </c:pt>
                <c:pt idx="251">
                  <c:v>56.11</c:v>
                </c:pt>
                <c:pt idx="252">
                  <c:v>56.08</c:v>
                </c:pt>
                <c:pt idx="253">
                  <c:v>56.08</c:v>
                </c:pt>
                <c:pt idx="254">
                  <c:v>56.13</c:v>
                </c:pt>
                <c:pt idx="255">
                  <c:v>56.08</c:v>
                </c:pt>
                <c:pt idx="256">
                  <c:v>56.08</c:v>
                </c:pt>
                <c:pt idx="257">
                  <c:v>56.16</c:v>
                </c:pt>
                <c:pt idx="258">
                  <c:v>56.09</c:v>
                </c:pt>
                <c:pt idx="259">
                  <c:v>56.1</c:v>
                </c:pt>
                <c:pt idx="260">
                  <c:v>56.08</c:v>
                </c:pt>
                <c:pt idx="261">
                  <c:v>56.18</c:v>
                </c:pt>
                <c:pt idx="262">
                  <c:v>56.13</c:v>
                </c:pt>
                <c:pt idx="263">
                  <c:v>56.08</c:v>
                </c:pt>
                <c:pt idx="264">
                  <c:v>56.06</c:v>
                </c:pt>
                <c:pt idx="265">
                  <c:v>56.08</c:v>
                </c:pt>
                <c:pt idx="266">
                  <c:v>56.09</c:v>
                </c:pt>
                <c:pt idx="267">
                  <c:v>56.08</c:v>
                </c:pt>
                <c:pt idx="268">
                  <c:v>56.11</c:v>
                </c:pt>
                <c:pt idx="269">
                  <c:v>56.04</c:v>
                </c:pt>
                <c:pt idx="270">
                  <c:v>56.1</c:v>
                </c:pt>
                <c:pt idx="271">
                  <c:v>56.08</c:v>
                </c:pt>
                <c:pt idx="272">
                  <c:v>56.09</c:v>
                </c:pt>
                <c:pt idx="273">
                  <c:v>56.08</c:v>
                </c:pt>
                <c:pt idx="274">
                  <c:v>56.04</c:v>
                </c:pt>
                <c:pt idx="275">
                  <c:v>56.08</c:v>
                </c:pt>
                <c:pt idx="276">
                  <c:v>56.04</c:v>
                </c:pt>
                <c:pt idx="277">
                  <c:v>56.1</c:v>
                </c:pt>
                <c:pt idx="278">
                  <c:v>56.02</c:v>
                </c:pt>
                <c:pt idx="279">
                  <c:v>56.04</c:v>
                </c:pt>
                <c:pt idx="280">
                  <c:v>56.04</c:v>
                </c:pt>
                <c:pt idx="281">
                  <c:v>55.99</c:v>
                </c:pt>
                <c:pt idx="282">
                  <c:v>56.05</c:v>
                </c:pt>
                <c:pt idx="283">
                  <c:v>56.13</c:v>
                </c:pt>
                <c:pt idx="284">
                  <c:v>56.04</c:v>
                </c:pt>
                <c:pt idx="285">
                  <c:v>56.06</c:v>
                </c:pt>
                <c:pt idx="286">
                  <c:v>56.04</c:v>
                </c:pt>
                <c:pt idx="287">
                  <c:v>56.07</c:v>
                </c:pt>
                <c:pt idx="288">
                  <c:v>56.08</c:v>
                </c:pt>
                <c:pt idx="289">
                  <c:v>56.04</c:v>
                </c:pt>
                <c:pt idx="290">
                  <c:v>56.04</c:v>
                </c:pt>
                <c:pt idx="291">
                  <c:v>56.05</c:v>
                </c:pt>
                <c:pt idx="292">
                  <c:v>56.12</c:v>
                </c:pt>
                <c:pt idx="293">
                  <c:v>56.01</c:v>
                </c:pt>
                <c:pt idx="294">
                  <c:v>56.04</c:v>
                </c:pt>
                <c:pt idx="295">
                  <c:v>56.08</c:v>
                </c:pt>
                <c:pt idx="296">
                  <c:v>56.01</c:v>
                </c:pt>
                <c:pt idx="297">
                  <c:v>56.01</c:v>
                </c:pt>
                <c:pt idx="298">
                  <c:v>56.05</c:v>
                </c:pt>
                <c:pt idx="299">
                  <c:v>56.02</c:v>
                </c:pt>
                <c:pt idx="300">
                  <c:v>55.99</c:v>
                </c:pt>
                <c:pt idx="301">
                  <c:v>56.07</c:v>
                </c:pt>
                <c:pt idx="302">
                  <c:v>56.04</c:v>
                </c:pt>
                <c:pt idx="303">
                  <c:v>56.01</c:v>
                </c:pt>
                <c:pt idx="304">
                  <c:v>56.05</c:v>
                </c:pt>
                <c:pt idx="305">
                  <c:v>56.04</c:v>
                </c:pt>
                <c:pt idx="306">
                  <c:v>56.12</c:v>
                </c:pt>
                <c:pt idx="307">
                  <c:v>56.08</c:v>
                </c:pt>
                <c:pt idx="308">
                  <c:v>56.04</c:v>
                </c:pt>
                <c:pt idx="309">
                  <c:v>56.08</c:v>
                </c:pt>
                <c:pt idx="310">
                  <c:v>56.07</c:v>
                </c:pt>
                <c:pt idx="311">
                  <c:v>56.07</c:v>
                </c:pt>
                <c:pt idx="312">
                  <c:v>56.07</c:v>
                </c:pt>
                <c:pt idx="313">
                  <c:v>56.07</c:v>
                </c:pt>
                <c:pt idx="314">
                  <c:v>56.08</c:v>
                </c:pt>
                <c:pt idx="315">
                  <c:v>56.02</c:v>
                </c:pt>
                <c:pt idx="316">
                  <c:v>56.07</c:v>
                </c:pt>
                <c:pt idx="317">
                  <c:v>55.99</c:v>
                </c:pt>
                <c:pt idx="318">
                  <c:v>56.06</c:v>
                </c:pt>
                <c:pt idx="319">
                  <c:v>56.03</c:v>
                </c:pt>
                <c:pt idx="320">
                  <c:v>56.08</c:v>
                </c:pt>
                <c:pt idx="321">
                  <c:v>56.12</c:v>
                </c:pt>
                <c:pt idx="322">
                  <c:v>56.04</c:v>
                </c:pt>
                <c:pt idx="323">
                  <c:v>56.08</c:v>
                </c:pt>
                <c:pt idx="324">
                  <c:v>56.04</c:v>
                </c:pt>
                <c:pt idx="325">
                  <c:v>56.06</c:v>
                </c:pt>
                <c:pt idx="326">
                  <c:v>56.06</c:v>
                </c:pt>
                <c:pt idx="327">
                  <c:v>56.04</c:v>
                </c:pt>
                <c:pt idx="328">
                  <c:v>56.11</c:v>
                </c:pt>
                <c:pt idx="329">
                  <c:v>56.06</c:v>
                </c:pt>
                <c:pt idx="330">
                  <c:v>56.07</c:v>
                </c:pt>
                <c:pt idx="331">
                  <c:v>56.07</c:v>
                </c:pt>
                <c:pt idx="332">
                  <c:v>56.08</c:v>
                </c:pt>
                <c:pt idx="333">
                  <c:v>56.11</c:v>
                </c:pt>
                <c:pt idx="334">
                  <c:v>56.08</c:v>
                </c:pt>
                <c:pt idx="335">
                  <c:v>56.06</c:v>
                </c:pt>
                <c:pt idx="336">
                  <c:v>56.08</c:v>
                </c:pt>
                <c:pt idx="337">
                  <c:v>56.05</c:v>
                </c:pt>
                <c:pt idx="338">
                  <c:v>56.05</c:v>
                </c:pt>
                <c:pt idx="339">
                  <c:v>56</c:v>
                </c:pt>
                <c:pt idx="340">
                  <c:v>56.08</c:v>
                </c:pt>
                <c:pt idx="341">
                  <c:v>56.04</c:v>
                </c:pt>
                <c:pt idx="342">
                  <c:v>56.04</c:v>
                </c:pt>
                <c:pt idx="343">
                  <c:v>56.01</c:v>
                </c:pt>
                <c:pt idx="344">
                  <c:v>56.07</c:v>
                </c:pt>
                <c:pt idx="345">
                  <c:v>56.08</c:v>
                </c:pt>
                <c:pt idx="346">
                  <c:v>56.08</c:v>
                </c:pt>
                <c:pt idx="347">
                  <c:v>56.04</c:v>
                </c:pt>
                <c:pt idx="348">
                  <c:v>56.05</c:v>
                </c:pt>
                <c:pt idx="349">
                  <c:v>56.04</c:v>
                </c:pt>
                <c:pt idx="350">
                  <c:v>56.1</c:v>
                </c:pt>
                <c:pt idx="351">
                  <c:v>56.07</c:v>
                </c:pt>
                <c:pt idx="352">
                  <c:v>56.07</c:v>
                </c:pt>
                <c:pt idx="353">
                  <c:v>56.06</c:v>
                </c:pt>
                <c:pt idx="354">
                  <c:v>56.07</c:v>
                </c:pt>
                <c:pt idx="355">
                  <c:v>56.12</c:v>
                </c:pt>
                <c:pt idx="356">
                  <c:v>56.12</c:v>
                </c:pt>
                <c:pt idx="357">
                  <c:v>56.09</c:v>
                </c:pt>
                <c:pt idx="358">
                  <c:v>56.1</c:v>
                </c:pt>
                <c:pt idx="359">
                  <c:v>56.12</c:v>
                </c:pt>
                <c:pt idx="360">
                  <c:v>56.06</c:v>
                </c:pt>
                <c:pt idx="361">
                  <c:v>56.08</c:v>
                </c:pt>
                <c:pt idx="362">
                  <c:v>56.06</c:v>
                </c:pt>
                <c:pt idx="363">
                  <c:v>56.08</c:v>
                </c:pt>
                <c:pt idx="364">
                  <c:v>56.1</c:v>
                </c:pt>
                <c:pt idx="365">
                  <c:v>56.04</c:v>
                </c:pt>
                <c:pt idx="366">
                  <c:v>56.04</c:v>
                </c:pt>
                <c:pt idx="367">
                  <c:v>56.12</c:v>
                </c:pt>
                <c:pt idx="368">
                  <c:v>56.08</c:v>
                </c:pt>
                <c:pt idx="369">
                  <c:v>56.04</c:v>
                </c:pt>
                <c:pt idx="370">
                  <c:v>56.02</c:v>
                </c:pt>
                <c:pt idx="371">
                  <c:v>56.07</c:v>
                </c:pt>
                <c:pt idx="372">
                  <c:v>56.17</c:v>
                </c:pt>
                <c:pt idx="373">
                  <c:v>56.08</c:v>
                </c:pt>
                <c:pt idx="374">
                  <c:v>56.07</c:v>
                </c:pt>
                <c:pt idx="375">
                  <c:v>56.04</c:v>
                </c:pt>
                <c:pt idx="376">
                  <c:v>56.07</c:v>
                </c:pt>
                <c:pt idx="377">
                  <c:v>55.99</c:v>
                </c:pt>
                <c:pt idx="378">
                  <c:v>56.05</c:v>
                </c:pt>
                <c:pt idx="379">
                  <c:v>56.07</c:v>
                </c:pt>
                <c:pt idx="380">
                  <c:v>56.02</c:v>
                </c:pt>
                <c:pt idx="381">
                  <c:v>56.07</c:v>
                </c:pt>
                <c:pt idx="382">
                  <c:v>56.04</c:v>
                </c:pt>
                <c:pt idx="383">
                  <c:v>56.04</c:v>
                </c:pt>
                <c:pt idx="384">
                  <c:v>56.02</c:v>
                </c:pt>
                <c:pt idx="385">
                  <c:v>56.06</c:v>
                </c:pt>
                <c:pt idx="386">
                  <c:v>56.06</c:v>
                </c:pt>
                <c:pt idx="387">
                  <c:v>55.99</c:v>
                </c:pt>
                <c:pt idx="388">
                  <c:v>56.04</c:v>
                </c:pt>
                <c:pt idx="389">
                  <c:v>56.01</c:v>
                </c:pt>
                <c:pt idx="390">
                  <c:v>56.04</c:v>
                </c:pt>
                <c:pt idx="391">
                  <c:v>55.99</c:v>
                </c:pt>
                <c:pt idx="392">
                  <c:v>55.97</c:v>
                </c:pt>
                <c:pt idx="393">
                  <c:v>56.03</c:v>
                </c:pt>
                <c:pt idx="394">
                  <c:v>56.04</c:v>
                </c:pt>
                <c:pt idx="395">
                  <c:v>56.08</c:v>
                </c:pt>
                <c:pt idx="396">
                  <c:v>55.96</c:v>
                </c:pt>
                <c:pt idx="397">
                  <c:v>56.04</c:v>
                </c:pt>
                <c:pt idx="398">
                  <c:v>56.01</c:v>
                </c:pt>
                <c:pt idx="399">
                  <c:v>56.04</c:v>
                </c:pt>
                <c:pt idx="400">
                  <c:v>56</c:v>
                </c:pt>
                <c:pt idx="401">
                  <c:v>56.02</c:v>
                </c:pt>
                <c:pt idx="402">
                  <c:v>56</c:v>
                </c:pt>
                <c:pt idx="403">
                  <c:v>56.07</c:v>
                </c:pt>
                <c:pt idx="404">
                  <c:v>56.02</c:v>
                </c:pt>
                <c:pt idx="405">
                  <c:v>56.06</c:v>
                </c:pt>
                <c:pt idx="406">
                  <c:v>56.01</c:v>
                </c:pt>
                <c:pt idx="407">
                  <c:v>56.07</c:v>
                </c:pt>
                <c:pt idx="408">
                  <c:v>56.05</c:v>
                </c:pt>
                <c:pt idx="409">
                  <c:v>56.07</c:v>
                </c:pt>
                <c:pt idx="410">
                  <c:v>56.01</c:v>
                </c:pt>
                <c:pt idx="411">
                  <c:v>56</c:v>
                </c:pt>
                <c:pt idx="412">
                  <c:v>56</c:v>
                </c:pt>
                <c:pt idx="413">
                  <c:v>56.06</c:v>
                </c:pt>
                <c:pt idx="414">
                  <c:v>56.05</c:v>
                </c:pt>
                <c:pt idx="415">
                  <c:v>56.02</c:v>
                </c:pt>
                <c:pt idx="416">
                  <c:v>55.99</c:v>
                </c:pt>
                <c:pt idx="417">
                  <c:v>56.01</c:v>
                </c:pt>
                <c:pt idx="418">
                  <c:v>56.04</c:v>
                </c:pt>
                <c:pt idx="419">
                  <c:v>55.99</c:v>
                </c:pt>
                <c:pt idx="420">
                  <c:v>56</c:v>
                </c:pt>
                <c:pt idx="421">
                  <c:v>56.09</c:v>
                </c:pt>
                <c:pt idx="422">
                  <c:v>56.02</c:v>
                </c:pt>
                <c:pt idx="423">
                  <c:v>56.01</c:v>
                </c:pt>
                <c:pt idx="424">
                  <c:v>56.03</c:v>
                </c:pt>
                <c:pt idx="425">
                  <c:v>56.04</c:v>
                </c:pt>
                <c:pt idx="426">
                  <c:v>56</c:v>
                </c:pt>
                <c:pt idx="427">
                  <c:v>55.99</c:v>
                </c:pt>
                <c:pt idx="428">
                  <c:v>56.08</c:v>
                </c:pt>
                <c:pt idx="429">
                  <c:v>56.02</c:v>
                </c:pt>
                <c:pt idx="430">
                  <c:v>56.04</c:v>
                </c:pt>
                <c:pt idx="431">
                  <c:v>56.07</c:v>
                </c:pt>
                <c:pt idx="432">
                  <c:v>55.97</c:v>
                </c:pt>
                <c:pt idx="433">
                  <c:v>56.04</c:v>
                </c:pt>
                <c:pt idx="434">
                  <c:v>56.02</c:v>
                </c:pt>
                <c:pt idx="435">
                  <c:v>56.05</c:v>
                </c:pt>
                <c:pt idx="436">
                  <c:v>56.07</c:v>
                </c:pt>
                <c:pt idx="437">
                  <c:v>56.06</c:v>
                </c:pt>
                <c:pt idx="438">
                  <c:v>56</c:v>
                </c:pt>
                <c:pt idx="439">
                  <c:v>56.05</c:v>
                </c:pt>
                <c:pt idx="440">
                  <c:v>55.97</c:v>
                </c:pt>
                <c:pt idx="441">
                  <c:v>56.02</c:v>
                </c:pt>
                <c:pt idx="442">
                  <c:v>56.01</c:v>
                </c:pt>
                <c:pt idx="443">
                  <c:v>56.05</c:v>
                </c:pt>
                <c:pt idx="444">
                  <c:v>56.04</c:v>
                </c:pt>
                <c:pt idx="445">
                  <c:v>56.01</c:v>
                </c:pt>
                <c:pt idx="446">
                  <c:v>56.04</c:v>
                </c:pt>
                <c:pt idx="447">
                  <c:v>55.99</c:v>
                </c:pt>
                <c:pt idx="448">
                  <c:v>56</c:v>
                </c:pt>
                <c:pt idx="449">
                  <c:v>55.99</c:v>
                </c:pt>
                <c:pt idx="450">
                  <c:v>55.99</c:v>
                </c:pt>
                <c:pt idx="451">
                  <c:v>55.97</c:v>
                </c:pt>
                <c:pt idx="452">
                  <c:v>55.98</c:v>
                </c:pt>
                <c:pt idx="453">
                  <c:v>56.04</c:v>
                </c:pt>
                <c:pt idx="454">
                  <c:v>56.05</c:v>
                </c:pt>
                <c:pt idx="455">
                  <c:v>56.04</c:v>
                </c:pt>
                <c:pt idx="456">
                  <c:v>56.01</c:v>
                </c:pt>
                <c:pt idx="457">
                  <c:v>56.04</c:v>
                </c:pt>
                <c:pt idx="458">
                  <c:v>56.03</c:v>
                </c:pt>
                <c:pt idx="459">
                  <c:v>56.02</c:v>
                </c:pt>
                <c:pt idx="460">
                  <c:v>56.12</c:v>
                </c:pt>
                <c:pt idx="461">
                  <c:v>56.08</c:v>
                </c:pt>
                <c:pt idx="462">
                  <c:v>56</c:v>
                </c:pt>
                <c:pt idx="463">
                  <c:v>56.04</c:v>
                </c:pt>
                <c:pt idx="464">
                  <c:v>56.12</c:v>
                </c:pt>
                <c:pt idx="465">
                  <c:v>56.07</c:v>
                </c:pt>
                <c:pt idx="466">
                  <c:v>56.01</c:v>
                </c:pt>
                <c:pt idx="467">
                  <c:v>56.03</c:v>
                </c:pt>
                <c:pt idx="468">
                  <c:v>56.11</c:v>
                </c:pt>
                <c:pt idx="469">
                  <c:v>56.08</c:v>
                </c:pt>
                <c:pt idx="470">
                  <c:v>56.04</c:v>
                </c:pt>
                <c:pt idx="471">
                  <c:v>56.06</c:v>
                </c:pt>
                <c:pt idx="472">
                  <c:v>56.01</c:v>
                </c:pt>
                <c:pt idx="473">
                  <c:v>55.97</c:v>
                </c:pt>
                <c:pt idx="474">
                  <c:v>56.02</c:v>
                </c:pt>
                <c:pt idx="475">
                  <c:v>55.97</c:v>
                </c:pt>
                <c:pt idx="476">
                  <c:v>55.99</c:v>
                </c:pt>
                <c:pt idx="477">
                  <c:v>55.97</c:v>
                </c:pt>
                <c:pt idx="478">
                  <c:v>56.01</c:v>
                </c:pt>
                <c:pt idx="479">
                  <c:v>56.04</c:v>
                </c:pt>
                <c:pt idx="480">
                  <c:v>55.99</c:v>
                </c:pt>
                <c:pt idx="481">
                  <c:v>55.99</c:v>
                </c:pt>
                <c:pt idx="482">
                  <c:v>56</c:v>
                </c:pt>
                <c:pt idx="483">
                  <c:v>56.06</c:v>
                </c:pt>
                <c:pt idx="484">
                  <c:v>55.97</c:v>
                </c:pt>
                <c:pt idx="485">
                  <c:v>56</c:v>
                </c:pt>
                <c:pt idx="486">
                  <c:v>56.03</c:v>
                </c:pt>
                <c:pt idx="487">
                  <c:v>56.02</c:v>
                </c:pt>
                <c:pt idx="488">
                  <c:v>56</c:v>
                </c:pt>
                <c:pt idx="489">
                  <c:v>55.97</c:v>
                </c:pt>
                <c:pt idx="490">
                  <c:v>56.01</c:v>
                </c:pt>
                <c:pt idx="491">
                  <c:v>56.03</c:v>
                </c:pt>
                <c:pt idx="492">
                  <c:v>56.04</c:v>
                </c:pt>
                <c:pt idx="493">
                  <c:v>55.99</c:v>
                </c:pt>
                <c:pt idx="494">
                  <c:v>56.03</c:v>
                </c:pt>
                <c:pt idx="495">
                  <c:v>56.02</c:v>
                </c:pt>
                <c:pt idx="496">
                  <c:v>56.04</c:v>
                </c:pt>
                <c:pt idx="497">
                  <c:v>55.99</c:v>
                </c:pt>
                <c:pt idx="498">
                  <c:v>56.03</c:v>
                </c:pt>
                <c:pt idx="499">
                  <c:v>56</c:v>
                </c:pt>
                <c:pt idx="500">
                  <c:v>56</c:v>
                </c:pt>
                <c:pt idx="501">
                  <c:v>55.98</c:v>
                </c:pt>
                <c:pt idx="502">
                  <c:v>55.99</c:v>
                </c:pt>
                <c:pt idx="503">
                  <c:v>55.97</c:v>
                </c:pt>
                <c:pt idx="504">
                  <c:v>56.03</c:v>
                </c:pt>
                <c:pt idx="505">
                  <c:v>56.04</c:v>
                </c:pt>
                <c:pt idx="506">
                  <c:v>56.01</c:v>
                </c:pt>
                <c:pt idx="507">
                  <c:v>56.04</c:v>
                </c:pt>
                <c:pt idx="508">
                  <c:v>56.05</c:v>
                </c:pt>
                <c:pt idx="509">
                  <c:v>56.03</c:v>
                </c:pt>
                <c:pt idx="510">
                  <c:v>56.03</c:v>
                </c:pt>
                <c:pt idx="511">
                  <c:v>56.03</c:v>
                </c:pt>
                <c:pt idx="512">
                  <c:v>56.03</c:v>
                </c:pt>
                <c:pt idx="513">
                  <c:v>56.08</c:v>
                </c:pt>
                <c:pt idx="514">
                  <c:v>56.03</c:v>
                </c:pt>
                <c:pt idx="515">
                  <c:v>56.04</c:v>
                </c:pt>
                <c:pt idx="516">
                  <c:v>56.03</c:v>
                </c:pt>
                <c:pt idx="517">
                  <c:v>56.14</c:v>
                </c:pt>
                <c:pt idx="518">
                  <c:v>56.15</c:v>
                </c:pt>
                <c:pt idx="519">
                  <c:v>56.25</c:v>
                </c:pt>
                <c:pt idx="520">
                  <c:v>56.32</c:v>
                </c:pt>
                <c:pt idx="521">
                  <c:v>56.41</c:v>
                </c:pt>
                <c:pt idx="522">
                  <c:v>56.51</c:v>
                </c:pt>
                <c:pt idx="523">
                  <c:v>56.57</c:v>
                </c:pt>
                <c:pt idx="524">
                  <c:v>56.61</c:v>
                </c:pt>
                <c:pt idx="525">
                  <c:v>56.64</c:v>
                </c:pt>
                <c:pt idx="526">
                  <c:v>56.64</c:v>
                </c:pt>
                <c:pt idx="527">
                  <c:v>56.62</c:v>
                </c:pt>
                <c:pt idx="528">
                  <c:v>56.66</c:v>
                </c:pt>
                <c:pt idx="529">
                  <c:v>56.68</c:v>
                </c:pt>
                <c:pt idx="530">
                  <c:v>56.65</c:v>
                </c:pt>
                <c:pt idx="531">
                  <c:v>56.62</c:v>
                </c:pt>
                <c:pt idx="532">
                  <c:v>56.6</c:v>
                </c:pt>
                <c:pt idx="533">
                  <c:v>56.63</c:v>
                </c:pt>
                <c:pt idx="534">
                  <c:v>56.58</c:v>
                </c:pt>
                <c:pt idx="535">
                  <c:v>56.59</c:v>
                </c:pt>
                <c:pt idx="536">
                  <c:v>56.58</c:v>
                </c:pt>
                <c:pt idx="537">
                  <c:v>56.58</c:v>
                </c:pt>
                <c:pt idx="538">
                  <c:v>56.58</c:v>
                </c:pt>
                <c:pt idx="539">
                  <c:v>56.53</c:v>
                </c:pt>
                <c:pt idx="540">
                  <c:v>56.57</c:v>
                </c:pt>
                <c:pt idx="541">
                  <c:v>56.47</c:v>
                </c:pt>
                <c:pt idx="542">
                  <c:v>56.51</c:v>
                </c:pt>
                <c:pt idx="543">
                  <c:v>56.46</c:v>
                </c:pt>
                <c:pt idx="544">
                  <c:v>56.46</c:v>
                </c:pt>
                <c:pt idx="545">
                  <c:v>56.45</c:v>
                </c:pt>
                <c:pt idx="546">
                  <c:v>56.49</c:v>
                </c:pt>
                <c:pt idx="547">
                  <c:v>56.46</c:v>
                </c:pt>
                <c:pt idx="548">
                  <c:v>56.41</c:v>
                </c:pt>
                <c:pt idx="549">
                  <c:v>56.4</c:v>
                </c:pt>
                <c:pt idx="550">
                  <c:v>56.37</c:v>
                </c:pt>
                <c:pt idx="551">
                  <c:v>56.33</c:v>
                </c:pt>
                <c:pt idx="552">
                  <c:v>56.26</c:v>
                </c:pt>
                <c:pt idx="553">
                  <c:v>56.33</c:v>
                </c:pt>
                <c:pt idx="554">
                  <c:v>56.34</c:v>
                </c:pt>
                <c:pt idx="555">
                  <c:v>56.31</c:v>
                </c:pt>
                <c:pt idx="556">
                  <c:v>56.24</c:v>
                </c:pt>
                <c:pt idx="557">
                  <c:v>56.27</c:v>
                </c:pt>
                <c:pt idx="558">
                  <c:v>56.32</c:v>
                </c:pt>
                <c:pt idx="559">
                  <c:v>56.26</c:v>
                </c:pt>
                <c:pt idx="560">
                  <c:v>56.29</c:v>
                </c:pt>
                <c:pt idx="561">
                  <c:v>56.27</c:v>
                </c:pt>
                <c:pt idx="562">
                  <c:v>56.26</c:v>
                </c:pt>
                <c:pt idx="563">
                  <c:v>56.25</c:v>
                </c:pt>
                <c:pt idx="564">
                  <c:v>56.24</c:v>
                </c:pt>
                <c:pt idx="565">
                  <c:v>56.27</c:v>
                </c:pt>
                <c:pt idx="566">
                  <c:v>56.27</c:v>
                </c:pt>
                <c:pt idx="567">
                  <c:v>56.21</c:v>
                </c:pt>
                <c:pt idx="568">
                  <c:v>56.23</c:v>
                </c:pt>
                <c:pt idx="569">
                  <c:v>56.24</c:v>
                </c:pt>
                <c:pt idx="570">
                  <c:v>56.16</c:v>
                </c:pt>
                <c:pt idx="571">
                  <c:v>56.16</c:v>
                </c:pt>
                <c:pt idx="572">
                  <c:v>56.17</c:v>
                </c:pt>
                <c:pt idx="573">
                  <c:v>56.14</c:v>
                </c:pt>
                <c:pt idx="574">
                  <c:v>56.21</c:v>
                </c:pt>
                <c:pt idx="575">
                  <c:v>56.16</c:v>
                </c:pt>
                <c:pt idx="576">
                  <c:v>56.16</c:v>
                </c:pt>
                <c:pt idx="577">
                  <c:v>56.13</c:v>
                </c:pt>
                <c:pt idx="578">
                  <c:v>56.12</c:v>
                </c:pt>
                <c:pt idx="579">
                  <c:v>56.15</c:v>
                </c:pt>
                <c:pt idx="580">
                  <c:v>56.1</c:v>
                </c:pt>
                <c:pt idx="581">
                  <c:v>56.07</c:v>
                </c:pt>
                <c:pt idx="582">
                  <c:v>56.08</c:v>
                </c:pt>
                <c:pt idx="583">
                  <c:v>56.19</c:v>
                </c:pt>
                <c:pt idx="584">
                  <c:v>56.1</c:v>
                </c:pt>
                <c:pt idx="585">
                  <c:v>56.08</c:v>
                </c:pt>
                <c:pt idx="586">
                  <c:v>56.07</c:v>
                </c:pt>
                <c:pt idx="587">
                  <c:v>56.08</c:v>
                </c:pt>
                <c:pt idx="588">
                  <c:v>56.07</c:v>
                </c:pt>
                <c:pt idx="589">
                  <c:v>56.04</c:v>
                </c:pt>
                <c:pt idx="590">
                  <c:v>56.04</c:v>
                </c:pt>
                <c:pt idx="591">
                  <c:v>56.01</c:v>
                </c:pt>
                <c:pt idx="592">
                  <c:v>56.04</c:v>
                </c:pt>
                <c:pt idx="593">
                  <c:v>56</c:v>
                </c:pt>
                <c:pt idx="594">
                  <c:v>56</c:v>
                </c:pt>
                <c:pt idx="595">
                  <c:v>55.99</c:v>
                </c:pt>
                <c:pt idx="596">
                  <c:v>55.96</c:v>
                </c:pt>
                <c:pt idx="597">
                  <c:v>56.02</c:v>
                </c:pt>
                <c:pt idx="598">
                  <c:v>56.01</c:v>
                </c:pt>
                <c:pt idx="599">
                  <c:v>55.99</c:v>
                </c:pt>
                <c:pt idx="600">
                  <c:v>55.95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422-4EBF-B4A0-48A03433553D}"/>
            </c:ext>
          </c:extLst>
        </c:ser>
        <c:ser>
          <c:idx val="1"/>
          <c:order val="1"/>
          <c:tx>
            <c:strRef>
              <c:f>'56'!$S$1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'56'!$Q$2:$Q$602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'56'!$S$2:$S$602</c:f>
              <c:numCache>
                <c:formatCode>General</c:formatCode>
                <c:ptCount val="601"/>
                <c:pt idx="0">
                  <c:v>56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56</c:v>
                </c:pt>
                <c:pt idx="7">
                  <c:v>56</c:v>
                </c:pt>
                <c:pt idx="8">
                  <c:v>56</c:v>
                </c:pt>
                <c:pt idx="9">
                  <c:v>56</c:v>
                </c:pt>
                <c:pt idx="10">
                  <c:v>56</c:v>
                </c:pt>
                <c:pt idx="11">
                  <c:v>56</c:v>
                </c:pt>
                <c:pt idx="12">
                  <c:v>56</c:v>
                </c:pt>
                <c:pt idx="13">
                  <c:v>56</c:v>
                </c:pt>
                <c:pt idx="14">
                  <c:v>56</c:v>
                </c:pt>
                <c:pt idx="15">
                  <c:v>56</c:v>
                </c:pt>
                <c:pt idx="16">
                  <c:v>56</c:v>
                </c:pt>
                <c:pt idx="17">
                  <c:v>56</c:v>
                </c:pt>
                <c:pt idx="18">
                  <c:v>56</c:v>
                </c:pt>
                <c:pt idx="19">
                  <c:v>56</c:v>
                </c:pt>
                <c:pt idx="20">
                  <c:v>56</c:v>
                </c:pt>
                <c:pt idx="21">
                  <c:v>56</c:v>
                </c:pt>
                <c:pt idx="22">
                  <c:v>56</c:v>
                </c:pt>
                <c:pt idx="23">
                  <c:v>56</c:v>
                </c:pt>
                <c:pt idx="24">
                  <c:v>56</c:v>
                </c:pt>
                <c:pt idx="25">
                  <c:v>56</c:v>
                </c:pt>
                <c:pt idx="26">
                  <c:v>56</c:v>
                </c:pt>
                <c:pt idx="27">
                  <c:v>56</c:v>
                </c:pt>
                <c:pt idx="28">
                  <c:v>56</c:v>
                </c:pt>
                <c:pt idx="29">
                  <c:v>56</c:v>
                </c:pt>
                <c:pt idx="30">
                  <c:v>56</c:v>
                </c:pt>
                <c:pt idx="31">
                  <c:v>56</c:v>
                </c:pt>
                <c:pt idx="32">
                  <c:v>56</c:v>
                </c:pt>
                <c:pt idx="33">
                  <c:v>56</c:v>
                </c:pt>
                <c:pt idx="34">
                  <c:v>56</c:v>
                </c:pt>
                <c:pt idx="35">
                  <c:v>56</c:v>
                </c:pt>
                <c:pt idx="36">
                  <c:v>56</c:v>
                </c:pt>
                <c:pt idx="37">
                  <c:v>56</c:v>
                </c:pt>
                <c:pt idx="38">
                  <c:v>56</c:v>
                </c:pt>
                <c:pt idx="39">
                  <c:v>56</c:v>
                </c:pt>
                <c:pt idx="40">
                  <c:v>56</c:v>
                </c:pt>
                <c:pt idx="41">
                  <c:v>56</c:v>
                </c:pt>
                <c:pt idx="42">
                  <c:v>56</c:v>
                </c:pt>
                <c:pt idx="43">
                  <c:v>56</c:v>
                </c:pt>
                <c:pt idx="44">
                  <c:v>56</c:v>
                </c:pt>
                <c:pt idx="45">
                  <c:v>56</c:v>
                </c:pt>
                <c:pt idx="46">
                  <c:v>56</c:v>
                </c:pt>
                <c:pt idx="47">
                  <c:v>56</c:v>
                </c:pt>
                <c:pt idx="48">
                  <c:v>56</c:v>
                </c:pt>
                <c:pt idx="49">
                  <c:v>56</c:v>
                </c:pt>
                <c:pt idx="50">
                  <c:v>56</c:v>
                </c:pt>
                <c:pt idx="51">
                  <c:v>56</c:v>
                </c:pt>
                <c:pt idx="52">
                  <c:v>56</c:v>
                </c:pt>
                <c:pt idx="53">
                  <c:v>56</c:v>
                </c:pt>
                <c:pt idx="54">
                  <c:v>56</c:v>
                </c:pt>
                <c:pt idx="55">
                  <c:v>56</c:v>
                </c:pt>
                <c:pt idx="56">
                  <c:v>56</c:v>
                </c:pt>
                <c:pt idx="57">
                  <c:v>56</c:v>
                </c:pt>
                <c:pt idx="58">
                  <c:v>56</c:v>
                </c:pt>
                <c:pt idx="59">
                  <c:v>56</c:v>
                </c:pt>
                <c:pt idx="60">
                  <c:v>56</c:v>
                </c:pt>
                <c:pt idx="61">
                  <c:v>56</c:v>
                </c:pt>
                <c:pt idx="62">
                  <c:v>56</c:v>
                </c:pt>
                <c:pt idx="63">
                  <c:v>56</c:v>
                </c:pt>
                <c:pt idx="64">
                  <c:v>56</c:v>
                </c:pt>
                <c:pt idx="65">
                  <c:v>56</c:v>
                </c:pt>
                <c:pt idx="66">
                  <c:v>56</c:v>
                </c:pt>
                <c:pt idx="67">
                  <c:v>56</c:v>
                </c:pt>
                <c:pt idx="68">
                  <c:v>56</c:v>
                </c:pt>
                <c:pt idx="69">
                  <c:v>56</c:v>
                </c:pt>
                <c:pt idx="70">
                  <c:v>56</c:v>
                </c:pt>
                <c:pt idx="71">
                  <c:v>56</c:v>
                </c:pt>
                <c:pt idx="72">
                  <c:v>56</c:v>
                </c:pt>
                <c:pt idx="73">
                  <c:v>56</c:v>
                </c:pt>
                <c:pt idx="74">
                  <c:v>56</c:v>
                </c:pt>
                <c:pt idx="75">
                  <c:v>56</c:v>
                </c:pt>
                <c:pt idx="76">
                  <c:v>56</c:v>
                </c:pt>
                <c:pt idx="77">
                  <c:v>56</c:v>
                </c:pt>
                <c:pt idx="78">
                  <c:v>56</c:v>
                </c:pt>
                <c:pt idx="79">
                  <c:v>56</c:v>
                </c:pt>
                <c:pt idx="80">
                  <c:v>56</c:v>
                </c:pt>
                <c:pt idx="81">
                  <c:v>56</c:v>
                </c:pt>
                <c:pt idx="82">
                  <c:v>56</c:v>
                </c:pt>
                <c:pt idx="83">
                  <c:v>56</c:v>
                </c:pt>
                <c:pt idx="84">
                  <c:v>56</c:v>
                </c:pt>
                <c:pt idx="85">
                  <c:v>56</c:v>
                </c:pt>
                <c:pt idx="86">
                  <c:v>56</c:v>
                </c:pt>
                <c:pt idx="87">
                  <c:v>56</c:v>
                </c:pt>
                <c:pt idx="88">
                  <c:v>56</c:v>
                </c:pt>
                <c:pt idx="89">
                  <c:v>56</c:v>
                </c:pt>
                <c:pt idx="90">
                  <c:v>56</c:v>
                </c:pt>
                <c:pt idx="91">
                  <c:v>56</c:v>
                </c:pt>
                <c:pt idx="92">
                  <c:v>56</c:v>
                </c:pt>
                <c:pt idx="93">
                  <c:v>56</c:v>
                </c:pt>
                <c:pt idx="94">
                  <c:v>56</c:v>
                </c:pt>
                <c:pt idx="95">
                  <c:v>56</c:v>
                </c:pt>
                <c:pt idx="96">
                  <c:v>56</c:v>
                </c:pt>
                <c:pt idx="97">
                  <c:v>56</c:v>
                </c:pt>
                <c:pt idx="98">
                  <c:v>56</c:v>
                </c:pt>
                <c:pt idx="99">
                  <c:v>56</c:v>
                </c:pt>
                <c:pt idx="100">
                  <c:v>56</c:v>
                </c:pt>
                <c:pt idx="101">
                  <c:v>56</c:v>
                </c:pt>
                <c:pt idx="102">
                  <c:v>56</c:v>
                </c:pt>
                <c:pt idx="103">
                  <c:v>56</c:v>
                </c:pt>
                <c:pt idx="104">
                  <c:v>56</c:v>
                </c:pt>
                <c:pt idx="105">
                  <c:v>56</c:v>
                </c:pt>
                <c:pt idx="106">
                  <c:v>56</c:v>
                </c:pt>
                <c:pt idx="107">
                  <c:v>56</c:v>
                </c:pt>
                <c:pt idx="108">
                  <c:v>56</c:v>
                </c:pt>
                <c:pt idx="109">
                  <c:v>56</c:v>
                </c:pt>
                <c:pt idx="110">
                  <c:v>56</c:v>
                </c:pt>
                <c:pt idx="111">
                  <c:v>56</c:v>
                </c:pt>
                <c:pt idx="112">
                  <c:v>56</c:v>
                </c:pt>
                <c:pt idx="113">
                  <c:v>56</c:v>
                </c:pt>
                <c:pt idx="114">
                  <c:v>56</c:v>
                </c:pt>
                <c:pt idx="115">
                  <c:v>56</c:v>
                </c:pt>
                <c:pt idx="116">
                  <c:v>56</c:v>
                </c:pt>
                <c:pt idx="117">
                  <c:v>56</c:v>
                </c:pt>
                <c:pt idx="118">
                  <c:v>56</c:v>
                </c:pt>
                <c:pt idx="119">
                  <c:v>56</c:v>
                </c:pt>
                <c:pt idx="120">
                  <c:v>56</c:v>
                </c:pt>
                <c:pt idx="121">
                  <c:v>56</c:v>
                </c:pt>
                <c:pt idx="122">
                  <c:v>56</c:v>
                </c:pt>
                <c:pt idx="123">
                  <c:v>56</c:v>
                </c:pt>
                <c:pt idx="124">
                  <c:v>56</c:v>
                </c:pt>
                <c:pt idx="125">
                  <c:v>56</c:v>
                </c:pt>
                <c:pt idx="126">
                  <c:v>56</c:v>
                </c:pt>
                <c:pt idx="127">
                  <c:v>56</c:v>
                </c:pt>
                <c:pt idx="128">
                  <c:v>56</c:v>
                </c:pt>
                <c:pt idx="129">
                  <c:v>56</c:v>
                </c:pt>
                <c:pt idx="130">
                  <c:v>56</c:v>
                </c:pt>
                <c:pt idx="131">
                  <c:v>56</c:v>
                </c:pt>
                <c:pt idx="132">
                  <c:v>56</c:v>
                </c:pt>
                <c:pt idx="133">
                  <c:v>56</c:v>
                </c:pt>
                <c:pt idx="134">
                  <c:v>56</c:v>
                </c:pt>
                <c:pt idx="135">
                  <c:v>56</c:v>
                </c:pt>
                <c:pt idx="136">
                  <c:v>56</c:v>
                </c:pt>
                <c:pt idx="137">
                  <c:v>56</c:v>
                </c:pt>
                <c:pt idx="138">
                  <c:v>56</c:v>
                </c:pt>
                <c:pt idx="139">
                  <c:v>56</c:v>
                </c:pt>
                <c:pt idx="140">
                  <c:v>56</c:v>
                </c:pt>
                <c:pt idx="141">
                  <c:v>56</c:v>
                </c:pt>
                <c:pt idx="142">
                  <c:v>56</c:v>
                </c:pt>
                <c:pt idx="143">
                  <c:v>56</c:v>
                </c:pt>
                <c:pt idx="144">
                  <c:v>56</c:v>
                </c:pt>
                <c:pt idx="145">
                  <c:v>56</c:v>
                </c:pt>
                <c:pt idx="146">
                  <c:v>56</c:v>
                </c:pt>
                <c:pt idx="147">
                  <c:v>56</c:v>
                </c:pt>
                <c:pt idx="148">
                  <c:v>56</c:v>
                </c:pt>
                <c:pt idx="149">
                  <c:v>56</c:v>
                </c:pt>
                <c:pt idx="150">
                  <c:v>56</c:v>
                </c:pt>
                <c:pt idx="151">
                  <c:v>56</c:v>
                </c:pt>
                <c:pt idx="152">
                  <c:v>56</c:v>
                </c:pt>
                <c:pt idx="153">
                  <c:v>56</c:v>
                </c:pt>
                <c:pt idx="154">
                  <c:v>56</c:v>
                </c:pt>
                <c:pt idx="155">
                  <c:v>56</c:v>
                </c:pt>
                <c:pt idx="156">
                  <c:v>56</c:v>
                </c:pt>
                <c:pt idx="157">
                  <c:v>56</c:v>
                </c:pt>
                <c:pt idx="158">
                  <c:v>56</c:v>
                </c:pt>
                <c:pt idx="159">
                  <c:v>56</c:v>
                </c:pt>
                <c:pt idx="160">
                  <c:v>56</c:v>
                </c:pt>
                <c:pt idx="161">
                  <c:v>56</c:v>
                </c:pt>
                <c:pt idx="162">
                  <c:v>56</c:v>
                </c:pt>
                <c:pt idx="163">
                  <c:v>56</c:v>
                </c:pt>
                <c:pt idx="164">
                  <c:v>56</c:v>
                </c:pt>
                <c:pt idx="165">
                  <c:v>56</c:v>
                </c:pt>
                <c:pt idx="166">
                  <c:v>56</c:v>
                </c:pt>
                <c:pt idx="167">
                  <c:v>56</c:v>
                </c:pt>
                <c:pt idx="168">
                  <c:v>56</c:v>
                </c:pt>
                <c:pt idx="169">
                  <c:v>56</c:v>
                </c:pt>
                <c:pt idx="170">
                  <c:v>56</c:v>
                </c:pt>
                <c:pt idx="171">
                  <c:v>56</c:v>
                </c:pt>
                <c:pt idx="172">
                  <c:v>56</c:v>
                </c:pt>
                <c:pt idx="173">
                  <c:v>56</c:v>
                </c:pt>
                <c:pt idx="174">
                  <c:v>56</c:v>
                </c:pt>
                <c:pt idx="175">
                  <c:v>56</c:v>
                </c:pt>
                <c:pt idx="176">
                  <c:v>56</c:v>
                </c:pt>
                <c:pt idx="177">
                  <c:v>56</c:v>
                </c:pt>
                <c:pt idx="178">
                  <c:v>56</c:v>
                </c:pt>
                <c:pt idx="179">
                  <c:v>56</c:v>
                </c:pt>
                <c:pt idx="180">
                  <c:v>56</c:v>
                </c:pt>
                <c:pt idx="181">
                  <c:v>56</c:v>
                </c:pt>
                <c:pt idx="182">
                  <c:v>56</c:v>
                </c:pt>
                <c:pt idx="183">
                  <c:v>56</c:v>
                </c:pt>
                <c:pt idx="184">
                  <c:v>56</c:v>
                </c:pt>
                <c:pt idx="185">
                  <c:v>56</c:v>
                </c:pt>
                <c:pt idx="186">
                  <c:v>56</c:v>
                </c:pt>
                <c:pt idx="187">
                  <c:v>56</c:v>
                </c:pt>
                <c:pt idx="188">
                  <c:v>56</c:v>
                </c:pt>
                <c:pt idx="189">
                  <c:v>56</c:v>
                </c:pt>
                <c:pt idx="190">
                  <c:v>56</c:v>
                </c:pt>
                <c:pt idx="191">
                  <c:v>56</c:v>
                </c:pt>
                <c:pt idx="192">
                  <c:v>56</c:v>
                </c:pt>
                <c:pt idx="193">
                  <c:v>56</c:v>
                </c:pt>
                <c:pt idx="194">
                  <c:v>56</c:v>
                </c:pt>
                <c:pt idx="195">
                  <c:v>56</c:v>
                </c:pt>
                <c:pt idx="196">
                  <c:v>56</c:v>
                </c:pt>
                <c:pt idx="197">
                  <c:v>56</c:v>
                </c:pt>
                <c:pt idx="198">
                  <c:v>56</c:v>
                </c:pt>
                <c:pt idx="199">
                  <c:v>56</c:v>
                </c:pt>
                <c:pt idx="200">
                  <c:v>56</c:v>
                </c:pt>
                <c:pt idx="201">
                  <c:v>56</c:v>
                </c:pt>
                <c:pt idx="202">
                  <c:v>56</c:v>
                </c:pt>
                <c:pt idx="203">
                  <c:v>56</c:v>
                </c:pt>
                <c:pt idx="204">
                  <c:v>56</c:v>
                </c:pt>
                <c:pt idx="205">
                  <c:v>56</c:v>
                </c:pt>
                <c:pt idx="206">
                  <c:v>56</c:v>
                </c:pt>
                <c:pt idx="207">
                  <c:v>56</c:v>
                </c:pt>
                <c:pt idx="208">
                  <c:v>56</c:v>
                </c:pt>
                <c:pt idx="209">
                  <c:v>56</c:v>
                </c:pt>
                <c:pt idx="210">
                  <c:v>56</c:v>
                </c:pt>
                <c:pt idx="211">
                  <c:v>56</c:v>
                </c:pt>
                <c:pt idx="212">
                  <c:v>56</c:v>
                </c:pt>
                <c:pt idx="213">
                  <c:v>56</c:v>
                </c:pt>
                <c:pt idx="214">
                  <c:v>56</c:v>
                </c:pt>
                <c:pt idx="215">
                  <c:v>56</c:v>
                </c:pt>
                <c:pt idx="216">
                  <c:v>56</c:v>
                </c:pt>
                <c:pt idx="217">
                  <c:v>56</c:v>
                </c:pt>
                <c:pt idx="218">
                  <c:v>56</c:v>
                </c:pt>
                <c:pt idx="219">
                  <c:v>56</c:v>
                </c:pt>
                <c:pt idx="220">
                  <c:v>56</c:v>
                </c:pt>
                <c:pt idx="221">
                  <c:v>56</c:v>
                </c:pt>
                <c:pt idx="222">
                  <c:v>56</c:v>
                </c:pt>
                <c:pt idx="223">
                  <c:v>56</c:v>
                </c:pt>
                <c:pt idx="224">
                  <c:v>56</c:v>
                </c:pt>
                <c:pt idx="225">
                  <c:v>56</c:v>
                </c:pt>
                <c:pt idx="226">
                  <c:v>56</c:v>
                </c:pt>
                <c:pt idx="227">
                  <c:v>56</c:v>
                </c:pt>
                <c:pt idx="228">
                  <c:v>56</c:v>
                </c:pt>
                <c:pt idx="229">
                  <c:v>56</c:v>
                </c:pt>
                <c:pt idx="230">
                  <c:v>56</c:v>
                </c:pt>
                <c:pt idx="231">
                  <c:v>56</c:v>
                </c:pt>
                <c:pt idx="232">
                  <c:v>56</c:v>
                </c:pt>
                <c:pt idx="233">
                  <c:v>56</c:v>
                </c:pt>
                <c:pt idx="234">
                  <c:v>56</c:v>
                </c:pt>
                <c:pt idx="235">
                  <c:v>56</c:v>
                </c:pt>
                <c:pt idx="236">
                  <c:v>56</c:v>
                </c:pt>
                <c:pt idx="237">
                  <c:v>56</c:v>
                </c:pt>
                <c:pt idx="238">
                  <c:v>56</c:v>
                </c:pt>
                <c:pt idx="239">
                  <c:v>56</c:v>
                </c:pt>
                <c:pt idx="240">
                  <c:v>56</c:v>
                </c:pt>
                <c:pt idx="241">
                  <c:v>56</c:v>
                </c:pt>
                <c:pt idx="242">
                  <c:v>56</c:v>
                </c:pt>
                <c:pt idx="243">
                  <c:v>56</c:v>
                </c:pt>
                <c:pt idx="244">
                  <c:v>56</c:v>
                </c:pt>
                <c:pt idx="245">
                  <c:v>56</c:v>
                </c:pt>
                <c:pt idx="246">
                  <c:v>56</c:v>
                </c:pt>
                <c:pt idx="247">
                  <c:v>56</c:v>
                </c:pt>
                <c:pt idx="248">
                  <c:v>56</c:v>
                </c:pt>
                <c:pt idx="249">
                  <c:v>56</c:v>
                </c:pt>
                <c:pt idx="250">
                  <c:v>56</c:v>
                </c:pt>
                <c:pt idx="251">
                  <c:v>56</c:v>
                </c:pt>
                <c:pt idx="252">
                  <c:v>56</c:v>
                </c:pt>
                <c:pt idx="253">
                  <c:v>56</c:v>
                </c:pt>
                <c:pt idx="254">
                  <c:v>56</c:v>
                </c:pt>
                <c:pt idx="255">
                  <c:v>56</c:v>
                </c:pt>
                <c:pt idx="256">
                  <c:v>56</c:v>
                </c:pt>
                <c:pt idx="257">
                  <c:v>56</c:v>
                </c:pt>
                <c:pt idx="258">
                  <c:v>56</c:v>
                </c:pt>
                <c:pt idx="259">
                  <c:v>56</c:v>
                </c:pt>
                <c:pt idx="260">
                  <c:v>56</c:v>
                </c:pt>
                <c:pt idx="261">
                  <c:v>56</c:v>
                </c:pt>
                <c:pt idx="262">
                  <c:v>56</c:v>
                </c:pt>
                <c:pt idx="263">
                  <c:v>56</c:v>
                </c:pt>
                <c:pt idx="264">
                  <c:v>56</c:v>
                </c:pt>
                <c:pt idx="265">
                  <c:v>56</c:v>
                </c:pt>
                <c:pt idx="266">
                  <c:v>56</c:v>
                </c:pt>
                <c:pt idx="267">
                  <c:v>56</c:v>
                </c:pt>
                <c:pt idx="268">
                  <c:v>56</c:v>
                </c:pt>
                <c:pt idx="269">
                  <c:v>56</c:v>
                </c:pt>
                <c:pt idx="270">
                  <c:v>56</c:v>
                </c:pt>
                <c:pt idx="271">
                  <c:v>56</c:v>
                </c:pt>
                <c:pt idx="272">
                  <c:v>56</c:v>
                </c:pt>
                <c:pt idx="273">
                  <c:v>56</c:v>
                </c:pt>
                <c:pt idx="274">
                  <c:v>56</c:v>
                </c:pt>
                <c:pt idx="275">
                  <c:v>56</c:v>
                </c:pt>
                <c:pt idx="276">
                  <c:v>56</c:v>
                </c:pt>
                <c:pt idx="277">
                  <c:v>56</c:v>
                </c:pt>
                <c:pt idx="278">
                  <c:v>56</c:v>
                </c:pt>
                <c:pt idx="279">
                  <c:v>56</c:v>
                </c:pt>
                <c:pt idx="280">
                  <c:v>56</c:v>
                </c:pt>
                <c:pt idx="281">
                  <c:v>56</c:v>
                </c:pt>
                <c:pt idx="282">
                  <c:v>56</c:v>
                </c:pt>
                <c:pt idx="283">
                  <c:v>56</c:v>
                </c:pt>
                <c:pt idx="284">
                  <c:v>56</c:v>
                </c:pt>
                <c:pt idx="285">
                  <c:v>56</c:v>
                </c:pt>
                <c:pt idx="286">
                  <c:v>56</c:v>
                </c:pt>
                <c:pt idx="287">
                  <c:v>56</c:v>
                </c:pt>
                <c:pt idx="288">
                  <c:v>56</c:v>
                </c:pt>
                <c:pt idx="289">
                  <c:v>56</c:v>
                </c:pt>
                <c:pt idx="290">
                  <c:v>56</c:v>
                </c:pt>
                <c:pt idx="291">
                  <c:v>56</c:v>
                </c:pt>
                <c:pt idx="292">
                  <c:v>56</c:v>
                </c:pt>
                <c:pt idx="293">
                  <c:v>56</c:v>
                </c:pt>
                <c:pt idx="294">
                  <c:v>56</c:v>
                </c:pt>
                <c:pt idx="295">
                  <c:v>56</c:v>
                </c:pt>
                <c:pt idx="296">
                  <c:v>56</c:v>
                </c:pt>
                <c:pt idx="297">
                  <c:v>56</c:v>
                </c:pt>
                <c:pt idx="298">
                  <c:v>56</c:v>
                </c:pt>
                <c:pt idx="299">
                  <c:v>56</c:v>
                </c:pt>
                <c:pt idx="300">
                  <c:v>56</c:v>
                </c:pt>
                <c:pt idx="301">
                  <c:v>56</c:v>
                </c:pt>
                <c:pt idx="302">
                  <c:v>56</c:v>
                </c:pt>
                <c:pt idx="303">
                  <c:v>56</c:v>
                </c:pt>
                <c:pt idx="304">
                  <c:v>56</c:v>
                </c:pt>
                <c:pt idx="305">
                  <c:v>56</c:v>
                </c:pt>
                <c:pt idx="306">
                  <c:v>56</c:v>
                </c:pt>
                <c:pt idx="307">
                  <c:v>56</c:v>
                </c:pt>
                <c:pt idx="308">
                  <c:v>56</c:v>
                </c:pt>
                <c:pt idx="309">
                  <c:v>56</c:v>
                </c:pt>
                <c:pt idx="310">
                  <c:v>56</c:v>
                </c:pt>
                <c:pt idx="311">
                  <c:v>56</c:v>
                </c:pt>
                <c:pt idx="312">
                  <c:v>56</c:v>
                </c:pt>
                <c:pt idx="313">
                  <c:v>56</c:v>
                </c:pt>
                <c:pt idx="314">
                  <c:v>56</c:v>
                </c:pt>
                <c:pt idx="315">
                  <c:v>56</c:v>
                </c:pt>
                <c:pt idx="316">
                  <c:v>56</c:v>
                </c:pt>
                <c:pt idx="317">
                  <c:v>56</c:v>
                </c:pt>
                <c:pt idx="318">
                  <c:v>56</c:v>
                </c:pt>
                <c:pt idx="319">
                  <c:v>56</c:v>
                </c:pt>
                <c:pt idx="320">
                  <c:v>56</c:v>
                </c:pt>
                <c:pt idx="321">
                  <c:v>56</c:v>
                </c:pt>
                <c:pt idx="322">
                  <c:v>56</c:v>
                </c:pt>
                <c:pt idx="323">
                  <c:v>56</c:v>
                </c:pt>
                <c:pt idx="324">
                  <c:v>56</c:v>
                </c:pt>
                <c:pt idx="325">
                  <c:v>56</c:v>
                </c:pt>
                <c:pt idx="326">
                  <c:v>56</c:v>
                </c:pt>
                <c:pt idx="327">
                  <c:v>56</c:v>
                </c:pt>
                <c:pt idx="328">
                  <c:v>56</c:v>
                </c:pt>
                <c:pt idx="329">
                  <c:v>56</c:v>
                </c:pt>
                <c:pt idx="330">
                  <c:v>56</c:v>
                </c:pt>
                <c:pt idx="331">
                  <c:v>56</c:v>
                </c:pt>
                <c:pt idx="332">
                  <c:v>56</c:v>
                </c:pt>
                <c:pt idx="333">
                  <c:v>56</c:v>
                </c:pt>
                <c:pt idx="334">
                  <c:v>56</c:v>
                </c:pt>
                <c:pt idx="335">
                  <c:v>56</c:v>
                </c:pt>
                <c:pt idx="336">
                  <c:v>56</c:v>
                </c:pt>
                <c:pt idx="337">
                  <c:v>56</c:v>
                </c:pt>
                <c:pt idx="338">
                  <c:v>56</c:v>
                </c:pt>
                <c:pt idx="339">
                  <c:v>56</c:v>
                </c:pt>
                <c:pt idx="340">
                  <c:v>56</c:v>
                </c:pt>
                <c:pt idx="341">
                  <c:v>56</c:v>
                </c:pt>
                <c:pt idx="342">
                  <c:v>56</c:v>
                </c:pt>
                <c:pt idx="343">
                  <c:v>56</c:v>
                </c:pt>
                <c:pt idx="344">
                  <c:v>56</c:v>
                </c:pt>
                <c:pt idx="345">
                  <c:v>56</c:v>
                </c:pt>
                <c:pt idx="346">
                  <c:v>56</c:v>
                </c:pt>
                <c:pt idx="347">
                  <c:v>56</c:v>
                </c:pt>
                <c:pt idx="348">
                  <c:v>56</c:v>
                </c:pt>
                <c:pt idx="349">
                  <c:v>56</c:v>
                </c:pt>
                <c:pt idx="350">
                  <c:v>56</c:v>
                </c:pt>
                <c:pt idx="351">
                  <c:v>56</c:v>
                </c:pt>
                <c:pt idx="352">
                  <c:v>56</c:v>
                </c:pt>
                <c:pt idx="353">
                  <c:v>56</c:v>
                </c:pt>
                <c:pt idx="354">
                  <c:v>56</c:v>
                </c:pt>
                <c:pt idx="355">
                  <c:v>56</c:v>
                </c:pt>
                <c:pt idx="356">
                  <c:v>56</c:v>
                </c:pt>
                <c:pt idx="357">
                  <c:v>56</c:v>
                </c:pt>
                <c:pt idx="358">
                  <c:v>56</c:v>
                </c:pt>
                <c:pt idx="359">
                  <c:v>56</c:v>
                </c:pt>
                <c:pt idx="360">
                  <c:v>56</c:v>
                </c:pt>
                <c:pt idx="361">
                  <c:v>56</c:v>
                </c:pt>
                <c:pt idx="362">
                  <c:v>56</c:v>
                </c:pt>
                <c:pt idx="363">
                  <c:v>56</c:v>
                </c:pt>
                <c:pt idx="364">
                  <c:v>56</c:v>
                </c:pt>
                <c:pt idx="365">
                  <c:v>56</c:v>
                </c:pt>
                <c:pt idx="366">
                  <c:v>56</c:v>
                </c:pt>
                <c:pt idx="367">
                  <c:v>56</c:v>
                </c:pt>
                <c:pt idx="368">
                  <c:v>56</c:v>
                </c:pt>
                <c:pt idx="369">
                  <c:v>56</c:v>
                </c:pt>
                <c:pt idx="370">
                  <c:v>56</c:v>
                </c:pt>
                <c:pt idx="371">
                  <c:v>56</c:v>
                </c:pt>
                <c:pt idx="372">
                  <c:v>56</c:v>
                </c:pt>
                <c:pt idx="373">
                  <c:v>56</c:v>
                </c:pt>
                <c:pt idx="374">
                  <c:v>56</c:v>
                </c:pt>
                <c:pt idx="375">
                  <c:v>56</c:v>
                </c:pt>
                <c:pt idx="376">
                  <c:v>56</c:v>
                </c:pt>
                <c:pt idx="377">
                  <c:v>56</c:v>
                </c:pt>
                <c:pt idx="378">
                  <c:v>56</c:v>
                </c:pt>
                <c:pt idx="379">
                  <c:v>56</c:v>
                </c:pt>
                <c:pt idx="380">
                  <c:v>56</c:v>
                </c:pt>
                <c:pt idx="381">
                  <c:v>56</c:v>
                </c:pt>
                <c:pt idx="382">
                  <c:v>56</c:v>
                </c:pt>
                <c:pt idx="383">
                  <c:v>56</c:v>
                </c:pt>
                <c:pt idx="384">
                  <c:v>56</c:v>
                </c:pt>
                <c:pt idx="385">
                  <c:v>56</c:v>
                </c:pt>
                <c:pt idx="386">
                  <c:v>56</c:v>
                </c:pt>
                <c:pt idx="387">
                  <c:v>56</c:v>
                </c:pt>
                <c:pt idx="388">
                  <c:v>56</c:v>
                </c:pt>
                <c:pt idx="389">
                  <c:v>56</c:v>
                </c:pt>
                <c:pt idx="390">
                  <c:v>56</c:v>
                </c:pt>
                <c:pt idx="391">
                  <c:v>56</c:v>
                </c:pt>
                <c:pt idx="392">
                  <c:v>56</c:v>
                </c:pt>
                <c:pt idx="393">
                  <c:v>56</c:v>
                </c:pt>
                <c:pt idx="394">
                  <c:v>56</c:v>
                </c:pt>
                <c:pt idx="395">
                  <c:v>56</c:v>
                </c:pt>
                <c:pt idx="396">
                  <c:v>56</c:v>
                </c:pt>
                <c:pt idx="397">
                  <c:v>56</c:v>
                </c:pt>
                <c:pt idx="398">
                  <c:v>56</c:v>
                </c:pt>
                <c:pt idx="399">
                  <c:v>56</c:v>
                </c:pt>
                <c:pt idx="400">
                  <c:v>56</c:v>
                </c:pt>
                <c:pt idx="401">
                  <c:v>56</c:v>
                </c:pt>
                <c:pt idx="402">
                  <c:v>56</c:v>
                </c:pt>
                <c:pt idx="403">
                  <c:v>56</c:v>
                </c:pt>
                <c:pt idx="404">
                  <c:v>56</c:v>
                </c:pt>
                <c:pt idx="405">
                  <c:v>56</c:v>
                </c:pt>
                <c:pt idx="406">
                  <c:v>56</c:v>
                </c:pt>
                <c:pt idx="407">
                  <c:v>56</c:v>
                </c:pt>
                <c:pt idx="408">
                  <c:v>56</c:v>
                </c:pt>
                <c:pt idx="409">
                  <c:v>56</c:v>
                </c:pt>
                <c:pt idx="410">
                  <c:v>56</c:v>
                </c:pt>
                <c:pt idx="411">
                  <c:v>56</c:v>
                </c:pt>
                <c:pt idx="412">
                  <c:v>56</c:v>
                </c:pt>
                <c:pt idx="413">
                  <c:v>56</c:v>
                </c:pt>
                <c:pt idx="414">
                  <c:v>56</c:v>
                </c:pt>
                <c:pt idx="415">
                  <c:v>56</c:v>
                </c:pt>
                <c:pt idx="416">
                  <c:v>56</c:v>
                </c:pt>
                <c:pt idx="417">
                  <c:v>56</c:v>
                </c:pt>
                <c:pt idx="418">
                  <c:v>56</c:v>
                </c:pt>
                <c:pt idx="419">
                  <c:v>56</c:v>
                </c:pt>
                <c:pt idx="420">
                  <c:v>56</c:v>
                </c:pt>
                <c:pt idx="421">
                  <c:v>56</c:v>
                </c:pt>
                <c:pt idx="422">
                  <c:v>56</c:v>
                </c:pt>
                <c:pt idx="423">
                  <c:v>56</c:v>
                </c:pt>
                <c:pt idx="424">
                  <c:v>56</c:v>
                </c:pt>
                <c:pt idx="425">
                  <c:v>56</c:v>
                </c:pt>
                <c:pt idx="426">
                  <c:v>56</c:v>
                </c:pt>
                <c:pt idx="427">
                  <c:v>56</c:v>
                </c:pt>
                <c:pt idx="428">
                  <c:v>56</c:v>
                </c:pt>
                <c:pt idx="429">
                  <c:v>56</c:v>
                </c:pt>
                <c:pt idx="430">
                  <c:v>56</c:v>
                </c:pt>
                <c:pt idx="431">
                  <c:v>56</c:v>
                </c:pt>
                <c:pt idx="432">
                  <c:v>56</c:v>
                </c:pt>
                <c:pt idx="433">
                  <c:v>56</c:v>
                </c:pt>
                <c:pt idx="434">
                  <c:v>56</c:v>
                </c:pt>
                <c:pt idx="435">
                  <c:v>56</c:v>
                </c:pt>
                <c:pt idx="436">
                  <c:v>56</c:v>
                </c:pt>
                <c:pt idx="437">
                  <c:v>56</c:v>
                </c:pt>
                <c:pt idx="438">
                  <c:v>56</c:v>
                </c:pt>
                <c:pt idx="439">
                  <c:v>56</c:v>
                </c:pt>
                <c:pt idx="440">
                  <c:v>56</c:v>
                </c:pt>
                <c:pt idx="441">
                  <c:v>56</c:v>
                </c:pt>
                <c:pt idx="442">
                  <c:v>56</c:v>
                </c:pt>
                <c:pt idx="443">
                  <c:v>56</c:v>
                </c:pt>
                <c:pt idx="444">
                  <c:v>56</c:v>
                </c:pt>
                <c:pt idx="445">
                  <c:v>56</c:v>
                </c:pt>
                <c:pt idx="446">
                  <c:v>56</c:v>
                </c:pt>
                <c:pt idx="447">
                  <c:v>56</c:v>
                </c:pt>
                <c:pt idx="448">
                  <c:v>56</c:v>
                </c:pt>
                <c:pt idx="449">
                  <c:v>56</c:v>
                </c:pt>
                <c:pt idx="450">
                  <c:v>56</c:v>
                </c:pt>
                <c:pt idx="451">
                  <c:v>56</c:v>
                </c:pt>
                <c:pt idx="452">
                  <c:v>56</c:v>
                </c:pt>
                <c:pt idx="453">
                  <c:v>56</c:v>
                </c:pt>
                <c:pt idx="454">
                  <c:v>56</c:v>
                </c:pt>
                <c:pt idx="455">
                  <c:v>56</c:v>
                </c:pt>
                <c:pt idx="456">
                  <c:v>56</c:v>
                </c:pt>
                <c:pt idx="457">
                  <c:v>56</c:v>
                </c:pt>
                <c:pt idx="458">
                  <c:v>56</c:v>
                </c:pt>
                <c:pt idx="459">
                  <c:v>56</c:v>
                </c:pt>
                <c:pt idx="460">
                  <c:v>56</c:v>
                </c:pt>
                <c:pt idx="461">
                  <c:v>56</c:v>
                </c:pt>
                <c:pt idx="462">
                  <c:v>56</c:v>
                </c:pt>
                <c:pt idx="463">
                  <c:v>56</c:v>
                </c:pt>
                <c:pt idx="464">
                  <c:v>56</c:v>
                </c:pt>
                <c:pt idx="465">
                  <c:v>56</c:v>
                </c:pt>
                <c:pt idx="466">
                  <c:v>56</c:v>
                </c:pt>
                <c:pt idx="467">
                  <c:v>56</c:v>
                </c:pt>
                <c:pt idx="468">
                  <c:v>56</c:v>
                </c:pt>
                <c:pt idx="469">
                  <c:v>56</c:v>
                </c:pt>
                <c:pt idx="470">
                  <c:v>56</c:v>
                </c:pt>
                <c:pt idx="471">
                  <c:v>56</c:v>
                </c:pt>
                <c:pt idx="472">
                  <c:v>56</c:v>
                </c:pt>
                <c:pt idx="473">
                  <c:v>56</c:v>
                </c:pt>
                <c:pt idx="474">
                  <c:v>56</c:v>
                </c:pt>
                <c:pt idx="475">
                  <c:v>56</c:v>
                </c:pt>
                <c:pt idx="476">
                  <c:v>56</c:v>
                </c:pt>
                <c:pt idx="477">
                  <c:v>56</c:v>
                </c:pt>
                <c:pt idx="478">
                  <c:v>56</c:v>
                </c:pt>
                <c:pt idx="479">
                  <c:v>56</c:v>
                </c:pt>
                <c:pt idx="480">
                  <c:v>56</c:v>
                </c:pt>
                <c:pt idx="481">
                  <c:v>56</c:v>
                </c:pt>
                <c:pt idx="482">
                  <c:v>56</c:v>
                </c:pt>
                <c:pt idx="483">
                  <c:v>56</c:v>
                </c:pt>
                <c:pt idx="484">
                  <c:v>56</c:v>
                </c:pt>
                <c:pt idx="485">
                  <c:v>56</c:v>
                </c:pt>
                <c:pt idx="486">
                  <c:v>56</c:v>
                </c:pt>
                <c:pt idx="487">
                  <c:v>56</c:v>
                </c:pt>
                <c:pt idx="488">
                  <c:v>56</c:v>
                </c:pt>
                <c:pt idx="489">
                  <c:v>56</c:v>
                </c:pt>
                <c:pt idx="490">
                  <c:v>56</c:v>
                </c:pt>
                <c:pt idx="491">
                  <c:v>56</c:v>
                </c:pt>
                <c:pt idx="492">
                  <c:v>56</c:v>
                </c:pt>
                <c:pt idx="493">
                  <c:v>56</c:v>
                </c:pt>
                <c:pt idx="494">
                  <c:v>56</c:v>
                </c:pt>
                <c:pt idx="495">
                  <c:v>56</c:v>
                </c:pt>
                <c:pt idx="496">
                  <c:v>56</c:v>
                </c:pt>
                <c:pt idx="497">
                  <c:v>56</c:v>
                </c:pt>
                <c:pt idx="498">
                  <c:v>56</c:v>
                </c:pt>
                <c:pt idx="499">
                  <c:v>56</c:v>
                </c:pt>
                <c:pt idx="500">
                  <c:v>56</c:v>
                </c:pt>
                <c:pt idx="501">
                  <c:v>56</c:v>
                </c:pt>
                <c:pt idx="502">
                  <c:v>56</c:v>
                </c:pt>
                <c:pt idx="503">
                  <c:v>56</c:v>
                </c:pt>
                <c:pt idx="504">
                  <c:v>56</c:v>
                </c:pt>
                <c:pt idx="505">
                  <c:v>56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56</c:v>
                </c:pt>
                <c:pt idx="510">
                  <c:v>56</c:v>
                </c:pt>
                <c:pt idx="511">
                  <c:v>56</c:v>
                </c:pt>
                <c:pt idx="512">
                  <c:v>56</c:v>
                </c:pt>
                <c:pt idx="513">
                  <c:v>56</c:v>
                </c:pt>
                <c:pt idx="514">
                  <c:v>56</c:v>
                </c:pt>
                <c:pt idx="515">
                  <c:v>56</c:v>
                </c:pt>
                <c:pt idx="516">
                  <c:v>56</c:v>
                </c:pt>
                <c:pt idx="517">
                  <c:v>56</c:v>
                </c:pt>
                <c:pt idx="518">
                  <c:v>56</c:v>
                </c:pt>
                <c:pt idx="519">
                  <c:v>56</c:v>
                </c:pt>
                <c:pt idx="520">
                  <c:v>56</c:v>
                </c:pt>
                <c:pt idx="521">
                  <c:v>56</c:v>
                </c:pt>
                <c:pt idx="522">
                  <c:v>56</c:v>
                </c:pt>
                <c:pt idx="523">
                  <c:v>56</c:v>
                </c:pt>
                <c:pt idx="524">
                  <c:v>56</c:v>
                </c:pt>
                <c:pt idx="525">
                  <c:v>56</c:v>
                </c:pt>
                <c:pt idx="526">
                  <c:v>56</c:v>
                </c:pt>
                <c:pt idx="527">
                  <c:v>56</c:v>
                </c:pt>
                <c:pt idx="528">
                  <c:v>56</c:v>
                </c:pt>
                <c:pt idx="529">
                  <c:v>56</c:v>
                </c:pt>
                <c:pt idx="530">
                  <c:v>56</c:v>
                </c:pt>
                <c:pt idx="531">
                  <c:v>56</c:v>
                </c:pt>
                <c:pt idx="532">
                  <c:v>56</c:v>
                </c:pt>
                <c:pt idx="533">
                  <c:v>56</c:v>
                </c:pt>
                <c:pt idx="534">
                  <c:v>56</c:v>
                </c:pt>
                <c:pt idx="535">
                  <c:v>56</c:v>
                </c:pt>
                <c:pt idx="536">
                  <c:v>56</c:v>
                </c:pt>
                <c:pt idx="537">
                  <c:v>56</c:v>
                </c:pt>
                <c:pt idx="538">
                  <c:v>56</c:v>
                </c:pt>
                <c:pt idx="539">
                  <c:v>56</c:v>
                </c:pt>
                <c:pt idx="540">
                  <c:v>56</c:v>
                </c:pt>
                <c:pt idx="541">
                  <c:v>56</c:v>
                </c:pt>
                <c:pt idx="542">
                  <c:v>56</c:v>
                </c:pt>
                <c:pt idx="543">
                  <c:v>56</c:v>
                </c:pt>
                <c:pt idx="544">
                  <c:v>56</c:v>
                </c:pt>
                <c:pt idx="545">
                  <c:v>56</c:v>
                </c:pt>
                <c:pt idx="546">
                  <c:v>56</c:v>
                </c:pt>
                <c:pt idx="547">
                  <c:v>56</c:v>
                </c:pt>
                <c:pt idx="548">
                  <c:v>56</c:v>
                </c:pt>
                <c:pt idx="549">
                  <c:v>56</c:v>
                </c:pt>
                <c:pt idx="550">
                  <c:v>56</c:v>
                </c:pt>
                <c:pt idx="551">
                  <c:v>56</c:v>
                </c:pt>
                <c:pt idx="552">
                  <c:v>56</c:v>
                </c:pt>
                <c:pt idx="553">
                  <c:v>56</c:v>
                </c:pt>
                <c:pt idx="554">
                  <c:v>56</c:v>
                </c:pt>
                <c:pt idx="555">
                  <c:v>56</c:v>
                </c:pt>
                <c:pt idx="556">
                  <c:v>56</c:v>
                </c:pt>
                <c:pt idx="557">
                  <c:v>56</c:v>
                </c:pt>
                <c:pt idx="558">
                  <c:v>56</c:v>
                </c:pt>
                <c:pt idx="559">
                  <c:v>56</c:v>
                </c:pt>
                <c:pt idx="560">
                  <c:v>56</c:v>
                </c:pt>
                <c:pt idx="561">
                  <c:v>56</c:v>
                </c:pt>
                <c:pt idx="562">
                  <c:v>56</c:v>
                </c:pt>
                <c:pt idx="563">
                  <c:v>56</c:v>
                </c:pt>
                <c:pt idx="564">
                  <c:v>56</c:v>
                </c:pt>
                <c:pt idx="565">
                  <c:v>56</c:v>
                </c:pt>
                <c:pt idx="566">
                  <c:v>56</c:v>
                </c:pt>
                <c:pt idx="567">
                  <c:v>56</c:v>
                </c:pt>
                <c:pt idx="568">
                  <c:v>56</c:v>
                </c:pt>
                <c:pt idx="569">
                  <c:v>56</c:v>
                </c:pt>
                <c:pt idx="570">
                  <c:v>56</c:v>
                </c:pt>
                <c:pt idx="571">
                  <c:v>56</c:v>
                </c:pt>
                <c:pt idx="572">
                  <c:v>56</c:v>
                </c:pt>
                <c:pt idx="573">
                  <c:v>56</c:v>
                </c:pt>
                <c:pt idx="574">
                  <c:v>56</c:v>
                </c:pt>
                <c:pt idx="575">
                  <c:v>56</c:v>
                </c:pt>
                <c:pt idx="576">
                  <c:v>56</c:v>
                </c:pt>
                <c:pt idx="577">
                  <c:v>56</c:v>
                </c:pt>
                <c:pt idx="578">
                  <c:v>56</c:v>
                </c:pt>
                <c:pt idx="579">
                  <c:v>56</c:v>
                </c:pt>
                <c:pt idx="580">
                  <c:v>56</c:v>
                </c:pt>
                <c:pt idx="581">
                  <c:v>56</c:v>
                </c:pt>
                <c:pt idx="582">
                  <c:v>56</c:v>
                </c:pt>
                <c:pt idx="583">
                  <c:v>56</c:v>
                </c:pt>
                <c:pt idx="584">
                  <c:v>56</c:v>
                </c:pt>
                <c:pt idx="585">
                  <c:v>56</c:v>
                </c:pt>
                <c:pt idx="586">
                  <c:v>56</c:v>
                </c:pt>
                <c:pt idx="587">
                  <c:v>56</c:v>
                </c:pt>
                <c:pt idx="588">
                  <c:v>56</c:v>
                </c:pt>
                <c:pt idx="589">
                  <c:v>56</c:v>
                </c:pt>
                <c:pt idx="590">
                  <c:v>56</c:v>
                </c:pt>
                <c:pt idx="591">
                  <c:v>56</c:v>
                </c:pt>
                <c:pt idx="592">
                  <c:v>56</c:v>
                </c:pt>
                <c:pt idx="593">
                  <c:v>56</c:v>
                </c:pt>
                <c:pt idx="594">
                  <c:v>56</c:v>
                </c:pt>
                <c:pt idx="595">
                  <c:v>56</c:v>
                </c:pt>
                <c:pt idx="596">
                  <c:v>56</c:v>
                </c:pt>
                <c:pt idx="597">
                  <c:v>56</c:v>
                </c:pt>
                <c:pt idx="598">
                  <c:v>56</c:v>
                </c:pt>
                <c:pt idx="599">
                  <c:v>56</c:v>
                </c:pt>
                <c:pt idx="600">
                  <c:v>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422-4EBF-B4A0-48A034335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033184"/>
        <c:axId val="210034624"/>
      </c:scatterChart>
      <c:valAx>
        <c:axId val="210033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4624"/>
        <c:crosses val="autoZero"/>
        <c:crossBetween val="midCat"/>
      </c:valAx>
      <c:valAx>
        <c:axId val="2100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3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'59'!$B$1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'59'!$A$2:$A$602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'59'!$B$2:$B$602</c:f>
              <c:numCache>
                <c:formatCode>General</c:formatCode>
                <c:ptCount val="601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</c:v>
                </c:pt>
                <c:pt idx="44">
                  <c:v>59</c:v>
                </c:pt>
                <c:pt idx="45">
                  <c:v>59</c:v>
                </c:pt>
                <c:pt idx="46">
                  <c:v>59</c:v>
                </c:pt>
                <c:pt idx="47">
                  <c:v>59</c:v>
                </c:pt>
                <c:pt idx="48">
                  <c:v>59</c:v>
                </c:pt>
                <c:pt idx="49">
                  <c:v>59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</c:v>
                </c:pt>
                <c:pt idx="56">
                  <c:v>59</c:v>
                </c:pt>
                <c:pt idx="57">
                  <c:v>59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59</c:v>
                </c:pt>
                <c:pt idx="78">
                  <c:v>59</c:v>
                </c:pt>
                <c:pt idx="79">
                  <c:v>59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</c:v>
                </c:pt>
                <c:pt idx="143">
                  <c:v>59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59</c:v>
                </c:pt>
                <c:pt idx="176">
                  <c:v>59</c:v>
                </c:pt>
                <c:pt idx="177">
                  <c:v>59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59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</c:v>
                </c:pt>
                <c:pt idx="187">
                  <c:v>59</c:v>
                </c:pt>
                <c:pt idx="188">
                  <c:v>59</c:v>
                </c:pt>
                <c:pt idx="189">
                  <c:v>59</c:v>
                </c:pt>
                <c:pt idx="190">
                  <c:v>59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59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59</c:v>
                </c:pt>
                <c:pt idx="228">
                  <c:v>59</c:v>
                </c:pt>
                <c:pt idx="229">
                  <c:v>59</c:v>
                </c:pt>
                <c:pt idx="230">
                  <c:v>59</c:v>
                </c:pt>
                <c:pt idx="231">
                  <c:v>59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59</c:v>
                </c:pt>
                <c:pt idx="239">
                  <c:v>59</c:v>
                </c:pt>
                <c:pt idx="240">
                  <c:v>59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59</c:v>
                </c:pt>
                <c:pt idx="245">
                  <c:v>59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</c:v>
                </c:pt>
                <c:pt idx="262">
                  <c:v>59</c:v>
                </c:pt>
                <c:pt idx="263">
                  <c:v>59</c:v>
                </c:pt>
                <c:pt idx="264">
                  <c:v>59</c:v>
                </c:pt>
                <c:pt idx="265">
                  <c:v>59</c:v>
                </c:pt>
                <c:pt idx="266">
                  <c:v>59</c:v>
                </c:pt>
                <c:pt idx="267">
                  <c:v>59</c:v>
                </c:pt>
                <c:pt idx="268">
                  <c:v>59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59</c:v>
                </c:pt>
                <c:pt idx="274">
                  <c:v>59</c:v>
                </c:pt>
                <c:pt idx="275">
                  <c:v>59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59</c:v>
                </c:pt>
                <c:pt idx="287">
                  <c:v>59</c:v>
                </c:pt>
                <c:pt idx="288">
                  <c:v>59</c:v>
                </c:pt>
                <c:pt idx="289">
                  <c:v>59</c:v>
                </c:pt>
                <c:pt idx="290">
                  <c:v>59</c:v>
                </c:pt>
                <c:pt idx="291">
                  <c:v>59</c:v>
                </c:pt>
                <c:pt idx="292">
                  <c:v>59</c:v>
                </c:pt>
                <c:pt idx="293">
                  <c:v>59</c:v>
                </c:pt>
                <c:pt idx="294">
                  <c:v>59</c:v>
                </c:pt>
                <c:pt idx="295">
                  <c:v>59</c:v>
                </c:pt>
                <c:pt idx="296">
                  <c:v>59</c:v>
                </c:pt>
                <c:pt idx="297">
                  <c:v>59</c:v>
                </c:pt>
                <c:pt idx="298">
                  <c:v>59</c:v>
                </c:pt>
                <c:pt idx="299">
                  <c:v>59</c:v>
                </c:pt>
                <c:pt idx="300">
                  <c:v>59</c:v>
                </c:pt>
                <c:pt idx="301">
                  <c:v>59</c:v>
                </c:pt>
                <c:pt idx="302">
                  <c:v>59</c:v>
                </c:pt>
                <c:pt idx="303">
                  <c:v>59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</c:v>
                </c:pt>
                <c:pt idx="308">
                  <c:v>59</c:v>
                </c:pt>
                <c:pt idx="309">
                  <c:v>59</c:v>
                </c:pt>
                <c:pt idx="310">
                  <c:v>59</c:v>
                </c:pt>
                <c:pt idx="311">
                  <c:v>59</c:v>
                </c:pt>
                <c:pt idx="312">
                  <c:v>59</c:v>
                </c:pt>
                <c:pt idx="313">
                  <c:v>59</c:v>
                </c:pt>
                <c:pt idx="314">
                  <c:v>59</c:v>
                </c:pt>
                <c:pt idx="315">
                  <c:v>59</c:v>
                </c:pt>
                <c:pt idx="316">
                  <c:v>59</c:v>
                </c:pt>
                <c:pt idx="317">
                  <c:v>59</c:v>
                </c:pt>
                <c:pt idx="318">
                  <c:v>59</c:v>
                </c:pt>
                <c:pt idx="319">
                  <c:v>59</c:v>
                </c:pt>
                <c:pt idx="320">
                  <c:v>59</c:v>
                </c:pt>
                <c:pt idx="321">
                  <c:v>59</c:v>
                </c:pt>
                <c:pt idx="322">
                  <c:v>59</c:v>
                </c:pt>
                <c:pt idx="323">
                  <c:v>59</c:v>
                </c:pt>
                <c:pt idx="324">
                  <c:v>59</c:v>
                </c:pt>
                <c:pt idx="325">
                  <c:v>59</c:v>
                </c:pt>
                <c:pt idx="326">
                  <c:v>59</c:v>
                </c:pt>
                <c:pt idx="327">
                  <c:v>59</c:v>
                </c:pt>
                <c:pt idx="328">
                  <c:v>59</c:v>
                </c:pt>
                <c:pt idx="329">
                  <c:v>59</c:v>
                </c:pt>
                <c:pt idx="330">
                  <c:v>59</c:v>
                </c:pt>
                <c:pt idx="331">
                  <c:v>59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59</c:v>
                </c:pt>
                <c:pt idx="336">
                  <c:v>59</c:v>
                </c:pt>
                <c:pt idx="337">
                  <c:v>59</c:v>
                </c:pt>
                <c:pt idx="338">
                  <c:v>59</c:v>
                </c:pt>
                <c:pt idx="339">
                  <c:v>59</c:v>
                </c:pt>
                <c:pt idx="340">
                  <c:v>59</c:v>
                </c:pt>
                <c:pt idx="341">
                  <c:v>59</c:v>
                </c:pt>
                <c:pt idx="342">
                  <c:v>59</c:v>
                </c:pt>
                <c:pt idx="343">
                  <c:v>59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59</c:v>
                </c:pt>
                <c:pt idx="350">
                  <c:v>59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59</c:v>
                </c:pt>
                <c:pt idx="355">
                  <c:v>59</c:v>
                </c:pt>
                <c:pt idx="356">
                  <c:v>59</c:v>
                </c:pt>
                <c:pt idx="357">
                  <c:v>59</c:v>
                </c:pt>
                <c:pt idx="358">
                  <c:v>59</c:v>
                </c:pt>
                <c:pt idx="359">
                  <c:v>59</c:v>
                </c:pt>
                <c:pt idx="360">
                  <c:v>59</c:v>
                </c:pt>
                <c:pt idx="361">
                  <c:v>59</c:v>
                </c:pt>
                <c:pt idx="362">
                  <c:v>59</c:v>
                </c:pt>
                <c:pt idx="363">
                  <c:v>59</c:v>
                </c:pt>
                <c:pt idx="364">
                  <c:v>59</c:v>
                </c:pt>
                <c:pt idx="365">
                  <c:v>59</c:v>
                </c:pt>
                <c:pt idx="366">
                  <c:v>59</c:v>
                </c:pt>
                <c:pt idx="367">
                  <c:v>59</c:v>
                </c:pt>
                <c:pt idx="368">
                  <c:v>59</c:v>
                </c:pt>
                <c:pt idx="369">
                  <c:v>59</c:v>
                </c:pt>
                <c:pt idx="370">
                  <c:v>59</c:v>
                </c:pt>
                <c:pt idx="371">
                  <c:v>59</c:v>
                </c:pt>
                <c:pt idx="372">
                  <c:v>59</c:v>
                </c:pt>
                <c:pt idx="373">
                  <c:v>59</c:v>
                </c:pt>
                <c:pt idx="374">
                  <c:v>59</c:v>
                </c:pt>
                <c:pt idx="375">
                  <c:v>59</c:v>
                </c:pt>
                <c:pt idx="376">
                  <c:v>59</c:v>
                </c:pt>
                <c:pt idx="377">
                  <c:v>59</c:v>
                </c:pt>
                <c:pt idx="378">
                  <c:v>59</c:v>
                </c:pt>
                <c:pt idx="379">
                  <c:v>59</c:v>
                </c:pt>
                <c:pt idx="380">
                  <c:v>59</c:v>
                </c:pt>
                <c:pt idx="381">
                  <c:v>59</c:v>
                </c:pt>
                <c:pt idx="382">
                  <c:v>59</c:v>
                </c:pt>
                <c:pt idx="383">
                  <c:v>59</c:v>
                </c:pt>
                <c:pt idx="384">
                  <c:v>59</c:v>
                </c:pt>
                <c:pt idx="385">
                  <c:v>59</c:v>
                </c:pt>
                <c:pt idx="386">
                  <c:v>59</c:v>
                </c:pt>
                <c:pt idx="387">
                  <c:v>59</c:v>
                </c:pt>
                <c:pt idx="388">
                  <c:v>59</c:v>
                </c:pt>
                <c:pt idx="389">
                  <c:v>59</c:v>
                </c:pt>
                <c:pt idx="390">
                  <c:v>59</c:v>
                </c:pt>
                <c:pt idx="391">
                  <c:v>59</c:v>
                </c:pt>
                <c:pt idx="392">
                  <c:v>59</c:v>
                </c:pt>
                <c:pt idx="393">
                  <c:v>59</c:v>
                </c:pt>
                <c:pt idx="394">
                  <c:v>59</c:v>
                </c:pt>
                <c:pt idx="395">
                  <c:v>59</c:v>
                </c:pt>
                <c:pt idx="396">
                  <c:v>59</c:v>
                </c:pt>
                <c:pt idx="397">
                  <c:v>59</c:v>
                </c:pt>
                <c:pt idx="398">
                  <c:v>59</c:v>
                </c:pt>
                <c:pt idx="399">
                  <c:v>59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59</c:v>
                </c:pt>
                <c:pt idx="407">
                  <c:v>59</c:v>
                </c:pt>
                <c:pt idx="408">
                  <c:v>59</c:v>
                </c:pt>
                <c:pt idx="409">
                  <c:v>59</c:v>
                </c:pt>
                <c:pt idx="410">
                  <c:v>59</c:v>
                </c:pt>
                <c:pt idx="411">
                  <c:v>59</c:v>
                </c:pt>
                <c:pt idx="412">
                  <c:v>59</c:v>
                </c:pt>
                <c:pt idx="413">
                  <c:v>59</c:v>
                </c:pt>
                <c:pt idx="414">
                  <c:v>59</c:v>
                </c:pt>
                <c:pt idx="415">
                  <c:v>59</c:v>
                </c:pt>
                <c:pt idx="416">
                  <c:v>59</c:v>
                </c:pt>
                <c:pt idx="417">
                  <c:v>59</c:v>
                </c:pt>
                <c:pt idx="418">
                  <c:v>59</c:v>
                </c:pt>
                <c:pt idx="419">
                  <c:v>59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59</c:v>
                </c:pt>
                <c:pt idx="424">
                  <c:v>59</c:v>
                </c:pt>
                <c:pt idx="425">
                  <c:v>59</c:v>
                </c:pt>
                <c:pt idx="426">
                  <c:v>59</c:v>
                </c:pt>
                <c:pt idx="427">
                  <c:v>59</c:v>
                </c:pt>
                <c:pt idx="428">
                  <c:v>59</c:v>
                </c:pt>
                <c:pt idx="429">
                  <c:v>59</c:v>
                </c:pt>
                <c:pt idx="430">
                  <c:v>59</c:v>
                </c:pt>
                <c:pt idx="431">
                  <c:v>59</c:v>
                </c:pt>
                <c:pt idx="432">
                  <c:v>59</c:v>
                </c:pt>
                <c:pt idx="433">
                  <c:v>59</c:v>
                </c:pt>
                <c:pt idx="434">
                  <c:v>59</c:v>
                </c:pt>
                <c:pt idx="435">
                  <c:v>59</c:v>
                </c:pt>
                <c:pt idx="436">
                  <c:v>59</c:v>
                </c:pt>
                <c:pt idx="437">
                  <c:v>59</c:v>
                </c:pt>
                <c:pt idx="438">
                  <c:v>59</c:v>
                </c:pt>
                <c:pt idx="439">
                  <c:v>59</c:v>
                </c:pt>
                <c:pt idx="440">
                  <c:v>59</c:v>
                </c:pt>
                <c:pt idx="441">
                  <c:v>59</c:v>
                </c:pt>
                <c:pt idx="442">
                  <c:v>59</c:v>
                </c:pt>
                <c:pt idx="443">
                  <c:v>59</c:v>
                </c:pt>
                <c:pt idx="444">
                  <c:v>59</c:v>
                </c:pt>
                <c:pt idx="445">
                  <c:v>59</c:v>
                </c:pt>
                <c:pt idx="446">
                  <c:v>59</c:v>
                </c:pt>
                <c:pt idx="447">
                  <c:v>59</c:v>
                </c:pt>
                <c:pt idx="448">
                  <c:v>59</c:v>
                </c:pt>
                <c:pt idx="449">
                  <c:v>59</c:v>
                </c:pt>
                <c:pt idx="450">
                  <c:v>59</c:v>
                </c:pt>
                <c:pt idx="451">
                  <c:v>59</c:v>
                </c:pt>
                <c:pt idx="452">
                  <c:v>59</c:v>
                </c:pt>
                <c:pt idx="453">
                  <c:v>59</c:v>
                </c:pt>
                <c:pt idx="454">
                  <c:v>59</c:v>
                </c:pt>
                <c:pt idx="455">
                  <c:v>59</c:v>
                </c:pt>
                <c:pt idx="456">
                  <c:v>59</c:v>
                </c:pt>
                <c:pt idx="457">
                  <c:v>59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</c:v>
                </c:pt>
                <c:pt idx="464">
                  <c:v>59</c:v>
                </c:pt>
                <c:pt idx="465">
                  <c:v>59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59</c:v>
                </c:pt>
                <c:pt idx="473">
                  <c:v>59</c:v>
                </c:pt>
                <c:pt idx="474">
                  <c:v>59</c:v>
                </c:pt>
                <c:pt idx="475">
                  <c:v>59</c:v>
                </c:pt>
                <c:pt idx="476">
                  <c:v>59</c:v>
                </c:pt>
                <c:pt idx="477">
                  <c:v>59</c:v>
                </c:pt>
                <c:pt idx="478">
                  <c:v>59</c:v>
                </c:pt>
                <c:pt idx="479">
                  <c:v>59</c:v>
                </c:pt>
                <c:pt idx="480">
                  <c:v>59</c:v>
                </c:pt>
                <c:pt idx="481">
                  <c:v>59</c:v>
                </c:pt>
                <c:pt idx="482">
                  <c:v>59</c:v>
                </c:pt>
                <c:pt idx="483">
                  <c:v>59</c:v>
                </c:pt>
                <c:pt idx="484">
                  <c:v>59</c:v>
                </c:pt>
                <c:pt idx="485">
                  <c:v>59</c:v>
                </c:pt>
                <c:pt idx="486">
                  <c:v>59</c:v>
                </c:pt>
                <c:pt idx="487">
                  <c:v>59</c:v>
                </c:pt>
                <c:pt idx="488">
                  <c:v>59</c:v>
                </c:pt>
                <c:pt idx="489">
                  <c:v>59</c:v>
                </c:pt>
                <c:pt idx="490">
                  <c:v>59</c:v>
                </c:pt>
                <c:pt idx="491">
                  <c:v>59</c:v>
                </c:pt>
                <c:pt idx="492">
                  <c:v>59</c:v>
                </c:pt>
                <c:pt idx="493">
                  <c:v>59</c:v>
                </c:pt>
                <c:pt idx="494">
                  <c:v>59</c:v>
                </c:pt>
                <c:pt idx="495">
                  <c:v>59</c:v>
                </c:pt>
                <c:pt idx="496">
                  <c:v>59</c:v>
                </c:pt>
                <c:pt idx="497">
                  <c:v>59</c:v>
                </c:pt>
                <c:pt idx="498">
                  <c:v>59</c:v>
                </c:pt>
                <c:pt idx="499">
                  <c:v>59</c:v>
                </c:pt>
                <c:pt idx="500">
                  <c:v>59</c:v>
                </c:pt>
                <c:pt idx="501">
                  <c:v>59</c:v>
                </c:pt>
                <c:pt idx="502">
                  <c:v>59</c:v>
                </c:pt>
                <c:pt idx="503">
                  <c:v>59</c:v>
                </c:pt>
                <c:pt idx="504">
                  <c:v>59</c:v>
                </c:pt>
                <c:pt idx="505">
                  <c:v>59</c:v>
                </c:pt>
                <c:pt idx="506">
                  <c:v>59</c:v>
                </c:pt>
                <c:pt idx="507">
                  <c:v>59</c:v>
                </c:pt>
                <c:pt idx="508">
                  <c:v>59</c:v>
                </c:pt>
                <c:pt idx="509">
                  <c:v>59</c:v>
                </c:pt>
                <c:pt idx="510">
                  <c:v>59</c:v>
                </c:pt>
                <c:pt idx="511">
                  <c:v>59</c:v>
                </c:pt>
                <c:pt idx="512">
                  <c:v>59</c:v>
                </c:pt>
                <c:pt idx="513">
                  <c:v>59</c:v>
                </c:pt>
                <c:pt idx="514">
                  <c:v>59</c:v>
                </c:pt>
                <c:pt idx="515">
                  <c:v>59</c:v>
                </c:pt>
                <c:pt idx="516">
                  <c:v>59</c:v>
                </c:pt>
                <c:pt idx="517">
                  <c:v>59</c:v>
                </c:pt>
                <c:pt idx="518">
                  <c:v>59</c:v>
                </c:pt>
                <c:pt idx="519">
                  <c:v>59</c:v>
                </c:pt>
                <c:pt idx="520">
                  <c:v>59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59</c:v>
                </c:pt>
                <c:pt idx="525">
                  <c:v>59</c:v>
                </c:pt>
                <c:pt idx="526">
                  <c:v>59</c:v>
                </c:pt>
                <c:pt idx="527">
                  <c:v>59</c:v>
                </c:pt>
                <c:pt idx="528">
                  <c:v>59</c:v>
                </c:pt>
                <c:pt idx="529">
                  <c:v>59</c:v>
                </c:pt>
                <c:pt idx="530">
                  <c:v>59</c:v>
                </c:pt>
                <c:pt idx="531">
                  <c:v>59</c:v>
                </c:pt>
                <c:pt idx="532">
                  <c:v>59</c:v>
                </c:pt>
                <c:pt idx="533">
                  <c:v>59</c:v>
                </c:pt>
                <c:pt idx="534">
                  <c:v>59</c:v>
                </c:pt>
                <c:pt idx="535">
                  <c:v>59</c:v>
                </c:pt>
                <c:pt idx="536">
                  <c:v>59</c:v>
                </c:pt>
                <c:pt idx="537">
                  <c:v>59</c:v>
                </c:pt>
                <c:pt idx="538">
                  <c:v>59</c:v>
                </c:pt>
                <c:pt idx="539">
                  <c:v>59</c:v>
                </c:pt>
                <c:pt idx="540">
                  <c:v>59</c:v>
                </c:pt>
                <c:pt idx="541">
                  <c:v>59</c:v>
                </c:pt>
                <c:pt idx="542">
                  <c:v>59</c:v>
                </c:pt>
                <c:pt idx="543">
                  <c:v>59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59</c:v>
                </c:pt>
                <c:pt idx="550">
                  <c:v>59</c:v>
                </c:pt>
                <c:pt idx="551">
                  <c:v>59</c:v>
                </c:pt>
                <c:pt idx="552">
                  <c:v>59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59</c:v>
                </c:pt>
                <c:pt idx="558">
                  <c:v>59</c:v>
                </c:pt>
                <c:pt idx="559">
                  <c:v>59</c:v>
                </c:pt>
                <c:pt idx="560">
                  <c:v>59</c:v>
                </c:pt>
                <c:pt idx="561">
                  <c:v>59</c:v>
                </c:pt>
                <c:pt idx="562">
                  <c:v>59</c:v>
                </c:pt>
                <c:pt idx="563">
                  <c:v>59</c:v>
                </c:pt>
                <c:pt idx="564">
                  <c:v>59</c:v>
                </c:pt>
                <c:pt idx="565">
                  <c:v>59</c:v>
                </c:pt>
                <c:pt idx="566">
                  <c:v>59</c:v>
                </c:pt>
                <c:pt idx="567">
                  <c:v>59</c:v>
                </c:pt>
                <c:pt idx="568">
                  <c:v>59</c:v>
                </c:pt>
                <c:pt idx="569">
                  <c:v>59</c:v>
                </c:pt>
                <c:pt idx="570">
                  <c:v>59</c:v>
                </c:pt>
                <c:pt idx="571">
                  <c:v>59</c:v>
                </c:pt>
                <c:pt idx="572">
                  <c:v>59</c:v>
                </c:pt>
                <c:pt idx="573">
                  <c:v>59</c:v>
                </c:pt>
                <c:pt idx="574">
                  <c:v>59</c:v>
                </c:pt>
                <c:pt idx="575">
                  <c:v>59</c:v>
                </c:pt>
                <c:pt idx="576">
                  <c:v>59</c:v>
                </c:pt>
                <c:pt idx="577">
                  <c:v>59</c:v>
                </c:pt>
                <c:pt idx="578">
                  <c:v>59</c:v>
                </c:pt>
                <c:pt idx="579">
                  <c:v>59</c:v>
                </c:pt>
                <c:pt idx="580">
                  <c:v>59</c:v>
                </c:pt>
                <c:pt idx="581">
                  <c:v>59</c:v>
                </c:pt>
                <c:pt idx="582">
                  <c:v>59</c:v>
                </c:pt>
                <c:pt idx="583">
                  <c:v>59</c:v>
                </c:pt>
                <c:pt idx="584">
                  <c:v>59</c:v>
                </c:pt>
                <c:pt idx="585">
                  <c:v>59</c:v>
                </c:pt>
                <c:pt idx="586">
                  <c:v>59</c:v>
                </c:pt>
                <c:pt idx="587">
                  <c:v>59</c:v>
                </c:pt>
                <c:pt idx="588">
                  <c:v>59</c:v>
                </c:pt>
                <c:pt idx="589">
                  <c:v>59</c:v>
                </c:pt>
                <c:pt idx="590">
                  <c:v>59</c:v>
                </c:pt>
                <c:pt idx="591">
                  <c:v>59</c:v>
                </c:pt>
                <c:pt idx="592">
                  <c:v>59</c:v>
                </c:pt>
                <c:pt idx="593">
                  <c:v>59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</c:v>
                </c:pt>
                <c:pt idx="598">
                  <c:v>59</c:v>
                </c:pt>
                <c:pt idx="599">
                  <c:v>59</c:v>
                </c:pt>
                <c:pt idx="600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FB-418D-8F47-BD132E44E9F8}"/>
            </c:ext>
          </c:extLst>
        </c:ser>
        <c:ser>
          <c:idx val="1"/>
          <c:order val="1"/>
          <c:tx>
            <c:strRef>
              <c:f>'59'!$C$1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'59'!$A$2:$A$602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'59'!$C$2:$C$602</c:f>
              <c:numCache>
                <c:formatCode>General</c:formatCode>
                <c:ptCount val="601"/>
                <c:pt idx="0">
                  <c:v>29.57</c:v>
                </c:pt>
                <c:pt idx="1">
                  <c:v>29.54</c:v>
                </c:pt>
                <c:pt idx="2">
                  <c:v>29.55</c:v>
                </c:pt>
                <c:pt idx="3">
                  <c:v>29.55</c:v>
                </c:pt>
                <c:pt idx="4">
                  <c:v>29.6</c:v>
                </c:pt>
                <c:pt idx="5">
                  <c:v>29.65</c:v>
                </c:pt>
                <c:pt idx="6">
                  <c:v>29.87</c:v>
                </c:pt>
                <c:pt idx="7">
                  <c:v>30.06</c:v>
                </c:pt>
                <c:pt idx="8">
                  <c:v>30.37</c:v>
                </c:pt>
                <c:pt idx="9">
                  <c:v>30.71</c:v>
                </c:pt>
                <c:pt idx="10">
                  <c:v>31.1</c:v>
                </c:pt>
                <c:pt idx="11">
                  <c:v>31.5</c:v>
                </c:pt>
                <c:pt idx="12">
                  <c:v>32.01</c:v>
                </c:pt>
                <c:pt idx="13">
                  <c:v>32.56</c:v>
                </c:pt>
                <c:pt idx="14">
                  <c:v>33.04</c:v>
                </c:pt>
                <c:pt idx="15">
                  <c:v>33.57</c:v>
                </c:pt>
                <c:pt idx="16">
                  <c:v>34.1</c:v>
                </c:pt>
                <c:pt idx="17">
                  <c:v>34.64</c:v>
                </c:pt>
                <c:pt idx="18">
                  <c:v>35.229999999999997</c:v>
                </c:pt>
                <c:pt idx="19">
                  <c:v>35.799999999999997</c:v>
                </c:pt>
                <c:pt idx="20">
                  <c:v>36.35</c:v>
                </c:pt>
                <c:pt idx="21">
                  <c:v>36.909999999999997</c:v>
                </c:pt>
                <c:pt idx="22">
                  <c:v>37.479999999999997</c:v>
                </c:pt>
                <c:pt idx="23">
                  <c:v>38.06</c:v>
                </c:pt>
                <c:pt idx="24">
                  <c:v>38.659999999999997</c:v>
                </c:pt>
                <c:pt idx="25">
                  <c:v>39.17</c:v>
                </c:pt>
                <c:pt idx="26">
                  <c:v>39.72</c:v>
                </c:pt>
                <c:pt idx="27">
                  <c:v>40.28</c:v>
                </c:pt>
                <c:pt idx="28">
                  <c:v>40.82</c:v>
                </c:pt>
                <c:pt idx="29">
                  <c:v>41.38</c:v>
                </c:pt>
                <c:pt idx="30">
                  <c:v>41.94</c:v>
                </c:pt>
                <c:pt idx="31">
                  <c:v>42.47</c:v>
                </c:pt>
                <c:pt idx="32">
                  <c:v>43.01</c:v>
                </c:pt>
                <c:pt idx="33">
                  <c:v>43.56</c:v>
                </c:pt>
                <c:pt idx="34">
                  <c:v>44.09</c:v>
                </c:pt>
                <c:pt idx="35">
                  <c:v>44.58</c:v>
                </c:pt>
                <c:pt idx="36">
                  <c:v>45.06</c:v>
                </c:pt>
                <c:pt idx="37">
                  <c:v>45.61</c:v>
                </c:pt>
                <c:pt idx="38">
                  <c:v>46.07</c:v>
                </c:pt>
                <c:pt idx="39">
                  <c:v>46.61</c:v>
                </c:pt>
                <c:pt idx="40">
                  <c:v>47.07</c:v>
                </c:pt>
                <c:pt idx="41">
                  <c:v>47.59</c:v>
                </c:pt>
                <c:pt idx="42">
                  <c:v>48.09</c:v>
                </c:pt>
                <c:pt idx="43">
                  <c:v>48.58</c:v>
                </c:pt>
                <c:pt idx="44">
                  <c:v>49.06</c:v>
                </c:pt>
                <c:pt idx="45">
                  <c:v>49.54</c:v>
                </c:pt>
                <c:pt idx="46">
                  <c:v>50</c:v>
                </c:pt>
                <c:pt idx="47">
                  <c:v>50.45</c:v>
                </c:pt>
                <c:pt idx="48">
                  <c:v>50.86</c:v>
                </c:pt>
                <c:pt idx="49">
                  <c:v>51.35</c:v>
                </c:pt>
                <c:pt idx="50">
                  <c:v>51.84</c:v>
                </c:pt>
                <c:pt idx="51">
                  <c:v>52.26</c:v>
                </c:pt>
                <c:pt idx="52">
                  <c:v>52.7</c:v>
                </c:pt>
                <c:pt idx="53">
                  <c:v>53.18</c:v>
                </c:pt>
                <c:pt idx="54">
                  <c:v>53.59</c:v>
                </c:pt>
                <c:pt idx="55">
                  <c:v>54.04</c:v>
                </c:pt>
                <c:pt idx="56">
                  <c:v>54.46</c:v>
                </c:pt>
                <c:pt idx="57">
                  <c:v>54.85</c:v>
                </c:pt>
                <c:pt idx="58">
                  <c:v>55.31</c:v>
                </c:pt>
                <c:pt idx="59">
                  <c:v>55.7</c:v>
                </c:pt>
                <c:pt idx="60">
                  <c:v>56.09</c:v>
                </c:pt>
                <c:pt idx="61">
                  <c:v>56.52</c:v>
                </c:pt>
                <c:pt idx="62">
                  <c:v>56.93</c:v>
                </c:pt>
                <c:pt idx="63">
                  <c:v>57.38</c:v>
                </c:pt>
                <c:pt idx="64">
                  <c:v>57.75</c:v>
                </c:pt>
                <c:pt idx="65">
                  <c:v>58.15</c:v>
                </c:pt>
                <c:pt idx="66">
                  <c:v>58.51</c:v>
                </c:pt>
                <c:pt idx="67">
                  <c:v>58.82</c:v>
                </c:pt>
                <c:pt idx="68">
                  <c:v>59.13</c:v>
                </c:pt>
                <c:pt idx="69">
                  <c:v>59.41</c:v>
                </c:pt>
                <c:pt idx="70">
                  <c:v>59.66</c:v>
                </c:pt>
                <c:pt idx="71">
                  <c:v>59.93</c:v>
                </c:pt>
                <c:pt idx="72">
                  <c:v>60.12</c:v>
                </c:pt>
                <c:pt idx="73">
                  <c:v>60.25</c:v>
                </c:pt>
                <c:pt idx="74">
                  <c:v>60.41</c:v>
                </c:pt>
                <c:pt idx="75">
                  <c:v>60.43</c:v>
                </c:pt>
                <c:pt idx="76">
                  <c:v>60.47</c:v>
                </c:pt>
                <c:pt idx="77">
                  <c:v>60.48</c:v>
                </c:pt>
                <c:pt idx="78">
                  <c:v>60.33</c:v>
                </c:pt>
                <c:pt idx="79">
                  <c:v>60.27</c:v>
                </c:pt>
                <c:pt idx="80">
                  <c:v>60.21</c:v>
                </c:pt>
                <c:pt idx="81">
                  <c:v>60</c:v>
                </c:pt>
                <c:pt idx="82">
                  <c:v>59.81</c:v>
                </c:pt>
                <c:pt idx="83">
                  <c:v>59.69</c:v>
                </c:pt>
                <c:pt idx="84">
                  <c:v>59.57</c:v>
                </c:pt>
                <c:pt idx="85">
                  <c:v>59.42</c:v>
                </c:pt>
                <c:pt idx="86">
                  <c:v>59.22</c:v>
                </c:pt>
                <c:pt idx="87">
                  <c:v>59.02</c:v>
                </c:pt>
                <c:pt idx="88">
                  <c:v>58.89</c:v>
                </c:pt>
                <c:pt idx="89">
                  <c:v>58.75</c:v>
                </c:pt>
                <c:pt idx="90">
                  <c:v>58.54</c:v>
                </c:pt>
                <c:pt idx="91">
                  <c:v>58.48</c:v>
                </c:pt>
                <c:pt idx="92">
                  <c:v>58.37</c:v>
                </c:pt>
                <c:pt idx="93">
                  <c:v>58.32</c:v>
                </c:pt>
                <c:pt idx="94">
                  <c:v>58.31</c:v>
                </c:pt>
                <c:pt idx="95">
                  <c:v>58.26</c:v>
                </c:pt>
                <c:pt idx="96">
                  <c:v>58.23</c:v>
                </c:pt>
                <c:pt idx="97">
                  <c:v>58.25</c:v>
                </c:pt>
                <c:pt idx="98">
                  <c:v>58.28</c:v>
                </c:pt>
                <c:pt idx="99">
                  <c:v>58.3</c:v>
                </c:pt>
                <c:pt idx="100">
                  <c:v>58.35</c:v>
                </c:pt>
                <c:pt idx="101">
                  <c:v>58.4</c:v>
                </c:pt>
                <c:pt idx="102">
                  <c:v>58.48</c:v>
                </c:pt>
                <c:pt idx="103">
                  <c:v>58.55</c:v>
                </c:pt>
                <c:pt idx="104">
                  <c:v>58.69</c:v>
                </c:pt>
                <c:pt idx="105">
                  <c:v>58.7</c:v>
                </c:pt>
                <c:pt idx="106">
                  <c:v>58.78</c:v>
                </c:pt>
                <c:pt idx="107">
                  <c:v>58.88</c:v>
                </c:pt>
                <c:pt idx="108">
                  <c:v>58.98</c:v>
                </c:pt>
                <c:pt idx="109">
                  <c:v>59.07</c:v>
                </c:pt>
                <c:pt idx="110">
                  <c:v>59.13</c:v>
                </c:pt>
                <c:pt idx="111">
                  <c:v>59.21</c:v>
                </c:pt>
                <c:pt idx="112">
                  <c:v>59.23</c:v>
                </c:pt>
                <c:pt idx="113">
                  <c:v>59.32</c:v>
                </c:pt>
                <c:pt idx="114">
                  <c:v>59.37</c:v>
                </c:pt>
                <c:pt idx="115">
                  <c:v>59.38</c:v>
                </c:pt>
                <c:pt idx="116">
                  <c:v>59.39</c:v>
                </c:pt>
                <c:pt idx="117">
                  <c:v>59.38</c:v>
                </c:pt>
                <c:pt idx="118">
                  <c:v>59.38</c:v>
                </c:pt>
                <c:pt idx="119">
                  <c:v>59.42</c:v>
                </c:pt>
                <c:pt idx="120">
                  <c:v>59.35</c:v>
                </c:pt>
                <c:pt idx="121">
                  <c:v>59.35</c:v>
                </c:pt>
                <c:pt idx="122">
                  <c:v>59.33</c:v>
                </c:pt>
                <c:pt idx="123">
                  <c:v>59.32</c:v>
                </c:pt>
                <c:pt idx="124">
                  <c:v>59.29</c:v>
                </c:pt>
                <c:pt idx="125">
                  <c:v>59.27</c:v>
                </c:pt>
                <c:pt idx="126">
                  <c:v>59.28</c:v>
                </c:pt>
                <c:pt idx="127">
                  <c:v>59.2</c:v>
                </c:pt>
                <c:pt idx="128">
                  <c:v>59.13</c:v>
                </c:pt>
                <c:pt idx="129">
                  <c:v>59.15</c:v>
                </c:pt>
                <c:pt idx="130">
                  <c:v>59.05</c:v>
                </c:pt>
                <c:pt idx="131">
                  <c:v>59.04</c:v>
                </c:pt>
                <c:pt idx="132">
                  <c:v>59.02</c:v>
                </c:pt>
                <c:pt idx="133">
                  <c:v>58.99</c:v>
                </c:pt>
                <c:pt idx="134">
                  <c:v>58.94</c:v>
                </c:pt>
                <c:pt idx="135">
                  <c:v>58.87</c:v>
                </c:pt>
                <c:pt idx="136">
                  <c:v>58.89</c:v>
                </c:pt>
                <c:pt idx="137">
                  <c:v>58.86</c:v>
                </c:pt>
                <c:pt idx="138">
                  <c:v>58.8</c:v>
                </c:pt>
                <c:pt idx="139">
                  <c:v>58.77</c:v>
                </c:pt>
                <c:pt idx="140">
                  <c:v>58.81</c:v>
                </c:pt>
                <c:pt idx="141">
                  <c:v>58.81</c:v>
                </c:pt>
                <c:pt idx="142">
                  <c:v>58.8</c:v>
                </c:pt>
                <c:pt idx="143">
                  <c:v>58.84</c:v>
                </c:pt>
                <c:pt idx="144">
                  <c:v>58.84</c:v>
                </c:pt>
                <c:pt idx="145">
                  <c:v>58.84</c:v>
                </c:pt>
                <c:pt idx="146">
                  <c:v>58.88</c:v>
                </c:pt>
                <c:pt idx="147">
                  <c:v>58.96</c:v>
                </c:pt>
                <c:pt idx="148">
                  <c:v>58.95</c:v>
                </c:pt>
                <c:pt idx="149">
                  <c:v>59.02</c:v>
                </c:pt>
                <c:pt idx="150">
                  <c:v>59.03</c:v>
                </c:pt>
                <c:pt idx="151">
                  <c:v>59.03</c:v>
                </c:pt>
                <c:pt idx="152">
                  <c:v>59.16</c:v>
                </c:pt>
                <c:pt idx="153">
                  <c:v>59.09</c:v>
                </c:pt>
                <c:pt idx="154">
                  <c:v>59.11</c:v>
                </c:pt>
                <c:pt idx="155">
                  <c:v>59.15</c:v>
                </c:pt>
                <c:pt idx="156">
                  <c:v>59.19</c:v>
                </c:pt>
                <c:pt idx="157">
                  <c:v>59.21</c:v>
                </c:pt>
                <c:pt idx="158">
                  <c:v>59.2</c:v>
                </c:pt>
                <c:pt idx="159">
                  <c:v>59.2</c:v>
                </c:pt>
                <c:pt idx="160">
                  <c:v>59.19</c:v>
                </c:pt>
                <c:pt idx="161">
                  <c:v>59.15</c:v>
                </c:pt>
                <c:pt idx="162">
                  <c:v>59.14</c:v>
                </c:pt>
                <c:pt idx="163">
                  <c:v>59.1</c:v>
                </c:pt>
                <c:pt idx="164">
                  <c:v>59.13</c:v>
                </c:pt>
                <c:pt idx="165">
                  <c:v>59.09</c:v>
                </c:pt>
                <c:pt idx="166">
                  <c:v>59.04</c:v>
                </c:pt>
                <c:pt idx="167">
                  <c:v>59.01</c:v>
                </c:pt>
                <c:pt idx="168">
                  <c:v>59</c:v>
                </c:pt>
                <c:pt idx="169">
                  <c:v>58.96</c:v>
                </c:pt>
                <c:pt idx="170">
                  <c:v>58.94</c:v>
                </c:pt>
                <c:pt idx="171">
                  <c:v>58.88</c:v>
                </c:pt>
                <c:pt idx="172">
                  <c:v>58.91</c:v>
                </c:pt>
                <c:pt idx="173">
                  <c:v>58.93</c:v>
                </c:pt>
                <c:pt idx="174">
                  <c:v>58.86</c:v>
                </c:pt>
                <c:pt idx="175">
                  <c:v>58.89</c:v>
                </c:pt>
                <c:pt idx="176">
                  <c:v>58.81</c:v>
                </c:pt>
                <c:pt idx="177">
                  <c:v>58.86</c:v>
                </c:pt>
                <c:pt idx="178">
                  <c:v>58.86</c:v>
                </c:pt>
                <c:pt idx="179">
                  <c:v>58.83</c:v>
                </c:pt>
                <c:pt idx="180">
                  <c:v>58.86</c:v>
                </c:pt>
                <c:pt idx="181">
                  <c:v>58.91</c:v>
                </c:pt>
                <c:pt idx="182">
                  <c:v>58.93</c:v>
                </c:pt>
                <c:pt idx="183">
                  <c:v>58.96</c:v>
                </c:pt>
                <c:pt idx="184">
                  <c:v>58.98</c:v>
                </c:pt>
                <c:pt idx="185">
                  <c:v>58.93</c:v>
                </c:pt>
                <c:pt idx="186">
                  <c:v>59.02</c:v>
                </c:pt>
                <c:pt idx="187">
                  <c:v>59.01</c:v>
                </c:pt>
                <c:pt idx="188">
                  <c:v>59.02</c:v>
                </c:pt>
                <c:pt idx="189">
                  <c:v>59.04</c:v>
                </c:pt>
                <c:pt idx="190">
                  <c:v>59.07</c:v>
                </c:pt>
                <c:pt idx="191">
                  <c:v>59.09</c:v>
                </c:pt>
                <c:pt idx="192">
                  <c:v>59.14</c:v>
                </c:pt>
                <c:pt idx="193">
                  <c:v>59.14</c:v>
                </c:pt>
                <c:pt idx="194">
                  <c:v>59.11</c:v>
                </c:pt>
                <c:pt idx="195">
                  <c:v>59.11</c:v>
                </c:pt>
                <c:pt idx="196">
                  <c:v>59.08</c:v>
                </c:pt>
                <c:pt idx="197">
                  <c:v>59.08</c:v>
                </c:pt>
                <c:pt idx="198">
                  <c:v>59.09</c:v>
                </c:pt>
                <c:pt idx="199">
                  <c:v>59.09</c:v>
                </c:pt>
                <c:pt idx="200">
                  <c:v>59</c:v>
                </c:pt>
                <c:pt idx="201">
                  <c:v>58.99</c:v>
                </c:pt>
                <c:pt idx="202">
                  <c:v>58.98</c:v>
                </c:pt>
                <c:pt idx="203">
                  <c:v>58.96</c:v>
                </c:pt>
                <c:pt idx="204">
                  <c:v>59</c:v>
                </c:pt>
                <c:pt idx="205">
                  <c:v>58.92</c:v>
                </c:pt>
                <c:pt idx="206">
                  <c:v>58.91</c:v>
                </c:pt>
                <c:pt idx="207">
                  <c:v>58.88</c:v>
                </c:pt>
                <c:pt idx="208">
                  <c:v>58.89</c:v>
                </c:pt>
                <c:pt idx="209">
                  <c:v>58.87</c:v>
                </c:pt>
                <c:pt idx="210">
                  <c:v>58.85</c:v>
                </c:pt>
                <c:pt idx="211">
                  <c:v>58.89</c:v>
                </c:pt>
                <c:pt idx="212">
                  <c:v>58.86</c:v>
                </c:pt>
                <c:pt idx="213">
                  <c:v>58.89</c:v>
                </c:pt>
                <c:pt idx="214">
                  <c:v>58.91</c:v>
                </c:pt>
                <c:pt idx="215">
                  <c:v>58.86</c:v>
                </c:pt>
                <c:pt idx="216">
                  <c:v>58.88</c:v>
                </c:pt>
                <c:pt idx="217">
                  <c:v>58.91</c:v>
                </c:pt>
                <c:pt idx="218">
                  <c:v>58.92</c:v>
                </c:pt>
                <c:pt idx="219">
                  <c:v>58.97</c:v>
                </c:pt>
                <c:pt idx="220">
                  <c:v>58.94</c:v>
                </c:pt>
                <c:pt idx="221">
                  <c:v>58.99</c:v>
                </c:pt>
                <c:pt idx="222">
                  <c:v>59</c:v>
                </c:pt>
                <c:pt idx="223">
                  <c:v>59.06</c:v>
                </c:pt>
                <c:pt idx="224">
                  <c:v>59.12</c:v>
                </c:pt>
                <c:pt idx="225">
                  <c:v>59.05</c:v>
                </c:pt>
                <c:pt idx="226">
                  <c:v>59.05</c:v>
                </c:pt>
                <c:pt idx="227">
                  <c:v>59.1</c:v>
                </c:pt>
                <c:pt idx="228">
                  <c:v>59.03</c:v>
                </c:pt>
                <c:pt idx="229">
                  <c:v>59.1</c:v>
                </c:pt>
                <c:pt idx="230">
                  <c:v>58.96</c:v>
                </c:pt>
                <c:pt idx="231">
                  <c:v>59.12</c:v>
                </c:pt>
                <c:pt idx="232">
                  <c:v>58.96</c:v>
                </c:pt>
                <c:pt idx="233">
                  <c:v>59.04</c:v>
                </c:pt>
                <c:pt idx="234">
                  <c:v>58.94</c:v>
                </c:pt>
                <c:pt idx="235">
                  <c:v>59.08</c:v>
                </c:pt>
                <c:pt idx="236">
                  <c:v>58.85</c:v>
                </c:pt>
                <c:pt idx="237">
                  <c:v>59.02</c:v>
                </c:pt>
                <c:pt idx="238">
                  <c:v>58.9</c:v>
                </c:pt>
                <c:pt idx="239">
                  <c:v>58.99</c:v>
                </c:pt>
                <c:pt idx="240">
                  <c:v>58.94</c:v>
                </c:pt>
                <c:pt idx="241">
                  <c:v>59</c:v>
                </c:pt>
                <c:pt idx="242">
                  <c:v>58.84</c:v>
                </c:pt>
                <c:pt idx="243">
                  <c:v>59.04</c:v>
                </c:pt>
                <c:pt idx="244">
                  <c:v>58.85</c:v>
                </c:pt>
                <c:pt idx="245">
                  <c:v>58.97</c:v>
                </c:pt>
                <c:pt idx="246">
                  <c:v>58.9</c:v>
                </c:pt>
                <c:pt idx="247">
                  <c:v>59</c:v>
                </c:pt>
                <c:pt idx="248">
                  <c:v>58.86</c:v>
                </c:pt>
                <c:pt idx="249">
                  <c:v>59.02</c:v>
                </c:pt>
                <c:pt idx="250">
                  <c:v>58.89</c:v>
                </c:pt>
                <c:pt idx="251">
                  <c:v>59.04</c:v>
                </c:pt>
                <c:pt idx="252">
                  <c:v>58.84</c:v>
                </c:pt>
                <c:pt idx="253">
                  <c:v>59.03</c:v>
                </c:pt>
                <c:pt idx="254">
                  <c:v>58.88</c:v>
                </c:pt>
                <c:pt idx="255">
                  <c:v>59.02</c:v>
                </c:pt>
                <c:pt idx="256">
                  <c:v>58.86</c:v>
                </c:pt>
                <c:pt idx="257">
                  <c:v>59.05</c:v>
                </c:pt>
                <c:pt idx="258">
                  <c:v>58.91</c:v>
                </c:pt>
                <c:pt idx="259">
                  <c:v>59.02</c:v>
                </c:pt>
                <c:pt idx="260">
                  <c:v>58.93</c:v>
                </c:pt>
                <c:pt idx="261">
                  <c:v>58.93</c:v>
                </c:pt>
                <c:pt idx="262">
                  <c:v>58.9</c:v>
                </c:pt>
                <c:pt idx="263">
                  <c:v>58.97</c:v>
                </c:pt>
                <c:pt idx="264">
                  <c:v>58.91</c:v>
                </c:pt>
                <c:pt idx="265">
                  <c:v>59</c:v>
                </c:pt>
                <c:pt idx="266">
                  <c:v>58.96</c:v>
                </c:pt>
                <c:pt idx="267">
                  <c:v>59.01</c:v>
                </c:pt>
                <c:pt idx="268">
                  <c:v>58.99</c:v>
                </c:pt>
                <c:pt idx="269">
                  <c:v>58.98</c:v>
                </c:pt>
                <c:pt idx="270">
                  <c:v>59.01</c:v>
                </c:pt>
                <c:pt idx="271">
                  <c:v>59.02</c:v>
                </c:pt>
                <c:pt idx="272">
                  <c:v>59.02</c:v>
                </c:pt>
                <c:pt idx="273">
                  <c:v>58.98</c:v>
                </c:pt>
                <c:pt idx="274">
                  <c:v>59.04</c:v>
                </c:pt>
                <c:pt idx="275">
                  <c:v>59.01</c:v>
                </c:pt>
                <c:pt idx="276">
                  <c:v>59.03</c:v>
                </c:pt>
                <c:pt idx="277">
                  <c:v>58.97</c:v>
                </c:pt>
                <c:pt idx="278">
                  <c:v>58.98</c:v>
                </c:pt>
                <c:pt idx="279">
                  <c:v>58.95</c:v>
                </c:pt>
                <c:pt idx="280">
                  <c:v>58.93</c:v>
                </c:pt>
                <c:pt idx="281">
                  <c:v>58.9</c:v>
                </c:pt>
                <c:pt idx="282">
                  <c:v>58.91</c:v>
                </c:pt>
                <c:pt idx="283">
                  <c:v>58.91</c:v>
                </c:pt>
                <c:pt idx="284">
                  <c:v>58.9</c:v>
                </c:pt>
                <c:pt idx="285">
                  <c:v>58.91</c:v>
                </c:pt>
                <c:pt idx="286">
                  <c:v>58.89</c:v>
                </c:pt>
                <c:pt idx="287">
                  <c:v>58.89</c:v>
                </c:pt>
                <c:pt idx="288">
                  <c:v>58.9</c:v>
                </c:pt>
                <c:pt idx="289">
                  <c:v>58.89</c:v>
                </c:pt>
                <c:pt idx="290">
                  <c:v>58.95</c:v>
                </c:pt>
                <c:pt idx="291">
                  <c:v>58.92</c:v>
                </c:pt>
                <c:pt idx="292">
                  <c:v>58.98</c:v>
                </c:pt>
                <c:pt idx="293">
                  <c:v>58.98</c:v>
                </c:pt>
                <c:pt idx="294">
                  <c:v>58.97</c:v>
                </c:pt>
                <c:pt idx="295">
                  <c:v>59.02</c:v>
                </c:pt>
                <c:pt idx="296">
                  <c:v>58.98</c:v>
                </c:pt>
                <c:pt idx="297">
                  <c:v>58.98</c:v>
                </c:pt>
                <c:pt idx="298">
                  <c:v>59.01</c:v>
                </c:pt>
                <c:pt idx="299">
                  <c:v>58.99</c:v>
                </c:pt>
                <c:pt idx="300">
                  <c:v>59</c:v>
                </c:pt>
                <c:pt idx="301">
                  <c:v>59.06</c:v>
                </c:pt>
                <c:pt idx="302">
                  <c:v>59.05</c:v>
                </c:pt>
                <c:pt idx="303">
                  <c:v>59</c:v>
                </c:pt>
                <c:pt idx="304">
                  <c:v>59.07</c:v>
                </c:pt>
                <c:pt idx="305">
                  <c:v>59.01</c:v>
                </c:pt>
                <c:pt idx="306">
                  <c:v>59.05</c:v>
                </c:pt>
                <c:pt idx="307">
                  <c:v>58.98</c:v>
                </c:pt>
                <c:pt idx="308">
                  <c:v>59.02</c:v>
                </c:pt>
                <c:pt idx="309">
                  <c:v>58.97</c:v>
                </c:pt>
                <c:pt idx="310">
                  <c:v>59</c:v>
                </c:pt>
                <c:pt idx="311">
                  <c:v>58.98</c:v>
                </c:pt>
                <c:pt idx="312">
                  <c:v>58.94</c:v>
                </c:pt>
                <c:pt idx="313">
                  <c:v>58.94</c:v>
                </c:pt>
                <c:pt idx="314">
                  <c:v>58.93</c:v>
                </c:pt>
                <c:pt idx="315">
                  <c:v>58.91</c:v>
                </c:pt>
                <c:pt idx="316">
                  <c:v>58.97</c:v>
                </c:pt>
                <c:pt idx="317">
                  <c:v>58.87</c:v>
                </c:pt>
                <c:pt idx="318">
                  <c:v>58.92</c:v>
                </c:pt>
                <c:pt idx="319">
                  <c:v>58.88</c:v>
                </c:pt>
                <c:pt idx="320">
                  <c:v>58.93</c:v>
                </c:pt>
                <c:pt idx="321">
                  <c:v>58.94</c:v>
                </c:pt>
                <c:pt idx="322">
                  <c:v>58.93</c:v>
                </c:pt>
                <c:pt idx="323">
                  <c:v>58.91</c:v>
                </c:pt>
                <c:pt idx="324">
                  <c:v>58.92</c:v>
                </c:pt>
                <c:pt idx="325">
                  <c:v>58.98</c:v>
                </c:pt>
                <c:pt idx="326">
                  <c:v>59.01</c:v>
                </c:pt>
                <c:pt idx="327">
                  <c:v>58.97</c:v>
                </c:pt>
                <c:pt idx="328">
                  <c:v>58.96</c:v>
                </c:pt>
                <c:pt idx="329">
                  <c:v>58.98</c:v>
                </c:pt>
                <c:pt idx="330">
                  <c:v>59.02</c:v>
                </c:pt>
                <c:pt idx="331">
                  <c:v>59.04</c:v>
                </c:pt>
                <c:pt idx="332">
                  <c:v>59</c:v>
                </c:pt>
                <c:pt idx="333">
                  <c:v>59.04</c:v>
                </c:pt>
                <c:pt idx="334">
                  <c:v>59.03</c:v>
                </c:pt>
                <c:pt idx="335">
                  <c:v>59</c:v>
                </c:pt>
                <c:pt idx="336">
                  <c:v>59.04</c:v>
                </c:pt>
                <c:pt idx="337">
                  <c:v>59.04</c:v>
                </c:pt>
                <c:pt idx="338">
                  <c:v>58.98</c:v>
                </c:pt>
                <c:pt idx="339">
                  <c:v>58.99</c:v>
                </c:pt>
                <c:pt idx="340">
                  <c:v>59.02</c:v>
                </c:pt>
                <c:pt idx="341">
                  <c:v>59</c:v>
                </c:pt>
                <c:pt idx="342">
                  <c:v>58.97</c:v>
                </c:pt>
                <c:pt idx="343">
                  <c:v>58.99</c:v>
                </c:pt>
                <c:pt idx="344">
                  <c:v>58.93</c:v>
                </c:pt>
                <c:pt idx="345">
                  <c:v>58.98</c:v>
                </c:pt>
                <c:pt idx="346">
                  <c:v>58.93</c:v>
                </c:pt>
                <c:pt idx="347">
                  <c:v>58.92</c:v>
                </c:pt>
                <c:pt idx="348">
                  <c:v>58.94</c:v>
                </c:pt>
                <c:pt idx="349">
                  <c:v>58.88</c:v>
                </c:pt>
                <c:pt idx="350">
                  <c:v>58.87</c:v>
                </c:pt>
                <c:pt idx="351">
                  <c:v>58.88</c:v>
                </c:pt>
                <c:pt idx="352">
                  <c:v>58.86</c:v>
                </c:pt>
                <c:pt idx="353">
                  <c:v>58.92</c:v>
                </c:pt>
                <c:pt idx="354">
                  <c:v>58.85</c:v>
                </c:pt>
                <c:pt idx="355">
                  <c:v>58.92</c:v>
                </c:pt>
                <c:pt idx="356">
                  <c:v>58.86</c:v>
                </c:pt>
                <c:pt idx="357">
                  <c:v>58.93</c:v>
                </c:pt>
                <c:pt idx="358">
                  <c:v>58.94</c:v>
                </c:pt>
                <c:pt idx="359">
                  <c:v>58.97</c:v>
                </c:pt>
                <c:pt idx="360">
                  <c:v>58.96</c:v>
                </c:pt>
                <c:pt idx="361">
                  <c:v>59.01</c:v>
                </c:pt>
                <c:pt idx="362">
                  <c:v>58.99</c:v>
                </c:pt>
                <c:pt idx="363">
                  <c:v>59.06</c:v>
                </c:pt>
                <c:pt idx="364">
                  <c:v>59.03</c:v>
                </c:pt>
                <c:pt idx="365">
                  <c:v>59.05</c:v>
                </c:pt>
                <c:pt idx="366">
                  <c:v>59.1</c:v>
                </c:pt>
                <c:pt idx="367">
                  <c:v>59.11</c:v>
                </c:pt>
                <c:pt idx="368">
                  <c:v>59.08</c:v>
                </c:pt>
                <c:pt idx="369">
                  <c:v>59.1</c:v>
                </c:pt>
                <c:pt idx="370">
                  <c:v>59.04</c:v>
                </c:pt>
                <c:pt idx="371">
                  <c:v>59.05</c:v>
                </c:pt>
                <c:pt idx="372">
                  <c:v>59.09</c:v>
                </c:pt>
                <c:pt idx="373">
                  <c:v>59.05</c:v>
                </c:pt>
                <c:pt idx="374">
                  <c:v>59.02</c:v>
                </c:pt>
                <c:pt idx="375">
                  <c:v>59.04</c:v>
                </c:pt>
                <c:pt idx="376">
                  <c:v>59.02</c:v>
                </c:pt>
                <c:pt idx="377">
                  <c:v>58.97</c:v>
                </c:pt>
                <c:pt idx="378">
                  <c:v>59</c:v>
                </c:pt>
                <c:pt idx="379">
                  <c:v>58.96</c:v>
                </c:pt>
                <c:pt idx="380">
                  <c:v>58.94</c:v>
                </c:pt>
                <c:pt idx="381">
                  <c:v>58.94</c:v>
                </c:pt>
                <c:pt idx="382">
                  <c:v>58.91</c:v>
                </c:pt>
                <c:pt idx="383">
                  <c:v>58.89</c:v>
                </c:pt>
                <c:pt idx="384">
                  <c:v>58.9</c:v>
                </c:pt>
                <c:pt idx="385">
                  <c:v>58.87</c:v>
                </c:pt>
                <c:pt idx="386">
                  <c:v>58.86</c:v>
                </c:pt>
                <c:pt idx="387">
                  <c:v>58.89</c:v>
                </c:pt>
                <c:pt idx="388">
                  <c:v>58.9</c:v>
                </c:pt>
                <c:pt idx="389">
                  <c:v>58.86</c:v>
                </c:pt>
                <c:pt idx="390">
                  <c:v>58.9</c:v>
                </c:pt>
                <c:pt idx="391">
                  <c:v>58.96</c:v>
                </c:pt>
                <c:pt idx="392">
                  <c:v>58.97</c:v>
                </c:pt>
                <c:pt idx="393">
                  <c:v>58.97</c:v>
                </c:pt>
                <c:pt idx="394">
                  <c:v>58.98</c:v>
                </c:pt>
                <c:pt idx="395">
                  <c:v>59.01</c:v>
                </c:pt>
                <c:pt idx="396">
                  <c:v>59.04</c:v>
                </c:pt>
                <c:pt idx="397">
                  <c:v>59.06</c:v>
                </c:pt>
                <c:pt idx="398">
                  <c:v>59.06</c:v>
                </c:pt>
                <c:pt idx="399">
                  <c:v>59.05</c:v>
                </c:pt>
                <c:pt idx="400">
                  <c:v>59.08</c:v>
                </c:pt>
                <c:pt idx="401">
                  <c:v>59.02</c:v>
                </c:pt>
                <c:pt idx="402">
                  <c:v>59.02</c:v>
                </c:pt>
                <c:pt idx="403">
                  <c:v>59.03</c:v>
                </c:pt>
                <c:pt idx="404">
                  <c:v>59.07</c:v>
                </c:pt>
                <c:pt idx="405">
                  <c:v>59.07</c:v>
                </c:pt>
                <c:pt idx="406">
                  <c:v>59.08</c:v>
                </c:pt>
                <c:pt idx="407">
                  <c:v>59.06</c:v>
                </c:pt>
                <c:pt idx="408">
                  <c:v>59.06</c:v>
                </c:pt>
                <c:pt idx="409">
                  <c:v>58.97</c:v>
                </c:pt>
                <c:pt idx="410">
                  <c:v>59.03</c:v>
                </c:pt>
                <c:pt idx="411">
                  <c:v>59</c:v>
                </c:pt>
                <c:pt idx="412">
                  <c:v>58.94</c:v>
                </c:pt>
                <c:pt idx="413">
                  <c:v>58.93</c:v>
                </c:pt>
                <c:pt idx="414">
                  <c:v>58.92</c:v>
                </c:pt>
                <c:pt idx="415">
                  <c:v>58.91</c:v>
                </c:pt>
                <c:pt idx="416">
                  <c:v>58.88</c:v>
                </c:pt>
                <c:pt idx="417">
                  <c:v>58.92</c:v>
                </c:pt>
                <c:pt idx="418">
                  <c:v>58.92</c:v>
                </c:pt>
                <c:pt idx="419">
                  <c:v>58.92</c:v>
                </c:pt>
                <c:pt idx="420">
                  <c:v>58.92</c:v>
                </c:pt>
                <c:pt idx="421">
                  <c:v>58.92</c:v>
                </c:pt>
                <c:pt idx="422">
                  <c:v>58.94</c:v>
                </c:pt>
                <c:pt idx="423">
                  <c:v>58.94</c:v>
                </c:pt>
                <c:pt idx="424">
                  <c:v>58.96</c:v>
                </c:pt>
                <c:pt idx="425">
                  <c:v>58.95</c:v>
                </c:pt>
                <c:pt idx="426">
                  <c:v>58.97</c:v>
                </c:pt>
                <c:pt idx="427">
                  <c:v>58.97</c:v>
                </c:pt>
                <c:pt idx="428">
                  <c:v>58.99</c:v>
                </c:pt>
                <c:pt idx="429">
                  <c:v>59</c:v>
                </c:pt>
                <c:pt idx="430">
                  <c:v>58.99</c:v>
                </c:pt>
                <c:pt idx="431">
                  <c:v>58.98</c:v>
                </c:pt>
                <c:pt idx="432">
                  <c:v>59.03</c:v>
                </c:pt>
                <c:pt idx="433">
                  <c:v>58.99</c:v>
                </c:pt>
                <c:pt idx="434">
                  <c:v>59.04</c:v>
                </c:pt>
                <c:pt idx="435">
                  <c:v>59.03</c:v>
                </c:pt>
                <c:pt idx="436">
                  <c:v>59</c:v>
                </c:pt>
                <c:pt idx="437">
                  <c:v>59.07</c:v>
                </c:pt>
                <c:pt idx="438">
                  <c:v>59.01</c:v>
                </c:pt>
                <c:pt idx="439">
                  <c:v>59.05</c:v>
                </c:pt>
                <c:pt idx="440">
                  <c:v>59.02</c:v>
                </c:pt>
                <c:pt idx="441">
                  <c:v>58.98</c:v>
                </c:pt>
                <c:pt idx="442">
                  <c:v>58.98</c:v>
                </c:pt>
                <c:pt idx="443">
                  <c:v>58.99</c:v>
                </c:pt>
                <c:pt idx="444">
                  <c:v>58.96</c:v>
                </c:pt>
                <c:pt idx="445">
                  <c:v>58.99</c:v>
                </c:pt>
                <c:pt idx="446">
                  <c:v>58.93</c:v>
                </c:pt>
                <c:pt idx="447">
                  <c:v>58.93</c:v>
                </c:pt>
                <c:pt idx="448">
                  <c:v>58.95</c:v>
                </c:pt>
                <c:pt idx="449">
                  <c:v>58.96</c:v>
                </c:pt>
                <c:pt idx="450">
                  <c:v>58.92</c:v>
                </c:pt>
                <c:pt idx="451">
                  <c:v>58.97</c:v>
                </c:pt>
                <c:pt idx="452">
                  <c:v>58.98</c:v>
                </c:pt>
                <c:pt idx="453">
                  <c:v>58.92</c:v>
                </c:pt>
                <c:pt idx="454">
                  <c:v>58.94</c:v>
                </c:pt>
                <c:pt idx="455">
                  <c:v>58.99</c:v>
                </c:pt>
                <c:pt idx="456">
                  <c:v>58.99</c:v>
                </c:pt>
                <c:pt idx="457">
                  <c:v>59</c:v>
                </c:pt>
                <c:pt idx="458">
                  <c:v>58.98</c:v>
                </c:pt>
                <c:pt idx="459">
                  <c:v>59.01</c:v>
                </c:pt>
                <c:pt idx="460">
                  <c:v>59</c:v>
                </c:pt>
                <c:pt idx="461">
                  <c:v>59.03</c:v>
                </c:pt>
                <c:pt idx="462">
                  <c:v>59.03</c:v>
                </c:pt>
                <c:pt idx="463">
                  <c:v>59</c:v>
                </c:pt>
                <c:pt idx="464">
                  <c:v>58.98</c:v>
                </c:pt>
                <c:pt idx="465">
                  <c:v>59</c:v>
                </c:pt>
                <c:pt idx="466">
                  <c:v>59.02</c:v>
                </c:pt>
                <c:pt idx="467">
                  <c:v>58.98</c:v>
                </c:pt>
                <c:pt idx="468">
                  <c:v>58.96</c:v>
                </c:pt>
                <c:pt idx="469">
                  <c:v>58.93</c:v>
                </c:pt>
                <c:pt idx="470">
                  <c:v>58.99</c:v>
                </c:pt>
                <c:pt idx="471">
                  <c:v>58.92</c:v>
                </c:pt>
                <c:pt idx="472">
                  <c:v>58.92</c:v>
                </c:pt>
                <c:pt idx="473">
                  <c:v>58.95</c:v>
                </c:pt>
                <c:pt idx="474">
                  <c:v>58.96</c:v>
                </c:pt>
                <c:pt idx="475">
                  <c:v>58.98</c:v>
                </c:pt>
                <c:pt idx="476">
                  <c:v>58.92</c:v>
                </c:pt>
                <c:pt idx="477">
                  <c:v>58.96</c:v>
                </c:pt>
                <c:pt idx="478">
                  <c:v>58.93</c:v>
                </c:pt>
                <c:pt idx="479">
                  <c:v>58.97</c:v>
                </c:pt>
                <c:pt idx="480">
                  <c:v>58.94</c:v>
                </c:pt>
                <c:pt idx="481">
                  <c:v>58.96</c:v>
                </c:pt>
                <c:pt idx="482">
                  <c:v>59.01</c:v>
                </c:pt>
                <c:pt idx="483">
                  <c:v>58.96</c:v>
                </c:pt>
                <c:pt idx="484">
                  <c:v>59.02</c:v>
                </c:pt>
                <c:pt idx="485">
                  <c:v>59.02</c:v>
                </c:pt>
                <c:pt idx="486">
                  <c:v>59</c:v>
                </c:pt>
                <c:pt idx="487">
                  <c:v>59.04</c:v>
                </c:pt>
                <c:pt idx="488">
                  <c:v>59</c:v>
                </c:pt>
                <c:pt idx="489">
                  <c:v>59.07</c:v>
                </c:pt>
                <c:pt idx="490">
                  <c:v>59</c:v>
                </c:pt>
                <c:pt idx="491">
                  <c:v>59.01</c:v>
                </c:pt>
                <c:pt idx="492">
                  <c:v>59.03</c:v>
                </c:pt>
                <c:pt idx="493">
                  <c:v>59.03</c:v>
                </c:pt>
                <c:pt idx="494">
                  <c:v>59.02</c:v>
                </c:pt>
                <c:pt idx="495">
                  <c:v>58.97</c:v>
                </c:pt>
                <c:pt idx="496">
                  <c:v>59.02</c:v>
                </c:pt>
                <c:pt idx="497">
                  <c:v>59</c:v>
                </c:pt>
                <c:pt idx="498">
                  <c:v>58.94</c:v>
                </c:pt>
                <c:pt idx="499">
                  <c:v>58.99</c:v>
                </c:pt>
                <c:pt idx="500">
                  <c:v>58.98</c:v>
                </c:pt>
                <c:pt idx="501">
                  <c:v>58.94</c:v>
                </c:pt>
                <c:pt idx="502">
                  <c:v>58.98</c:v>
                </c:pt>
                <c:pt idx="503">
                  <c:v>58.92</c:v>
                </c:pt>
                <c:pt idx="504">
                  <c:v>58.94</c:v>
                </c:pt>
                <c:pt idx="505">
                  <c:v>58.91</c:v>
                </c:pt>
                <c:pt idx="506">
                  <c:v>58.94</c:v>
                </c:pt>
                <c:pt idx="507">
                  <c:v>58.9</c:v>
                </c:pt>
                <c:pt idx="508">
                  <c:v>58.92</c:v>
                </c:pt>
                <c:pt idx="509">
                  <c:v>58.9</c:v>
                </c:pt>
                <c:pt idx="510">
                  <c:v>58.97</c:v>
                </c:pt>
                <c:pt idx="511">
                  <c:v>58.94</c:v>
                </c:pt>
                <c:pt idx="512">
                  <c:v>58.9</c:v>
                </c:pt>
                <c:pt idx="513">
                  <c:v>58.94</c:v>
                </c:pt>
                <c:pt idx="514">
                  <c:v>58.97</c:v>
                </c:pt>
                <c:pt idx="515">
                  <c:v>58.98</c:v>
                </c:pt>
                <c:pt idx="516">
                  <c:v>58.98</c:v>
                </c:pt>
                <c:pt idx="517">
                  <c:v>58.98</c:v>
                </c:pt>
                <c:pt idx="518">
                  <c:v>59</c:v>
                </c:pt>
                <c:pt idx="519">
                  <c:v>59.05</c:v>
                </c:pt>
                <c:pt idx="520">
                  <c:v>59.02</c:v>
                </c:pt>
                <c:pt idx="521">
                  <c:v>59.09</c:v>
                </c:pt>
                <c:pt idx="522">
                  <c:v>59.03</c:v>
                </c:pt>
                <c:pt idx="523">
                  <c:v>59.03</c:v>
                </c:pt>
                <c:pt idx="524">
                  <c:v>59.06</c:v>
                </c:pt>
                <c:pt idx="525">
                  <c:v>59</c:v>
                </c:pt>
                <c:pt idx="526">
                  <c:v>59.02</c:v>
                </c:pt>
                <c:pt idx="527">
                  <c:v>59.01</c:v>
                </c:pt>
                <c:pt idx="528">
                  <c:v>59.04</c:v>
                </c:pt>
                <c:pt idx="529">
                  <c:v>58.98</c:v>
                </c:pt>
                <c:pt idx="530">
                  <c:v>58.96</c:v>
                </c:pt>
                <c:pt idx="531">
                  <c:v>58.97</c:v>
                </c:pt>
                <c:pt idx="532">
                  <c:v>58.92</c:v>
                </c:pt>
                <c:pt idx="533">
                  <c:v>58.94</c:v>
                </c:pt>
                <c:pt idx="534">
                  <c:v>58.96</c:v>
                </c:pt>
                <c:pt idx="535">
                  <c:v>58.96</c:v>
                </c:pt>
                <c:pt idx="536">
                  <c:v>58.96</c:v>
                </c:pt>
                <c:pt idx="537">
                  <c:v>58.93</c:v>
                </c:pt>
                <c:pt idx="538">
                  <c:v>58.96</c:v>
                </c:pt>
                <c:pt idx="539">
                  <c:v>58.97</c:v>
                </c:pt>
                <c:pt idx="540">
                  <c:v>58.95</c:v>
                </c:pt>
                <c:pt idx="541">
                  <c:v>58.97</c:v>
                </c:pt>
                <c:pt idx="542">
                  <c:v>58.96</c:v>
                </c:pt>
                <c:pt idx="543">
                  <c:v>58.97</c:v>
                </c:pt>
                <c:pt idx="544">
                  <c:v>58.96</c:v>
                </c:pt>
                <c:pt idx="545">
                  <c:v>58.96</c:v>
                </c:pt>
                <c:pt idx="546">
                  <c:v>58.93</c:v>
                </c:pt>
                <c:pt idx="547">
                  <c:v>58.95</c:v>
                </c:pt>
                <c:pt idx="548">
                  <c:v>58.95</c:v>
                </c:pt>
                <c:pt idx="549">
                  <c:v>58.94</c:v>
                </c:pt>
                <c:pt idx="550">
                  <c:v>58.96</c:v>
                </c:pt>
                <c:pt idx="551">
                  <c:v>58.93</c:v>
                </c:pt>
                <c:pt idx="552">
                  <c:v>58.98</c:v>
                </c:pt>
                <c:pt idx="553">
                  <c:v>58.92</c:v>
                </c:pt>
                <c:pt idx="554">
                  <c:v>59</c:v>
                </c:pt>
                <c:pt idx="555">
                  <c:v>58.98</c:v>
                </c:pt>
                <c:pt idx="556">
                  <c:v>58.98</c:v>
                </c:pt>
                <c:pt idx="557">
                  <c:v>58.98</c:v>
                </c:pt>
                <c:pt idx="558">
                  <c:v>59.03</c:v>
                </c:pt>
                <c:pt idx="559">
                  <c:v>59.05</c:v>
                </c:pt>
                <c:pt idx="560">
                  <c:v>59.05</c:v>
                </c:pt>
                <c:pt idx="561">
                  <c:v>59.02</c:v>
                </c:pt>
                <c:pt idx="562">
                  <c:v>59.04</c:v>
                </c:pt>
                <c:pt idx="563">
                  <c:v>59.06</c:v>
                </c:pt>
                <c:pt idx="564">
                  <c:v>59.05</c:v>
                </c:pt>
                <c:pt idx="565">
                  <c:v>59.05</c:v>
                </c:pt>
                <c:pt idx="566">
                  <c:v>59.04</c:v>
                </c:pt>
                <c:pt idx="567">
                  <c:v>59</c:v>
                </c:pt>
                <c:pt idx="568">
                  <c:v>58.99</c:v>
                </c:pt>
                <c:pt idx="569">
                  <c:v>58.98</c:v>
                </c:pt>
                <c:pt idx="570">
                  <c:v>58.98</c:v>
                </c:pt>
                <c:pt idx="571">
                  <c:v>58.96</c:v>
                </c:pt>
                <c:pt idx="572">
                  <c:v>58.96</c:v>
                </c:pt>
                <c:pt idx="573">
                  <c:v>58.97</c:v>
                </c:pt>
                <c:pt idx="574">
                  <c:v>58.96</c:v>
                </c:pt>
                <c:pt idx="575">
                  <c:v>58.96</c:v>
                </c:pt>
                <c:pt idx="576">
                  <c:v>58.97</c:v>
                </c:pt>
                <c:pt idx="577">
                  <c:v>58.92</c:v>
                </c:pt>
                <c:pt idx="578">
                  <c:v>58.92</c:v>
                </c:pt>
                <c:pt idx="579">
                  <c:v>58.95</c:v>
                </c:pt>
                <c:pt idx="580">
                  <c:v>58.94</c:v>
                </c:pt>
                <c:pt idx="581">
                  <c:v>58.94</c:v>
                </c:pt>
                <c:pt idx="582">
                  <c:v>58.96</c:v>
                </c:pt>
                <c:pt idx="583">
                  <c:v>58.95</c:v>
                </c:pt>
                <c:pt idx="584">
                  <c:v>58.94</c:v>
                </c:pt>
                <c:pt idx="585">
                  <c:v>58.98</c:v>
                </c:pt>
                <c:pt idx="586">
                  <c:v>59.01</c:v>
                </c:pt>
                <c:pt idx="587">
                  <c:v>59.06</c:v>
                </c:pt>
                <c:pt idx="588">
                  <c:v>59.07</c:v>
                </c:pt>
                <c:pt idx="589">
                  <c:v>59.05</c:v>
                </c:pt>
                <c:pt idx="590">
                  <c:v>59.13</c:v>
                </c:pt>
                <c:pt idx="591">
                  <c:v>59.11</c:v>
                </c:pt>
                <c:pt idx="592">
                  <c:v>59.09</c:v>
                </c:pt>
                <c:pt idx="593">
                  <c:v>59.16</c:v>
                </c:pt>
                <c:pt idx="594">
                  <c:v>59.14</c:v>
                </c:pt>
                <c:pt idx="595">
                  <c:v>59.15</c:v>
                </c:pt>
                <c:pt idx="596">
                  <c:v>59.11</c:v>
                </c:pt>
                <c:pt idx="597">
                  <c:v>59.12</c:v>
                </c:pt>
                <c:pt idx="598">
                  <c:v>59.12</c:v>
                </c:pt>
                <c:pt idx="599">
                  <c:v>59.11</c:v>
                </c:pt>
                <c:pt idx="600">
                  <c:v>59.09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CFB-418D-8F47-BD132E44E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5396736"/>
        <c:axId val="705401056"/>
      </c:scatterChart>
      <c:valAx>
        <c:axId val="705396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401056"/>
        <c:crosses val="autoZero"/>
        <c:crossBetween val="midCat"/>
      </c:valAx>
      <c:valAx>
        <c:axId val="70540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5396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'59'!$R$1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'59'!$Q$2:$Q$602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'59'!$R$2:$R$602</c:f>
              <c:numCache>
                <c:formatCode>General</c:formatCode>
                <c:ptCount val="601"/>
                <c:pt idx="0">
                  <c:v>34.43</c:v>
                </c:pt>
                <c:pt idx="1">
                  <c:v>35.32</c:v>
                </c:pt>
                <c:pt idx="2">
                  <c:v>35.26</c:v>
                </c:pt>
                <c:pt idx="3">
                  <c:v>35.43</c:v>
                </c:pt>
                <c:pt idx="4">
                  <c:v>35.5</c:v>
                </c:pt>
                <c:pt idx="5">
                  <c:v>35.79</c:v>
                </c:pt>
                <c:pt idx="6">
                  <c:v>36.049999999999997</c:v>
                </c:pt>
                <c:pt idx="7">
                  <c:v>36.479999999999997</c:v>
                </c:pt>
                <c:pt idx="8">
                  <c:v>36.909999999999997</c:v>
                </c:pt>
                <c:pt idx="9">
                  <c:v>37.369999999999997</c:v>
                </c:pt>
                <c:pt idx="10">
                  <c:v>37.950000000000003</c:v>
                </c:pt>
                <c:pt idx="11">
                  <c:v>38.54</c:v>
                </c:pt>
                <c:pt idx="12">
                  <c:v>39.22</c:v>
                </c:pt>
                <c:pt idx="13">
                  <c:v>39.78</c:v>
                </c:pt>
                <c:pt idx="14">
                  <c:v>40.51</c:v>
                </c:pt>
                <c:pt idx="15">
                  <c:v>41.17</c:v>
                </c:pt>
                <c:pt idx="16">
                  <c:v>41.87</c:v>
                </c:pt>
                <c:pt idx="17">
                  <c:v>42.5</c:v>
                </c:pt>
                <c:pt idx="18">
                  <c:v>43.25</c:v>
                </c:pt>
                <c:pt idx="19">
                  <c:v>43.93</c:v>
                </c:pt>
                <c:pt idx="20">
                  <c:v>44.56</c:v>
                </c:pt>
                <c:pt idx="21">
                  <c:v>45.24</c:v>
                </c:pt>
                <c:pt idx="22">
                  <c:v>45.93</c:v>
                </c:pt>
                <c:pt idx="23">
                  <c:v>46.56</c:v>
                </c:pt>
                <c:pt idx="24">
                  <c:v>47.18</c:v>
                </c:pt>
                <c:pt idx="25">
                  <c:v>47.74</c:v>
                </c:pt>
                <c:pt idx="26">
                  <c:v>48.38</c:v>
                </c:pt>
                <c:pt idx="27">
                  <c:v>48.92</c:v>
                </c:pt>
                <c:pt idx="28">
                  <c:v>49.49</c:v>
                </c:pt>
                <c:pt idx="29">
                  <c:v>49.99</c:v>
                </c:pt>
                <c:pt idx="30">
                  <c:v>50.53</c:v>
                </c:pt>
                <c:pt idx="31">
                  <c:v>51</c:v>
                </c:pt>
                <c:pt idx="32">
                  <c:v>51.47</c:v>
                </c:pt>
                <c:pt idx="33">
                  <c:v>51.94</c:v>
                </c:pt>
                <c:pt idx="34">
                  <c:v>52.41</c:v>
                </c:pt>
                <c:pt idx="35">
                  <c:v>52.82</c:v>
                </c:pt>
                <c:pt idx="36">
                  <c:v>53.25</c:v>
                </c:pt>
                <c:pt idx="37">
                  <c:v>53.6</c:v>
                </c:pt>
                <c:pt idx="38">
                  <c:v>53.99</c:v>
                </c:pt>
                <c:pt idx="39">
                  <c:v>54.31</c:v>
                </c:pt>
                <c:pt idx="40">
                  <c:v>54.67</c:v>
                </c:pt>
                <c:pt idx="41">
                  <c:v>54.99</c:v>
                </c:pt>
                <c:pt idx="42">
                  <c:v>55.33</c:v>
                </c:pt>
                <c:pt idx="43">
                  <c:v>55.61</c:v>
                </c:pt>
                <c:pt idx="44">
                  <c:v>55.89</c:v>
                </c:pt>
                <c:pt idx="45">
                  <c:v>56.21</c:v>
                </c:pt>
                <c:pt idx="46">
                  <c:v>56.44</c:v>
                </c:pt>
                <c:pt idx="47">
                  <c:v>56.69</c:v>
                </c:pt>
                <c:pt idx="48">
                  <c:v>56.92</c:v>
                </c:pt>
                <c:pt idx="49">
                  <c:v>57.16</c:v>
                </c:pt>
                <c:pt idx="50">
                  <c:v>57.36</c:v>
                </c:pt>
                <c:pt idx="51">
                  <c:v>57.57</c:v>
                </c:pt>
                <c:pt idx="52">
                  <c:v>57.76</c:v>
                </c:pt>
                <c:pt idx="53">
                  <c:v>57.93</c:v>
                </c:pt>
                <c:pt idx="54">
                  <c:v>58.11</c:v>
                </c:pt>
                <c:pt idx="55">
                  <c:v>58.33</c:v>
                </c:pt>
                <c:pt idx="56">
                  <c:v>58.44</c:v>
                </c:pt>
                <c:pt idx="57">
                  <c:v>58.61</c:v>
                </c:pt>
                <c:pt idx="58">
                  <c:v>58.69</c:v>
                </c:pt>
                <c:pt idx="59">
                  <c:v>58.87</c:v>
                </c:pt>
                <c:pt idx="60">
                  <c:v>59</c:v>
                </c:pt>
                <c:pt idx="61">
                  <c:v>59.1</c:v>
                </c:pt>
                <c:pt idx="62">
                  <c:v>59.2</c:v>
                </c:pt>
                <c:pt idx="63">
                  <c:v>59.32</c:v>
                </c:pt>
                <c:pt idx="64">
                  <c:v>59.41</c:v>
                </c:pt>
                <c:pt idx="65">
                  <c:v>59.5</c:v>
                </c:pt>
                <c:pt idx="66">
                  <c:v>59.56</c:v>
                </c:pt>
                <c:pt idx="67">
                  <c:v>59.66</c:v>
                </c:pt>
                <c:pt idx="68">
                  <c:v>59.75</c:v>
                </c:pt>
                <c:pt idx="69">
                  <c:v>59.77</c:v>
                </c:pt>
                <c:pt idx="70">
                  <c:v>59.85</c:v>
                </c:pt>
                <c:pt idx="71">
                  <c:v>59.9</c:v>
                </c:pt>
                <c:pt idx="72">
                  <c:v>59.95</c:v>
                </c:pt>
                <c:pt idx="73">
                  <c:v>60.02</c:v>
                </c:pt>
                <c:pt idx="74">
                  <c:v>60.04</c:v>
                </c:pt>
                <c:pt idx="75">
                  <c:v>60.11</c:v>
                </c:pt>
                <c:pt idx="76">
                  <c:v>60.16</c:v>
                </c:pt>
                <c:pt idx="77">
                  <c:v>60.16</c:v>
                </c:pt>
                <c:pt idx="78">
                  <c:v>60.22</c:v>
                </c:pt>
                <c:pt idx="79">
                  <c:v>60.23</c:v>
                </c:pt>
                <c:pt idx="80">
                  <c:v>60.31</c:v>
                </c:pt>
                <c:pt idx="81">
                  <c:v>60.33</c:v>
                </c:pt>
                <c:pt idx="82">
                  <c:v>60.36</c:v>
                </c:pt>
                <c:pt idx="83">
                  <c:v>60.34</c:v>
                </c:pt>
                <c:pt idx="84">
                  <c:v>60.36</c:v>
                </c:pt>
                <c:pt idx="85">
                  <c:v>60.44</c:v>
                </c:pt>
                <c:pt idx="86">
                  <c:v>60.44</c:v>
                </c:pt>
                <c:pt idx="87">
                  <c:v>60.44</c:v>
                </c:pt>
                <c:pt idx="88">
                  <c:v>60.44</c:v>
                </c:pt>
                <c:pt idx="89">
                  <c:v>60.49</c:v>
                </c:pt>
                <c:pt idx="90">
                  <c:v>60.47</c:v>
                </c:pt>
                <c:pt idx="91">
                  <c:v>60.46</c:v>
                </c:pt>
                <c:pt idx="92">
                  <c:v>60.45</c:v>
                </c:pt>
                <c:pt idx="93">
                  <c:v>60.44</c:v>
                </c:pt>
                <c:pt idx="94">
                  <c:v>60.42</c:v>
                </c:pt>
                <c:pt idx="95">
                  <c:v>60.48</c:v>
                </c:pt>
                <c:pt idx="96">
                  <c:v>60.44</c:v>
                </c:pt>
                <c:pt idx="97">
                  <c:v>60.48</c:v>
                </c:pt>
                <c:pt idx="98">
                  <c:v>60.47</c:v>
                </c:pt>
                <c:pt idx="99">
                  <c:v>60.43</c:v>
                </c:pt>
                <c:pt idx="100">
                  <c:v>60.45</c:v>
                </c:pt>
                <c:pt idx="101">
                  <c:v>60.45</c:v>
                </c:pt>
                <c:pt idx="102">
                  <c:v>60.4</c:v>
                </c:pt>
                <c:pt idx="103">
                  <c:v>60.42</c:v>
                </c:pt>
                <c:pt idx="104">
                  <c:v>60.43</c:v>
                </c:pt>
                <c:pt idx="105">
                  <c:v>60.41</c:v>
                </c:pt>
                <c:pt idx="106">
                  <c:v>60.38</c:v>
                </c:pt>
                <c:pt idx="107">
                  <c:v>60.35</c:v>
                </c:pt>
                <c:pt idx="108">
                  <c:v>60.31</c:v>
                </c:pt>
                <c:pt idx="109">
                  <c:v>60.34</c:v>
                </c:pt>
                <c:pt idx="110">
                  <c:v>60.31</c:v>
                </c:pt>
                <c:pt idx="111">
                  <c:v>60.32</c:v>
                </c:pt>
                <c:pt idx="112">
                  <c:v>60.31</c:v>
                </c:pt>
                <c:pt idx="113">
                  <c:v>60.26</c:v>
                </c:pt>
                <c:pt idx="114">
                  <c:v>60.29</c:v>
                </c:pt>
                <c:pt idx="115">
                  <c:v>60.27</c:v>
                </c:pt>
                <c:pt idx="116">
                  <c:v>60.19</c:v>
                </c:pt>
                <c:pt idx="117">
                  <c:v>60.19</c:v>
                </c:pt>
                <c:pt idx="118">
                  <c:v>60.19</c:v>
                </c:pt>
                <c:pt idx="119">
                  <c:v>60.17</c:v>
                </c:pt>
                <c:pt idx="120">
                  <c:v>60.2</c:v>
                </c:pt>
                <c:pt idx="121">
                  <c:v>60.11</c:v>
                </c:pt>
                <c:pt idx="122">
                  <c:v>60.12</c:v>
                </c:pt>
                <c:pt idx="123">
                  <c:v>60.12</c:v>
                </c:pt>
                <c:pt idx="124">
                  <c:v>60.1</c:v>
                </c:pt>
                <c:pt idx="125">
                  <c:v>60.07</c:v>
                </c:pt>
                <c:pt idx="126">
                  <c:v>60.03</c:v>
                </c:pt>
                <c:pt idx="127">
                  <c:v>60.03</c:v>
                </c:pt>
                <c:pt idx="128">
                  <c:v>60.02</c:v>
                </c:pt>
                <c:pt idx="129">
                  <c:v>59.99</c:v>
                </c:pt>
                <c:pt idx="130">
                  <c:v>59.96</c:v>
                </c:pt>
                <c:pt idx="131">
                  <c:v>59.98</c:v>
                </c:pt>
                <c:pt idx="132">
                  <c:v>59.92</c:v>
                </c:pt>
                <c:pt idx="133">
                  <c:v>59.91</c:v>
                </c:pt>
                <c:pt idx="134">
                  <c:v>59.84</c:v>
                </c:pt>
                <c:pt idx="135">
                  <c:v>59.9</c:v>
                </c:pt>
                <c:pt idx="136">
                  <c:v>59.62</c:v>
                </c:pt>
                <c:pt idx="137">
                  <c:v>59.86</c:v>
                </c:pt>
                <c:pt idx="138">
                  <c:v>59.29</c:v>
                </c:pt>
                <c:pt idx="139">
                  <c:v>59.85</c:v>
                </c:pt>
                <c:pt idx="140">
                  <c:v>59.15</c:v>
                </c:pt>
                <c:pt idx="141">
                  <c:v>59.81</c:v>
                </c:pt>
                <c:pt idx="142">
                  <c:v>59.11</c:v>
                </c:pt>
                <c:pt idx="143">
                  <c:v>59.81</c:v>
                </c:pt>
                <c:pt idx="144">
                  <c:v>59.07</c:v>
                </c:pt>
                <c:pt idx="145">
                  <c:v>59.78</c:v>
                </c:pt>
                <c:pt idx="146">
                  <c:v>58.99</c:v>
                </c:pt>
                <c:pt idx="147">
                  <c:v>59.77</c:v>
                </c:pt>
                <c:pt idx="148">
                  <c:v>59.02</c:v>
                </c:pt>
                <c:pt idx="149">
                  <c:v>59.72</c:v>
                </c:pt>
                <c:pt idx="150">
                  <c:v>58.94</c:v>
                </c:pt>
                <c:pt idx="151">
                  <c:v>59.76</c:v>
                </c:pt>
                <c:pt idx="152">
                  <c:v>58.92</c:v>
                </c:pt>
                <c:pt idx="153">
                  <c:v>59.7</c:v>
                </c:pt>
                <c:pt idx="154">
                  <c:v>58.93</c:v>
                </c:pt>
                <c:pt idx="155">
                  <c:v>59.7</c:v>
                </c:pt>
                <c:pt idx="156">
                  <c:v>58.93</c:v>
                </c:pt>
                <c:pt idx="157">
                  <c:v>59.71</c:v>
                </c:pt>
                <c:pt idx="158">
                  <c:v>58.94</c:v>
                </c:pt>
                <c:pt idx="159">
                  <c:v>59.65</c:v>
                </c:pt>
                <c:pt idx="160">
                  <c:v>58.89</c:v>
                </c:pt>
                <c:pt idx="161">
                  <c:v>59.58</c:v>
                </c:pt>
                <c:pt idx="162">
                  <c:v>58.91</c:v>
                </c:pt>
                <c:pt idx="163">
                  <c:v>59.27</c:v>
                </c:pt>
                <c:pt idx="164">
                  <c:v>59</c:v>
                </c:pt>
                <c:pt idx="165">
                  <c:v>59.07</c:v>
                </c:pt>
                <c:pt idx="166">
                  <c:v>59.03</c:v>
                </c:pt>
                <c:pt idx="167">
                  <c:v>59.06</c:v>
                </c:pt>
                <c:pt idx="168">
                  <c:v>59.02</c:v>
                </c:pt>
                <c:pt idx="169">
                  <c:v>59.06</c:v>
                </c:pt>
                <c:pt idx="170">
                  <c:v>59.02</c:v>
                </c:pt>
                <c:pt idx="171">
                  <c:v>59.02</c:v>
                </c:pt>
                <c:pt idx="172">
                  <c:v>59.01</c:v>
                </c:pt>
                <c:pt idx="173">
                  <c:v>59.04</c:v>
                </c:pt>
                <c:pt idx="174">
                  <c:v>59.02</c:v>
                </c:pt>
                <c:pt idx="175">
                  <c:v>59.01</c:v>
                </c:pt>
                <c:pt idx="176">
                  <c:v>59.06</c:v>
                </c:pt>
                <c:pt idx="177">
                  <c:v>59.02</c:v>
                </c:pt>
                <c:pt idx="178">
                  <c:v>59.02</c:v>
                </c:pt>
                <c:pt idx="179">
                  <c:v>59.05</c:v>
                </c:pt>
                <c:pt idx="180">
                  <c:v>59.02</c:v>
                </c:pt>
                <c:pt idx="181">
                  <c:v>59.02</c:v>
                </c:pt>
                <c:pt idx="182">
                  <c:v>59.04</c:v>
                </c:pt>
                <c:pt idx="183">
                  <c:v>59.03</c:v>
                </c:pt>
                <c:pt idx="184">
                  <c:v>58.99</c:v>
                </c:pt>
                <c:pt idx="185">
                  <c:v>59.05</c:v>
                </c:pt>
                <c:pt idx="186">
                  <c:v>59.02</c:v>
                </c:pt>
                <c:pt idx="187">
                  <c:v>59.03</c:v>
                </c:pt>
                <c:pt idx="188">
                  <c:v>59.07</c:v>
                </c:pt>
                <c:pt idx="189">
                  <c:v>59.07</c:v>
                </c:pt>
                <c:pt idx="190">
                  <c:v>59.04</c:v>
                </c:pt>
                <c:pt idx="191">
                  <c:v>59.05</c:v>
                </c:pt>
                <c:pt idx="192">
                  <c:v>59.1</c:v>
                </c:pt>
                <c:pt idx="193">
                  <c:v>59.06</c:v>
                </c:pt>
                <c:pt idx="194">
                  <c:v>59.08</c:v>
                </c:pt>
                <c:pt idx="195">
                  <c:v>59.14</c:v>
                </c:pt>
                <c:pt idx="196">
                  <c:v>59.12</c:v>
                </c:pt>
                <c:pt idx="197">
                  <c:v>59.13</c:v>
                </c:pt>
                <c:pt idx="198">
                  <c:v>59.09</c:v>
                </c:pt>
                <c:pt idx="199">
                  <c:v>59.11</c:v>
                </c:pt>
                <c:pt idx="200">
                  <c:v>59.15</c:v>
                </c:pt>
                <c:pt idx="201">
                  <c:v>59.15</c:v>
                </c:pt>
                <c:pt idx="202">
                  <c:v>59.11</c:v>
                </c:pt>
                <c:pt idx="203">
                  <c:v>59.11</c:v>
                </c:pt>
                <c:pt idx="204">
                  <c:v>59.12</c:v>
                </c:pt>
                <c:pt idx="205">
                  <c:v>59.15</c:v>
                </c:pt>
                <c:pt idx="206">
                  <c:v>59.15</c:v>
                </c:pt>
                <c:pt idx="207">
                  <c:v>59.11</c:v>
                </c:pt>
                <c:pt idx="208">
                  <c:v>59.18</c:v>
                </c:pt>
                <c:pt idx="209">
                  <c:v>59.15</c:v>
                </c:pt>
                <c:pt idx="210">
                  <c:v>59.16</c:v>
                </c:pt>
                <c:pt idx="211">
                  <c:v>59.19</c:v>
                </c:pt>
                <c:pt idx="212">
                  <c:v>59.19</c:v>
                </c:pt>
                <c:pt idx="213">
                  <c:v>59.16</c:v>
                </c:pt>
                <c:pt idx="214">
                  <c:v>59.18</c:v>
                </c:pt>
                <c:pt idx="215">
                  <c:v>59.15</c:v>
                </c:pt>
                <c:pt idx="216">
                  <c:v>59.21</c:v>
                </c:pt>
                <c:pt idx="217">
                  <c:v>59.18</c:v>
                </c:pt>
                <c:pt idx="218">
                  <c:v>59.15</c:v>
                </c:pt>
                <c:pt idx="219">
                  <c:v>59.15</c:v>
                </c:pt>
                <c:pt idx="220">
                  <c:v>59.12</c:v>
                </c:pt>
                <c:pt idx="221">
                  <c:v>59.15</c:v>
                </c:pt>
                <c:pt idx="222">
                  <c:v>59.19</c:v>
                </c:pt>
                <c:pt idx="223">
                  <c:v>59.17</c:v>
                </c:pt>
                <c:pt idx="224">
                  <c:v>59.04</c:v>
                </c:pt>
                <c:pt idx="225">
                  <c:v>59.17</c:v>
                </c:pt>
                <c:pt idx="226">
                  <c:v>59.19</c:v>
                </c:pt>
                <c:pt idx="227">
                  <c:v>59.14</c:v>
                </c:pt>
                <c:pt idx="228">
                  <c:v>59.13</c:v>
                </c:pt>
                <c:pt idx="229">
                  <c:v>59.16</c:v>
                </c:pt>
                <c:pt idx="230">
                  <c:v>59.16</c:v>
                </c:pt>
                <c:pt idx="231">
                  <c:v>59.14</c:v>
                </c:pt>
                <c:pt idx="232">
                  <c:v>59.15</c:v>
                </c:pt>
                <c:pt idx="233">
                  <c:v>59.11</c:v>
                </c:pt>
                <c:pt idx="234">
                  <c:v>59.19</c:v>
                </c:pt>
                <c:pt idx="235">
                  <c:v>59.07</c:v>
                </c:pt>
                <c:pt idx="236">
                  <c:v>59.19</c:v>
                </c:pt>
                <c:pt idx="237">
                  <c:v>59.14</c:v>
                </c:pt>
                <c:pt idx="238">
                  <c:v>59.15</c:v>
                </c:pt>
                <c:pt idx="239">
                  <c:v>59.1</c:v>
                </c:pt>
                <c:pt idx="240">
                  <c:v>59.14</c:v>
                </c:pt>
                <c:pt idx="241">
                  <c:v>59.13</c:v>
                </c:pt>
                <c:pt idx="242">
                  <c:v>59.11</c:v>
                </c:pt>
                <c:pt idx="243">
                  <c:v>59.16</c:v>
                </c:pt>
                <c:pt idx="244">
                  <c:v>59.11</c:v>
                </c:pt>
                <c:pt idx="245">
                  <c:v>59.1</c:v>
                </c:pt>
                <c:pt idx="246">
                  <c:v>59.13</c:v>
                </c:pt>
                <c:pt idx="247">
                  <c:v>59.15</c:v>
                </c:pt>
                <c:pt idx="248">
                  <c:v>59.13</c:v>
                </c:pt>
                <c:pt idx="249">
                  <c:v>59.18</c:v>
                </c:pt>
                <c:pt idx="250">
                  <c:v>59.11</c:v>
                </c:pt>
                <c:pt idx="251">
                  <c:v>59.12</c:v>
                </c:pt>
                <c:pt idx="252">
                  <c:v>59.07</c:v>
                </c:pt>
                <c:pt idx="253">
                  <c:v>59.04</c:v>
                </c:pt>
                <c:pt idx="254">
                  <c:v>59.07</c:v>
                </c:pt>
                <c:pt idx="255">
                  <c:v>59.02</c:v>
                </c:pt>
                <c:pt idx="256">
                  <c:v>59.15</c:v>
                </c:pt>
                <c:pt idx="257">
                  <c:v>59.06</c:v>
                </c:pt>
                <c:pt idx="258">
                  <c:v>59.05</c:v>
                </c:pt>
                <c:pt idx="259">
                  <c:v>59.13</c:v>
                </c:pt>
                <c:pt idx="260">
                  <c:v>59.06</c:v>
                </c:pt>
                <c:pt idx="261">
                  <c:v>59.07</c:v>
                </c:pt>
                <c:pt idx="262">
                  <c:v>59.07</c:v>
                </c:pt>
                <c:pt idx="263">
                  <c:v>59.1</c:v>
                </c:pt>
                <c:pt idx="264">
                  <c:v>59.08</c:v>
                </c:pt>
                <c:pt idx="265">
                  <c:v>59.09</c:v>
                </c:pt>
                <c:pt idx="266">
                  <c:v>59.07</c:v>
                </c:pt>
                <c:pt idx="267">
                  <c:v>59.04</c:v>
                </c:pt>
                <c:pt idx="268">
                  <c:v>59.06</c:v>
                </c:pt>
                <c:pt idx="269">
                  <c:v>59.07</c:v>
                </c:pt>
                <c:pt idx="270">
                  <c:v>59.08</c:v>
                </c:pt>
                <c:pt idx="271">
                  <c:v>59.12</c:v>
                </c:pt>
                <c:pt idx="272">
                  <c:v>59.11</c:v>
                </c:pt>
                <c:pt idx="273">
                  <c:v>59.01</c:v>
                </c:pt>
                <c:pt idx="274">
                  <c:v>59.02</c:v>
                </c:pt>
                <c:pt idx="275">
                  <c:v>59.08</c:v>
                </c:pt>
                <c:pt idx="276">
                  <c:v>59.04</c:v>
                </c:pt>
                <c:pt idx="277">
                  <c:v>59.06</c:v>
                </c:pt>
                <c:pt idx="278">
                  <c:v>59.04</c:v>
                </c:pt>
                <c:pt idx="279">
                  <c:v>59.09</c:v>
                </c:pt>
                <c:pt idx="280">
                  <c:v>59.08</c:v>
                </c:pt>
                <c:pt idx="281">
                  <c:v>59.06</c:v>
                </c:pt>
                <c:pt idx="282">
                  <c:v>59.07</c:v>
                </c:pt>
                <c:pt idx="283">
                  <c:v>59.11</c:v>
                </c:pt>
                <c:pt idx="284">
                  <c:v>59.07</c:v>
                </c:pt>
                <c:pt idx="285">
                  <c:v>59.1</c:v>
                </c:pt>
                <c:pt idx="286">
                  <c:v>59.15</c:v>
                </c:pt>
                <c:pt idx="287">
                  <c:v>59.09</c:v>
                </c:pt>
                <c:pt idx="288">
                  <c:v>59.1</c:v>
                </c:pt>
                <c:pt idx="289">
                  <c:v>59.06</c:v>
                </c:pt>
                <c:pt idx="290">
                  <c:v>59.1</c:v>
                </c:pt>
                <c:pt idx="291">
                  <c:v>59.06</c:v>
                </c:pt>
                <c:pt idx="292">
                  <c:v>59.1</c:v>
                </c:pt>
                <c:pt idx="293">
                  <c:v>59.07</c:v>
                </c:pt>
                <c:pt idx="294">
                  <c:v>59.05</c:v>
                </c:pt>
                <c:pt idx="295">
                  <c:v>59.14</c:v>
                </c:pt>
                <c:pt idx="296">
                  <c:v>59.06</c:v>
                </c:pt>
                <c:pt idx="297">
                  <c:v>59.09</c:v>
                </c:pt>
                <c:pt idx="298">
                  <c:v>59.11</c:v>
                </c:pt>
                <c:pt idx="299">
                  <c:v>59.11</c:v>
                </c:pt>
                <c:pt idx="300">
                  <c:v>59.08</c:v>
                </c:pt>
                <c:pt idx="301">
                  <c:v>59.11</c:v>
                </c:pt>
                <c:pt idx="302">
                  <c:v>59.05</c:v>
                </c:pt>
                <c:pt idx="303">
                  <c:v>59.07</c:v>
                </c:pt>
                <c:pt idx="304">
                  <c:v>59.05</c:v>
                </c:pt>
                <c:pt idx="305">
                  <c:v>59.1</c:v>
                </c:pt>
                <c:pt idx="306">
                  <c:v>59.07</c:v>
                </c:pt>
                <c:pt idx="307">
                  <c:v>59.08</c:v>
                </c:pt>
                <c:pt idx="308">
                  <c:v>59.02</c:v>
                </c:pt>
                <c:pt idx="309">
                  <c:v>59.07</c:v>
                </c:pt>
                <c:pt idx="310">
                  <c:v>59.05</c:v>
                </c:pt>
                <c:pt idx="311">
                  <c:v>59.15</c:v>
                </c:pt>
                <c:pt idx="312">
                  <c:v>59.05</c:v>
                </c:pt>
                <c:pt idx="313">
                  <c:v>59.07</c:v>
                </c:pt>
                <c:pt idx="314">
                  <c:v>59.07</c:v>
                </c:pt>
                <c:pt idx="315">
                  <c:v>59.06</c:v>
                </c:pt>
                <c:pt idx="316">
                  <c:v>59.02</c:v>
                </c:pt>
                <c:pt idx="317">
                  <c:v>59.04</c:v>
                </c:pt>
                <c:pt idx="318">
                  <c:v>59.05</c:v>
                </c:pt>
                <c:pt idx="319">
                  <c:v>59.11</c:v>
                </c:pt>
                <c:pt idx="320">
                  <c:v>59.05</c:v>
                </c:pt>
                <c:pt idx="321">
                  <c:v>59.06</c:v>
                </c:pt>
                <c:pt idx="322">
                  <c:v>59.09</c:v>
                </c:pt>
                <c:pt idx="323">
                  <c:v>59.07</c:v>
                </c:pt>
                <c:pt idx="324">
                  <c:v>59.05</c:v>
                </c:pt>
                <c:pt idx="325">
                  <c:v>59.12</c:v>
                </c:pt>
                <c:pt idx="326">
                  <c:v>59.09</c:v>
                </c:pt>
                <c:pt idx="327">
                  <c:v>58.99</c:v>
                </c:pt>
                <c:pt idx="328">
                  <c:v>59.09</c:v>
                </c:pt>
                <c:pt idx="329">
                  <c:v>59.07</c:v>
                </c:pt>
                <c:pt idx="330">
                  <c:v>59.02</c:v>
                </c:pt>
                <c:pt idx="331">
                  <c:v>59.01</c:v>
                </c:pt>
                <c:pt idx="332">
                  <c:v>59.02</c:v>
                </c:pt>
                <c:pt idx="333">
                  <c:v>59.11</c:v>
                </c:pt>
                <c:pt idx="334">
                  <c:v>59.11</c:v>
                </c:pt>
                <c:pt idx="335">
                  <c:v>59.12</c:v>
                </c:pt>
                <c:pt idx="336">
                  <c:v>59.07</c:v>
                </c:pt>
                <c:pt idx="337">
                  <c:v>59.02</c:v>
                </c:pt>
                <c:pt idx="338">
                  <c:v>59.05</c:v>
                </c:pt>
                <c:pt idx="339">
                  <c:v>59.07</c:v>
                </c:pt>
                <c:pt idx="340">
                  <c:v>59.07</c:v>
                </c:pt>
                <c:pt idx="341">
                  <c:v>59.09</c:v>
                </c:pt>
                <c:pt idx="342">
                  <c:v>59.12</c:v>
                </c:pt>
                <c:pt idx="343">
                  <c:v>59.1</c:v>
                </c:pt>
                <c:pt idx="344">
                  <c:v>59.07</c:v>
                </c:pt>
                <c:pt idx="345">
                  <c:v>59.02</c:v>
                </c:pt>
                <c:pt idx="346">
                  <c:v>59.03</c:v>
                </c:pt>
                <c:pt idx="347">
                  <c:v>59.08</c:v>
                </c:pt>
                <c:pt idx="348">
                  <c:v>59.07</c:v>
                </c:pt>
                <c:pt idx="349">
                  <c:v>59.05</c:v>
                </c:pt>
                <c:pt idx="350">
                  <c:v>59.08</c:v>
                </c:pt>
                <c:pt idx="351">
                  <c:v>59.09</c:v>
                </c:pt>
                <c:pt idx="352">
                  <c:v>59.08</c:v>
                </c:pt>
                <c:pt idx="353">
                  <c:v>59.04</c:v>
                </c:pt>
                <c:pt idx="354">
                  <c:v>59.09</c:v>
                </c:pt>
                <c:pt idx="355">
                  <c:v>59.06</c:v>
                </c:pt>
                <c:pt idx="356">
                  <c:v>59.02</c:v>
                </c:pt>
                <c:pt idx="357">
                  <c:v>59.01</c:v>
                </c:pt>
                <c:pt idx="358">
                  <c:v>59.08</c:v>
                </c:pt>
                <c:pt idx="359">
                  <c:v>59.05</c:v>
                </c:pt>
                <c:pt idx="360">
                  <c:v>58.98</c:v>
                </c:pt>
                <c:pt idx="361">
                  <c:v>59.05</c:v>
                </c:pt>
                <c:pt idx="362">
                  <c:v>59.08</c:v>
                </c:pt>
                <c:pt idx="363">
                  <c:v>59.02</c:v>
                </c:pt>
                <c:pt idx="364">
                  <c:v>59.03</c:v>
                </c:pt>
                <c:pt idx="365">
                  <c:v>59.06</c:v>
                </c:pt>
                <c:pt idx="366">
                  <c:v>59.05</c:v>
                </c:pt>
                <c:pt idx="367">
                  <c:v>59.07</c:v>
                </c:pt>
                <c:pt idx="368">
                  <c:v>59.06</c:v>
                </c:pt>
                <c:pt idx="369">
                  <c:v>59.07</c:v>
                </c:pt>
                <c:pt idx="370">
                  <c:v>59.05</c:v>
                </c:pt>
                <c:pt idx="371">
                  <c:v>59.07</c:v>
                </c:pt>
                <c:pt idx="372">
                  <c:v>59.07</c:v>
                </c:pt>
                <c:pt idx="373">
                  <c:v>59.02</c:v>
                </c:pt>
                <c:pt idx="374">
                  <c:v>59.03</c:v>
                </c:pt>
                <c:pt idx="375">
                  <c:v>59.08</c:v>
                </c:pt>
                <c:pt idx="376">
                  <c:v>59.07</c:v>
                </c:pt>
                <c:pt idx="377">
                  <c:v>59.07</c:v>
                </c:pt>
                <c:pt idx="378">
                  <c:v>59.07</c:v>
                </c:pt>
                <c:pt idx="379">
                  <c:v>59.02</c:v>
                </c:pt>
                <c:pt idx="380">
                  <c:v>59.07</c:v>
                </c:pt>
                <c:pt idx="381">
                  <c:v>58.99</c:v>
                </c:pt>
                <c:pt idx="382">
                  <c:v>59.01</c:v>
                </c:pt>
                <c:pt idx="383">
                  <c:v>59.04</c:v>
                </c:pt>
                <c:pt idx="384">
                  <c:v>59.05</c:v>
                </c:pt>
                <c:pt idx="385">
                  <c:v>59.06</c:v>
                </c:pt>
                <c:pt idx="386">
                  <c:v>59.04</c:v>
                </c:pt>
                <c:pt idx="387">
                  <c:v>59</c:v>
                </c:pt>
                <c:pt idx="388">
                  <c:v>59.02</c:v>
                </c:pt>
                <c:pt idx="389">
                  <c:v>59.02</c:v>
                </c:pt>
                <c:pt idx="390">
                  <c:v>59.07</c:v>
                </c:pt>
                <c:pt idx="391">
                  <c:v>59.06</c:v>
                </c:pt>
                <c:pt idx="392">
                  <c:v>59.08</c:v>
                </c:pt>
                <c:pt idx="393">
                  <c:v>59.07</c:v>
                </c:pt>
                <c:pt idx="394">
                  <c:v>59.04</c:v>
                </c:pt>
                <c:pt idx="395">
                  <c:v>59.07</c:v>
                </c:pt>
                <c:pt idx="396">
                  <c:v>59.05</c:v>
                </c:pt>
                <c:pt idx="397">
                  <c:v>58.98</c:v>
                </c:pt>
                <c:pt idx="398">
                  <c:v>59.09</c:v>
                </c:pt>
                <c:pt idx="399">
                  <c:v>59.07</c:v>
                </c:pt>
                <c:pt idx="400">
                  <c:v>59.05</c:v>
                </c:pt>
                <c:pt idx="401">
                  <c:v>59.02</c:v>
                </c:pt>
                <c:pt idx="402">
                  <c:v>59.04</c:v>
                </c:pt>
                <c:pt idx="403">
                  <c:v>59.07</c:v>
                </c:pt>
                <c:pt idx="404">
                  <c:v>59.06</c:v>
                </c:pt>
                <c:pt idx="405">
                  <c:v>59.02</c:v>
                </c:pt>
                <c:pt idx="406">
                  <c:v>59.05</c:v>
                </c:pt>
                <c:pt idx="407">
                  <c:v>59.04</c:v>
                </c:pt>
                <c:pt idx="408">
                  <c:v>59.04</c:v>
                </c:pt>
                <c:pt idx="409">
                  <c:v>59.03</c:v>
                </c:pt>
                <c:pt idx="410">
                  <c:v>59.12</c:v>
                </c:pt>
                <c:pt idx="411">
                  <c:v>59.03</c:v>
                </c:pt>
                <c:pt idx="412">
                  <c:v>59.03</c:v>
                </c:pt>
                <c:pt idx="413">
                  <c:v>59.02</c:v>
                </c:pt>
                <c:pt idx="414">
                  <c:v>59.03</c:v>
                </c:pt>
                <c:pt idx="415">
                  <c:v>58.96</c:v>
                </c:pt>
                <c:pt idx="416">
                  <c:v>59.02</c:v>
                </c:pt>
                <c:pt idx="417">
                  <c:v>59.03</c:v>
                </c:pt>
                <c:pt idx="418">
                  <c:v>59.04</c:v>
                </c:pt>
                <c:pt idx="419">
                  <c:v>59.04</c:v>
                </c:pt>
                <c:pt idx="420">
                  <c:v>59.03</c:v>
                </c:pt>
                <c:pt idx="421">
                  <c:v>59.06</c:v>
                </c:pt>
                <c:pt idx="422">
                  <c:v>59.02</c:v>
                </c:pt>
                <c:pt idx="423">
                  <c:v>59.02</c:v>
                </c:pt>
                <c:pt idx="424">
                  <c:v>59.01</c:v>
                </c:pt>
                <c:pt idx="425">
                  <c:v>59.03</c:v>
                </c:pt>
                <c:pt idx="426">
                  <c:v>59.02</c:v>
                </c:pt>
                <c:pt idx="427">
                  <c:v>59.01</c:v>
                </c:pt>
                <c:pt idx="428">
                  <c:v>59.02</c:v>
                </c:pt>
                <c:pt idx="429">
                  <c:v>59</c:v>
                </c:pt>
                <c:pt idx="430">
                  <c:v>58.94</c:v>
                </c:pt>
                <c:pt idx="431">
                  <c:v>59.08</c:v>
                </c:pt>
                <c:pt idx="432">
                  <c:v>59.05</c:v>
                </c:pt>
                <c:pt idx="433">
                  <c:v>59.06</c:v>
                </c:pt>
                <c:pt idx="434">
                  <c:v>59.1</c:v>
                </c:pt>
                <c:pt idx="435">
                  <c:v>58.95</c:v>
                </c:pt>
                <c:pt idx="436">
                  <c:v>58.98</c:v>
                </c:pt>
                <c:pt idx="437">
                  <c:v>59.06</c:v>
                </c:pt>
                <c:pt idx="438">
                  <c:v>59.11</c:v>
                </c:pt>
                <c:pt idx="439">
                  <c:v>59.04</c:v>
                </c:pt>
                <c:pt idx="440">
                  <c:v>59.05</c:v>
                </c:pt>
                <c:pt idx="441">
                  <c:v>59.05</c:v>
                </c:pt>
                <c:pt idx="442">
                  <c:v>59.03</c:v>
                </c:pt>
                <c:pt idx="443">
                  <c:v>59.1</c:v>
                </c:pt>
                <c:pt idx="444">
                  <c:v>59.05</c:v>
                </c:pt>
                <c:pt idx="445">
                  <c:v>59.03</c:v>
                </c:pt>
                <c:pt idx="446">
                  <c:v>59.07</c:v>
                </c:pt>
                <c:pt idx="447">
                  <c:v>59.02</c:v>
                </c:pt>
                <c:pt idx="448">
                  <c:v>59.06</c:v>
                </c:pt>
                <c:pt idx="449">
                  <c:v>59.09</c:v>
                </c:pt>
                <c:pt idx="450">
                  <c:v>59.05</c:v>
                </c:pt>
                <c:pt idx="451">
                  <c:v>59.02</c:v>
                </c:pt>
                <c:pt idx="452">
                  <c:v>59.02</c:v>
                </c:pt>
                <c:pt idx="453">
                  <c:v>59.09</c:v>
                </c:pt>
                <c:pt idx="454">
                  <c:v>59.07</c:v>
                </c:pt>
                <c:pt idx="455">
                  <c:v>59.09</c:v>
                </c:pt>
                <c:pt idx="456">
                  <c:v>59.04</c:v>
                </c:pt>
                <c:pt idx="457">
                  <c:v>59.06</c:v>
                </c:pt>
                <c:pt idx="458">
                  <c:v>59</c:v>
                </c:pt>
                <c:pt idx="459">
                  <c:v>59.03</c:v>
                </c:pt>
                <c:pt idx="460">
                  <c:v>59</c:v>
                </c:pt>
                <c:pt idx="461">
                  <c:v>59.03</c:v>
                </c:pt>
                <c:pt idx="462">
                  <c:v>59.02</c:v>
                </c:pt>
                <c:pt idx="463">
                  <c:v>59.02</c:v>
                </c:pt>
                <c:pt idx="464">
                  <c:v>59.02</c:v>
                </c:pt>
                <c:pt idx="465">
                  <c:v>59.06</c:v>
                </c:pt>
                <c:pt idx="466">
                  <c:v>59.02</c:v>
                </c:pt>
                <c:pt idx="467">
                  <c:v>59.04</c:v>
                </c:pt>
                <c:pt idx="468">
                  <c:v>59.04</c:v>
                </c:pt>
                <c:pt idx="469">
                  <c:v>59.07</c:v>
                </c:pt>
                <c:pt idx="470">
                  <c:v>59.01</c:v>
                </c:pt>
                <c:pt idx="471">
                  <c:v>59.02</c:v>
                </c:pt>
                <c:pt idx="472">
                  <c:v>58.99</c:v>
                </c:pt>
                <c:pt idx="473">
                  <c:v>59.02</c:v>
                </c:pt>
                <c:pt idx="474">
                  <c:v>59.03</c:v>
                </c:pt>
                <c:pt idx="475">
                  <c:v>59.01</c:v>
                </c:pt>
                <c:pt idx="476">
                  <c:v>59.04</c:v>
                </c:pt>
                <c:pt idx="477">
                  <c:v>59.01</c:v>
                </c:pt>
                <c:pt idx="478">
                  <c:v>58.97</c:v>
                </c:pt>
                <c:pt idx="479">
                  <c:v>58.98</c:v>
                </c:pt>
                <c:pt idx="480">
                  <c:v>58.94</c:v>
                </c:pt>
                <c:pt idx="481">
                  <c:v>58.94</c:v>
                </c:pt>
                <c:pt idx="482">
                  <c:v>58.95</c:v>
                </c:pt>
                <c:pt idx="483">
                  <c:v>58.98</c:v>
                </c:pt>
                <c:pt idx="484">
                  <c:v>58.97</c:v>
                </c:pt>
                <c:pt idx="485">
                  <c:v>58.94</c:v>
                </c:pt>
                <c:pt idx="486">
                  <c:v>58.98</c:v>
                </c:pt>
                <c:pt idx="487">
                  <c:v>58.96</c:v>
                </c:pt>
                <c:pt idx="488">
                  <c:v>58.94</c:v>
                </c:pt>
                <c:pt idx="489">
                  <c:v>58.98</c:v>
                </c:pt>
                <c:pt idx="490">
                  <c:v>58.99</c:v>
                </c:pt>
                <c:pt idx="491">
                  <c:v>58.9</c:v>
                </c:pt>
                <c:pt idx="492">
                  <c:v>58.92</c:v>
                </c:pt>
                <c:pt idx="493">
                  <c:v>58.99</c:v>
                </c:pt>
                <c:pt idx="494">
                  <c:v>58.95</c:v>
                </c:pt>
                <c:pt idx="495">
                  <c:v>58.98</c:v>
                </c:pt>
                <c:pt idx="496">
                  <c:v>59</c:v>
                </c:pt>
                <c:pt idx="497">
                  <c:v>59.02</c:v>
                </c:pt>
                <c:pt idx="498">
                  <c:v>59.05</c:v>
                </c:pt>
                <c:pt idx="499">
                  <c:v>58.96</c:v>
                </c:pt>
                <c:pt idx="500">
                  <c:v>59.06</c:v>
                </c:pt>
                <c:pt idx="501">
                  <c:v>58.98</c:v>
                </c:pt>
                <c:pt idx="502">
                  <c:v>59.01</c:v>
                </c:pt>
                <c:pt idx="503">
                  <c:v>59.01</c:v>
                </c:pt>
                <c:pt idx="504">
                  <c:v>58.98</c:v>
                </c:pt>
                <c:pt idx="505">
                  <c:v>58.95</c:v>
                </c:pt>
                <c:pt idx="506">
                  <c:v>58.98</c:v>
                </c:pt>
                <c:pt idx="507">
                  <c:v>59.05</c:v>
                </c:pt>
                <c:pt idx="508">
                  <c:v>59.03</c:v>
                </c:pt>
                <c:pt idx="509">
                  <c:v>59</c:v>
                </c:pt>
                <c:pt idx="510">
                  <c:v>58.99</c:v>
                </c:pt>
                <c:pt idx="511">
                  <c:v>59.04</c:v>
                </c:pt>
                <c:pt idx="512">
                  <c:v>59.04</c:v>
                </c:pt>
                <c:pt idx="513">
                  <c:v>59.01</c:v>
                </c:pt>
                <c:pt idx="514">
                  <c:v>59.01</c:v>
                </c:pt>
                <c:pt idx="515">
                  <c:v>59.03</c:v>
                </c:pt>
                <c:pt idx="516">
                  <c:v>59.02</c:v>
                </c:pt>
                <c:pt idx="517">
                  <c:v>59.08</c:v>
                </c:pt>
                <c:pt idx="518">
                  <c:v>59.18</c:v>
                </c:pt>
                <c:pt idx="519">
                  <c:v>59.27</c:v>
                </c:pt>
                <c:pt idx="520">
                  <c:v>59.32</c:v>
                </c:pt>
                <c:pt idx="521">
                  <c:v>59.42</c:v>
                </c:pt>
                <c:pt idx="522">
                  <c:v>59.46</c:v>
                </c:pt>
                <c:pt idx="523">
                  <c:v>59.55</c:v>
                </c:pt>
                <c:pt idx="524">
                  <c:v>59.64</c:v>
                </c:pt>
                <c:pt idx="525">
                  <c:v>59.61</c:v>
                </c:pt>
                <c:pt idx="526">
                  <c:v>59.65</c:v>
                </c:pt>
                <c:pt idx="527">
                  <c:v>59.63</c:v>
                </c:pt>
                <c:pt idx="528">
                  <c:v>59.64</c:v>
                </c:pt>
                <c:pt idx="529">
                  <c:v>59.61</c:v>
                </c:pt>
                <c:pt idx="530">
                  <c:v>59.62</c:v>
                </c:pt>
                <c:pt idx="531">
                  <c:v>59.64</c:v>
                </c:pt>
                <c:pt idx="532">
                  <c:v>59.57</c:v>
                </c:pt>
                <c:pt idx="533">
                  <c:v>59.61</c:v>
                </c:pt>
                <c:pt idx="534">
                  <c:v>59.59</c:v>
                </c:pt>
                <c:pt idx="535">
                  <c:v>59.56</c:v>
                </c:pt>
                <c:pt idx="536">
                  <c:v>59.58</c:v>
                </c:pt>
                <c:pt idx="537">
                  <c:v>59.57</c:v>
                </c:pt>
                <c:pt idx="538">
                  <c:v>59.53</c:v>
                </c:pt>
                <c:pt idx="539">
                  <c:v>59.53</c:v>
                </c:pt>
                <c:pt idx="540">
                  <c:v>59.51</c:v>
                </c:pt>
                <c:pt idx="541">
                  <c:v>59.52</c:v>
                </c:pt>
                <c:pt idx="542">
                  <c:v>59.52</c:v>
                </c:pt>
                <c:pt idx="543">
                  <c:v>59.52</c:v>
                </c:pt>
                <c:pt idx="544">
                  <c:v>59.5</c:v>
                </c:pt>
                <c:pt idx="545">
                  <c:v>59.51</c:v>
                </c:pt>
                <c:pt idx="546">
                  <c:v>59.47</c:v>
                </c:pt>
                <c:pt idx="547">
                  <c:v>59.43</c:v>
                </c:pt>
                <c:pt idx="548">
                  <c:v>59.44</c:v>
                </c:pt>
                <c:pt idx="549">
                  <c:v>59.43</c:v>
                </c:pt>
                <c:pt idx="550">
                  <c:v>59.36</c:v>
                </c:pt>
                <c:pt idx="551">
                  <c:v>59.39</c:v>
                </c:pt>
                <c:pt idx="552">
                  <c:v>59.36</c:v>
                </c:pt>
                <c:pt idx="553">
                  <c:v>59.35</c:v>
                </c:pt>
                <c:pt idx="554">
                  <c:v>59.35</c:v>
                </c:pt>
                <c:pt idx="555">
                  <c:v>59.35</c:v>
                </c:pt>
                <c:pt idx="556">
                  <c:v>59.29</c:v>
                </c:pt>
                <c:pt idx="557">
                  <c:v>59.32</c:v>
                </c:pt>
                <c:pt idx="558">
                  <c:v>59.29</c:v>
                </c:pt>
                <c:pt idx="559">
                  <c:v>59.24</c:v>
                </c:pt>
                <c:pt idx="560">
                  <c:v>59.24</c:v>
                </c:pt>
                <c:pt idx="561">
                  <c:v>59.23</c:v>
                </c:pt>
                <c:pt idx="562">
                  <c:v>59.27</c:v>
                </c:pt>
                <c:pt idx="563">
                  <c:v>59.23</c:v>
                </c:pt>
                <c:pt idx="564">
                  <c:v>59.19</c:v>
                </c:pt>
                <c:pt idx="565">
                  <c:v>59.27</c:v>
                </c:pt>
                <c:pt idx="566">
                  <c:v>59.22</c:v>
                </c:pt>
                <c:pt idx="567">
                  <c:v>59.17</c:v>
                </c:pt>
                <c:pt idx="568">
                  <c:v>59.19</c:v>
                </c:pt>
                <c:pt idx="569">
                  <c:v>59.13</c:v>
                </c:pt>
                <c:pt idx="570">
                  <c:v>59.14</c:v>
                </c:pt>
                <c:pt idx="571">
                  <c:v>59.13</c:v>
                </c:pt>
                <c:pt idx="572">
                  <c:v>59.12</c:v>
                </c:pt>
                <c:pt idx="573">
                  <c:v>59.1</c:v>
                </c:pt>
                <c:pt idx="574">
                  <c:v>59.09</c:v>
                </c:pt>
                <c:pt idx="575">
                  <c:v>59.11</c:v>
                </c:pt>
                <c:pt idx="576">
                  <c:v>59.09</c:v>
                </c:pt>
                <c:pt idx="577">
                  <c:v>59.07</c:v>
                </c:pt>
                <c:pt idx="578">
                  <c:v>59.05</c:v>
                </c:pt>
                <c:pt idx="579">
                  <c:v>59.03</c:v>
                </c:pt>
                <c:pt idx="580">
                  <c:v>59.02</c:v>
                </c:pt>
                <c:pt idx="581">
                  <c:v>59.02</c:v>
                </c:pt>
                <c:pt idx="582">
                  <c:v>59.05</c:v>
                </c:pt>
                <c:pt idx="583">
                  <c:v>59.05</c:v>
                </c:pt>
                <c:pt idx="584">
                  <c:v>59.03</c:v>
                </c:pt>
                <c:pt idx="585">
                  <c:v>58.99</c:v>
                </c:pt>
                <c:pt idx="586">
                  <c:v>59.01</c:v>
                </c:pt>
                <c:pt idx="587">
                  <c:v>59.01</c:v>
                </c:pt>
                <c:pt idx="588">
                  <c:v>58.97</c:v>
                </c:pt>
                <c:pt idx="589">
                  <c:v>58.99</c:v>
                </c:pt>
                <c:pt idx="590">
                  <c:v>59.01</c:v>
                </c:pt>
                <c:pt idx="591">
                  <c:v>59.01</c:v>
                </c:pt>
                <c:pt idx="592">
                  <c:v>58.98</c:v>
                </c:pt>
                <c:pt idx="593">
                  <c:v>58.94</c:v>
                </c:pt>
                <c:pt idx="594">
                  <c:v>58.95</c:v>
                </c:pt>
                <c:pt idx="595">
                  <c:v>58.94</c:v>
                </c:pt>
                <c:pt idx="596">
                  <c:v>58.96</c:v>
                </c:pt>
                <c:pt idx="597">
                  <c:v>58.96</c:v>
                </c:pt>
                <c:pt idx="598">
                  <c:v>58.91</c:v>
                </c:pt>
                <c:pt idx="599">
                  <c:v>58.94</c:v>
                </c:pt>
                <c:pt idx="600">
                  <c:v>58.94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9E-4D13-9A4F-C0AE697B26E1}"/>
            </c:ext>
          </c:extLst>
        </c:ser>
        <c:ser>
          <c:idx val="1"/>
          <c:order val="1"/>
          <c:tx>
            <c:strRef>
              <c:f>'59'!$S$1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'59'!$Q$2:$Q$602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'59'!$S$2:$S$602</c:f>
              <c:numCache>
                <c:formatCode>General</c:formatCode>
                <c:ptCount val="601"/>
                <c:pt idx="0">
                  <c:v>59</c:v>
                </c:pt>
                <c:pt idx="1">
                  <c:v>59</c:v>
                </c:pt>
                <c:pt idx="2">
                  <c:v>59</c:v>
                </c:pt>
                <c:pt idx="3">
                  <c:v>59</c:v>
                </c:pt>
                <c:pt idx="4">
                  <c:v>59</c:v>
                </c:pt>
                <c:pt idx="5">
                  <c:v>59</c:v>
                </c:pt>
                <c:pt idx="6">
                  <c:v>59</c:v>
                </c:pt>
                <c:pt idx="7">
                  <c:v>59</c:v>
                </c:pt>
                <c:pt idx="8">
                  <c:v>59</c:v>
                </c:pt>
                <c:pt idx="9">
                  <c:v>59</c:v>
                </c:pt>
                <c:pt idx="10">
                  <c:v>59</c:v>
                </c:pt>
                <c:pt idx="11">
                  <c:v>59</c:v>
                </c:pt>
                <c:pt idx="12">
                  <c:v>59</c:v>
                </c:pt>
                <c:pt idx="13">
                  <c:v>59</c:v>
                </c:pt>
                <c:pt idx="14">
                  <c:v>59</c:v>
                </c:pt>
                <c:pt idx="15">
                  <c:v>59</c:v>
                </c:pt>
                <c:pt idx="16">
                  <c:v>59</c:v>
                </c:pt>
                <c:pt idx="17">
                  <c:v>59</c:v>
                </c:pt>
                <c:pt idx="18">
                  <c:v>59</c:v>
                </c:pt>
                <c:pt idx="19">
                  <c:v>59</c:v>
                </c:pt>
                <c:pt idx="20">
                  <c:v>59</c:v>
                </c:pt>
                <c:pt idx="21">
                  <c:v>59</c:v>
                </c:pt>
                <c:pt idx="22">
                  <c:v>59</c:v>
                </c:pt>
                <c:pt idx="23">
                  <c:v>59</c:v>
                </c:pt>
                <c:pt idx="24">
                  <c:v>59</c:v>
                </c:pt>
                <c:pt idx="25">
                  <c:v>59</c:v>
                </c:pt>
                <c:pt idx="26">
                  <c:v>59</c:v>
                </c:pt>
                <c:pt idx="27">
                  <c:v>59</c:v>
                </c:pt>
                <c:pt idx="28">
                  <c:v>59</c:v>
                </c:pt>
                <c:pt idx="29">
                  <c:v>59</c:v>
                </c:pt>
                <c:pt idx="30">
                  <c:v>59</c:v>
                </c:pt>
                <c:pt idx="31">
                  <c:v>59</c:v>
                </c:pt>
                <c:pt idx="32">
                  <c:v>59</c:v>
                </c:pt>
                <c:pt idx="33">
                  <c:v>59</c:v>
                </c:pt>
                <c:pt idx="34">
                  <c:v>59</c:v>
                </c:pt>
                <c:pt idx="35">
                  <c:v>59</c:v>
                </c:pt>
                <c:pt idx="36">
                  <c:v>59</c:v>
                </c:pt>
                <c:pt idx="37">
                  <c:v>59</c:v>
                </c:pt>
                <c:pt idx="38">
                  <c:v>59</c:v>
                </c:pt>
                <c:pt idx="39">
                  <c:v>59</c:v>
                </c:pt>
                <c:pt idx="40">
                  <c:v>59</c:v>
                </c:pt>
                <c:pt idx="41">
                  <c:v>59</c:v>
                </c:pt>
                <c:pt idx="42">
                  <c:v>59</c:v>
                </c:pt>
                <c:pt idx="43">
                  <c:v>59</c:v>
                </c:pt>
                <c:pt idx="44">
                  <c:v>59</c:v>
                </c:pt>
                <c:pt idx="45">
                  <c:v>59</c:v>
                </c:pt>
                <c:pt idx="46">
                  <c:v>59</c:v>
                </c:pt>
                <c:pt idx="47">
                  <c:v>59</c:v>
                </c:pt>
                <c:pt idx="48">
                  <c:v>59</c:v>
                </c:pt>
                <c:pt idx="49">
                  <c:v>59</c:v>
                </c:pt>
                <c:pt idx="50">
                  <c:v>59</c:v>
                </c:pt>
                <c:pt idx="51">
                  <c:v>59</c:v>
                </c:pt>
                <c:pt idx="52">
                  <c:v>59</c:v>
                </c:pt>
                <c:pt idx="53">
                  <c:v>59</c:v>
                </c:pt>
                <c:pt idx="54">
                  <c:v>59</c:v>
                </c:pt>
                <c:pt idx="55">
                  <c:v>59</c:v>
                </c:pt>
                <c:pt idx="56">
                  <c:v>59</c:v>
                </c:pt>
                <c:pt idx="57">
                  <c:v>59</c:v>
                </c:pt>
                <c:pt idx="58">
                  <c:v>59</c:v>
                </c:pt>
                <c:pt idx="59">
                  <c:v>59</c:v>
                </c:pt>
                <c:pt idx="60">
                  <c:v>59</c:v>
                </c:pt>
                <c:pt idx="61">
                  <c:v>59</c:v>
                </c:pt>
                <c:pt idx="62">
                  <c:v>59</c:v>
                </c:pt>
                <c:pt idx="63">
                  <c:v>59</c:v>
                </c:pt>
                <c:pt idx="64">
                  <c:v>59</c:v>
                </c:pt>
                <c:pt idx="65">
                  <c:v>59</c:v>
                </c:pt>
                <c:pt idx="66">
                  <c:v>59</c:v>
                </c:pt>
                <c:pt idx="67">
                  <c:v>59</c:v>
                </c:pt>
                <c:pt idx="68">
                  <c:v>59</c:v>
                </c:pt>
                <c:pt idx="69">
                  <c:v>59</c:v>
                </c:pt>
                <c:pt idx="70">
                  <c:v>59</c:v>
                </c:pt>
                <c:pt idx="71">
                  <c:v>59</c:v>
                </c:pt>
                <c:pt idx="72">
                  <c:v>59</c:v>
                </c:pt>
                <c:pt idx="73">
                  <c:v>59</c:v>
                </c:pt>
                <c:pt idx="74">
                  <c:v>59</c:v>
                </c:pt>
                <c:pt idx="75">
                  <c:v>59</c:v>
                </c:pt>
                <c:pt idx="76">
                  <c:v>59</c:v>
                </c:pt>
                <c:pt idx="77">
                  <c:v>59</c:v>
                </c:pt>
                <c:pt idx="78">
                  <c:v>59</c:v>
                </c:pt>
                <c:pt idx="79">
                  <c:v>59</c:v>
                </c:pt>
                <c:pt idx="80">
                  <c:v>59</c:v>
                </c:pt>
                <c:pt idx="81">
                  <c:v>59</c:v>
                </c:pt>
                <c:pt idx="82">
                  <c:v>59</c:v>
                </c:pt>
                <c:pt idx="83">
                  <c:v>59</c:v>
                </c:pt>
                <c:pt idx="84">
                  <c:v>59</c:v>
                </c:pt>
                <c:pt idx="85">
                  <c:v>59</c:v>
                </c:pt>
                <c:pt idx="86">
                  <c:v>59</c:v>
                </c:pt>
                <c:pt idx="87">
                  <c:v>59</c:v>
                </c:pt>
                <c:pt idx="88">
                  <c:v>59</c:v>
                </c:pt>
                <c:pt idx="89">
                  <c:v>59</c:v>
                </c:pt>
                <c:pt idx="90">
                  <c:v>59</c:v>
                </c:pt>
                <c:pt idx="91">
                  <c:v>59</c:v>
                </c:pt>
                <c:pt idx="92">
                  <c:v>59</c:v>
                </c:pt>
                <c:pt idx="93">
                  <c:v>59</c:v>
                </c:pt>
                <c:pt idx="94">
                  <c:v>59</c:v>
                </c:pt>
                <c:pt idx="95">
                  <c:v>59</c:v>
                </c:pt>
                <c:pt idx="96">
                  <c:v>59</c:v>
                </c:pt>
                <c:pt idx="97">
                  <c:v>59</c:v>
                </c:pt>
                <c:pt idx="98">
                  <c:v>59</c:v>
                </c:pt>
                <c:pt idx="99">
                  <c:v>59</c:v>
                </c:pt>
                <c:pt idx="100">
                  <c:v>59</c:v>
                </c:pt>
                <c:pt idx="101">
                  <c:v>59</c:v>
                </c:pt>
                <c:pt idx="102">
                  <c:v>59</c:v>
                </c:pt>
                <c:pt idx="103">
                  <c:v>59</c:v>
                </c:pt>
                <c:pt idx="104">
                  <c:v>59</c:v>
                </c:pt>
                <c:pt idx="105">
                  <c:v>59</c:v>
                </c:pt>
                <c:pt idx="106">
                  <c:v>59</c:v>
                </c:pt>
                <c:pt idx="107">
                  <c:v>59</c:v>
                </c:pt>
                <c:pt idx="108">
                  <c:v>59</c:v>
                </c:pt>
                <c:pt idx="109">
                  <c:v>59</c:v>
                </c:pt>
                <c:pt idx="110">
                  <c:v>59</c:v>
                </c:pt>
                <c:pt idx="111">
                  <c:v>59</c:v>
                </c:pt>
                <c:pt idx="112">
                  <c:v>59</c:v>
                </c:pt>
                <c:pt idx="113">
                  <c:v>59</c:v>
                </c:pt>
                <c:pt idx="114">
                  <c:v>59</c:v>
                </c:pt>
                <c:pt idx="115">
                  <c:v>59</c:v>
                </c:pt>
                <c:pt idx="116">
                  <c:v>59</c:v>
                </c:pt>
                <c:pt idx="117">
                  <c:v>59</c:v>
                </c:pt>
                <c:pt idx="118">
                  <c:v>59</c:v>
                </c:pt>
                <c:pt idx="119">
                  <c:v>59</c:v>
                </c:pt>
                <c:pt idx="120">
                  <c:v>59</c:v>
                </c:pt>
                <c:pt idx="121">
                  <c:v>59</c:v>
                </c:pt>
                <c:pt idx="122">
                  <c:v>59</c:v>
                </c:pt>
                <c:pt idx="123">
                  <c:v>59</c:v>
                </c:pt>
                <c:pt idx="124">
                  <c:v>59</c:v>
                </c:pt>
                <c:pt idx="125">
                  <c:v>59</c:v>
                </c:pt>
                <c:pt idx="126">
                  <c:v>59</c:v>
                </c:pt>
                <c:pt idx="127">
                  <c:v>59</c:v>
                </c:pt>
                <c:pt idx="128">
                  <c:v>59</c:v>
                </c:pt>
                <c:pt idx="129">
                  <c:v>59</c:v>
                </c:pt>
                <c:pt idx="130">
                  <c:v>59</c:v>
                </c:pt>
                <c:pt idx="131">
                  <c:v>59</c:v>
                </c:pt>
                <c:pt idx="132">
                  <c:v>59</c:v>
                </c:pt>
                <c:pt idx="133">
                  <c:v>59</c:v>
                </c:pt>
                <c:pt idx="134">
                  <c:v>59</c:v>
                </c:pt>
                <c:pt idx="135">
                  <c:v>59</c:v>
                </c:pt>
                <c:pt idx="136">
                  <c:v>59</c:v>
                </c:pt>
                <c:pt idx="137">
                  <c:v>59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59</c:v>
                </c:pt>
                <c:pt idx="142">
                  <c:v>59</c:v>
                </c:pt>
                <c:pt idx="143">
                  <c:v>59</c:v>
                </c:pt>
                <c:pt idx="144">
                  <c:v>59</c:v>
                </c:pt>
                <c:pt idx="145">
                  <c:v>59</c:v>
                </c:pt>
                <c:pt idx="146">
                  <c:v>59</c:v>
                </c:pt>
                <c:pt idx="147">
                  <c:v>59</c:v>
                </c:pt>
                <c:pt idx="148">
                  <c:v>59</c:v>
                </c:pt>
                <c:pt idx="149">
                  <c:v>59</c:v>
                </c:pt>
                <c:pt idx="150">
                  <c:v>59</c:v>
                </c:pt>
                <c:pt idx="151">
                  <c:v>59</c:v>
                </c:pt>
                <c:pt idx="152">
                  <c:v>59</c:v>
                </c:pt>
                <c:pt idx="153">
                  <c:v>59</c:v>
                </c:pt>
                <c:pt idx="154">
                  <c:v>59</c:v>
                </c:pt>
                <c:pt idx="155">
                  <c:v>59</c:v>
                </c:pt>
                <c:pt idx="156">
                  <c:v>59</c:v>
                </c:pt>
                <c:pt idx="157">
                  <c:v>59</c:v>
                </c:pt>
                <c:pt idx="158">
                  <c:v>59</c:v>
                </c:pt>
                <c:pt idx="159">
                  <c:v>59</c:v>
                </c:pt>
                <c:pt idx="160">
                  <c:v>59</c:v>
                </c:pt>
                <c:pt idx="161">
                  <c:v>59</c:v>
                </c:pt>
                <c:pt idx="162">
                  <c:v>59</c:v>
                </c:pt>
                <c:pt idx="163">
                  <c:v>59</c:v>
                </c:pt>
                <c:pt idx="164">
                  <c:v>59</c:v>
                </c:pt>
                <c:pt idx="165">
                  <c:v>59</c:v>
                </c:pt>
                <c:pt idx="166">
                  <c:v>59</c:v>
                </c:pt>
                <c:pt idx="167">
                  <c:v>59</c:v>
                </c:pt>
                <c:pt idx="168">
                  <c:v>59</c:v>
                </c:pt>
                <c:pt idx="169">
                  <c:v>59</c:v>
                </c:pt>
                <c:pt idx="170">
                  <c:v>59</c:v>
                </c:pt>
                <c:pt idx="171">
                  <c:v>59</c:v>
                </c:pt>
                <c:pt idx="172">
                  <c:v>59</c:v>
                </c:pt>
                <c:pt idx="173">
                  <c:v>59</c:v>
                </c:pt>
                <c:pt idx="174">
                  <c:v>59</c:v>
                </c:pt>
                <c:pt idx="175">
                  <c:v>59</c:v>
                </c:pt>
                <c:pt idx="176">
                  <c:v>59</c:v>
                </c:pt>
                <c:pt idx="177">
                  <c:v>59</c:v>
                </c:pt>
                <c:pt idx="178">
                  <c:v>59</c:v>
                </c:pt>
                <c:pt idx="179">
                  <c:v>59</c:v>
                </c:pt>
                <c:pt idx="180">
                  <c:v>59</c:v>
                </c:pt>
                <c:pt idx="181">
                  <c:v>59</c:v>
                </c:pt>
                <c:pt idx="182">
                  <c:v>59</c:v>
                </c:pt>
                <c:pt idx="183">
                  <c:v>59</c:v>
                </c:pt>
                <c:pt idx="184">
                  <c:v>59</c:v>
                </c:pt>
                <c:pt idx="185">
                  <c:v>59</c:v>
                </c:pt>
                <c:pt idx="186">
                  <c:v>59</c:v>
                </c:pt>
                <c:pt idx="187">
                  <c:v>59</c:v>
                </c:pt>
                <c:pt idx="188">
                  <c:v>59</c:v>
                </c:pt>
                <c:pt idx="189">
                  <c:v>59</c:v>
                </c:pt>
                <c:pt idx="190">
                  <c:v>59</c:v>
                </c:pt>
                <c:pt idx="191">
                  <c:v>59</c:v>
                </c:pt>
                <c:pt idx="192">
                  <c:v>59</c:v>
                </c:pt>
                <c:pt idx="193">
                  <c:v>59</c:v>
                </c:pt>
                <c:pt idx="194">
                  <c:v>59</c:v>
                </c:pt>
                <c:pt idx="195">
                  <c:v>59</c:v>
                </c:pt>
                <c:pt idx="196">
                  <c:v>59</c:v>
                </c:pt>
                <c:pt idx="197">
                  <c:v>59</c:v>
                </c:pt>
                <c:pt idx="198">
                  <c:v>59</c:v>
                </c:pt>
                <c:pt idx="199">
                  <c:v>59</c:v>
                </c:pt>
                <c:pt idx="200">
                  <c:v>59</c:v>
                </c:pt>
                <c:pt idx="201">
                  <c:v>59</c:v>
                </c:pt>
                <c:pt idx="202">
                  <c:v>59</c:v>
                </c:pt>
                <c:pt idx="203">
                  <c:v>59</c:v>
                </c:pt>
                <c:pt idx="204">
                  <c:v>59</c:v>
                </c:pt>
                <c:pt idx="205">
                  <c:v>59</c:v>
                </c:pt>
                <c:pt idx="206">
                  <c:v>59</c:v>
                </c:pt>
                <c:pt idx="207">
                  <c:v>59</c:v>
                </c:pt>
                <c:pt idx="208">
                  <c:v>59</c:v>
                </c:pt>
                <c:pt idx="209">
                  <c:v>59</c:v>
                </c:pt>
                <c:pt idx="210">
                  <c:v>59</c:v>
                </c:pt>
                <c:pt idx="211">
                  <c:v>59</c:v>
                </c:pt>
                <c:pt idx="212">
                  <c:v>59</c:v>
                </c:pt>
                <c:pt idx="213">
                  <c:v>59</c:v>
                </c:pt>
                <c:pt idx="214">
                  <c:v>59</c:v>
                </c:pt>
                <c:pt idx="215">
                  <c:v>59</c:v>
                </c:pt>
                <c:pt idx="216">
                  <c:v>59</c:v>
                </c:pt>
                <c:pt idx="217">
                  <c:v>59</c:v>
                </c:pt>
                <c:pt idx="218">
                  <c:v>59</c:v>
                </c:pt>
                <c:pt idx="219">
                  <c:v>59</c:v>
                </c:pt>
                <c:pt idx="220">
                  <c:v>59</c:v>
                </c:pt>
                <c:pt idx="221">
                  <c:v>59</c:v>
                </c:pt>
                <c:pt idx="222">
                  <c:v>59</c:v>
                </c:pt>
                <c:pt idx="223">
                  <c:v>59</c:v>
                </c:pt>
                <c:pt idx="224">
                  <c:v>59</c:v>
                </c:pt>
                <c:pt idx="225">
                  <c:v>59</c:v>
                </c:pt>
                <c:pt idx="226">
                  <c:v>59</c:v>
                </c:pt>
                <c:pt idx="227">
                  <c:v>59</c:v>
                </c:pt>
                <c:pt idx="228">
                  <c:v>59</c:v>
                </c:pt>
                <c:pt idx="229">
                  <c:v>59</c:v>
                </c:pt>
                <c:pt idx="230">
                  <c:v>59</c:v>
                </c:pt>
                <c:pt idx="231">
                  <c:v>59</c:v>
                </c:pt>
                <c:pt idx="232">
                  <c:v>59</c:v>
                </c:pt>
                <c:pt idx="233">
                  <c:v>59</c:v>
                </c:pt>
                <c:pt idx="234">
                  <c:v>59</c:v>
                </c:pt>
                <c:pt idx="235">
                  <c:v>59</c:v>
                </c:pt>
                <c:pt idx="236">
                  <c:v>59</c:v>
                </c:pt>
                <c:pt idx="237">
                  <c:v>59</c:v>
                </c:pt>
                <c:pt idx="238">
                  <c:v>59</c:v>
                </c:pt>
                <c:pt idx="239">
                  <c:v>59</c:v>
                </c:pt>
                <c:pt idx="240">
                  <c:v>59</c:v>
                </c:pt>
                <c:pt idx="241">
                  <c:v>59</c:v>
                </c:pt>
                <c:pt idx="242">
                  <c:v>59</c:v>
                </c:pt>
                <c:pt idx="243">
                  <c:v>59</c:v>
                </c:pt>
                <c:pt idx="244">
                  <c:v>59</c:v>
                </c:pt>
                <c:pt idx="245">
                  <c:v>59</c:v>
                </c:pt>
                <c:pt idx="246">
                  <c:v>59</c:v>
                </c:pt>
                <c:pt idx="247">
                  <c:v>59</c:v>
                </c:pt>
                <c:pt idx="248">
                  <c:v>59</c:v>
                </c:pt>
                <c:pt idx="249">
                  <c:v>59</c:v>
                </c:pt>
                <c:pt idx="250">
                  <c:v>59</c:v>
                </c:pt>
                <c:pt idx="251">
                  <c:v>59</c:v>
                </c:pt>
                <c:pt idx="252">
                  <c:v>59</c:v>
                </c:pt>
                <c:pt idx="253">
                  <c:v>59</c:v>
                </c:pt>
                <c:pt idx="254">
                  <c:v>59</c:v>
                </c:pt>
                <c:pt idx="255">
                  <c:v>59</c:v>
                </c:pt>
                <c:pt idx="256">
                  <c:v>59</c:v>
                </c:pt>
                <c:pt idx="257">
                  <c:v>59</c:v>
                </c:pt>
                <c:pt idx="258">
                  <c:v>59</c:v>
                </c:pt>
                <c:pt idx="259">
                  <c:v>59</c:v>
                </c:pt>
                <c:pt idx="260">
                  <c:v>59</c:v>
                </c:pt>
                <c:pt idx="261">
                  <c:v>59</c:v>
                </c:pt>
                <c:pt idx="262">
                  <c:v>59</c:v>
                </c:pt>
                <c:pt idx="263">
                  <c:v>59</c:v>
                </c:pt>
                <c:pt idx="264">
                  <c:v>59</c:v>
                </c:pt>
                <c:pt idx="265">
                  <c:v>59</c:v>
                </c:pt>
                <c:pt idx="266">
                  <c:v>59</c:v>
                </c:pt>
                <c:pt idx="267">
                  <c:v>59</c:v>
                </c:pt>
                <c:pt idx="268">
                  <c:v>59</c:v>
                </c:pt>
                <c:pt idx="269">
                  <c:v>59</c:v>
                </c:pt>
                <c:pt idx="270">
                  <c:v>59</c:v>
                </c:pt>
                <c:pt idx="271">
                  <c:v>59</c:v>
                </c:pt>
                <c:pt idx="272">
                  <c:v>59</c:v>
                </c:pt>
                <c:pt idx="273">
                  <c:v>59</c:v>
                </c:pt>
                <c:pt idx="274">
                  <c:v>59</c:v>
                </c:pt>
                <c:pt idx="275">
                  <c:v>59</c:v>
                </c:pt>
                <c:pt idx="276">
                  <c:v>59</c:v>
                </c:pt>
                <c:pt idx="277">
                  <c:v>59</c:v>
                </c:pt>
                <c:pt idx="278">
                  <c:v>59</c:v>
                </c:pt>
                <c:pt idx="279">
                  <c:v>59</c:v>
                </c:pt>
                <c:pt idx="280">
                  <c:v>59</c:v>
                </c:pt>
                <c:pt idx="281">
                  <c:v>59</c:v>
                </c:pt>
                <c:pt idx="282">
                  <c:v>59</c:v>
                </c:pt>
                <c:pt idx="283">
                  <c:v>59</c:v>
                </c:pt>
                <c:pt idx="284">
                  <c:v>59</c:v>
                </c:pt>
                <c:pt idx="285">
                  <c:v>59</c:v>
                </c:pt>
                <c:pt idx="286">
                  <c:v>59</c:v>
                </c:pt>
                <c:pt idx="287">
                  <c:v>59</c:v>
                </c:pt>
                <c:pt idx="288">
                  <c:v>59</c:v>
                </c:pt>
                <c:pt idx="289">
                  <c:v>59</c:v>
                </c:pt>
                <c:pt idx="290">
                  <c:v>59</c:v>
                </c:pt>
                <c:pt idx="291">
                  <c:v>59</c:v>
                </c:pt>
                <c:pt idx="292">
                  <c:v>59</c:v>
                </c:pt>
                <c:pt idx="293">
                  <c:v>59</c:v>
                </c:pt>
                <c:pt idx="294">
                  <c:v>59</c:v>
                </c:pt>
                <c:pt idx="295">
                  <c:v>59</c:v>
                </c:pt>
                <c:pt idx="296">
                  <c:v>59</c:v>
                </c:pt>
                <c:pt idx="297">
                  <c:v>59</c:v>
                </c:pt>
                <c:pt idx="298">
                  <c:v>59</c:v>
                </c:pt>
                <c:pt idx="299">
                  <c:v>59</c:v>
                </c:pt>
                <c:pt idx="300">
                  <c:v>59</c:v>
                </c:pt>
                <c:pt idx="301">
                  <c:v>59</c:v>
                </c:pt>
                <c:pt idx="302">
                  <c:v>59</c:v>
                </c:pt>
                <c:pt idx="303">
                  <c:v>59</c:v>
                </c:pt>
                <c:pt idx="304">
                  <c:v>59</c:v>
                </c:pt>
                <c:pt idx="305">
                  <c:v>59</c:v>
                </c:pt>
                <c:pt idx="306">
                  <c:v>59</c:v>
                </c:pt>
                <c:pt idx="307">
                  <c:v>59</c:v>
                </c:pt>
                <c:pt idx="308">
                  <c:v>59</c:v>
                </c:pt>
                <c:pt idx="309">
                  <c:v>59</c:v>
                </c:pt>
                <c:pt idx="310">
                  <c:v>59</c:v>
                </c:pt>
                <c:pt idx="311">
                  <c:v>59</c:v>
                </c:pt>
                <c:pt idx="312">
                  <c:v>59</c:v>
                </c:pt>
                <c:pt idx="313">
                  <c:v>59</c:v>
                </c:pt>
                <c:pt idx="314">
                  <c:v>59</c:v>
                </c:pt>
                <c:pt idx="315">
                  <c:v>59</c:v>
                </c:pt>
                <c:pt idx="316">
                  <c:v>59</c:v>
                </c:pt>
                <c:pt idx="317">
                  <c:v>59</c:v>
                </c:pt>
                <c:pt idx="318">
                  <c:v>59</c:v>
                </c:pt>
                <c:pt idx="319">
                  <c:v>59</c:v>
                </c:pt>
                <c:pt idx="320">
                  <c:v>59</c:v>
                </c:pt>
                <c:pt idx="321">
                  <c:v>59</c:v>
                </c:pt>
                <c:pt idx="322">
                  <c:v>59</c:v>
                </c:pt>
                <c:pt idx="323">
                  <c:v>59</c:v>
                </c:pt>
                <c:pt idx="324">
                  <c:v>59</c:v>
                </c:pt>
                <c:pt idx="325">
                  <c:v>59</c:v>
                </c:pt>
                <c:pt idx="326">
                  <c:v>59</c:v>
                </c:pt>
                <c:pt idx="327">
                  <c:v>59</c:v>
                </c:pt>
                <c:pt idx="328">
                  <c:v>59</c:v>
                </c:pt>
                <c:pt idx="329">
                  <c:v>59</c:v>
                </c:pt>
                <c:pt idx="330">
                  <c:v>59</c:v>
                </c:pt>
                <c:pt idx="331">
                  <c:v>59</c:v>
                </c:pt>
                <c:pt idx="332">
                  <c:v>59</c:v>
                </c:pt>
                <c:pt idx="333">
                  <c:v>59</c:v>
                </c:pt>
                <c:pt idx="334">
                  <c:v>59</c:v>
                </c:pt>
                <c:pt idx="335">
                  <c:v>59</c:v>
                </c:pt>
                <c:pt idx="336">
                  <c:v>59</c:v>
                </c:pt>
                <c:pt idx="337">
                  <c:v>59</c:v>
                </c:pt>
                <c:pt idx="338">
                  <c:v>59</c:v>
                </c:pt>
                <c:pt idx="339">
                  <c:v>59</c:v>
                </c:pt>
                <c:pt idx="340">
                  <c:v>59</c:v>
                </c:pt>
                <c:pt idx="341">
                  <c:v>59</c:v>
                </c:pt>
                <c:pt idx="342">
                  <c:v>59</c:v>
                </c:pt>
                <c:pt idx="343">
                  <c:v>59</c:v>
                </c:pt>
                <c:pt idx="344">
                  <c:v>59</c:v>
                </c:pt>
                <c:pt idx="345">
                  <c:v>59</c:v>
                </c:pt>
                <c:pt idx="346">
                  <c:v>59</c:v>
                </c:pt>
                <c:pt idx="347">
                  <c:v>59</c:v>
                </c:pt>
                <c:pt idx="348">
                  <c:v>59</c:v>
                </c:pt>
                <c:pt idx="349">
                  <c:v>59</c:v>
                </c:pt>
                <c:pt idx="350">
                  <c:v>59</c:v>
                </c:pt>
                <c:pt idx="351">
                  <c:v>59</c:v>
                </c:pt>
                <c:pt idx="352">
                  <c:v>59</c:v>
                </c:pt>
                <c:pt idx="353">
                  <c:v>59</c:v>
                </c:pt>
                <c:pt idx="354">
                  <c:v>59</c:v>
                </c:pt>
                <c:pt idx="355">
                  <c:v>59</c:v>
                </c:pt>
                <c:pt idx="356">
                  <c:v>59</c:v>
                </c:pt>
                <c:pt idx="357">
                  <c:v>59</c:v>
                </c:pt>
                <c:pt idx="358">
                  <c:v>59</c:v>
                </c:pt>
                <c:pt idx="359">
                  <c:v>59</c:v>
                </c:pt>
                <c:pt idx="360">
                  <c:v>59</c:v>
                </c:pt>
                <c:pt idx="361">
                  <c:v>59</c:v>
                </c:pt>
                <c:pt idx="362">
                  <c:v>59</c:v>
                </c:pt>
                <c:pt idx="363">
                  <c:v>59</c:v>
                </c:pt>
                <c:pt idx="364">
                  <c:v>59</c:v>
                </c:pt>
                <c:pt idx="365">
                  <c:v>59</c:v>
                </c:pt>
                <c:pt idx="366">
                  <c:v>59</c:v>
                </c:pt>
                <c:pt idx="367">
                  <c:v>59</c:v>
                </c:pt>
                <c:pt idx="368">
                  <c:v>59</c:v>
                </c:pt>
                <c:pt idx="369">
                  <c:v>59</c:v>
                </c:pt>
                <c:pt idx="370">
                  <c:v>59</c:v>
                </c:pt>
                <c:pt idx="371">
                  <c:v>59</c:v>
                </c:pt>
                <c:pt idx="372">
                  <c:v>59</c:v>
                </c:pt>
                <c:pt idx="373">
                  <c:v>59</c:v>
                </c:pt>
                <c:pt idx="374">
                  <c:v>59</c:v>
                </c:pt>
                <c:pt idx="375">
                  <c:v>59</c:v>
                </c:pt>
                <c:pt idx="376">
                  <c:v>59</c:v>
                </c:pt>
                <c:pt idx="377">
                  <c:v>59</c:v>
                </c:pt>
                <c:pt idx="378">
                  <c:v>59</c:v>
                </c:pt>
                <c:pt idx="379">
                  <c:v>59</c:v>
                </c:pt>
                <c:pt idx="380">
                  <c:v>59</c:v>
                </c:pt>
                <c:pt idx="381">
                  <c:v>59</c:v>
                </c:pt>
                <c:pt idx="382">
                  <c:v>59</c:v>
                </c:pt>
                <c:pt idx="383">
                  <c:v>59</c:v>
                </c:pt>
                <c:pt idx="384">
                  <c:v>59</c:v>
                </c:pt>
                <c:pt idx="385">
                  <c:v>59</c:v>
                </c:pt>
                <c:pt idx="386">
                  <c:v>59</c:v>
                </c:pt>
                <c:pt idx="387">
                  <c:v>59</c:v>
                </c:pt>
                <c:pt idx="388">
                  <c:v>59</c:v>
                </c:pt>
                <c:pt idx="389">
                  <c:v>59</c:v>
                </c:pt>
                <c:pt idx="390">
                  <c:v>59</c:v>
                </c:pt>
                <c:pt idx="391">
                  <c:v>59</c:v>
                </c:pt>
                <c:pt idx="392">
                  <c:v>59</c:v>
                </c:pt>
                <c:pt idx="393">
                  <c:v>59</c:v>
                </c:pt>
                <c:pt idx="394">
                  <c:v>59</c:v>
                </c:pt>
                <c:pt idx="395">
                  <c:v>59</c:v>
                </c:pt>
                <c:pt idx="396">
                  <c:v>59</c:v>
                </c:pt>
                <c:pt idx="397">
                  <c:v>59</c:v>
                </c:pt>
                <c:pt idx="398">
                  <c:v>59</c:v>
                </c:pt>
                <c:pt idx="399">
                  <c:v>59</c:v>
                </c:pt>
                <c:pt idx="400">
                  <c:v>59</c:v>
                </c:pt>
                <c:pt idx="401">
                  <c:v>59</c:v>
                </c:pt>
                <c:pt idx="402">
                  <c:v>59</c:v>
                </c:pt>
                <c:pt idx="403">
                  <c:v>59</c:v>
                </c:pt>
                <c:pt idx="404">
                  <c:v>59</c:v>
                </c:pt>
                <c:pt idx="405">
                  <c:v>59</c:v>
                </c:pt>
                <c:pt idx="406">
                  <c:v>59</c:v>
                </c:pt>
                <c:pt idx="407">
                  <c:v>59</c:v>
                </c:pt>
                <c:pt idx="408">
                  <c:v>59</c:v>
                </c:pt>
                <c:pt idx="409">
                  <c:v>59</c:v>
                </c:pt>
                <c:pt idx="410">
                  <c:v>59</c:v>
                </c:pt>
                <c:pt idx="411">
                  <c:v>59</c:v>
                </c:pt>
                <c:pt idx="412">
                  <c:v>59</c:v>
                </c:pt>
                <c:pt idx="413">
                  <c:v>59</c:v>
                </c:pt>
                <c:pt idx="414">
                  <c:v>59</c:v>
                </c:pt>
                <c:pt idx="415">
                  <c:v>59</c:v>
                </c:pt>
                <c:pt idx="416">
                  <c:v>59</c:v>
                </c:pt>
                <c:pt idx="417">
                  <c:v>59</c:v>
                </c:pt>
                <c:pt idx="418">
                  <c:v>59</c:v>
                </c:pt>
                <c:pt idx="419">
                  <c:v>59</c:v>
                </c:pt>
                <c:pt idx="420">
                  <c:v>59</c:v>
                </c:pt>
                <c:pt idx="421">
                  <c:v>59</c:v>
                </c:pt>
                <c:pt idx="422">
                  <c:v>59</c:v>
                </c:pt>
                <c:pt idx="423">
                  <c:v>59</c:v>
                </c:pt>
                <c:pt idx="424">
                  <c:v>59</c:v>
                </c:pt>
                <c:pt idx="425">
                  <c:v>59</c:v>
                </c:pt>
                <c:pt idx="426">
                  <c:v>59</c:v>
                </c:pt>
                <c:pt idx="427">
                  <c:v>59</c:v>
                </c:pt>
                <c:pt idx="428">
                  <c:v>59</c:v>
                </c:pt>
                <c:pt idx="429">
                  <c:v>59</c:v>
                </c:pt>
                <c:pt idx="430">
                  <c:v>59</c:v>
                </c:pt>
                <c:pt idx="431">
                  <c:v>59</c:v>
                </c:pt>
                <c:pt idx="432">
                  <c:v>59</c:v>
                </c:pt>
                <c:pt idx="433">
                  <c:v>59</c:v>
                </c:pt>
                <c:pt idx="434">
                  <c:v>59</c:v>
                </c:pt>
                <c:pt idx="435">
                  <c:v>59</c:v>
                </c:pt>
                <c:pt idx="436">
                  <c:v>59</c:v>
                </c:pt>
                <c:pt idx="437">
                  <c:v>59</c:v>
                </c:pt>
                <c:pt idx="438">
                  <c:v>59</c:v>
                </c:pt>
                <c:pt idx="439">
                  <c:v>59</c:v>
                </c:pt>
                <c:pt idx="440">
                  <c:v>59</c:v>
                </c:pt>
                <c:pt idx="441">
                  <c:v>59</c:v>
                </c:pt>
                <c:pt idx="442">
                  <c:v>59</c:v>
                </c:pt>
                <c:pt idx="443">
                  <c:v>59</c:v>
                </c:pt>
                <c:pt idx="444">
                  <c:v>59</c:v>
                </c:pt>
                <c:pt idx="445">
                  <c:v>59</c:v>
                </c:pt>
                <c:pt idx="446">
                  <c:v>59</c:v>
                </c:pt>
                <c:pt idx="447">
                  <c:v>59</c:v>
                </c:pt>
                <c:pt idx="448">
                  <c:v>59</c:v>
                </c:pt>
                <c:pt idx="449">
                  <c:v>59</c:v>
                </c:pt>
                <c:pt idx="450">
                  <c:v>59</c:v>
                </c:pt>
                <c:pt idx="451">
                  <c:v>59</c:v>
                </c:pt>
                <c:pt idx="452">
                  <c:v>59</c:v>
                </c:pt>
                <c:pt idx="453">
                  <c:v>59</c:v>
                </c:pt>
                <c:pt idx="454">
                  <c:v>59</c:v>
                </c:pt>
                <c:pt idx="455">
                  <c:v>59</c:v>
                </c:pt>
                <c:pt idx="456">
                  <c:v>59</c:v>
                </c:pt>
                <c:pt idx="457">
                  <c:v>59</c:v>
                </c:pt>
                <c:pt idx="458">
                  <c:v>59</c:v>
                </c:pt>
                <c:pt idx="459">
                  <c:v>59</c:v>
                </c:pt>
                <c:pt idx="460">
                  <c:v>59</c:v>
                </c:pt>
                <c:pt idx="461">
                  <c:v>59</c:v>
                </c:pt>
                <c:pt idx="462">
                  <c:v>59</c:v>
                </c:pt>
                <c:pt idx="463">
                  <c:v>59</c:v>
                </c:pt>
                <c:pt idx="464">
                  <c:v>59</c:v>
                </c:pt>
                <c:pt idx="465">
                  <c:v>59</c:v>
                </c:pt>
                <c:pt idx="466">
                  <c:v>59</c:v>
                </c:pt>
                <c:pt idx="467">
                  <c:v>59</c:v>
                </c:pt>
                <c:pt idx="468">
                  <c:v>59</c:v>
                </c:pt>
                <c:pt idx="469">
                  <c:v>59</c:v>
                </c:pt>
                <c:pt idx="470">
                  <c:v>59</c:v>
                </c:pt>
                <c:pt idx="471">
                  <c:v>59</c:v>
                </c:pt>
                <c:pt idx="472">
                  <c:v>59</c:v>
                </c:pt>
                <c:pt idx="473">
                  <c:v>59</c:v>
                </c:pt>
                <c:pt idx="474">
                  <c:v>59</c:v>
                </c:pt>
                <c:pt idx="475">
                  <c:v>59</c:v>
                </c:pt>
                <c:pt idx="476">
                  <c:v>59</c:v>
                </c:pt>
                <c:pt idx="477">
                  <c:v>59</c:v>
                </c:pt>
                <c:pt idx="478">
                  <c:v>59</c:v>
                </c:pt>
                <c:pt idx="479">
                  <c:v>59</c:v>
                </c:pt>
                <c:pt idx="480">
                  <c:v>59</c:v>
                </c:pt>
                <c:pt idx="481">
                  <c:v>59</c:v>
                </c:pt>
                <c:pt idx="482">
                  <c:v>59</c:v>
                </c:pt>
                <c:pt idx="483">
                  <c:v>59</c:v>
                </c:pt>
                <c:pt idx="484">
                  <c:v>59</c:v>
                </c:pt>
                <c:pt idx="485">
                  <c:v>59</c:v>
                </c:pt>
                <c:pt idx="486">
                  <c:v>59</c:v>
                </c:pt>
                <c:pt idx="487">
                  <c:v>59</c:v>
                </c:pt>
                <c:pt idx="488">
                  <c:v>59</c:v>
                </c:pt>
                <c:pt idx="489">
                  <c:v>59</c:v>
                </c:pt>
                <c:pt idx="490">
                  <c:v>59</c:v>
                </c:pt>
                <c:pt idx="491">
                  <c:v>59</c:v>
                </c:pt>
                <c:pt idx="492">
                  <c:v>59</c:v>
                </c:pt>
                <c:pt idx="493">
                  <c:v>59</c:v>
                </c:pt>
                <c:pt idx="494">
                  <c:v>59</c:v>
                </c:pt>
                <c:pt idx="495">
                  <c:v>59</c:v>
                </c:pt>
                <c:pt idx="496">
                  <c:v>59</c:v>
                </c:pt>
                <c:pt idx="497">
                  <c:v>59</c:v>
                </c:pt>
                <c:pt idx="498">
                  <c:v>59</c:v>
                </c:pt>
                <c:pt idx="499">
                  <c:v>59</c:v>
                </c:pt>
                <c:pt idx="500">
                  <c:v>59</c:v>
                </c:pt>
                <c:pt idx="501">
                  <c:v>59</c:v>
                </c:pt>
                <c:pt idx="502">
                  <c:v>59</c:v>
                </c:pt>
                <c:pt idx="503">
                  <c:v>59</c:v>
                </c:pt>
                <c:pt idx="504">
                  <c:v>59</c:v>
                </c:pt>
                <c:pt idx="505">
                  <c:v>59</c:v>
                </c:pt>
                <c:pt idx="506">
                  <c:v>59</c:v>
                </c:pt>
                <c:pt idx="507">
                  <c:v>59</c:v>
                </c:pt>
                <c:pt idx="508">
                  <c:v>59</c:v>
                </c:pt>
                <c:pt idx="509">
                  <c:v>59</c:v>
                </c:pt>
                <c:pt idx="510">
                  <c:v>59</c:v>
                </c:pt>
                <c:pt idx="511">
                  <c:v>59</c:v>
                </c:pt>
                <c:pt idx="512">
                  <c:v>59</c:v>
                </c:pt>
                <c:pt idx="513">
                  <c:v>59</c:v>
                </c:pt>
                <c:pt idx="514">
                  <c:v>59</c:v>
                </c:pt>
                <c:pt idx="515">
                  <c:v>59</c:v>
                </c:pt>
                <c:pt idx="516">
                  <c:v>59</c:v>
                </c:pt>
                <c:pt idx="517">
                  <c:v>59</c:v>
                </c:pt>
                <c:pt idx="518">
                  <c:v>59</c:v>
                </c:pt>
                <c:pt idx="519">
                  <c:v>59</c:v>
                </c:pt>
                <c:pt idx="520">
                  <c:v>59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59</c:v>
                </c:pt>
                <c:pt idx="525">
                  <c:v>59</c:v>
                </c:pt>
                <c:pt idx="526">
                  <c:v>59</c:v>
                </c:pt>
                <c:pt idx="527">
                  <c:v>59</c:v>
                </c:pt>
                <c:pt idx="528">
                  <c:v>59</c:v>
                </c:pt>
                <c:pt idx="529">
                  <c:v>59</c:v>
                </c:pt>
                <c:pt idx="530">
                  <c:v>59</c:v>
                </c:pt>
                <c:pt idx="531">
                  <c:v>59</c:v>
                </c:pt>
                <c:pt idx="532">
                  <c:v>59</c:v>
                </c:pt>
                <c:pt idx="533">
                  <c:v>59</c:v>
                </c:pt>
                <c:pt idx="534">
                  <c:v>59</c:v>
                </c:pt>
                <c:pt idx="535">
                  <c:v>59</c:v>
                </c:pt>
                <c:pt idx="536">
                  <c:v>59</c:v>
                </c:pt>
                <c:pt idx="537">
                  <c:v>59</c:v>
                </c:pt>
                <c:pt idx="538">
                  <c:v>59</c:v>
                </c:pt>
                <c:pt idx="539">
                  <c:v>59</c:v>
                </c:pt>
                <c:pt idx="540">
                  <c:v>59</c:v>
                </c:pt>
                <c:pt idx="541">
                  <c:v>59</c:v>
                </c:pt>
                <c:pt idx="542">
                  <c:v>59</c:v>
                </c:pt>
                <c:pt idx="543">
                  <c:v>59</c:v>
                </c:pt>
                <c:pt idx="544">
                  <c:v>59</c:v>
                </c:pt>
                <c:pt idx="545">
                  <c:v>59</c:v>
                </c:pt>
                <c:pt idx="546">
                  <c:v>59</c:v>
                </c:pt>
                <c:pt idx="547">
                  <c:v>59</c:v>
                </c:pt>
                <c:pt idx="548">
                  <c:v>59</c:v>
                </c:pt>
                <c:pt idx="549">
                  <c:v>59</c:v>
                </c:pt>
                <c:pt idx="550">
                  <c:v>59</c:v>
                </c:pt>
                <c:pt idx="551">
                  <c:v>59</c:v>
                </c:pt>
                <c:pt idx="552">
                  <c:v>59</c:v>
                </c:pt>
                <c:pt idx="553">
                  <c:v>59</c:v>
                </c:pt>
                <c:pt idx="554">
                  <c:v>59</c:v>
                </c:pt>
                <c:pt idx="555">
                  <c:v>59</c:v>
                </c:pt>
                <c:pt idx="556">
                  <c:v>59</c:v>
                </c:pt>
                <c:pt idx="557">
                  <c:v>59</c:v>
                </c:pt>
                <c:pt idx="558">
                  <c:v>59</c:v>
                </c:pt>
                <c:pt idx="559">
                  <c:v>59</c:v>
                </c:pt>
                <c:pt idx="560">
                  <c:v>59</c:v>
                </c:pt>
                <c:pt idx="561">
                  <c:v>59</c:v>
                </c:pt>
                <c:pt idx="562">
                  <c:v>59</c:v>
                </c:pt>
                <c:pt idx="563">
                  <c:v>59</c:v>
                </c:pt>
                <c:pt idx="564">
                  <c:v>59</c:v>
                </c:pt>
                <c:pt idx="565">
                  <c:v>59</c:v>
                </c:pt>
                <c:pt idx="566">
                  <c:v>59</c:v>
                </c:pt>
                <c:pt idx="567">
                  <c:v>59</c:v>
                </c:pt>
                <c:pt idx="568">
                  <c:v>59</c:v>
                </c:pt>
                <c:pt idx="569">
                  <c:v>59</c:v>
                </c:pt>
                <c:pt idx="570">
                  <c:v>59</c:v>
                </c:pt>
                <c:pt idx="571">
                  <c:v>59</c:v>
                </c:pt>
                <c:pt idx="572">
                  <c:v>59</c:v>
                </c:pt>
                <c:pt idx="573">
                  <c:v>59</c:v>
                </c:pt>
                <c:pt idx="574">
                  <c:v>59</c:v>
                </c:pt>
                <c:pt idx="575">
                  <c:v>59</c:v>
                </c:pt>
                <c:pt idx="576">
                  <c:v>59</c:v>
                </c:pt>
                <c:pt idx="577">
                  <c:v>59</c:v>
                </c:pt>
                <c:pt idx="578">
                  <c:v>59</c:v>
                </c:pt>
                <c:pt idx="579">
                  <c:v>59</c:v>
                </c:pt>
                <c:pt idx="580">
                  <c:v>59</c:v>
                </c:pt>
                <c:pt idx="581">
                  <c:v>59</c:v>
                </c:pt>
                <c:pt idx="582">
                  <c:v>59</c:v>
                </c:pt>
                <c:pt idx="583">
                  <c:v>59</c:v>
                </c:pt>
                <c:pt idx="584">
                  <c:v>59</c:v>
                </c:pt>
                <c:pt idx="585">
                  <c:v>59</c:v>
                </c:pt>
                <c:pt idx="586">
                  <c:v>59</c:v>
                </c:pt>
                <c:pt idx="587">
                  <c:v>59</c:v>
                </c:pt>
                <c:pt idx="588">
                  <c:v>59</c:v>
                </c:pt>
                <c:pt idx="589">
                  <c:v>59</c:v>
                </c:pt>
                <c:pt idx="590">
                  <c:v>59</c:v>
                </c:pt>
                <c:pt idx="591">
                  <c:v>59</c:v>
                </c:pt>
                <c:pt idx="592">
                  <c:v>59</c:v>
                </c:pt>
                <c:pt idx="593">
                  <c:v>59</c:v>
                </c:pt>
                <c:pt idx="594">
                  <c:v>59</c:v>
                </c:pt>
                <c:pt idx="595">
                  <c:v>59</c:v>
                </c:pt>
                <c:pt idx="596">
                  <c:v>59</c:v>
                </c:pt>
                <c:pt idx="597">
                  <c:v>59</c:v>
                </c:pt>
                <c:pt idx="598">
                  <c:v>59</c:v>
                </c:pt>
                <c:pt idx="599">
                  <c:v>59</c:v>
                </c:pt>
                <c:pt idx="600">
                  <c:v>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9E-4D13-9A4F-C0AE697B26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5037920"/>
        <c:axId val="925040320"/>
      </c:scatterChart>
      <c:valAx>
        <c:axId val="925037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40320"/>
        <c:crosses val="autoZero"/>
        <c:crossBetween val="midCat"/>
      </c:valAx>
      <c:valAx>
        <c:axId val="9250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0379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'62'!$B$1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'62'!$A$2:$A$602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'62'!$B$2:$B$602</c:f>
              <c:numCache>
                <c:formatCode>General</c:formatCode>
                <c:ptCount val="601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62</c:v>
                </c:pt>
                <c:pt idx="28">
                  <c:v>62</c:v>
                </c:pt>
                <c:pt idx="29">
                  <c:v>62</c:v>
                </c:pt>
                <c:pt idx="30">
                  <c:v>62</c:v>
                </c:pt>
                <c:pt idx="31">
                  <c:v>62</c:v>
                </c:pt>
                <c:pt idx="32">
                  <c:v>62</c:v>
                </c:pt>
                <c:pt idx="33">
                  <c:v>62</c:v>
                </c:pt>
                <c:pt idx="34">
                  <c:v>62</c:v>
                </c:pt>
                <c:pt idx="35">
                  <c:v>62</c:v>
                </c:pt>
                <c:pt idx="36">
                  <c:v>62</c:v>
                </c:pt>
                <c:pt idx="37">
                  <c:v>62</c:v>
                </c:pt>
                <c:pt idx="38">
                  <c:v>62</c:v>
                </c:pt>
                <c:pt idx="39">
                  <c:v>62</c:v>
                </c:pt>
                <c:pt idx="40">
                  <c:v>62</c:v>
                </c:pt>
                <c:pt idx="41">
                  <c:v>62</c:v>
                </c:pt>
                <c:pt idx="42">
                  <c:v>62</c:v>
                </c:pt>
                <c:pt idx="43">
                  <c:v>62</c:v>
                </c:pt>
                <c:pt idx="44">
                  <c:v>62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62</c:v>
                </c:pt>
                <c:pt idx="73">
                  <c:v>62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62</c:v>
                </c:pt>
                <c:pt idx="81">
                  <c:v>62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62</c:v>
                </c:pt>
                <c:pt idx="88">
                  <c:v>62</c:v>
                </c:pt>
                <c:pt idx="89">
                  <c:v>62</c:v>
                </c:pt>
                <c:pt idx="90">
                  <c:v>62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62</c:v>
                </c:pt>
                <c:pt idx="96">
                  <c:v>62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62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62</c:v>
                </c:pt>
                <c:pt idx="141">
                  <c:v>62</c:v>
                </c:pt>
                <c:pt idx="142">
                  <c:v>62</c:v>
                </c:pt>
                <c:pt idx="143">
                  <c:v>62</c:v>
                </c:pt>
                <c:pt idx="144">
                  <c:v>62</c:v>
                </c:pt>
                <c:pt idx="145">
                  <c:v>62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62</c:v>
                </c:pt>
                <c:pt idx="176">
                  <c:v>62</c:v>
                </c:pt>
                <c:pt idx="177">
                  <c:v>62</c:v>
                </c:pt>
                <c:pt idx="178">
                  <c:v>62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62</c:v>
                </c:pt>
                <c:pt idx="186">
                  <c:v>62</c:v>
                </c:pt>
                <c:pt idx="187">
                  <c:v>62</c:v>
                </c:pt>
                <c:pt idx="188">
                  <c:v>62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62</c:v>
                </c:pt>
                <c:pt idx="196">
                  <c:v>62</c:v>
                </c:pt>
                <c:pt idx="197">
                  <c:v>62</c:v>
                </c:pt>
                <c:pt idx="198">
                  <c:v>62</c:v>
                </c:pt>
                <c:pt idx="199">
                  <c:v>62</c:v>
                </c:pt>
                <c:pt idx="200">
                  <c:v>62</c:v>
                </c:pt>
                <c:pt idx="201">
                  <c:v>62</c:v>
                </c:pt>
                <c:pt idx="202">
                  <c:v>62</c:v>
                </c:pt>
                <c:pt idx="203">
                  <c:v>62</c:v>
                </c:pt>
                <c:pt idx="204">
                  <c:v>62</c:v>
                </c:pt>
                <c:pt idx="205">
                  <c:v>62</c:v>
                </c:pt>
                <c:pt idx="206">
                  <c:v>62</c:v>
                </c:pt>
                <c:pt idx="207">
                  <c:v>62</c:v>
                </c:pt>
                <c:pt idx="208">
                  <c:v>62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</c:v>
                </c:pt>
                <c:pt idx="216">
                  <c:v>62</c:v>
                </c:pt>
                <c:pt idx="217">
                  <c:v>62</c:v>
                </c:pt>
                <c:pt idx="218">
                  <c:v>62</c:v>
                </c:pt>
                <c:pt idx="219">
                  <c:v>62</c:v>
                </c:pt>
                <c:pt idx="220">
                  <c:v>62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62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62</c:v>
                </c:pt>
                <c:pt idx="236">
                  <c:v>62</c:v>
                </c:pt>
                <c:pt idx="237">
                  <c:v>62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62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62</c:v>
                </c:pt>
                <c:pt idx="272">
                  <c:v>62</c:v>
                </c:pt>
                <c:pt idx="273">
                  <c:v>62</c:v>
                </c:pt>
                <c:pt idx="274">
                  <c:v>62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  <c:pt idx="282">
                  <c:v>62</c:v>
                </c:pt>
                <c:pt idx="283">
                  <c:v>62</c:v>
                </c:pt>
                <c:pt idx="284">
                  <c:v>62</c:v>
                </c:pt>
                <c:pt idx="285">
                  <c:v>62</c:v>
                </c:pt>
                <c:pt idx="286">
                  <c:v>62</c:v>
                </c:pt>
                <c:pt idx="287">
                  <c:v>62</c:v>
                </c:pt>
                <c:pt idx="288">
                  <c:v>62</c:v>
                </c:pt>
                <c:pt idx="289">
                  <c:v>62</c:v>
                </c:pt>
                <c:pt idx="290">
                  <c:v>62</c:v>
                </c:pt>
                <c:pt idx="291">
                  <c:v>62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62</c:v>
                </c:pt>
                <c:pt idx="296">
                  <c:v>62</c:v>
                </c:pt>
                <c:pt idx="297">
                  <c:v>62</c:v>
                </c:pt>
                <c:pt idx="298">
                  <c:v>62</c:v>
                </c:pt>
                <c:pt idx="299">
                  <c:v>62</c:v>
                </c:pt>
                <c:pt idx="300">
                  <c:v>62</c:v>
                </c:pt>
                <c:pt idx="301">
                  <c:v>62</c:v>
                </c:pt>
                <c:pt idx="302">
                  <c:v>62</c:v>
                </c:pt>
                <c:pt idx="303">
                  <c:v>62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62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62</c:v>
                </c:pt>
                <c:pt idx="321">
                  <c:v>62</c:v>
                </c:pt>
                <c:pt idx="322">
                  <c:v>62</c:v>
                </c:pt>
                <c:pt idx="323">
                  <c:v>62</c:v>
                </c:pt>
                <c:pt idx="324">
                  <c:v>62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>
                  <c:v>62</c:v>
                </c:pt>
                <c:pt idx="330">
                  <c:v>62</c:v>
                </c:pt>
                <c:pt idx="331">
                  <c:v>62</c:v>
                </c:pt>
                <c:pt idx="332">
                  <c:v>62</c:v>
                </c:pt>
                <c:pt idx="333">
                  <c:v>62</c:v>
                </c:pt>
                <c:pt idx="334">
                  <c:v>62</c:v>
                </c:pt>
                <c:pt idx="335">
                  <c:v>62</c:v>
                </c:pt>
                <c:pt idx="336">
                  <c:v>62</c:v>
                </c:pt>
                <c:pt idx="337">
                  <c:v>62</c:v>
                </c:pt>
                <c:pt idx="338">
                  <c:v>62</c:v>
                </c:pt>
                <c:pt idx="339">
                  <c:v>62</c:v>
                </c:pt>
                <c:pt idx="340">
                  <c:v>62</c:v>
                </c:pt>
                <c:pt idx="341">
                  <c:v>62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62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62</c:v>
                </c:pt>
                <c:pt idx="359">
                  <c:v>62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62</c:v>
                </c:pt>
                <c:pt idx="366">
                  <c:v>62</c:v>
                </c:pt>
                <c:pt idx="367">
                  <c:v>62</c:v>
                </c:pt>
                <c:pt idx="368">
                  <c:v>62</c:v>
                </c:pt>
                <c:pt idx="369">
                  <c:v>62</c:v>
                </c:pt>
                <c:pt idx="370">
                  <c:v>62</c:v>
                </c:pt>
                <c:pt idx="371">
                  <c:v>62</c:v>
                </c:pt>
                <c:pt idx="372">
                  <c:v>62</c:v>
                </c:pt>
                <c:pt idx="373">
                  <c:v>62</c:v>
                </c:pt>
                <c:pt idx="374">
                  <c:v>62</c:v>
                </c:pt>
                <c:pt idx="375">
                  <c:v>62</c:v>
                </c:pt>
                <c:pt idx="376">
                  <c:v>62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62</c:v>
                </c:pt>
                <c:pt idx="389">
                  <c:v>62</c:v>
                </c:pt>
                <c:pt idx="390">
                  <c:v>62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62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62</c:v>
                </c:pt>
                <c:pt idx="432">
                  <c:v>62</c:v>
                </c:pt>
                <c:pt idx="433">
                  <c:v>62</c:v>
                </c:pt>
                <c:pt idx="434">
                  <c:v>62</c:v>
                </c:pt>
                <c:pt idx="435">
                  <c:v>62</c:v>
                </c:pt>
                <c:pt idx="436">
                  <c:v>62</c:v>
                </c:pt>
                <c:pt idx="437">
                  <c:v>62</c:v>
                </c:pt>
                <c:pt idx="438">
                  <c:v>62</c:v>
                </c:pt>
                <c:pt idx="439">
                  <c:v>62</c:v>
                </c:pt>
                <c:pt idx="440">
                  <c:v>62</c:v>
                </c:pt>
                <c:pt idx="441">
                  <c:v>62</c:v>
                </c:pt>
                <c:pt idx="442">
                  <c:v>62</c:v>
                </c:pt>
                <c:pt idx="443">
                  <c:v>62</c:v>
                </c:pt>
                <c:pt idx="444">
                  <c:v>62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62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62</c:v>
                </c:pt>
                <c:pt idx="456">
                  <c:v>62</c:v>
                </c:pt>
                <c:pt idx="457">
                  <c:v>62</c:v>
                </c:pt>
                <c:pt idx="458">
                  <c:v>62</c:v>
                </c:pt>
                <c:pt idx="459">
                  <c:v>62</c:v>
                </c:pt>
                <c:pt idx="460">
                  <c:v>62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62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62</c:v>
                </c:pt>
                <c:pt idx="469">
                  <c:v>62</c:v>
                </c:pt>
                <c:pt idx="470">
                  <c:v>62</c:v>
                </c:pt>
                <c:pt idx="471">
                  <c:v>62</c:v>
                </c:pt>
                <c:pt idx="472">
                  <c:v>62</c:v>
                </c:pt>
                <c:pt idx="473">
                  <c:v>62</c:v>
                </c:pt>
                <c:pt idx="474">
                  <c:v>62</c:v>
                </c:pt>
                <c:pt idx="475">
                  <c:v>62</c:v>
                </c:pt>
                <c:pt idx="476">
                  <c:v>62</c:v>
                </c:pt>
                <c:pt idx="477">
                  <c:v>62</c:v>
                </c:pt>
                <c:pt idx="478">
                  <c:v>62</c:v>
                </c:pt>
                <c:pt idx="479">
                  <c:v>62</c:v>
                </c:pt>
                <c:pt idx="480">
                  <c:v>62</c:v>
                </c:pt>
                <c:pt idx="481">
                  <c:v>62</c:v>
                </c:pt>
                <c:pt idx="482">
                  <c:v>62</c:v>
                </c:pt>
                <c:pt idx="483">
                  <c:v>62</c:v>
                </c:pt>
                <c:pt idx="484">
                  <c:v>62</c:v>
                </c:pt>
                <c:pt idx="485">
                  <c:v>62</c:v>
                </c:pt>
                <c:pt idx="486">
                  <c:v>62</c:v>
                </c:pt>
                <c:pt idx="487">
                  <c:v>62</c:v>
                </c:pt>
                <c:pt idx="488">
                  <c:v>62</c:v>
                </c:pt>
                <c:pt idx="489">
                  <c:v>62</c:v>
                </c:pt>
                <c:pt idx="490">
                  <c:v>62</c:v>
                </c:pt>
                <c:pt idx="491">
                  <c:v>62</c:v>
                </c:pt>
                <c:pt idx="492">
                  <c:v>62</c:v>
                </c:pt>
                <c:pt idx="493">
                  <c:v>62</c:v>
                </c:pt>
                <c:pt idx="494">
                  <c:v>62</c:v>
                </c:pt>
                <c:pt idx="495">
                  <c:v>62</c:v>
                </c:pt>
                <c:pt idx="496">
                  <c:v>62</c:v>
                </c:pt>
                <c:pt idx="497">
                  <c:v>62</c:v>
                </c:pt>
                <c:pt idx="498">
                  <c:v>62</c:v>
                </c:pt>
                <c:pt idx="499">
                  <c:v>62</c:v>
                </c:pt>
                <c:pt idx="500">
                  <c:v>62</c:v>
                </c:pt>
                <c:pt idx="501">
                  <c:v>62</c:v>
                </c:pt>
                <c:pt idx="502">
                  <c:v>62</c:v>
                </c:pt>
                <c:pt idx="503">
                  <c:v>62</c:v>
                </c:pt>
                <c:pt idx="504">
                  <c:v>62</c:v>
                </c:pt>
                <c:pt idx="505">
                  <c:v>62</c:v>
                </c:pt>
                <c:pt idx="506">
                  <c:v>62</c:v>
                </c:pt>
                <c:pt idx="507">
                  <c:v>62</c:v>
                </c:pt>
                <c:pt idx="508">
                  <c:v>62</c:v>
                </c:pt>
                <c:pt idx="509">
                  <c:v>62</c:v>
                </c:pt>
                <c:pt idx="510">
                  <c:v>62</c:v>
                </c:pt>
                <c:pt idx="511">
                  <c:v>62</c:v>
                </c:pt>
                <c:pt idx="512">
                  <c:v>62</c:v>
                </c:pt>
                <c:pt idx="513">
                  <c:v>62</c:v>
                </c:pt>
                <c:pt idx="514">
                  <c:v>62</c:v>
                </c:pt>
                <c:pt idx="515">
                  <c:v>62</c:v>
                </c:pt>
                <c:pt idx="516">
                  <c:v>62</c:v>
                </c:pt>
                <c:pt idx="517">
                  <c:v>62</c:v>
                </c:pt>
                <c:pt idx="518">
                  <c:v>62</c:v>
                </c:pt>
                <c:pt idx="519">
                  <c:v>62</c:v>
                </c:pt>
                <c:pt idx="520">
                  <c:v>62</c:v>
                </c:pt>
                <c:pt idx="521">
                  <c:v>62</c:v>
                </c:pt>
                <c:pt idx="522">
                  <c:v>62</c:v>
                </c:pt>
                <c:pt idx="523">
                  <c:v>62</c:v>
                </c:pt>
                <c:pt idx="524">
                  <c:v>62</c:v>
                </c:pt>
                <c:pt idx="525">
                  <c:v>62</c:v>
                </c:pt>
                <c:pt idx="526">
                  <c:v>62</c:v>
                </c:pt>
                <c:pt idx="527">
                  <c:v>62</c:v>
                </c:pt>
                <c:pt idx="528">
                  <c:v>62</c:v>
                </c:pt>
                <c:pt idx="529">
                  <c:v>62</c:v>
                </c:pt>
                <c:pt idx="530">
                  <c:v>62</c:v>
                </c:pt>
                <c:pt idx="531">
                  <c:v>62</c:v>
                </c:pt>
                <c:pt idx="532">
                  <c:v>62</c:v>
                </c:pt>
                <c:pt idx="533">
                  <c:v>62</c:v>
                </c:pt>
                <c:pt idx="534">
                  <c:v>62</c:v>
                </c:pt>
                <c:pt idx="535">
                  <c:v>62</c:v>
                </c:pt>
                <c:pt idx="536">
                  <c:v>62</c:v>
                </c:pt>
                <c:pt idx="537">
                  <c:v>62</c:v>
                </c:pt>
                <c:pt idx="538">
                  <c:v>62</c:v>
                </c:pt>
                <c:pt idx="539">
                  <c:v>62</c:v>
                </c:pt>
                <c:pt idx="540">
                  <c:v>62</c:v>
                </c:pt>
                <c:pt idx="541">
                  <c:v>62</c:v>
                </c:pt>
                <c:pt idx="542">
                  <c:v>62</c:v>
                </c:pt>
                <c:pt idx="543">
                  <c:v>62</c:v>
                </c:pt>
                <c:pt idx="544">
                  <c:v>62</c:v>
                </c:pt>
                <c:pt idx="545">
                  <c:v>62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62</c:v>
                </c:pt>
                <c:pt idx="550">
                  <c:v>62</c:v>
                </c:pt>
                <c:pt idx="551">
                  <c:v>62</c:v>
                </c:pt>
                <c:pt idx="552">
                  <c:v>62</c:v>
                </c:pt>
                <c:pt idx="553">
                  <c:v>62</c:v>
                </c:pt>
                <c:pt idx="554">
                  <c:v>62</c:v>
                </c:pt>
                <c:pt idx="555">
                  <c:v>62</c:v>
                </c:pt>
                <c:pt idx="556">
                  <c:v>62</c:v>
                </c:pt>
                <c:pt idx="557">
                  <c:v>62</c:v>
                </c:pt>
                <c:pt idx="558">
                  <c:v>62</c:v>
                </c:pt>
                <c:pt idx="559">
                  <c:v>62</c:v>
                </c:pt>
                <c:pt idx="560">
                  <c:v>62</c:v>
                </c:pt>
                <c:pt idx="561">
                  <c:v>62</c:v>
                </c:pt>
                <c:pt idx="562">
                  <c:v>62</c:v>
                </c:pt>
                <c:pt idx="563">
                  <c:v>62</c:v>
                </c:pt>
                <c:pt idx="564">
                  <c:v>62</c:v>
                </c:pt>
                <c:pt idx="565">
                  <c:v>62</c:v>
                </c:pt>
                <c:pt idx="566">
                  <c:v>62</c:v>
                </c:pt>
                <c:pt idx="567">
                  <c:v>62</c:v>
                </c:pt>
                <c:pt idx="568">
                  <c:v>62</c:v>
                </c:pt>
                <c:pt idx="569">
                  <c:v>62</c:v>
                </c:pt>
                <c:pt idx="570">
                  <c:v>62</c:v>
                </c:pt>
                <c:pt idx="571">
                  <c:v>62</c:v>
                </c:pt>
                <c:pt idx="572">
                  <c:v>62</c:v>
                </c:pt>
                <c:pt idx="573">
                  <c:v>62</c:v>
                </c:pt>
                <c:pt idx="574">
                  <c:v>62</c:v>
                </c:pt>
                <c:pt idx="575">
                  <c:v>62</c:v>
                </c:pt>
                <c:pt idx="576">
                  <c:v>62</c:v>
                </c:pt>
                <c:pt idx="577">
                  <c:v>62</c:v>
                </c:pt>
                <c:pt idx="578">
                  <c:v>62</c:v>
                </c:pt>
                <c:pt idx="579">
                  <c:v>62</c:v>
                </c:pt>
                <c:pt idx="580">
                  <c:v>62</c:v>
                </c:pt>
                <c:pt idx="581">
                  <c:v>62</c:v>
                </c:pt>
                <c:pt idx="582">
                  <c:v>62</c:v>
                </c:pt>
                <c:pt idx="583">
                  <c:v>62</c:v>
                </c:pt>
                <c:pt idx="584">
                  <c:v>62</c:v>
                </c:pt>
                <c:pt idx="585">
                  <c:v>62</c:v>
                </c:pt>
                <c:pt idx="586">
                  <c:v>62</c:v>
                </c:pt>
                <c:pt idx="587">
                  <c:v>62</c:v>
                </c:pt>
                <c:pt idx="588">
                  <c:v>62</c:v>
                </c:pt>
                <c:pt idx="589">
                  <c:v>62</c:v>
                </c:pt>
                <c:pt idx="590">
                  <c:v>62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</c:v>
                </c:pt>
                <c:pt idx="598">
                  <c:v>62</c:v>
                </c:pt>
                <c:pt idx="599">
                  <c:v>62</c:v>
                </c:pt>
                <c:pt idx="600">
                  <c:v>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3E-4FE8-BF12-F92AC4EECF53}"/>
            </c:ext>
          </c:extLst>
        </c:ser>
        <c:ser>
          <c:idx val="1"/>
          <c:order val="1"/>
          <c:tx>
            <c:strRef>
              <c:f>'62'!$C$1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'62'!$A$2:$A$602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'62'!$C$2:$C$602</c:f>
              <c:numCache>
                <c:formatCode>General</c:formatCode>
                <c:ptCount val="601"/>
                <c:pt idx="0">
                  <c:v>30</c:v>
                </c:pt>
                <c:pt idx="1">
                  <c:v>29.97</c:v>
                </c:pt>
                <c:pt idx="2">
                  <c:v>30.15</c:v>
                </c:pt>
                <c:pt idx="3">
                  <c:v>30.13</c:v>
                </c:pt>
                <c:pt idx="4">
                  <c:v>30.16</c:v>
                </c:pt>
                <c:pt idx="5">
                  <c:v>30.26</c:v>
                </c:pt>
                <c:pt idx="6">
                  <c:v>30.41</c:v>
                </c:pt>
                <c:pt idx="7">
                  <c:v>30.59</c:v>
                </c:pt>
                <c:pt idx="8">
                  <c:v>30.92</c:v>
                </c:pt>
                <c:pt idx="9">
                  <c:v>31.27</c:v>
                </c:pt>
                <c:pt idx="10">
                  <c:v>31.59</c:v>
                </c:pt>
                <c:pt idx="11">
                  <c:v>32.06</c:v>
                </c:pt>
                <c:pt idx="12">
                  <c:v>32.58</c:v>
                </c:pt>
                <c:pt idx="13">
                  <c:v>33.04</c:v>
                </c:pt>
                <c:pt idx="14">
                  <c:v>33.57</c:v>
                </c:pt>
                <c:pt idx="15">
                  <c:v>34.08</c:v>
                </c:pt>
                <c:pt idx="16">
                  <c:v>34.630000000000003</c:v>
                </c:pt>
                <c:pt idx="17">
                  <c:v>35.130000000000003</c:v>
                </c:pt>
                <c:pt idx="18">
                  <c:v>35.74</c:v>
                </c:pt>
                <c:pt idx="19">
                  <c:v>36.29</c:v>
                </c:pt>
                <c:pt idx="20">
                  <c:v>36.85</c:v>
                </c:pt>
                <c:pt idx="21">
                  <c:v>37.4</c:v>
                </c:pt>
                <c:pt idx="22">
                  <c:v>37.97</c:v>
                </c:pt>
                <c:pt idx="23">
                  <c:v>38.5</c:v>
                </c:pt>
                <c:pt idx="24">
                  <c:v>39.1</c:v>
                </c:pt>
                <c:pt idx="25">
                  <c:v>39.68</c:v>
                </c:pt>
                <c:pt idx="26">
                  <c:v>40.25</c:v>
                </c:pt>
                <c:pt idx="27">
                  <c:v>40.770000000000003</c:v>
                </c:pt>
                <c:pt idx="28">
                  <c:v>41.31</c:v>
                </c:pt>
                <c:pt idx="29">
                  <c:v>41.85</c:v>
                </c:pt>
                <c:pt idx="30">
                  <c:v>42.4</c:v>
                </c:pt>
                <c:pt idx="31">
                  <c:v>42.92</c:v>
                </c:pt>
                <c:pt idx="32">
                  <c:v>43.41</c:v>
                </c:pt>
                <c:pt idx="33">
                  <c:v>43.94</c:v>
                </c:pt>
                <c:pt idx="34">
                  <c:v>44.48</c:v>
                </c:pt>
                <c:pt idx="35">
                  <c:v>44.97</c:v>
                </c:pt>
                <c:pt idx="36">
                  <c:v>45.5</c:v>
                </c:pt>
                <c:pt idx="37">
                  <c:v>46.02</c:v>
                </c:pt>
                <c:pt idx="38">
                  <c:v>46.45</c:v>
                </c:pt>
                <c:pt idx="39">
                  <c:v>47.01</c:v>
                </c:pt>
                <c:pt idx="40">
                  <c:v>47.46</c:v>
                </c:pt>
                <c:pt idx="41">
                  <c:v>47.98</c:v>
                </c:pt>
                <c:pt idx="42">
                  <c:v>48.47</c:v>
                </c:pt>
                <c:pt idx="43">
                  <c:v>49</c:v>
                </c:pt>
                <c:pt idx="44">
                  <c:v>49.46</c:v>
                </c:pt>
                <c:pt idx="45">
                  <c:v>49.92</c:v>
                </c:pt>
                <c:pt idx="46">
                  <c:v>50.39</c:v>
                </c:pt>
                <c:pt idx="47">
                  <c:v>50.86</c:v>
                </c:pt>
                <c:pt idx="48">
                  <c:v>51.28</c:v>
                </c:pt>
                <c:pt idx="49">
                  <c:v>51.66</c:v>
                </c:pt>
                <c:pt idx="50">
                  <c:v>52.04</c:v>
                </c:pt>
                <c:pt idx="51">
                  <c:v>52.43</c:v>
                </c:pt>
                <c:pt idx="52">
                  <c:v>52.94</c:v>
                </c:pt>
                <c:pt idx="53">
                  <c:v>53.55</c:v>
                </c:pt>
                <c:pt idx="54">
                  <c:v>53.93</c:v>
                </c:pt>
                <c:pt idx="55">
                  <c:v>54.22</c:v>
                </c:pt>
                <c:pt idx="56">
                  <c:v>54.62</c:v>
                </c:pt>
                <c:pt idx="57">
                  <c:v>55.08</c:v>
                </c:pt>
                <c:pt idx="58">
                  <c:v>55.52</c:v>
                </c:pt>
                <c:pt idx="59">
                  <c:v>55.87</c:v>
                </c:pt>
                <c:pt idx="60">
                  <c:v>56.25</c:v>
                </c:pt>
                <c:pt idx="61">
                  <c:v>56.67</c:v>
                </c:pt>
                <c:pt idx="62">
                  <c:v>57.1</c:v>
                </c:pt>
                <c:pt idx="63">
                  <c:v>57.45</c:v>
                </c:pt>
                <c:pt idx="64">
                  <c:v>57.82</c:v>
                </c:pt>
                <c:pt idx="65">
                  <c:v>58.24</c:v>
                </c:pt>
                <c:pt idx="66">
                  <c:v>58.63</c:v>
                </c:pt>
                <c:pt idx="67">
                  <c:v>58.98</c:v>
                </c:pt>
                <c:pt idx="68">
                  <c:v>59.37</c:v>
                </c:pt>
                <c:pt idx="69">
                  <c:v>59.69</c:v>
                </c:pt>
                <c:pt idx="70">
                  <c:v>60.07</c:v>
                </c:pt>
                <c:pt idx="71">
                  <c:v>60.38</c:v>
                </c:pt>
                <c:pt idx="72">
                  <c:v>60.79</c:v>
                </c:pt>
                <c:pt idx="73">
                  <c:v>61.05</c:v>
                </c:pt>
                <c:pt idx="74">
                  <c:v>61.44</c:v>
                </c:pt>
                <c:pt idx="75">
                  <c:v>61.76</c:v>
                </c:pt>
                <c:pt idx="76">
                  <c:v>62.02</c:v>
                </c:pt>
                <c:pt idx="77">
                  <c:v>62.36</c:v>
                </c:pt>
                <c:pt idx="78">
                  <c:v>62.62</c:v>
                </c:pt>
                <c:pt idx="79">
                  <c:v>62.81</c:v>
                </c:pt>
                <c:pt idx="80">
                  <c:v>63.04</c:v>
                </c:pt>
                <c:pt idx="81">
                  <c:v>63.19</c:v>
                </c:pt>
                <c:pt idx="82">
                  <c:v>63.37</c:v>
                </c:pt>
                <c:pt idx="83">
                  <c:v>63.46</c:v>
                </c:pt>
                <c:pt idx="84">
                  <c:v>63.5</c:v>
                </c:pt>
                <c:pt idx="85">
                  <c:v>63.55</c:v>
                </c:pt>
                <c:pt idx="86">
                  <c:v>63.48</c:v>
                </c:pt>
                <c:pt idx="87">
                  <c:v>63.43</c:v>
                </c:pt>
                <c:pt idx="88">
                  <c:v>63.36</c:v>
                </c:pt>
                <c:pt idx="89">
                  <c:v>63.22</c:v>
                </c:pt>
                <c:pt idx="90">
                  <c:v>63.01</c:v>
                </c:pt>
                <c:pt idx="91">
                  <c:v>62.89</c:v>
                </c:pt>
                <c:pt idx="92">
                  <c:v>62.65</c:v>
                </c:pt>
                <c:pt idx="93">
                  <c:v>62.53</c:v>
                </c:pt>
                <c:pt idx="94">
                  <c:v>62.27</c:v>
                </c:pt>
                <c:pt idx="95">
                  <c:v>62.11</c:v>
                </c:pt>
                <c:pt idx="96">
                  <c:v>61.93</c:v>
                </c:pt>
                <c:pt idx="97">
                  <c:v>61.7</c:v>
                </c:pt>
                <c:pt idx="98">
                  <c:v>61.61</c:v>
                </c:pt>
                <c:pt idx="99">
                  <c:v>61.43</c:v>
                </c:pt>
                <c:pt idx="100">
                  <c:v>61.39</c:v>
                </c:pt>
                <c:pt idx="101">
                  <c:v>61.34</c:v>
                </c:pt>
                <c:pt idx="102">
                  <c:v>61.3</c:v>
                </c:pt>
                <c:pt idx="103">
                  <c:v>61.28</c:v>
                </c:pt>
                <c:pt idx="104">
                  <c:v>61.33</c:v>
                </c:pt>
                <c:pt idx="105">
                  <c:v>61.35</c:v>
                </c:pt>
                <c:pt idx="106">
                  <c:v>61.44</c:v>
                </c:pt>
                <c:pt idx="107">
                  <c:v>61.52</c:v>
                </c:pt>
                <c:pt idx="108">
                  <c:v>61.62</c:v>
                </c:pt>
                <c:pt idx="109">
                  <c:v>61.7</c:v>
                </c:pt>
                <c:pt idx="110">
                  <c:v>61.85</c:v>
                </c:pt>
                <c:pt idx="111">
                  <c:v>61.98</c:v>
                </c:pt>
                <c:pt idx="112">
                  <c:v>62.08</c:v>
                </c:pt>
                <c:pt idx="113">
                  <c:v>62.2</c:v>
                </c:pt>
                <c:pt idx="114">
                  <c:v>62.32</c:v>
                </c:pt>
                <c:pt idx="115">
                  <c:v>62.43</c:v>
                </c:pt>
                <c:pt idx="116">
                  <c:v>62.58</c:v>
                </c:pt>
                <c:pt idx="117">
                  <c:v>62.62</c:v>
                </c:pt>
                <c:pt idx="118">
                  <c:v>62.7</c:v>
                </c:pt>
                <c:pt idx="119">
                  <c:v>62.83</c:v>
                </c:pt>
                <c:pt idx="120">
                  <c:v>62.84</c:v>
                </c:pt>
                <c:pt idx="121">
                  <c:v>62.92</c:v>
                </c:pt>
                <c:pt idx="122">
                  <c:v>62.93</c:v>
                </c:pt>
                <c:pt idx="123">
                  <c:v>62.91</c:v>
                </c:pt>
                <c:pt idx="124">
                  <c:v>62.87</c:v>
                </c:pt>
                <c:pt idx="125">
                  <c:v>62.8</c:v>
                </c:pt>
                <c:pt idx="126">
                  <c:v>62.64</c:v>
                </c:pt>
                <c:pt idx="127">
                  <c:v>62.59</c:v>
                </c:pt>
                <c:pt idx="128">
                  <c:v>62.39</c:v>
                </c:pt>
                <c:pt idx="129">
                  <c:v>62.26</c:v>
                </c:pt>
                <c:pt idx="130">
                  <c:v>62.13</c:v>
                </c:pt>
                <c:pt idx="131">
                  <c:v>61.99</c:v>
                </c:pt>
                <c:pt idx="132">
                  <c:v>61.82</c:v>
                </c:pt>
                <c:pt idx="133">
                  <c:v>61.72</c:v>
                </c:pt>
                <c:pt idx="134">
                  <c:v>61.61</c:v>
                </c:pt>
                <c:pt idx="135">
                  <c:v>61.59</c:v>
                </c:pt>
                <c:pt idx="136">
                  <c:v>61.56</c:v>
                </c:pt>
                <c:pt idx="137">
                  <c:v>61.52</c:v>
                </c:pt>
                <c:pt idx="138">
                  <c:v>61.57</c:v>
                </c:pt>
                <c:pt idx="139">
                  <c:v>61.58</c:v>
                </c:pt>
                <c:pt idx="140">
                  <c:v>61.62</c:v>
                </c:pt>
                <c:pt idx="141">
                  <c:v>61.67</c:v>
                </c:pt>
                <c:pt idx="142">
                  <c:v>61.73</c:v>
                </c:pt>
                <c:pt idx="143">
                  <c:v>61.78</c:v>
                </c:pt>
                <c:pt idx="144">
                  <c:v>61.82</c:v>
                </c:pt>
                <c:pt idx="145">
                  <c:v>61.92</c:v>
                </c:pt>
                <c:pt idx="146">
                  <c:v>62.07</c:v>
                </c:pt>
                <c:pt idx="147">
                  <c:v>62.1</c:v>
                </c:pt>
                <c:pt idx="148">
                  <c:v>62.27</c:v>
                </c:pt>
                <c:pt idx="149">
                  <c:v>62.32</c:v>
                </c:pt>
                <c:pt idx="150">
                  <c:v>62.44</c:v>
                </c:pt>
                <c:pt idx="151">
                  <c:v>62.5</c:v>
                </c:pt>
                <c:pt idx="152">
                  <c:v>62.58</c:v>
                </c:pt>
                <c:pt idx="153">
                  <c:v>62.7</c:v>
                </c:pt>
                <c:pt idx="154">
                  <c:v>62.72</c:v>
                </c:pt>
                <c:pt idx="155">
                  <c:v>62.79</c:v>
                </c:pt>
                <c:pt idx="156">
                  <c:v>62.86</c:v>
                </c:pt>
                <c:pt idx="157">
                  <c:v>62.83</c:v>
                </c:pt>
                <c:pt idx="158">
                  <c:v>62.86</c:v>
                </c:pt>
                <c:pt idx="159">
                  <c:v>62.85</c:v>
                </c:pt>
                <c:pt idx="160">
                  <c:v>62.81</c:v>
                </c:pt>
                <c:pt idx="161">
                  <c:v>62.74</c:v>
                </c:pt>
                <c:pt idx="162">
                  <c:v>62.59</c:v>
                </c:pt>
                <c:pt idx="163">
                  <c:v>62.53</c:v>
                </c:pt>
                <c:pt idx="164">
                  <c:v>62.32</c:v>
                </c:pt>
                <c:pt idx="165">
                  <c:v>62.18</c:v>
                </c:pt>
                <c:pt idx="166">
                  <c:v>62.02</c:v>
                </c:pt>
                <c:pt idx="167">
                  <c:v>61.93</c:v>
                </c:pt>
                <c:pt idx="168">
                  <c:v>61.83</c:v>
                </c:pt>
                <c:pt idx="169">
                  <c:v>61.69</c:v>
                </c:pt>
                <c:pt idx="170">
                  <c:v>61.54</c:v>
                </c:pt>
                <c:pt idx="171">
                  <c:v>61.51</c:v>
                </c:pt>
                <c:pt idx="172">
                  <c:v>61.55</c:v>
                </c:pt>
                <c:pt idx="173">
                  <c:v>61.56</c:v>
                </c:pt>
                <c:pt idx="174">
                  <c:v>61.54</c:v>
                </c:pt>
                <c:pt idx="175">
                  <c:v>61.58</c:v>
                </c:pt>
                <c:pt idx="176">
                  <c:v>61.62</c:v>
                </c:pt>
                <c:pt idx="177">
                  <c:v>61.68</c:v>
                </c:pt>
                <c:pt idx="178">
                  <c:v>61.77</c:v>
                </c:pt>
                <c:pt idx="179">
                  <c:v>61.92</c:v>
                </c:pt>
                <c:pt idx="180">
                  <c:v>62.03</c:v>
                </c:pt>
                <c:pt idx="181">
                  <c:v>62.05</c:v>
                </c:pt>
                <c:pt idx="182">
                  <c:v>62.21</c:v>
                </c:pt>
                <c:pt idx="183">
                  <c:v>62.22</c:v>
                </c:pt>
                <c:pt idx="184">
                  <c:v>62.38</c:v>
                </c:pt>
                <c:pt idx="185">
                  <c:v>62.45</c:v>
                </c:pt>
                <c:pt idx="186">
                  <c:v>62.47</c:v>
                </c:pt>
                <c:pt idx="187">
                  <c:v>62.59</c:v>
                </c:pt>
                <c:pt idx="188">
                  <c:v>62.65</c:v>
                </c:pt>
                <c:pt idx="189">
                  <c:v>62.7</c:v>
                </c:pt>
                <c:pt idx="190">
                  <c:v>62.74</c:v>
                </c:pt>
                <c:pt idx="191">
                  <c:v>62.77</c:v>
                </c:pt>
                <c:pt idx="192">
                  <c:v>62.82</c:v>
                </c:pt>
                <c:pt idx="193">
                  <c:v>62.6</c:v>
                </c:pt>
                <c:pt idx="194">
                  <c:v>62.8</c:v>
                </c:pt>
                <c:pt idx="195">
                  <c:v>62.57</c:v>
                </c:pt>
                <c:pt idx="196">
                  <c:v>62.71</c:v>
                </c:pt>
                <c:pt idx="197">
                  <c:v>62.6</c:v>
                </c:pt>
                <c:pt idx="198">
                  <c:v>62.55</c:v>
                </c:pt>
                <c:pt idx="199">
                  <c:v>62.47</c:v>
                </c:pt>
                <c:pt idx="200">
                  <c:v>62.37</c:v>
                </c:pt>
                <c:pt idx="201">
                  <c:v>62.32</c:v>
                </c:pt>
                <c:pt idx="202">
                  <c:v>62.24</c:v>
                </c:pt>
                <c:pt idx="203">
                  <c:v>62.15</c:v>
                </c:pt>
                <c:pt idx="204">
                  <c:v>62.14</c:v>
                </c:pt>
                <c:pt idx="205">
                  <c:v>62.06</c:v>
                </c:pt>
                <c:pt idx="206">
                  <c:v>61.99</c:v>
                </c:pt>
                <c:pt idx="207">
                  <c:v>62</c:v>
                </c:pt>
                <c:pt idx="208">
                  <c:v>61.97</c:v>
                </c:pt>
                <c:pt idx="209">
                  <c:v>61.94</c:v>
                </c:pt>
                <c:pt idx="210">
                  <c:v>61.98</c:v>
                </c:pt>
                <c:pt idx="211">
                  <c:v>62.01</c:v>
                </c:pt>
                <c:pt idx="212">
                  <c:v>62.04</c:v>
                </c:pt>
                <c:pt idx="213">
                  <c:v>62</c:v>
                </c:pt>
                <c:pt idx="214">
                  <c:v>62.09</c:v>
                </c:pt>
                <c:pt idx="215">
                  <c:v>62.08</c:v>
                </c:pt>
                <c:pt idx="216">
                  <c:v>62.17</c:v>
                </c:pt>
                <c:pt idx="217">
                  <c:v>62.17</c:v>
                </c:pt>
                <c:pt idx="218">
                  <c:v>62.2</c:v>
                </c:pt>
                <c:pt idx="219">
                  <c:v>62.25</c:v>
                </c:pt>
                <c:pt idx="220">
                  <c:v>62.32</c:v>
                </c:pt>
                <c:pt idx="221">
                  <c:v>62.33</c:v>
                </c:pt>
                <c:pt idx="222">
                  <c:v>62.37</c:v>
                </c:pt>
                <c:pt idx="223">
                  <c:v>62.45</c:v>
                </c:pt>
                <c:pt idx="224">
                  <c:v>62.44</c:v>
                </c:pt>
                <c:pt idx="225">
                  <c:v>62.51</c:v>
                </c:pt>
                <c:pt idx="226">
                  <c:v>62.52</c:v>
                </c:pt>
                <c:pt idx="227">
                  <c:v>62.52</c:v>
                </c:pt>
                <c:pt idx="228">
                  <c:v>62.58</c:v>
                </c:pt>
                <c:pt idx="229">
                  <c:v>62.59</c:v>
                </c:pt>
                <c:pt idx="230">
                  <c:v>62.58</c:v>
                </c:pt>
                <c:pt idx="231">
                  <c:v>62.62</c:v>
                </c:pt>
                <c:pt idx="232">
                  <c:v>62.58</c:v>
                </c:pt>
                <c:pt idx="233">
                  <c:v>62.63</c:v>
                </c:pt>
                <c:pt idx="234">
                  <c:v>62.57</c:v>
                </c:pt>
                <c:pt idx="235">
                  <c:v>62.55</c:v>
                </c:pt>
                <c:pt idx="236">
                  <c:v>62.52</c:v>
                </c:pt>
                <c:pt idx="237">
                  <c:v>62.58</c:v>
                </c:pt>
                <c:pt idx="238">
                  <c:v>62.52</c:v>
                </c:pt>
                <c:pt idx="239">
                  <c:v>62.46</c:v>
                </c:pt>
                <c:pt idx="240">
                  <c:v>62.45</c:v>
                </c:pt>
                <c:pt idx="241">
                  <c:v>62.42</c:v>
                </c:pt>
                <c:pt idx="242">
                  <c:v>62.4</c:v>
                </c:pt>
                <c:pt idx="243">
                  <c:v>62.43</c:v>
                </c:pt>
                <c:pt idx="244">
                  <c:v>62.38</c:v>
                </c:pt>
                <c:pt idx="245">
                  <c:v>62.36</c:v>
                </c:pt>
                <c:pt idx="246">
                  <c:v>62.4</c:v>
                </c:pt>
                <c:pt idx="247">
                  <c:v>62.38</c:v>
                </c:pt>
                <c:pt idx="248">
                  <c:v>62.39</c:v>
                </c:pt>
                <c:pt idx="249">
                  <c:v>62.4</c:v>
                </c:pt>
                <c:pt idx="250">
                  <c:v>62.41</c:v>
                </c:pt>
                <c:pt idx="251">
                  <c:v>62.33</c:v>
                </c:pt>
                <c:pt idx="252">
                  <c:v>62.39</c:v>
                </c:pt>
                <c:pt idx="253">
                  <c:v>62.39</c:v>
                </c:pt>
                <c:pt idx="254">
                  <c:v>62.34</c:v>
                </c:pt>
                <c:pt idx="255">
                  <c:v>62.35</c:v>
                </c:pt>
                <c:pt idx="256">
                  <c:v>62.4</c:v>
                </c:pt>
                <c:pt idx="257">
                  <c:v>62.41</c:v>
                </c:pt>
                <c:pt idx="258">
                  <c:v>62.42</c:v>
                </c:pt>
                <c:pt idx="259">
                  <c:v>62.38</c:v>
                </c:pt>
                <c:pt idx="260">
                  <c:v>62.48</c:v>
                </c:pt>
                <c:pt idx="261">
                  <c:v>62.43</c:v>
                </c:pt>
                <c:pt idx="262">
                  <c:v>62.49</c:v>
                </c:pt>
                <c:pt idx="263">
                  <c:v>62.46</c:v>
                </c:pt>
                <c:pt idx="264">
                  <c:v>62.49</c:v>
                </c:pt>
                <c:pt idx="265">
                  <c:v>62.49</c:v>
                </c:pt>
                <c:pt idx="266">
                  <c:v>62.46</c:v>
                </c:pt>
                <c:pt idx="267">
                  <c:v>62.49</c:v>
                </c:pt>
                <c:pt idx="268">
                  <c:v>62.47</c:v>
                </c:pt>
                <c:pt idx="269">
                  <c:v>62.46</c:v>
                </c:pt>
                <c:pt idx="270">
                  <c:v>62.5</c:v>
                </c:pt>
                <c:pt idx="271">
                  <c:v>62.51</c:v>
                </c:pt>
                <c:pt idx="272">
                  <c:v>62.51</c:v>
                </c:pt>
                <c:pt idx="273">
                  <c:v>62.48</c:v>
                </c:pt>
                <c:pt idx="274">
                  <c:v>62.49</c:v>
                </c:pt>
                <c:pt idx="275">
                  <c:v>62.49</c:v>
                </c:pt>
                <c:pt idx="276">
                  <c:v>62.47</c:v>
                </c:pt>
                <c:pt idx="277">
                  <c:v>62.48</c:v>
                </c:pt>
                <c:pt idx="278">
                  <c:v>62.49</c:v>
                </c:pt>
                <c:pt idx="279">
                  <c:v>62.51</c:v>
                </c:pt>
                <c:pt idx="280">
                  <c:v>62.49</c:v>
                </c:pt>
                <c:pt idx="281">
                  <c:v>62.48</c:v>
                </c:pt>
                <c:pt idx="282">
                  <c:v>62.48</c:v>
                </c:pt>
                <c:pt idx="283">
                  <c:v>62.51</c:v>
                </c:pt>
                <c:pt idx="284">
                  <c:v>62.53</c:v>
                </c:pt>
                <c:pt idx="285">
                  <c:v>62.5</c:v>
                </c:pt>
                <c:pt idx="286">
                  <c:v>62.48</c:v>
                </c:pt>
                <c:pt idx="287">
                  <c:v>62.5</c:v>
                </c:pt>
                <c:pt idx="288">
                  <c:v>62.51</c:v>
                </c:pt>
                <c:pt idx="289">
                  <c:v>62.47</c:v>
                </c:pt>
                <c:pt idx="290">
                  <c:v>62.43</c:v>
                </c:pt>
                <c:pt idx="291">
                  <c:v>62.48</c:v>
                </c:pt>
                <c:pt idx="292">
                  <c:v>62.47</c:v>
                </c:pt>
                <c:pt idx="293">
                  <c:v>62.44</c:v>
                </c:pt>
                <c:pt idx="294">
                  <c:v>62.47</c:v>
                </c:pt>
                <c:pt idx="295">
                  <c:v>62.37</c:v>
                </c:pt>
                <c:pt idx="296">
                  <c:v>62.44</c:v>
                </c:pt>
                <c:pt idx="297">
                  <c:v>62.45</c:v>
                </c:pt>
                <c:pt idx="298">
                  <c:v>62.43</c:v>
                </c:pt>
                <c:pt idx="299">
                  <c:v>62.44</c:v>
                </c:pt>
                <c:pt idx="300">
                  <c:v>62.48</c:v>
                </c:pt>
                <c:pt idx="301">
                  <c:v>62.49</c:v>
                </c:pt>
                <c:pt idx="302">
                  <c:v>62.43</c:v>
                </c:pt>
                <c:pt idx="303">
                  <c:v>62.48</c:v>
                </c:pt>
                <c:pt idx="304">
                  <c:v>62.49</c:v>
                </c:pt>
                <c:pt idx="305">
                  <c:v>62.46</c:v>
                </c:pt>
                <c:pt idx="306">
                  <c:v>62.5</c:v>
                </c:pt>
                <c:pt idx="307">
                  <c:v>62.48</c:v>
                </c:pt>
                <c:pt idx="308">
                  <c:v>62.51</c:v>
                </c:pt>
                <c:pt idx="309">
                  <c:v>62.47</c:v>
                </c:pt>
                <c:pt idx="310">
                  <c:v>62.46</c:v>
                </c:pt>
                <c:pt idx="311">
                  <c:v>62.52</c:v>
                </c:pt>
                <c:pt idx="312">
                  <c:v>62.47</c:v>
                </c:pt>
                <c:pt idx="313">
                  <c:v>62.48</c:v>
                </c:pt>
                <c:pt idx="314">
                  <c:v>62.51</c:v>
                </c:pt>
                <c:pt idx="315">
                  <c:v>62.51</c:v>
                </c:pt>
                <c:pt idx="316">
                  <c:v>62.5</c:v>
                </c:pt>
                <c:pt idx="317">
                  <c:v>62.5</c:v>
                </c:pt>
                <c:pt idx="318">
                  <c:v>62.48</c:v>
                </c:pt>
                <c:pt idx="319">
                  <c:v>62.44</c:v>
                </c:pt>
                <c:pt idx="320">
                  <c:v>62.46</c:v>
                </c:pt>
                <c:pt idx="321">
                  <c:v>62.45</c:v>
                </c:pt>
                <c:pt idx="322">
                  <c:v>62.44</c:v>
                </c:pt>
                <c:pt idx="323">
                  <c:v>62.44</c:v>
                </c:pt>
                <c:pt idx="324">
                  <c:v>62.44</c:v>
                </c:pt>
                <c:pt idx="325">
                  <c:v>62.45</c:v>
                </c:pt>
                <c:pt idx="326">
                  <c:v>62.45</c:v>
                </c:pt>
                <c:pt idx="327">
                  <c:v>62.43</c:v>
                </c:pt>
                <c:pt idx="328">
                  <c:v>62.39</c:v>
                </c:pt>
                <c:pt idx="329">
                  <c:v>62.44</c:v>
                </c:pt>
                <c:pt idx="330">
                  <c:v>62.46</c:v>
                </c:pt>
                <c:pt idx="331">
                  <c:v>62.41</c:v>
                </c:pt>
                <c:pt idx="332">
                  <c:v>62.42</c:v>
                </c:pt>
                <c:pt idx="333">
                  <c:v>62.44</c:v>
                </c:pt>
                <c:pt idx="334">
                  <c:v>62.44</c:v>
                </c:pt>
                <c:pt idx="335">
                  <c:v>62.42</c:v>
                </c:pt>
                <c:pt idx="336">
                  <c:v>62.47</c:v>
                </c:pt>
                <c:pt idx="337">
                  <c:v>62.42</c:v>
                </c:pt>
                <c:pt idx="338">
                  <c:v>62.5</c:v>
                </c:pt>
                <c:pt idx="339">
                  <c:v>62.43</c:v>
                </c:pt>
                <c:pt idx="340">
                  <c:v>62.51</c:v>
                </c:pt>
                <c:pt idx="341">
                  <c:v>62.42</c:v>
                </c:pt>
                <c:pt idx="342">
                  <c:v>62.44</c:v>
                </c:pt>
                <c:pt idx="343">
                  <c:v>62.5</c:v>
                </c:pt>
                <c:pt idx="344">
                  <c:v>62.43</c:v>
                </c:pt>
                <c:pt idx="345">
                  <c:v>62.51</c:v>
                </c:pt>
                <c:pt idx="346">
                  <c:v>62.43</c:v>
                </c:pt>
                <c:pt idx="347">
                  <c:v>62.52</c:v>
                </c:pt>
                <c:pt idx="348">
                  <c:v>62.37</c:v>
                </c:pt>
                <c:pt idx="349">
                  <c:v>62.53</c:v>
                </c:pt>
                <c:pt idx="350">
                  <c:v>62.34</c:v>
                </c:pt>
                <c:pt idx="351">
                  <c:v>62.53</c:v>
                </c:pt>
                <c:pt idx="352">
                  <c:v>62.38</c:v>
                </c:pt>
                <c:pt idx="353">
                  <c:v>62.49</c:v>
                </c:pt>
                <c:pt idx="354">
                  <c:v>62.34</c:v>
                </c:pt>
                <c:pt idx="355">
                  <c:v>62.55</c:v>
                </c:pt>
                <c:pt idx="356">
                  <c:v>62.35</c:v>
                </c:pt>
                <c:pt idx="357">
                  <c:v>62.51</c:v>
                </c:pt>
                <c:pt idx="358">
                  <c:v>62.4</c:v>
                </c:pt>
                <c:pt idx="359">
                  <c:v>62.41</c:v>
                </c:pt>
                <c:pt idx="360">
                  <c:v>62.43</c:v>
                </c:pt>
                <c:pt idx="361">
                  <c:v>62.37</c:v>
                </c:pt>
                <c:pt idx="362">
                  <c:v>62.43</c:v>
                </c:pt>
                <c:pt idx="363">
                  <c:v>62.37</c:v>
                </c:pt>
                <c:pt idx="364">
                  <c:v>62.4</c:v>
                </c:pt>
                <c:pt idx="365">
                  <c:v>62.4</c:v>
                </c:pt>
                <c:pt idx="366">
                  <c:v>62.41</c:v>
                </c:pt>
                <c:pt idx="367">
                  <c:v>62.35</c:v>
                </c:pt>
                <c:pt idx="368">
                  <c:v>62.41</c:v>
                </c:pt>
                <c:pt idx="369">
                  <c:v>62.39</c:v>
                </c:pt>
                <c:pt idx="370">
                  <c:v>62.42</c:v>
                </c:pt>
                <c:pt idx="371">
                  <c:v>62.44</c:v>
                </c:pt>
                <c:pt idx="372">
                  <c:v>62.41</c:v>
                </c:pt>
                <c:pt idx="373">
                  <c:v>62.48</c:v>
                </c:pt>
                <c:pt idx="374">
                  <c:v>62.47</c:v>
                </c:pt>
                <c:pt idx="375">
                  <c:v>62.47</c:v>
                </c:pt>
                <c:pt idx="376">
                  <c:v>62.45</c:v>
                </c:pt>
                <c:pt idx="377">
                  <c:v>62.51</c:v>
                </c:pt>
                <c:pt idx="378">
                  <c:v>62.52</c:v>
                </c:pt>
                <c:pt idx="379">
                  <c:v>62.51</c:v>
                </c:pt>
                <c:pt idx="380">
                  <c:v>62.55</c:v>
                </c:pt>
                <c:pt idx="381">
                  <c:v>62.55</c:v>
                </c:pt>
                <c:pt idx="382">
                  <c:v>62.48</c:v>
                </c:pt>
                <c:pt idx="383">
                  <c:v>62.51</c:v>
                </c:pt>
                <c:pt idx="384">
                  <c:v>62.52</c:v>
                </c:pt>
                <c:pt idx="385">
                  <c:v>62.55</c:v>
                </c:pt>
                <c:pt idx="386">
                  <c:v>62.51</c:v>
                </c:pt>
                <c:pt idx="387">
                  <c:v>62.53</c:v>
                </c:pt>
                <c:pt idx="388">
                  <c:v>62.52</c:v>
                </c:pt>
                <c:pt idx="389">
                  <c:v>62.51</c:v>
                </c:pt>
                <c:pt idx="390">
                  <c:v>62.51</c:v>
                </c:pt>
                <c:pt idx="391">
                  <c:v>62.46</c:v>
                </c:pt>
                <c:pt idx="392">
                  <c:v>62.49</c:v>
                </c:pt>
                <c:pt idx="393">
                  <c:v>62.45</c:v>
                </c:pt>
                <c:pt idx="394">
                  <c:v>62.47</c:v>
                </c:pt>
                <c:pt idx="395">
                  <c:v>62.49</c:v>
                </c:pt>
                <c:pt idx="396">
                  <c:v>62.42</c:v>
                </c:pt>
                <c:pt idx="397">
                  <c:v>62.46</c:v>
                </c:pt>
                <c:pt idx="398">
                  <c:v>62.46</c:v>
                </c:pt>
                <c:pt idx="399">
                  <c:v>62.4</c:v>
                </c:pt>
                <c:pt idx="400">
                  <c:v>62.45</c:v>
                </c:pt>
                <c:pt idx="401">
                  <c:v>62.4</c:v>
                </c:pt>
                <c:pt idx="402">
                  <c:v>62.46</c:v>
                </c:pt>
                <c:pt idx="403">
                  <c:v>62.45</c:v>
                </c:pt>
                <c:pt idx="404">
                  <c:v>62.45</c:v>
                </c:pt>
                <c:pt idx="405">
                  <c:v>62.42</c:v>
                </c:pt>
                <c:pt idx="406">
                  <c:v>62.46</c:v>
                </c:pt>
                <c:pt idx="407">
                  <c:v>62.41</c:v>
                </c:pt>
                <c:pt idx="408">
                  <c:v>62.42</c:v>
                </c:pt>
                <c:pt idx="409">
                  <c:v>62.42</c:v>
                </c:pt>
                <c:pt idx="410">
                  <c:v>62.46</c:v>
                </c:pt>
                <c:pt idx="411">
                  <c:v>62.46</c:v>
                </c:pt>
                <c:pt idx="412">
                  <c:v>62.47</c:v>
                </c:pt>
                <c:pt idx="413">
                  <c:v>62.45</c:v>
                </c:pt>
                <c:pt idx="414">
                  <c:v>62.41</c:v>
                </c:pt>
                <c:pt idx="415">
                  <c:v>62.47</c:v>
                </c:pt>
                <c:pt idx="416">
                  <c:v>62.45</c:v>
                </c:pt>
                <c:pt idx="417">
                  <c:v>62.45</c:v>
                </c:pt>
                <c:pt idx="418">
                  <c:v>62.45</c:v>
                </c:pt>
                <c:pt idx="419">
                  <c:v>62.42</c:v>
                </c:pt>
                <c:pt idx="420">
                  <c:v>62.48</c:v>
                </c:pt>
                <c:pt idx="421">
                  <c:v>62.43</c:v>
                </c:pt>
                <c:pt idx="422">
                  <c:v>62.47</c:v>
                </c:pt>
                <c:pt idx="423">
                  <c:v>62.48</c:v>
                </c:pt>
                <c:pt idx="424">
                  <c:v>62.47</c:v>
                </c:pt>
                <c:pt idx="425">
                  <c:v>62.44</c:v>
                </c:pt>
                <c:pt idx="426">
                  <c:v>62.47</c:v>
                </c:pt>
                <c:pt idx="427">
                  <c:v>62.47</c:v>
                </c:pt>
                <c:pt idx="428">
                  <c:v>62.42</c:v>
                </c:pt>
                <c:pt idx="429">
                  <c:v>62.43</c:v>
                </c:pt>
                <c:pt idx="430">
                  <c:v>62.43</c:v>
                </c:pt>
                <c:pt idx="431">
                  <c:v>62.46</c:v>
                </c:pt>
                <c:pt idx="432">
                  <c:v>62.43</c:v>
                </c:pt>
                <c:pt idx="433">
                  <c:v>62.45</c:v>
                </c:pt>
                <c:pt idx="434">
                  <c:v>62.44</c:v>
                </c:pt>
                <c:pt idx="435">
                  <c:v>62.47</c:v>
                </c:pt>
                <c:pt idx="436">
                  <c:v>62.45</c:v>
                </c:pt>
                <c:pt idx="437">
                  <c:v>62.39</c:v>
                </c:pt>
                <c:pt idx="438">
                  <c:v>62.39</c:v>
                </c:pt>
                <c:pt idx="439">
                  <c:v>62.4</c:v>
                </c:pt>
                <c:pt idx="440">
                  <c:v>62.4</c:v>
                </c:pt>
                <c:pt idx="441">
                  <c:v>62.44</c:v>
                </c:pt>
                <c:pt idx="442">
                  <c:v>62.43</c:v>
                </c:pt>
                <c:pt idx="443">
                  <c:v>62.45</c:v>
                </c:pt>
                <c:pt idx="444">
                  <c:v>62.45</c:v>
                </c:pt>
                <c:pt idx="445">
                  <c:v>62.45</c:v>
                </c:pt>
                <c:pt idx="446">
                  <c:v>62.41</c:v>
                </c:pt>
                <c:pt idx="447">
                  <c:v>62.5</c:v>
                </c:pt>
                <c:pt idx="448">
                  <c:v>62.49</c:v>
                </c:pt>
                <c:pt idx="449">
                  <c:v>62.49</c:v>
                </c:pt>
                <c:pt idx="450">
                  <c:v>62.49</c:v>
                </c:pt>
                <c:pt idx="451">
                  <c:v>62.49</c:v>
                </c:pt>
                <c:pt idx="452">
                  <c:v>62.47</c:v>
                </c:pt>
                <c:pt idx="453">
                  <c:v>62.49</c:v>
                </c:pt>
                <c:pt idx="454">
                  <c:v>62.49</c:v>
                </c:pt>
                <c:pt idx="455">
                  <c:v>62.52</c:v>
                </c:pt>
                <c:pt idx="456">
                  <c:v>62.48</c:v>
                </c:pt>
                <c:pt idx="457">
                  <c:v>62.49</c:v>
                </c:pt>
                <c:pt idx="458">
                  <c:v>62.49</c:v>
                </c:pt>
                <c:pt idx="459">
                  <c:v>62.51</c:v>
                </c:pt>
                <c:pt idx="460">
                  <c:v>62.49</c:v>
                </c:pt>
                <c:pt idx="461">
                  <c:v>62.47</c:v>
                </c:pt>
                <c:pt idx="462">
                  <c:v>62.49</c:v>
                </c:pt>
                <c:pt idx="463">
                  <c:v>62.45</c:v>
                </c:pt>
                <c:pt idx="464">
                  <c:v>62.46</c:v>
                </c:pt>
                <c:pt idx="465">
                  <c:v>62.5</c:v>
                </c:pt>
                <c:pt idx="466">
                  <c:v>62.45</c:v>
                </c:pt>
                <c:pt idx="467">
                  <c:v>62.49</c:v>
                </c:pt>
                <c:pt idx="468">
                  <c:v>62.51</c:v>
                </c:pt>
                <c:pt idx="469">
                  <c:v>62.44</c:v>
                </c:pt>
                <c:pt idx="470">
                  <c:v>62.49</c:v>
                </c:pt>
                <c:pt idx="471">
                  <c:v>62.47</c:v>
                </c:pt>
                <c:pt idx="472">
                  <c:v>62.45</c:v>
                </c:pt>
                <c:pt idx="473">
                  <c:v>62.52</c:v>
                </c:pt>
                <c:pt idx="474">
                  <c:v>62.5</c:v>
                </c:pt>
                <c:pt idx="475">
                  <c:v>62.51</c:v>
                </c:pt>
                <c:pt idx="476">
                  <c:v>62.45</c:v>
                </c:pt>
                <c:pt idx="477">
                  <c:v>62.49</c:v>
                </c:pt>
                <c:pt idx="478">
                  <c:v>62.47</c:v>
                </c:pt>
                <c:pt idx="479">
                  <c:v>62.5</c:v>
                </c:pt>
                <c:pt idx="480">
                  <c:v>62.44</c:v>
                </c:pt>
                <c:pt idx="481">
                  <c:v>62.5</c:v>
                </c:pt>
                <c:pt idx="482">
                  <c:v>62.49</c:v>
                </c:pt>
                <c:pt idx="483">
                  <c:v>62.49</c:v>
                </c:pt>
                <c:pt idx="484">
                  <c:v>62.49</c:v>
                </c:pt>
                <c:pt idx="485">
                  <c:v>62.48</c:v>
                </c:pt>
                <c:pt idx="486">
                  <c:v>62.48</c:v>
                </c:pt>
                <c:pt idx="487">
                  <c:v>62.49</c:v>
                </c:pt>
                <c:pt idx="488">
                  <c:v>62.49</c:v>
                </c:pt>
                <c:pt idx="489">
                  <c:v>62.48</c:v>
                </c:pt>
                <c:pt idx="490">
                  <c:v>62.47</c:v>
                </c:pt>
                <c:pt idx="491">
                  <c:v>62.43</c:v>
                </c:pt>
                <c:pt idx="492">
                  <c:v>62.49</c:v>
                </c:pt>
                <c:pt idx="493">
                  <c:v>62.45</c:v>
                </c:pt>
                <c:pt idx="494">
                  <c:v>62.47</c:v>
                </c:pt>
                <c:pt idx="495">
                  <c:v>62.47</c:v>
                </c:pt>
                <c:pt idx="496">
                  <c:v>62.46</c:v>
                </c:pt>
                <c:pt idx="497">
                  <c:v>62.46</c:v>
                </c:pt>
                <c:pt idx="498">
                  <c:v>62.41</c:v>
                </c:pt>
                <c:pt idx="499">
                  <c:v>62.41</c:v>
                </c:pt>
                <c:pt idx="500">
                  <c:v>62.41</c:v>
                </c:pt>
                <c:pt idx="501">
                  <c:v>62.4</c:v>
                </c:pt>
                <c:pt idx="502">
                  <c:v>62.44</c:v>
                </c:pt>
                <c:pt idx="503">
                  <c:v>62.44</c:v>
                </c:pt>
                <c:pt idx="504">
                  <c:v>62.39</c:v>
                </c:pt>
                <c:pt idx="505">
                  <c:v>62.41</c:v>
                </c:pt>
                <c:pt idx="506">
                  <c:v>62.42</c:v>
                </c:pt>
                <c:pt idx="507">
                  <c:v>62.45</c:v>
                </c:pt>
                <c:pt idx="508">
                  <c:v>62.46</c:v>
                </c:pt>
                <c:pt idx="509">
                  <c:v>62.42</c:v>
                </c:pt>
                <c:pt idx="510">
                  <c:v>62.43</c:v>
                </c:pt>
                <c:pt idx="511">
                  <c:v>62.49</c:v>
                </c:pt>
                <c:pt idx="512">
                  <c:v>62.48</c:v>
                </c:pt>
                <c:pt idx="513">
                  <c:v>62.49</c:v>
                </c:pt>
                <c:pt idx="514">
                  <c:v>62.47</c:v>
                </c:pt>
                <c:pt idx="515">
                  <c:v>62.52</c:v>
                </c:pt>
                <c:pt idx="516">
                  <c:v>62.53</c:v>
                </c:pt>
                <c:pt idx="517">
                  <c:v>62.54</c:v>
                </c:pt>
                <c:pt idx="518">
                  <c:v>62.49</c:v>
                </c:pt>
                <c:pt idx="519">
                  <c:v>62.53</c:v>
                </c:pt>
                <c:pt idx="520">
                  <c:v>62.53</c:v>
                </c:pt>
                <c:pt idx="521">
                  <c:v>62.53</c:v>
                </c:pt>
                <c:pt idx="522">
                  <c:v>62.52</c:v>
                </c:pt>
                <c:pt idx="523">
                  <c:v>62.5</c:v>
                </c:pt>
                <c:pt idx="524">
                  <c:v>62.53</c:v>
                </c:pt>
                <c:pt idx="525">
                  <c:v>62.49</c:v>
                </c:pt>
                <c:pt idx="526">
                  <c:v>62.49</c:v>
                </c:pt>
                <c:pt idx="527">
                  <c:v>62.53</c:v>
                </c:pt>
                <c:pt idx="528">
                  <c:v>62.51</c:v>
                </c:pt>
                <c:pt idx="529">
                  <c:v>62.51</c:v>
                </c:pt>
                <c:pt idx="530">
                  <c:v>62.52</c:v>
                </c:pt>
                <c:pt idx="531">
                  <c:v>62.52</c:v>
                </c:pt>
                <c:pt idx="532">
                  <c:v>62.47</c:v>
                </c:pt>
                <c:pt idx="533">
                  <c:v>62.43</c:v>
                </c:pt>
                <c:pt idx="534">
                  <c:v>62.46</c:v>
                </c:pt>
                <c:pt idx="535">
                  <c:v>62.49</c:v>
                </c:pt>
                <c:pt idx="536">
                  <c:v>62.51</c:v>
                </c:pt>
                <c:pt idx="537">
                  <c:v>62.47</c:v>
                </c:pt>
                <c:pt idx="538">
                  <c:v>62.44</c:v>
                </c:pt>
                <c:pt idx="539">
                  <c:v>62.49</c:v>
                </c:pt>
                <c:pt idx="540">
                  <c:v>62.43</c:v>
                </c:pt>
                <c:pt idx="541">
                  <c:v>62.45</c:v>
                </c:pt>
                <c:pt idx="542">
                  <c:v>62.47</c:v>
                </c:pt>
                <c:pt idx="543">
                  <c:v>62.49</c:v>
                </c:pt>
                <c:pt idx="544">
                  <c:v>62.5</c:v>
                </c:pt>
                <c:pt idx="545">
                  <c:v>62.51</c:v>
                </c:pt>
                <c:pt idx="546">
                  <c:v>62.53</c:v>
                </c:pt>
                <c:pt idx="547">
                  <c:v>62.48</c:v>
                </c:pt>
                <c:pt idx="548">
                  <c:v>62.53</c:v>
                </c:pt>
                <c:pt idx="549">
                  <c:v>62.48</c:v>
                </c:pt>
                <c:pt idx="550">
                  <c:v>62.51</c:v>
                </c:pt>
                <c:pt idx="551">
                  <c:v>62.52</c:v>
                </c:pt>
                <c:pt idx="552">
                  <c:v>62.53</c:v>
                </c:pt>
                <c:pt idx="553">
                  <c:v>62.54</c:v>
                </c:pt>
                <c:pt idx="554">
                  <c:v>62.48</c:v>
                </c:pt>
                <c:pt idx="555">
                  <c:v>62.48</c:v>
                </c:pt>
                <c:pt idx="556">
                  <c:v>62.53</c:v>
                </c:pt>
                <c:pt idx="557">
                  <c:v>62.51</c:v>
                </c:pt>
                <c:pt idx="558">
                  <c:v>62.47</c:v>
                </c:pt>
                <c:pt idx="559">
                  <c:v>62.51</c:v>
                </c:pt>
                <c:pt idx="560">
                  <c:v>62.51</c:v>
                </c:pt>
                <c:pt idx="561">
                  <c:v>62.5</c:v>
                </c:pt>
                <c:pt idx="562">
                  <c:v>62.51</c:v>
                </c:pt>
                <c:pt idx="563">
                  <c:v>62.47</c:v>
                </c:pt>
                <c:pt idx="564">
                  <c:v>62.47</c:v>
                </c:pt>
                <c:pt idx="565">
                  <c:v>62.41</c:v>
                </c:pt>
                <c:pt idx="566">
                  <c:v>62.42</c:v>
                </c:pt>
                <c:pt idx="567">
                  <c:v>62.42</c:v>
                </c:pt>
                <c:pt idx="568">
                  <c:v>62.4</c:v>
                </c:pt>
                <c:pt idx="569">
                  <c:v>62.45</c:v>
                </c:pt>
                <c:pt idx="570">
                  <c:v>62.4</c:v>
                </c:pt>
                <c:pt idx="571">
                  <c:v>62.45</c:v>
                </c:pt>
                <c:pt idx="572">
                  <c:v>62.42</c:v>
                </c:pt>
                <c:pt idx="573">
                  <c:v>62.45</c:v>
                </c:pt>
                <c:pt idx="574">
                  <c:v>62.41</c:v>
                </c:pt>
                <c:pt idx="575">
                  <c:v>62.47</c:v>
                </c:pt>
                <c:pt idx="576">
                  <c:v>62.43</c:v>
                </c:pt>
                <c:pt idx="577">
                  <c:v>62.45</c:v>
                </c:pt>
                <c:pt idx="578">
                  <c:v>62.43</c:v>
                </c:pt>
                <c:pt idx="579">
                  <c:v>62.44</c:v>
                </c:pt>
                <c:pt idx="580">
                  <c:v>62.45</c:v>
                </c:pt>
                <c:pt idx="581">
                  <c:v>62.47</c:v>
                </c:pt>
                <c:pt idx="582">
                  <c:v>62.46</c:v>
                </c:pt>
                <c:pt idx="583">
                  <c:v>62.47</c:v>
                </c:pt>
                <c:pt idx="584">
                  <c:v>62.47</c:v>
                </c:pt>
                <c:pt idx="585">
                  <c:v>62.49</c:v>
                </c:pt>
                <c:pt idx="586">
                  <c:v>62.51</c:v>
                </c:pt>
                <c:pt idx="587">
                  <c:v>62.53</c:v>
                </c:pt>
                <c:pt idx="588">
                  <c:v>62.47</c:v>
                </c:pt>
                <c:pt idx="589">
                  <c:v>62.47</c:v>
                </c:pt>
                <c:pt idx="590">
                  <c:v>62.52</c:v>
                </c:pt>
                <c:pt idx="591">
                  <c:v>62.53</c:v>
                </c:pt>
                <c:pt idx="592">
                  <c:v>62.5</c:v>
                </c:pt>
                <c:pt idx="593">
                  <c:v>62.49</c:v>
                </c:pt>
                <c:pt idx="594">
                  <c:v>62.53</c:v>
                </c:pt>
                <c:pt idx="595">
                  <c:v>62.47</c:v>
                </c:pt>
                <c:pt idx="596">
                  <c:v>62.51</c:v>
                </c:pt>
                <c:pt idx="597">
                  <c:v>62.49</c:v>
                </c:pt>
                <c:pt idx="598">
                  <c:v>62.53</c:v>
                </c:pt>
                <c:pt idx="599">
                  <c:v>62.47</c:v>
                </c:pt>
                <c:pt idx="600">
                  <c:v>61.67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3E-4FE8-BF12-F92AC4EECF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34927"/>
        <c:axId val="1111540207"/>
      </c:scatterChart>
      <c:valAx>
        <c:axId val="11115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0207"/>
        <c:crosses val="autoZero"/>
        <c:crossBetween val="midCat"/>
      </c:valAx>
      <c:valAx>
        <c:axId val="111154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34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'62'!$R$1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'62'!$Q$2:$Q$602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'62'!$R$2:$R$602</c:f>
              <c:numCache>
                <c:formatCode>General</c:formatCode>
                <c:ptCount val="601"/>
                <c:pt idx="0">
                  <c:v>34.049999999999997</c:v>
                </c:pt>
                <c:pt idx="1">
                  <c:v>34.97</c:v>
                </c:pt>
                <c:pt idx="2">
                  <c:v>34.99</c:v>
                </c:pt>
                <c:pt idx="3">
                  <c:v>35.17</c:v>
                </c:pt>
                <c:pt idx="4">
                  <c:v>35.26</c:v>
                </c:pt>
                <c:pt idx="5">
                  <c:v>35.51</c:v>
                </c:pt>
                <c:pt idx="6">
                  <c:v>35.82</c:v>
                </c:pt>
                <c:pt idx="7">
                  <c:v>36.21</c:v>
                </c:pt>
                <c:pt idx="8">
                  <c:v>36.65</c:v>
                </c:pt>
                <c:pt idx="9">
                  <c:v>37.19</c:v>
                </c:pt>
                <c:pt idx="10">
                  <c:v>37.729999999999997</c:v>
                </c:pt>
                <c:pt idx="11">
                  <c:v>38.35</c:v>
                </c:pt>
                <c:pt idx="12">
                  <c:v>38.97</c:v>
                </c:pt>
                <c:pt idx="13">
                  <c:v>39.65</c:v>
                </c:pt>
                <c:pt idx="14">
                  <c:v>40.35</c:v>
                </c:pt>
                <c:pt idx="15">
                  <c:v>41.04</c:v>
                </c:pt>
                <c:pt idx="16">
                  <c:v>41.81</c:v>
                </c:pt>
                <c:pt idx="17">
                  <c:v>42.48</c:v>
                </c:pt>
                <c:pt idx="18">
                  <c:v>43.2</c:v>
                </c:pt>
                <c:pt idx="19">
                  <c:v>43.87</c:v>
                </c:pt>
                <c:pt idx="20">
                  <c:v>44.6</c:v>
                </c:pt>
                <c:pt idx="21">
                  <c:v>45.26</c:v>
                </c:pt>
                <c:pt idx="22">
                  <c:v>45.95</c:v>
                </c:pt>
                <c:pt idx="23">
                  <c:v>46.57</c:v>
                </c:pt>
                <c:pt idx="24">
                  <c:v>47.24</c:v>
                </c:pt>
                <c:pt idx="25">
                  <c:v>47.86</c:v>
                </c:pt>
                <c:pt idx="26">
                  <c:v>48.45</c:v>
                </c:pt>
                <c:pt idx="27">
                  <c:v>49.02</c:v>
                </c:pt>
                <c:pt idx="28">
                  <c:v>49.62</c:v>
                </c:pt>
                <c:pt idx="29">
                  <c:v>50.18</c:v>
                </c:pt>
                <c:pt idx="30">
                  <c:v>50.65</c:v>
                </c:pt>
                <c:pt idx="31">
                  <c:v>51.2</c:v>
                </c:pt>
                <c:pt idx="32">
                  <c:v>51.72</c:v>
                </c:pt>
                <c:pt idx="33">
                  <c:v>52.19</c:v>
                </c:pt>
                <c:pt idx="34">
                  <c:v>52.66</c:v>
                </c:pt>
                <c:pt idx="35">
                  <c:v>53.13</c:v>
                </c:pt>
                <c:pt idx="36">
                  <c:v>53.55</c:v>
                </c:pt>
                <c:pt idx="37">
                  <c:v>54</c:v>
                </c:pt>
                <c:pt idx="38">
                  <c:v>54.36</c:v>
                </c:pt>
                <c:pt idx="39">
                  <c:v>54.78</c:v>
                </c:pt>
                <c:pt idx="40">
                  <c:v>55.21</c:v>
                </c:pt>
                <c:pt idx="41">
                  <c:v>55.52</c:v>
                </c:pt>
                <c:pt idx="42">
                  <c:v>55.93</c:v>
                </c:pt>
                <c:pt idx="43">
                  <c:v>56.24</c:v>
                </c:pt>
                <c:pt idx="44">
                  <c:v>56.58</c:v>
                </c:pt>
                <c:pt idx="45">
                  <c:v>56.91</c:v>
                </c:pt>
                <c:pt idx="46">
                  <c:v>57.19</c:v>
                </c:pt>
                <c:pt idx="47">
                  <c:v>57.46</c:v>
                </c:pt>
                <c:pt idx="48">
                  <c:v>57.74</c:v>
                </c:pt>
                <c:pt idx="49">
                  <c:v>58.01</c:v>
                </c:pt>
                <c:pt idx="50">
                  <c:v>58.25</c:v>
                </c:pt>
                <c:pt idx="51">
                  <c:v>58.53</c:v>
                </c:pt>
                <c:pt idx="52">
                  <c:v>58.75</c:v>
                </c:pt>
                <c:pt idx="53">
                  <c:v>59.01</c:v>
                </c:pt>
                <c:pt idx="54">
                  <c:v>59.25</c:v>
                </c:pt>
                <c:pt idx="55">
                  <c:v>59.45</c:v>
                </c:pt>
                <c:pt idx="56">
                  <c:v>59.69</c:v>
                </c:pt>
                <c:pt idx="57">
                  <c:v>59.82</c:v>
                </c:pt>
                <c:pt idx="58">
                  <c:v>60.03</c:v>
                </c:pt>
                <c:pt idx="59">
                  <c:v>60.2</c:v>
                </c:pt>
                <c:pt idx="60">
                  <c:v>60.41</c:v>
                </c:pt>
                <c:pt idx="61">
                  <c:v>60.52</c:v>
                </c:pt>
                <c:pt idx="62">
                  <c:v>60.7</c:v>
                </c:pt>
                <c:pt idx="63">
                  <c:v>60.81</c:v>
                </c:pt>
                <c:pt idx="64">
                  <c:v>60.95</c:v>
                </c:pt>
                <c:pt idx="65">
                  <c:v>61.14</c:v>
                </c:pt>
                <c:pt idx="66">
                  <c:v>61.27</c:v>
                </c:pt>
                <c:pt idx="67">
                  <c:v>61.41</c:v>
                </c:pt>
                <c:pt idx="68">
                  <c:v>61.47</c:v>
                </c:pt>
                <c:pt idx="69">
                  <c:v>61.6</c:v>
                </c:pt>
                <c:pt idx="70">
                  <c:v>61.69</c:v>
                </c:pt>
                <c:pt idx="71">
                  <c:v>61.78</c:v>
                </c:pt>
                <c:pt idx="72">
                  <c:v>61.9</c:v>
                </c:pt>
                <c:pt idx="73">
                  <c:v>61.97</c:v>
                </c:pt>
                <c:pt idx="74">
                  <c:v>62.07</c:v>
                </c:pt>
                <c:pt idx="75">
                  <c:v>62.14</c:v>
                </c:pt>
                <c:pt idx="76">
                  <c:v>62.22</c:v>
                </c:pt>
                <c:pt idx="77">
                  <c:v>62.33</c:v>
                </c:pt>
                <c:pt idx="78">
                  <c:v>62.43</c:v>
                </c:pt>
                <c:pt idx="79">
                  <c:v>62.42</c:v>
                </c:pt>
                <c:pt idx="80">
                  <c:v>62.51</c:v>
                </c:pt>
                <c:pt idx="81">
                  <c:v>62.58</c:v>
                </c:pt>
                <c:pt idx="82">
                  <c:v>62.62</c:v>
                </c:pt>
                <c:pt idx="83">
                  <c:v>62.69</c:v>
                </c:pt>
                <c:pt idx="84">
                  <c:v>62.72</c:v>
                </c:pt>
                <c:pt idx="85">
                  <c:v>62.76</c:v>
                </c:pt>
                <c:pt idx="86">
                  <c:v>62.77</c:v>
                </c:pt>
                <c:pt idx="87">
                  <c:v>62.83</c:v>
                </c:pt>
                <c:pt idx="88">
                  <c:v>62.88</c:v>
                </c:pt>
                <c:pt idx="89">
                  <c:v>62.93</c:v>
                </c:pt>
                <c:pt idx="90">
                  <c:v>62.97</c:v>
                </c:pt>
                <c:pt idx="91">
                  <c:v>62.96</c:v>
                </c:pt>
                <c:pt idx="92">
                  <c:v>62.98</c:v>
                </c:pt>
                <c:pt idx="93">
                  <c:v>63.01</c:v>
                </c:pt>
                <c:pt idx="94">
                  <c:v>63.07</c:v>
                </c:pt>
                <c:pt idx="95">
                  <c:v>63.09</c:v>
                </c:pt>
                <c:pt idx="96">
                  <c:v>63.05</c:v>
                </c:pt>
                <c:pt idx="97">
                  <c:v>63.06</c:v>
                </c:pt>
                <c:pt idx="98">
                  <c:v>63.11</c:v>
                </c:pt>
                <c:pt idx="99">
                  <c:v>63.11</c:v>
                </c:pt>
                <c:pt idx="100">
                  <c:v>63.15</c:v>
                </c:pt>
                <c:pt idx="101">
                  <c:v>63.15</c:v>
                </c:pt>
                <c:pt idx="102">
                  <c:v>63.18</c:v>
                </c:pt>
                <c:pt idx="103">
                  <c:v>63.15</c:v>
                </c:pt>
                <c:pt idx="104">
                  <c:v>63.17</c:v>
                </c:pt>
                <c:pt idx="105">
                  <c:v>63.15</c:v>
                </c:pt>
                <c:pt idx="106">
                  <c:v>63.19</c:v>
                </c:pt>
                <c:pt idx="107">
                  <c:v>63.16</c:v>
                </c:pt>
                <c:pt idx="108">
                  <c:v>63.16</c:v>
                </c:pt>
                <c:pt idx="109">
                  <c:v>63.13</c:v>
                </c:pt>
                <c:pt idx="110">
                  <c:v>63.15</c:v>
                </c:pt>
                <c:pt idx="111">
                  <c:v>63.12</c:v>
                </c:pt>
                <c:pt idx="112">
                  <c:v>63.16</c:v>
                </c:pt>
                <c:pt idx="113">
                  <c:v>63.09</c:v>
                </c:pt>
                <c:pt idx="114">
                  <c:v>63.09</c:v>
                </c:pt>
                <c:pt idx="115">
                  <c:v>63.11</c:v>
                </c:pt>
                <c:pt idx="116">
                  <c:v>63.08</c:v>
                </c:pt>
                <c:pt idx="117">
                  <c:v>63.07</c:v>
                </c:pt>
                <c:pt idx="118">
                  <c:v>63.07</c:v>
                </c:pt>
                <c:pt idx="119">
                  <c:v>63.07</c:v>
                </c:pt>
                <c:pt idx="120">
                  <c:v>63.06</c:v>
                </c:pt>
                <c:pt idx="121">
                  <c:v>63.05</c:v>
                </c:pt>
                <c:pt idx="122">
                  <c:v>63.03</c:v>
                </c:pt>
                <c:pt idx="123">
                  <c:v>63.01</c:v>
                </c:pt>
                <c:pt idx="124">
                  <c:v>63.01</c:v>
                </c:pt>
                <c:pt idx="125">
                  <c:v>63</c:v>
                </c:pt>
                <c:pt idx="126">
                  <c:v>63.02</c:v>
                </c:pt>
                <c:pt idx="127">
                  <c:v>62.96</c:v>
                </c:pt>
                <c:pt idx="128">
                  <c:v>62.98</c:v>
                </c:pt>
                <c:pt idx="129">
                  <c:v>62.98</c:v>
                </c:pt>
                <c:pt idx="130">
                  <c:v>62.93</c:v>
                </c:pt>
                <c:pt idx="131">
                  <c:v>62.94</c:v>
                </c:pt>
                <c:pt idx="132">
                  <c:v>62.91</c:v>
                </c:pt>
                <c:pt idx="133">
                  <c:v>62.93</c:v>
                </c:pt>
                <c:pt idx="134">
                  <c:v>62.88</c:v>
                </c:pt>
                <c:pt idx="135">
                  <c:v>62.88</c:v>
                </c:pt>
                <c:pt idx="136">
                  <c:v>62.85</c:v>
                </c:pt>
                <c:pt idx="137">
                  <c:v>62.89</c:v>
                </c:pt>
                <c:pt idx="138">
                  <c:v>62.84</c:v>
                </c:pt>
                <c:pt idx="139">
                  <c:v>62.85</c:v>
                </c:pt>
                <c:pt idx="140">
                  <c:v>62.82</c:v>
                </c:pt>
                <c:pt idx="141">
                  <c:v>62.8</c:v>
                </c:pt>
                <c:pt idx="142">
                  <c:v>62.82</c:v>
                </c:pt>
                <c:pt idx="143">
                  <c:v>62.76</c:v>
                </c:pt>
                <c:pt idx="144">
                  <c:v>62.76</c:v>
                </c:pt>
                <c:pt idx="145">
                  <c:v>62.79</c:v>
                </c:pt>
                <c:pt idx="146">
                  <c:v>62.77</c:v>
                </c:pt>
                <c:pt idx="147">
                  <c:v>62.76</c:v>
                </c:pt>
                <c:pt idx="148">
                  <c:v>62.76</c:v>
                </c:pt>
                <c:pt idx="149">
                  <c:v>62.75</c:v>
                </c:pt>
                <c:pt idx="150">
                  <c:v>62.73</c:v>
                </c:pt>
                <c:pt idx="151">
                  <c:v>62.72</c:v>
                </c:pt>
                <c:pt idx="152">
                  <c:v>62.69</c:v>
                </c:pt>
                <c:pt idx="153">
                  <c:v>62.71</c:v>
                </c:pt>
                <c:pt idx="154">
                  <c:v>62.5</c:v>
                </c:pt>
                <c:pt idx="155">
                  <c:v>62.7</c:v>
                </c:pt>
                <c:pt idx="156">
                  <c:v>61.94</c:v>
                </c:pt>
                <c:pt idx="157">
                  <c:v>62.68</c:v>
                </c:pt>
                <c:pt idx="158">
                  <c:v>61.76</c:v>
                </c:pt>
                <c:pt idx="159">
                  <c:v>62.64</c:v>
                </c:pt>
                <c:pt idx="160">
                  <c:v>61.72</c:v>
                </c:pt>
                <c:pt idx="161">
                  <c:v>62.62</c:v>
                </c:pt>
                <c:pt idx="162">
                  <c:v>61.73</c:v>
                </c:pt>
                <c:pt idx="163">
                  <c:v>62.57</c:v>
                </c:pt>
                <c:pt idx="164">
                  <c:v>61.76</c:v>
                </c:pt>
                <c:pt idx="165">
                  <c:v>62.67</c:v>
                </c:pt>
                <c:pt idx="166">
                  <c:v>61.76</c:v>
                </c:pt>
                <c:pt idx="167">
                  <c:v>62.65</c:v>
                </c:pt>
                <c:pt idx="168">
                  <c:v>61.81</c:v>
                </c:pt>
                <c:pt idx="169">
                  <c:v>62.64</c:v>
                </c:pt>
                <c:pt idx="170">
                  <c:v>61.79</c:v>
                </c:pt>
                <c:pt idx="171">
                  <c:v>62.69</c:v>
                </c:pt>
                <c:pt idx="172">
                  <c:v>61.75</c:v>
                </c:pt>
                <c:pt idx="173">
                  <c:v>62.66</c:v>
                </c:pt>
                <c:pt idx="174">
                  <c:v>61.81</c:v>
                </c:pt>
                <c:pt idx="175">
                  <c:v>62.7</c:v>
                </c:pt>
                <c:pt idx="176">
                  <c:v>61.83</c:v>
                </c:pt>
                <c:pt idx="177">
                  <c:v>62.7</c:v>
                </c:pt>
                <c:pt idx="178">
                  <c:v>61.81</c:v>
                </c:pt>
                <c:pt idx="179">
                  <c:v>62.74</c:v>
                </c:pt>
                <c:pt idx="180">
                  <c:v>61.81</c:v>
                </c:pt>
                <c:pt idx="181">
                  <c:v>62.73</c:v>
                </c:pt>
                <c:pt idx="182">
                  <c:v>61.8</c:v>
                </c:pt>
                <c:pt idx="183">
                  <c:v>62.72</c:v>
                </c:pt>
                <c:pt idx="184">
                  <c:v>61.81</c:v>
                </c:pt>
                <c:pt idx="185">
                  <c:v>62.73</c:v>
                </c:pt>
                <c:pt idx="186">
                  <c:v>61.85</c:v>
                </c:pt>
                <c:pt idx="187">
                  <c:v>62.69</c:v>
                </c:pt>
                <c:pt idx="188">
                  <c:v>61.83</c:v>
                </c:pt>
                <c:pt idx="189">
                  <c:v>62.73</c:v>
                </c:pt>
                <c:pt idx="190">
                  <c:v>61.83</c:v>
                </c:pt>
                <c:pt idx="191">
                  <c:v>62.74</c:v>
                </c:pt>
                <c:pt idx="192">
                  <c:v>61.78</c:v>
                </c:pt>
                <c:pt idx="193">
                  <c:v>62.73</c:v>
                </c:pt>
                <c:pt idx="194">
                  <c:v>61.8</c:v>
                </c:pt>
                <c:pt idx="195">
                  <c:v>62.72</c:v>
                </c:pt>
                <c:pt idx="196">
                  <c:v>61.81</c:v>
                </c:pt>
                <c:pt idx="197">
                  <c:v>62.7</c:v>
                </c:pt>
                <c:pt idx="198">
                  <c:v>61.81</c:v>
                </c:pt>
                <c:pt idx="199">
                  <c:v>62.68</c:v>
                </c:pt>
                <c:pt idx="200">
                  <c:v>61.82</c:v>
                </c:pt>
                <c:pt idx="201">
                  <c:v>62.73</c:v>
                </c:pt>
                <c:pt idx="202">
                  <c:v>61.82</c:v>
                </c:pt>
                <c:pt idx="203">
                  <c:v>62.67</c:v>
                </c:pt>
                <c:pt idx="204">
                  <c:v>61.75</c:v>
                </c:pt>
                <c:pt idx="205">
                  <c:v>62.7</c:v>
                </c:pt>
                <c:pt idx="206">
                  <c:v>61.74</c:v>
                </c:pt>
                <c:pt idx="207">
                  <c:v>62.64</c:v>
                </c:pt>
                <c:pt idx="208">
                  <c:v>61.77</c:v>
                </c:pt>
                <c:pt idx="209">
                  <c:v>62.61</c:v>
                </c:pt>
                <c:pt idx="210">
                  <c:v>61.72</c:v>
                </c:pt>
                <c:pt idx="211">
                  <c:v>62.67</c:v>
                </c:pt>
                <c:pt idx="212">
                  <c:v>61.72</c:v>
                </c:pt>
                <c:pt idx="213">
                  <c:v>62.67</c:v>
                </c:pt>
                <c:pt idx="214">
                  <c:v>61.77</c:v>
                </c:pt>
                <c:pt idx="215">
                  <c:v>62.51</c:v>
                </c:pt>
                <c:pt idx="216">
                  <c:v>61.74</c:v>
                </c:pt>
                <c:pt idx="217">
                  <c:v>61.98</c:v>
                </c:pt>
                <c:pt idx="218">
                  <c:v>61.76</c:v>
                </c:pt>
                <c:pt idx="219">
                  <c:v>61.85</c:v>
                </c:pt>
                <c:pt idx="220">
                  <c:v>61.82</c:v>
                </c:pt>
                <c:pt idx="221">
                  <c:v>61.79</c:v>
                </c:pt>
                <c:pt idx="222">
                  <c:v>61.81</c:v>
                </c:pt>
                <c:pt idx="223">
                  <c:v>61.79</c:v>
                </c:pt>
                <c:pt idx="224">
                  <c:v>61.8</c:v>
                </c:pt>
                <c:pt idx="225">
                  <c:v>61.87</c:v>
                </c:pt>
                <c:pt idx="226">
                  <c:v>61.81</c:v>
                </c:pt>
                <c:pt idx="227">
                  <c:v>61.85</c:v>
                </c:pt>
                <c:pt idx="228">
                  <c:v>61.8</c:v>
                </c:pt>
                <c:pt idx="229">
                  <c:v>61.88</c:v>
                </c:pt>
                <c:pt idx="230">
                  <c:v>61.85</c:v>
                </c:pt>
                <c:pt idx="231">
                  <c:v>61.83</c:v>
                </c:pt>
                <c:pt idx="232">
                  <c:v>61.85</c:v>
                </c:pt>
                <c:pt idx="233">
                  <c:v>61.89</c:v>
                </c:pt>
                <c:pt idx="234">
                  <c:v>61.93</c:v>
                </c:pt>
                <c:pt idx="235">
                  <c:v>61.93</c:v>
                </c:pt>
                <c:pt idx="236">
                  <c:v>61.89</c:v>
                </c:pt>
                <c:pt idx="237">
                  <c:v>61.93</c:v>
                </c:pt>
                <c:pt idx="238">
                  <c:v>61.93</c:v>
                </c:pt>
                <c:pt idx="239">
                  <c:v>61.91</c:v>
                </c:pt>
                <c:pt idx="240">
                  <c:v>61.92</c:v>
                </c:pt>
                <c:pt idx="241">
                  <c:v>61.96</c:v>
                </c:pt>
                <c:pt idx="242">
                  <c:v>61.99</c:v>
                </c:pt>
                <c:pt idx="243">
                  <c:v>61.96</c:v>
                </c:pt>
                <c:pt idx="244">
                  <c:v>61.97</c:v>
                </c:pt>
                <c:pt idx="245">
                  <c:v>61.98</c:v>
                </c:pt>
                <c:pt idx="246">
                  <c:v>61.97</c:v>
                </c:pt>
                <c:pt idx="247">
                  <c:v>61.95</c:v>
                </c:pt>
                <c:pt idx="248">
                  <c:v>61.98</c:v>
                </c:pt>
                <c:pt idx="249">
                  <c:v>61.96</c:v>
                </c:pt>
                <c:pt idx="250">
                  <c:v>62.04</c:v>
                </c:pt>
                <c:pt idx="251">
                  <c:v>61.97</c:v>
                </c:pt>
                <c:pt idx="252">
                  <c:v>61.99</c:v>
                </c:pt>
                <c:pt idx="253">
                  <c:v>62.01</c:v>
                </c:pt>
                <c:pt idx="254">
                  <c:v>62.01</c:v>
                </c:pt>
                <c:pt idx="255">
                  <c:v>62</c:v>
                </c:pt>
                <c:pt idx="256">
                  <c:v>62.04</c:v>
                </c:pt>
                <c:pt idx="257">
                  <c:v>62.05</c:v>
                </c:pt>
                <c:pt idx="258">
                  <c:v>62.04</c:v>
                </c:pt>
                <c:pt idx="259">
                  <c:v>62.06</c:v>
                </c:pt>
                <c:pt idx="260">
                  <c:v>62.05</c:v>
                </c:pt>
                <c:pt idx="261">
                  <c:v>62.07</c:v>
                </c:pt>
                <c:pt idx="262">
                  <c:v>62.06</c:v>
                </c:pt>
                <c:pt idx="263">
                  <c:v>62.04</c:v>
                </c:pt>
                <c:pt idx="264">
                  <c:v>62.07</c:v>
                </c:pt>
                <c:pt idx="265">
                  <c:v>62.03</c:v>
                </c:pt>
                <c:pt idx="266">
                  <c:v>62.06</c:v>
                </c:pt>
                <c:pt idx="267">
                  <c:v>62</c:v>
                </c:pt>
                <c:pt idx="268">
                  <c:v>62.02</c:v>
                </c:pt>
                <c:pt idx="269">
                  <c:v>62.06</c:v>
                </c:pt>
                <c:pt idx="270">
                  <c:v>62.06</c:v>
                </c:pt>
                <c:pt idx="271">
                  <c:v>62.06</c:v>
                </c:pt>
                <c:pt idx="272">
                  <c:v>62.08</c:v>
                </c:pt>
                <c:pt idx="273">
                  <c:v>62.1</c:v>
                </c:pt>
                <c:pt idx="274">
                  <c:v>62.05</c:v>
                </c:pt>
                <c:pt idx="275">
                  <c:v>62.08</c:v>
                </c:pt>
                <c:pt idx="276">
                  <c:v>62.06</c:v>
                </c:pt>
                <c:pt idx="277">
                  <c:v>62.07</c:v>
                </c:pt>
                <c:pt idx="278">
                  <c:v>62.08</c:v>
                </c:pt>
                <c:pt idx="279">
                  <c:v>62.09</c:v>
                </c:pt>
                <c:pt idx="280">
                  <c:v>62.12</c:v>
                </c:pt>
                <c:pt idx="281">
                  <c:v>62.1</c:v>
                </c:pt>
                <c:pt idx="282">
                  <c:v>62.08</c:v>
                </c:pt>
                <c:pt idx="283">
                  <c:v>62.09</c:v>
                </c:pt>
                <c:pt idx="284">
                  <c:v>62.14</c:v>
                </c:pt>
                <c:pt idx="285">
                  <c:v>62.1</c:v>
                </c:pt>
                <c:pt idx="286">
                  <c:v>62.13</c:v>
                </c:pt>
                <c:pt idx="287">
                  <c:v>62.08</c:v>
                </c:pt>
                <c:pt idx="288">
                  <c:v>62.07</c:v>
                </c:pt>
                <c:pt idx="289">
                  <c:v>62.05</c:v>
                </c:pt>
                <c:pt idx="290">
                  <c:v>62.1</c:v>
                </c:pt>
                <c:pt idx="291">
                  <c:v>62.1</c:v>
                </c:pt>
                <c:pt idx="292">
                  <c:v>62.11</c:v>
                </c:pt>
                <c:pt idx="293">
                  <c:v>62.1</c:v>
                </c:pt>
                <c:pt idx="294">
                  <c:v>62.06</c:v>
                </c:pt>
                <c:pt idx="295">
                  <c:v>62.1</c:v>
                </c:pt>
                <c:pt idx="296">
                  <c:v>62.06</c:v>
                </c:pt>
                <c:pt idx="297">
                  <c:v>62.1</c:v>
                </c:pt>
                <c:pt idx="298">
                  <c:v>62.1</c:v>
                </c:pt>
                <c:pt idx="299">
                  <c:v>62.1</c:v>
                </c:pt>
                <c:pt idx="300">
                  <c:v>62.12</c:v>
                </c:pt>
                <c:pt idx="301">
                  <c:v>62.12</c:v>
                </c:pt>
                <c:pt idx="302">
                  <c:v>62.1</c:v>
                </c:pt>
                <c:pt idx="303">
                  <c:v>62.05</c:v>
                </c:pt>
                <c:pt idx="304">
                  <c:v>62.05</c:v>
                </c:pt>
                <c:pt idx="305">
                  <c:v>62.09</c:v>
                </c:pt>
                <c:pt idx="306">
                  <c:v>62.06</c:v>
                </c:pt>
                <c:pt idx="307">
                  <c:v>62.06</c:v>
                </c:pt>
                <c:pt idx="308">
                  <c:v>62.08</c:v>
                </c:pt>
                <c:pt idx="309">
                  <c:v>62.05</c:v>
                </c:pt>
                <c:pt idx="310">
                  <c:v>62.04</c:v>
                </c:pt>
                <c:pt idx="311">
                  <c:v>62.09</c:v>
                </c:pt>
                <c:pt idx="312">
                  <c:v>62.05</c:v>
                </c:pt>
                <c:pt idx="313">
                  <c:v>62.09</c:v>
                </c:pt>
                <c:pt idx="314">
                  <c:v>61.97</c:v>
                </c:pt>
                <c:pt idx="315">
                  <c:v>62.05</c:v>
                </c:pt>
                <c:pt idx="316">
                  <c:v>62.09</c:v>
                </c:pt>
                <c:pt idx="317">
                  <c:v>62.06</c:v>
                </c:pt>
                <c:pt idx="318">
                  <c:v>62.05</c:v>
                </c:pt>
                <c:pt idx="319">
                  <c:v>62.08</c:v>
                </c:pt>
                <c:pt idx="320">
                  <c:v>62.05</c:v>
                </c:pt>
                <c:pt idx="321">
                  <c:v>62.02</c:v>
                </c:pt>
                <c:pt idx="322">
                  <c:v>62.09</c:v>
                </c:pt>
                <c:pt idx="323">
                  <c:v>62.03</c:v>
                </c:pt>
                <c:pt idx="324">
                  <c:v>62.06</c:v>
                </c:pt>
                <c:pt idx="325">
                  <c:v>62.04</c:v>
                </c:pt>
                <c:pt idx="326">
                  <c:v>62.09</c:v>
                </c:pt>
                <c:pt idx="327">
                  <c:v>62.07</c:v>
                </c:pt>
                <c:pt idx="328">
                  <c:v>62.1</c:v>
                </c:pt>
                <c:pt idx="329">
                  <c:v>62.11</c:v>
                </c:pt>
                <c:pt idx="330">
                  <c:v>62.04</c:v>
                </c:pt>
                <c:pt idx="331">
                  <c:v>62.1</c:v>
                </c:pt>
                <c:pt idx="332">
                  <c:v>62.1</c:v>
                </c:pt>
                <c:pt idx="333">
                  <c:v>62.17</c:v>
                </c:pt>
                <c:pt idx="334">
                  <c:v>62.1</c:v>
                </c:pt>
                <c:pt idx="335">
                  <c:v>62.1</c:v>
                </c:pt>
                <c:pt idx="336">
                  <c:v>62.1</c:v>
                </c:pt>
                <c:pt idx="337">
                  <c:v>62.1</c:v>
                </c:pt>
                <c:pt idx="338">
                  <c:v>62.15</c:v>
                </c:pt>
                <c:pt idx="339">
                  <c:v>62.13</c:v>
                </c:pt>
                <c:pt idx="340">
                  <c:v>62.1</c:v>
                </c:pt>
                <c:pt idx="341">
                  <c:v>62.13</c:v>
                </c:pt>
                <c:pt idx="342">
                  <c:v>62.12</c:v>
                </c:pt>
                <c:pt idx="343">
                  <c:v>62.09</c:v>
                </c:pt>
                <c:pt idx="344">
                  <c:v>62.11</c:v>
                </c:pt>
                <c:pt idx="345">
                  <c:v>62.11</c:v>
                </c:pt>
                <c:pt idx="346">
                  <c:v>62.12</c:v>
                </c:pt>
                <c:pt idx="347">
                  <c:v>62.1</c:v>
                </c:pt>
                <c:pt idx="348">
                  <c:v>62.14</c:v>
                </c:pt>
                <c:pt idx="349">
                  <c:v>62.14</c:v>
                </c:pt>
                <c:pt idx="350">
                  <c:v>62.14</c:v>
                </c:pt>
                <c:pt idx="351">
                  <c:v>62.11</c:v>
                </c:pt>
                <c:pt idx="352">
                  <c:v>62.12</c:v>
                </c:pt>
                <c:pt idx="353">
                  <c:v>62.12</c:v>
                </c:pt>
                <c:pt idx="354">
                  <c:v>62.14</c:v>
                </c:pt>
                <c:pt idx="355">
                  <c:v>62.1</c:v>
                </c:pt>
                <c:pt idx="356">
                  <c:v>62.13</c:v>
                </c:pt>
                <c:pt idx="357">
                  <c:v>62.13</c:v>
                </c:pt>
                <c:pt idx="358">
                  <c:v>62.12</c:v>
                </c:pt>
                <c:pt idx="359">
                  <c:v>62.1</c:v>
                </c:pt>
                <c:pt idx="360">
                  <c:v>62.12</c:v>
                </c:pt>
                <c:pt idx="361">
                  <c:v>62.1</c:v>
                </c:pt>
                <c:pt idx="362">
                  <c:v>62.13</c:v>
                </c:pt>
                <c:pt idx="363">
                  <c:v>62.14</c:v>
                </c:pt>
                <c:pt idx="364">
                  <c:v>62.08</c:v>
                </c:pt>
                <c:pt idx="365">
                  <c:v>62.13</c:v>
                </c:pt>
                <c:pt idx="366">
                  <c:v>62.12</c:v>
                </c:pt>
                <c:pt idx="367">
                  <c:v>62.06</c:v>
                </c:pt>
                <c:pt idx="368">
                  <c:v>62.11</c:v>
                </c:pt>
                <c:pt idx="369">
                  <c:v>62.12</c:v>
                </c:pt>
                <c:pt idx="370">
                  <c:v>62.12</c:v>
                </c:pt>
                <c:pt idx="371">
                  <c:v>62.07</c:v>
                </c:pt>
                <c:pt idx="372">
                  <c:v>62.09</c:v>
                </c:pt>
                <c:pt idx="373">
                  <c:v>62.13</c:v>
                </c:pt>
                <c:pt idx="374">
                  <c:v>62.14</c:v>
                </c:pt>
                <c:pt idx="375">
                  <c:v>62.14</c:v>
                </c:pt>
                <c:pt idx="376">
                  <c:v>62.11</c:v>
                </c:pt>
                <c:pt idx="377">
                  <c:v>62.1</c:v>
                </c:pt>
                <c:pt idx="378">
                  <c:v>62.08</c:v>
                </c:pt>
                <c:pt idx="379">
                  <c:v>62.07</c:v>
                </c:pt>
                <c:pt idx="380">
                  <c:v>62.1</c:v>
                </c:pt>
                <c:pt idx="381">
                  <c:v>62.09</c:v>
                </c:pt>
                <c:pt idx="382">
                  <c:v>62.1</c:v>
                </c:pt>
                <c:pt idx="383">
                  <c:v>62.11</c:v>
                </c:pt>
                <c:pt idx="384">
                  <c:v>62.14</c:v>
                </c:pt>
                <c:pt idx="385">
                  <c:v>62.1</c:v>
                </c:pt>
                <c:pt idx="386">
                  <c:v>62.08</c:v>
                </c:pt>
                <c:pt idx="387">
                  <c:v>62.09</c:v>
                </c:pt>
                <c:pt idx="388">
                  <c:v>62.07</c:v>
                </c:pt>
                <c:pt idx="389">
                  <c:v>62.06</c:v>
                </c:pt>
                <c:pt idx="390">
                  <c:v>62.07</c:v>
                </c:pt>
                <c:pt idx="391">
                  <c:v>62.07</c:v>
                </c:pt>
                <c:pt idx="392">
                  <c:v>62.01</c:v>
                </c:pt>
                <c:pt idx="393">
                  <c:v>62.06</c:v>
                </c:pt>
                <c:pt idx="394">
                  <c:v>62.03</c:v>
                </c:pt>
                <c:pt idx="395">
                  <c:v>62.07</c:v>
                </c:pt>
                <c:pt idx="396">
                  <c:v>62.06</c:v>
                </c:pt>
                <c:pt idx="397">
                  <c:v>62.01</c:v>
                </c:pt>
                <c:pt idx="398">
                  <c:v>62.05</c:v>
                </c:pt>
                <c:pt idx="399">
                  <c:v>62.03</c:v>
                </c:pt>
                <c:pt idx="400">
                  <c:v>62.05</c:v>
                </c:pt>
                <c:pt idx="401">
                  <c:v>62.05</c:v>
                </c:pt>
                <c:pt idx="402">
                  <c:v>62.02</c:v>
                </c:pt>
                <c:pt idx="403">
                  <c:v>62.03</c:v>
                </c:pt>
                <c:pt idx="404">
                  <c:v>62.06</c:v>
                </c:pt>
                <c:pt idx="405">
                  <c:v>62.05</c:v>
                </c:pt>
                <c:pt idx="406">
                  <c:v>61.98</c:v>
                </c:pt>
                <c:pt idx="407">
                  <c:v>62.01</c:v>
                </c:pt>
                <c:pt idx="408">
                  <c:v>62.01</c:v>
                </c:pt>
                <c:pt idx="409">
                  <c:v>62.04</c:v>
                </c:pt>
                <c:pt idx="410">
                  <c:v>62.01</c:v>
                </c:pt>
                <c:pt idx="411">
                  <c:v>62.03</c:v>
                </c:pt>
                <c:pt idx="412">
                  <c:v>62.02</c:v>
                </c:pt>
                <c:pt idx="413">
                  <c:v>62.05</c:v>
                </c:pt>
                <c:pt idx="414">
                  <c:v>62.01</c:v>
                </c:pt>
                <c:pt idx="415">
                  <c:v>61.97</c:v>
                </c:pt>
                <c:pt idx="416">
                  <c:v>61.97</c:v>
                </c:pt>
                <c:pt idx="417">
                  <c:v>61.97</c:v>
                </c:pt>
                <c:pt idx="418">
                  <c:v>62.04</c:v>
                </c:pt>
                <c:pt idx="419">
                  <c:v>62.01</c:v>
                </c:pt>
                <c:pt idx="420">
                  <c:v>62.02</c:v>
                </c:pt>
                <c:pt idx="421">
                  <c:v>62</c:v>
                </c:pt>
                <c:pt idx="422">
                  <c:v>62.02</c:v>
                </c:pt>
                <c:pt idx="423">
                  <c:v>61.97</c:v>
                </c:pt>
                <c:pt idx="424">
                  <c:v>62.03</c:v>
                </c:pt>
                <c:pt idx="425">
                  <c:v>62.01</c:v>
                </c:pt>
                <c:pt idx="426">
                  <c:v>62</c:v>
                </c:pt>
                <c:pt idx="427">
                  <c:v>61.97</c:v>
                </c:pt>
                <c:pt idx="428">
                  <c:v>61.96</c:v>
                </c:pt>
                <c:pt idx="429">
                  <c:v>61.97</c:v>
                </c:pt>
                <c:pt idx="430">
                  <c:v>61.99</c:v>
                </c:pt>
                <c:pt idx="431">
                  <c:v>61.97</c:v>
                </c:pt>
                <c:pt idx="432">
                  <c:v>61.97</c:v>
                </c:pt>
                <c:pt idx="433">
                  <c:v>61.97</c:v>
                </c:pt>
                <c:pt idx="434">
                  <c:v>61.94</c:v>
                </c:pt>
                <c:pt idx="435">
                  <c:v>61.97</c:v>
                </c:pt>
                <c:pt idx="436">
                  <c:v>61.99</c:v>
                </c:pt>
                <c:pt idx="437">
                  <c:v>61.99</c:v>
                </c:pt>
                <c:pt idx="438">
                  <c:v>62.01</c:v>
                </c:pt>
                <c:pt idx="439">
                  <c:v>61.99</c:v>
                </c:pt>
                <c:pt idx="440">
                  <c:v>62.04</c:v>
                </c:pt>
                <c:pt idx="441">
                  <c:v>62.02</c:v>
                </c:pt>
                <c:pt idx="442">
                  <c:v>62.03</c:v>
                </c:pt>
                <c:pt idx="443">
                  <c:v>62</c:v>
                </c:pt>
                <c:pt idx="444">
                  <c:v>62.05</c:v>
                </c:pt>
                <c:pt idx="445">
                  <c:v>62.01</c:v>
                </c:pt>
                <c:pt idx="446">
                  <c:v>61.99</c:v>
                </c:pt>
                <c:pt idx="447">
                  <c:v>61.95</c:v>
                </c:pt>
                <c:pt idx="448">
                  <c:v>61.97</c:v>
                </c:pt>
                <c:pt idx="449">
                  <c:v>62.02</c:v>
                </c:pt>
                <c:pt idx="450">
                  <c:v>62.03</c:v>
                </c:pt>
                <c:pt idx="451">
                  <c:v>62.02</c:v>
                </c:pt>
                <c:pt idx="452">
                  <c:v>62.01</c:v>
                </c:pt>
                <c:pt idx="453">
                  <c:v>62.01</c:v>
                </c:pt>
                <c:pt idx="454">
                  <c:v>62.02</c:v>
                </c:pt>
                <c:pt idx="455">
                  <c:v>62.01</c:v>
                </c:pt>
                <c:pt idx="456">
                  <c:v>62.04</c:v>
                </c:pt>
                <c:pt idx="457">
                  <c:v>61.97</c:v>
                </c:pt>
                <c:pt idx="458">
                  <c:v>61.93</c:v>
                </c:pt>
                <c:pt idx="459">
                  <c:v>62.01</c:v>
                </c:pt>
                <c:pt idx="460">
                  <c:v>62.01</c:v>
                </c:pt>
                <c:pt idx="461">
                  <c:v>62</c:v>
                </c:pt>
                <c:pt idx="462">
                  <c:v>61.92</c:v>
                </c:pt>
                <c:pt idx="463">
                  <c:v>61.98</c:v>
                </c:pt>
                <c:pt idx="464">
                  <c:v>61.97</c:v>
                </c:pt>
                <c:pt idx="465">
                  <c:v>62.02</c:v>
                </c:pt>
                <c:pt idx="466">
                  <c:v>62.02</c:v>
                </c:pt>
                <c:pt idx="467">
                  <c:v>62.05</c:v>
                </c:pt>
                <c:pt idx="468">
                  <c:v>62.01</c:v>
                </c:pt>
                <c:pt idx="469">
                  <c:v>61.98</c:v>
                </c:pt>
                <c:pt idx="470">
                  <c:v>61.97</c:v>
                </c:pt>
                <c:pt idx="471">
                  <c:v>61.97</c:v>
                </c:pt>
                <c:pt idx="472">
                  <c:v>62.02</c:v>
                </c:pt>
                <c:pt idx="473">
                  <c:v>62.01</c:v>
                </c:pt>
                <c:pt idx="474">
                  <c:v>62.03</c:v>
                </c:pt>
                <c:pt idx="475">
                  <c:v>62</c:v>
                </c:pt>
                <c:pt idx="476">
                  <c:v>61.97</c:v>
                </c:pt>
                <c:pt idx="477">
                  <c:v>61.98</c:v>
                </c:pt>
                <c:pt idx="478">
                  <c:v>61.97</c:v>
                </c:pt>
                <c:pt idx="479">
                  <c:v>61.96</c:v>
                </c:pt>
                <c:pt idx="480">
                  <c:v>62.05</c:v>
                </c:pt>
                <c:pt idx="481">
                  <c:v>62.01</c:v>
                </c:pt>
                <c:pt idx="482">
                  <c:v>62.01</c:v>
                </c:pt>
                <c:pt idx="483">
                  <c:v>61.99</c:v>
                </c:pt>
                <c:pt idx="484">
                  <c:v>62.01</c:v>
                </c:pt>
                <c:pt idx="485">
                  <c:v>62.01</c:v>
                </c:pt>
                <c:pt idx="486">
                  <c:v>61.99</c:v>
                </c:pt>
                <c:pt idx="487">
                  <c:v>62.04</c:v>
                </c:pt>
                <c:pt idx="488">
                  <c:v>62.01</c:v>
                </c:pt>
                <c:pt idx="489">
                  <c:v>61.99</c:v>
                </c:pt>
                <c:pt idx="490">
                  <c:v>62</c:v>
                </c:pt>
                <c:pt idx="491">
                  <c:v>62.01</c:v>
                </c:pt>
                <c:pt idx="492">
                  <c:v>62</c:v>
                </c:pt>
                <c:pt idx="493">
                  <c:v>62.07</c:v>
                </c:pt>
                <c:pt idx="494">
                  <c:v>61.99</c:v>
                </c:pt>
                <c:pt idx="495">
                  <c:v>62.03</c:v>
                </c:pt>
                <c:pt idx="496">
                  <c:v>61.99</c:v>
                </c:pt>
                <c:pt idx="497">
                  <c:v>62.05</c:v>
                </c:pt>
                <c:pt idx="498">
                  <c:v>62.04</c:v>
                </c:pt>
                <c:pt idx="499">
                  <c:v>62.03</c:v>
                </c:pt>
                <c:pt idx="500">
                  <c:v>62.05</c:v>
                </c:pt>
                <c:pt idx="501">
                  <c:v>62.01</c:v>
                </c:pt>
                <c:pt idx="502">
                  <c:v>62.04</c:v>
                </c:pt>
                <c:pt idx="503">
                  <c:v>62.01</c:v>
                </c:pt>
                <c:pt idx="504">
                  <c:v>62.01</c:v>
                </c:pt>
                <c:pt idx="505">
                  <c:v>62.03</c:v>
                </c:pt>
                <c:pt idx="506">
                  <c:v>62.02</c:v>
                </c:pt>
                <c:pt idx="507">
                  <c:v>61.98</c:v>
                </c:pt>
                <c:pt idx="508">
                  <c:v>62.01</c:v>
                </c:pt>
                <c:pt idx="509">
                  <c:v>62.01</c:v>
                </c:pt>
                <c:pt idx="510">
                  <c:v>62.01</c:v>
                </c:pt>
                <c:pt idx="511">
                  <c:v>62.02</c:v>
                </c:pt>
                <c:pt idx="512">
                  <c:v>62.01</c:v>
                </c:pt>
                <c:pt idx="513">
                  <c:v>62.01</c:v>
                </c:pt>
                <c:pt idx="514">
                  <c:v>62.09</c:v>
                </c:pt>
                <c:pt idx="515">
                  <c:v>62.01</c:v>
                </c:pt>
                <c:pt idx="516">
                  <c:v>62.03</c:v>
                </c:pt>
                <c:pt idx="517">
                  <c:v>62.1</c:v>
                </c:pt>
                <c:pt idx="518">
                  <c:v>62.18</c:v>
                </c:pt>
                <c:pt idx="519">
                  <c:v>62.26</c:v>
                </c:pt>
                <c:pt idx="520">
                  <c:v>62.35</c:v>
                </c:pt>
                <c:pt idx="521">
                  <c:v>62.39</c:v>
                </c:pt>
                <c:pt idx="522">
                  <c:v>62.51</c:v>
                </c:pt>
                <c:pt idx="523">
                  <c:v>62.52</c:v>
                </c:pt>
                <c:pt idx="524">
                  <c:v>62.61</c:v>
                </c:pt>
                <c:pt idx="525">
                  <c:v>62.59</c:v>
                </c:pt>
                <c:pt idx="526">
                  <c:v>62.63</c:v>
                </c:pt>
                <c:pt idx="527">
                  <c:v>62.58</c:v>
                </c:pt>
                <c:pt idx="528">
                  <c:v>62.64</c:v>
                </c:pt>
                <c:pt idx="529">
                  <c:v>62.63</c:v>
                </c:pt>
                <c:pt idx="530">
                  <c:v>62.58</c:v>
                </c:pt>
                <c:pt idx="531">
                  <c:v>62.63</c:v>
                </c:pt>
                <c:pt idx="532">
                  <c:v>62.6</c:v>
                </c:pt>
                <c:pt idx="533">
                  <c:v>62.58</c:v>
                </c:pt>
                <c:pt idx="534">
                  <c:v>62.57</c:v>
                </c:pt>
                <c:pt idx="535">
                  <c:v>62.58</c:v>
                </c:pt>
                <c:pt idx="536">
                  <c:v>62.55</c:v>
                </c:pt>
                <c:pt idx="537">
                  <c:v>62.55</c:v>
                </c:pt>
                <c:pt idx="538">
                  <c:v>62.51</c:v>
                </c:pt>
                <c:pt idx="539">
                  <c:v>62.5</c:v>
                </c:pt>
                <c:pt idx="540">
                  <c:v>62.46</c:v>
                </c:pt>
                <c:pt idx="541">
                  <c:v>62.48</c:v>
                </c:pt>
                <c:pt idx="542">
                  <c:v>62.44</c:v>
                </c:pt>
                <c:pt idx="543">
                  <c:v>62.44</c:v>
                </c:pt>
                <c:pt idx="544">
                  <c:v>62.43</c:v>
                </c:pt>
                <c:pt idx="545">
                  <c:v>62.43</c:v>
                </c:pt>
                <c:pt idx="546">
                  <c:v>62.39</c:v>
                </c:pt>
                <c:pt idx="547">
                  <c:v>62.4</c:v>
                </c:pt>
                <c:pt idx="548">
                  <c:v>62.39</c:v>
                </c:pt>
                <c:pt idx="549">
                  <c:v>62.38</c:v>
                </c:pt>
                <c:pt idx="550">
                  <c:v>62.35</c:v>
                </c:pt>
                <c:pt idx="551">
                  <c:v>62.35</c:v>
                </c:pt>
                <c:pt idx="552">
                  <c:v>62.32</c:v>
                </c:pt>
                <c:pt idx="553">
                  <c:v>62.3</c:v>
                </c:pt>
                <c:pt idx="554">
                  <c:v>62.31</c:v>
                </c:pt>
                <c:pt idx="555">
                  <c:v>62.26</c:v>
                </c:pt>
                <c:pt idx="556">
                  <c:v>62.26</c:v>
                </c:pt>
                <c:pt idx="557">
                  <c:v>62.22</c:v>
                </c:pt>
                <c:pt idx="558">
                  <c:v>62.22</c:v>
                </c:pt>
                <c:pt idx="559">
                  <c:v>62.14</c:v>
                </c:pt>
                <c:pt idx="560">
                  <c:v>62.17</c:v>
                </c:pt>
                <c:pt idx="561">
                  <c:v>62.18</c:v>
                </c:pt>
                <c:pt idx="562">
                  <c:v>62.14</c:v>
                </c:pt>
                <c:pt idx="563">
                  <c:v>62.11</c:v>
                </c:pt>
                <c:pt idx="564">
                  <c:v>62.09</c:v>
                </c:pt>
                <c:pt idx="565">
                  <c:v>62.12</c:v>
                </c:pt>
                <c:pt idx="566">
                  <c:v>62.12</c:v>
                </c:pt>
                <c:pt idx="567">
                  <c:v>62.12</c:v>
                </c:pt>
                <c:pt idx="568">
                  <c:v>62.1</c:v>
                </c:pt>
                <c:pt idx="569">
                  <c:v>62.11</c:v>
                </c:pt>
                <c:pt idx="570">
                  <c:v>62.12</c:v>
                </c:pt>
                <c:pt idx="571">
                  <c:v>62.11</c:v>
                </c:pt>
                <c:pt idx="572">
                  <c:v>62.1</c:v>
                </c:pt>
                <c:pt idx="573">
                  <c:v>62.1</c:v>
                </c:pt>
                <c:pt idx="574">
                  <c:v>62.1</c:v>
                </c:pt>
                <c:pt idx="575">
                  <c:v>62.07</c:v>
                </c:pt>
                <c:pt idx="576">
                  <c:v>62.09</c:v>
                </c:pt>
                <c:pt idx="577">
                  <c:v>62.08</c:v>
                </c:pt>
                <c:pt idx="578">
                  <c:v>62.06</c:v>
                </c:pt>
                <c:pt idx="579">
                  <c:v>62.07</c:v>
                </c:pt>
                <c:pt idx="580">
                  <c:v>62.01</c:v>
                </c:pt>
                <c:pt idx="581">
                  <c:v>62.03</c:v>
                </c:pt>
                <c:pt idx="582">
                  <c:v>62.05</c:v>
                </c:pt>
                <c:pt idx="583">
                  <c:v>62.05</c:v>
                </c:pt>
                <c:pt idx="584">
                  <c:v>62.02</c:v>
                </c:pt>
                <c:pt idx="585">
                  <c:v>62.05</c:v>
                </c:pt>
                <c:pt idx="586">
                  <c:v>62.01</c:v>
                </c:pt>
                <c:pt idx="587">
                  <c:v>62.01</c:v>
                </c:pt>
                <c:pt idx="588">
                  <c:v>61.98</c:v>
                </c:pt>
                <c:pt idx="589">
                  <c:v>62.01</c:v>
                </c:pt>
                <c:pt idx="590">
                  <c:v>62.04</c:v>
                </c:pt>
                <c:pt idx="591">
                  <c:v>62.05</c:v>
                </c:pt>
                <c:pt idx="592">
                  <c:v>62.01</c:v>
                </c:pt>
                <c:pt idx="593">
                  <c:v>62.04</c:v>
                </c:pt>
                <c:pt idx="594">
                  <c:v>61.99</c:v>
                </c:pt>
                <c:pt idx="595">
                  <c:v>62.02</c:v>
                </c:pt>
                <c:pt idx="596">
                  <c:v>62.01</c:v>
                </c:pt>
                <c:pt idx="597">
                  <c:v>62</c:v>
                </c:pt>
                <c:pt idx="598">
                  <c:v>62.01</c:v>
                </c:pt>
                <c:pt idx="599">
                  <c:v>62.02</c:v>
                </c:pt>
                <c:pt idx="600">
                  <c:v>62.01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C3-44BE-AC50-F85EA2CD9C17}"/>
            </c:ext>
          </c:extLst>
        </c:ser>
        <c:ser>
          <c:idx val="1"/>
          <c:order val="1"/>
          <c:tx>
            <c:strRef>
              <c:f>'62'!$S$1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'62'!$Q$2:$Q$602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'62'!$S$2:$S$602</c:f>
              <c:numCache>
                <c:formatCode>General</c:formatCode>
                <c:ptCount val="601"/>
                <c:pt idx="0">
                  <c:v>62</c:v>
                </c:pt>
                <c:pt idx="1">
                  <c:v>62</c:v>
                </c:pt>
                <c:pt idx="2">
                  <c:v>62</c:v>
                </c:pt>
                <c:pt idx="3">
                  <c:v>62</c:v>
                </c:pt>
                <c:pt idx="4">
                  <c:v>62</c:v>
                </c:pt>
                <c:pt idx="5">
                  <c:v>62</c:v>
                </c:pt>
                <c:pt idx="6">
                  <c:v>62</c:v>
                </c:pt>
                <c:pt idx="7">
                  <c:v>62</c:v>
                </c:pt>
                <c:pt idx="8">
                  <c:v>62</c:v>
                </c:pt>
                <c:pt idx="9">
                  <c:v>62</c:v>
                </c:pt>
                <c:pt idx="10">
                  <c:v>62</c:v>
                </c:pt>
                <c:pt idx="11">
                  <c:v>62</c:v>
                </c:pt>
                <c:pt idx="12">
                  <c:v>62</c:v>
                </c:pt>
                <c:pt idx="13">
                  <c:v>62</c:v>
                </c:pt>
                <c:pt idx="14">
                  <c:v>62</c:v>
                </c:pt>
                <c:pt idx="15">
                  <c:v>62</c:v>
                </c:pt>
                <c:pt idx="16">
                  <c:v>62</c:v>
                </c:pt>
                <c:pt idx="17">
                  <c:v>62</c:v>
                </c:pt>
                <c:pt idx="18">
                  <c:v>62</c:v>
                </c:pt>
                <c:pt idx="19">
                  <c:v>62</c:v>
                </c:pt>
                <c:pt idx="20">
                  <c:v>62</c:v>
                </c:pt>
                <c:pt idx="21">
                  <c:v>62</c:v>
                </c:pt>
                <c:pt idx="22">
                  <c:v>62</c:v>
                </c:pt>
                <c:pt idx="23">
                  <c:v>62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62</c:v>
                </c:pt>
                <c:pt idx="28">
                  <c:v>62</c:v>
                </c:pt>
                <c:pt idx="29">
                  <c:v>62</c:v>
                </c:pt>
                <c:pt idx="30">
                  <c:v>62</c:v>
                </c:pt>
                <c:pt idx="31">
                  <c:v>62</c:v>
                </c:pt>
                <c:pt idx="32">
                  <c:v>62</c:v>
                </c:pt>
                <c:pt idx="33">
                  <c:v>62</c:v>
                </c:pt>
                <c:pt idx="34">
                  <c:v>62</c:v>
                </c:pt>
                <c:pt idx="35">
                  <c:v>62</c:v>
                </c:pt>
                <c:pt idx="36">
                  <c:v>62</c:v>
                </c:pt>
                <c:pt idx="37">
                  <c:v>62</c:v>
                </c:pt>
                <c:pt idx="38">
                  <c:v>62</c:v>
                </c:pt>
                <c:pt idx="39">
                  <c:v>62</c:v>
                </c:pt>
                <c:pt idx="40">
                  <c:v>62</c:v>
                </c:pt>
                <c:pt idx="41">
                  <c:v>62</c:v>
                </c:pt>
                <c:pt idx="42">
                  <c:v>62</c:v>
                </c:pt>
                <c:pt idx="43">
                  <c:v>62</c:v>
                </c:pt>
                <c:pt idx="44">
                  <c:v>62</c:v>
                </c:pt>
                <c:pt idx="45">
                  <c:v>62</c:v>
                </c:pt>
                <c:pt idx="46">
                  <c:v>62</c:v>
                </c:pt>
                <c:pt idx="47">
                  <c:v>62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62</c:v>
                </c:pt>
                <c:pt idx="73">
                  <c:v>62</c:v>
                </c:pt>
                <c:pt idx="74">
                  <c:v>62</c:v>
                </c:pt>
                <c:pt idx="75">
                  <c:v>62</c:v>
                </c:pt>
                <c:pt idx="76">
                  <c:v>62</c:v>
                </c:pt>
                <c:pt idx="77">
                  <c:v>62</c:v>
                </c:pt>
                <c:pt idx="78">
                  <c:v>62</c:v>
                </c:pt>
                <c:pt idx="79">
                  <c:v>62</c:v>
                </c:pt>
                <c:pt idx="80">
                  <c:v>62</c:v>
                </c:pt>
                <c:pt idx="81">
                  <c:v>62</c:v>
                </c:pt>
                <c:pt idx="82">
                  <c:v>62</c:v>
                </c:pt>
                <c:pt idx="83">
                  <c:v>62</c:v>
                </c:pt>
                <c:pt idx="84">
                  <c:v>62</c:v>
                </c:pt>
                <c:pt idx="85">
                  <c:v>62</c:v>
                </c:pt>
                <c:pt idx="86">
                  <c:v>62</c:v>
                </c:pt>
                <c:pt idx="87">
                  <c:v>62</c:v>
                </c:pt>
                <c:pt idx="88">
                  <c:v>62</c:v>
                </c:pt>
                <c:pt idx="89">
                  <c:v>62</c:v>
                </c:pt>
                <c:pt idx="90">
                  <c:v>62</c:v>
                </c:pt>
                <c:pt idx="91">
                  <c:v>62</c:v>
                </c:pt>
                <c:pt idx="92">
                  <c:v>62</c:v>
                </c:pt>
                <c:pt idx="93">
                  <c:v>62</c:v>
                </c:pt>
                <c:pt idx="94">
                  <c:v>62</c:v>
                </c:pt>
                <c:pt idx="95">
                  <c:v>62</c:v>
                </c:pt>
                <c:pt idx="96">
                  <c:v>62</c:v>
                </c:pt>
                <c:pt idx="97">
                  <c:v>62</c:v>
                </c:pt>
                <c:pt idx="98">
                  <c:v>62</c:v>
                </c:pt>
                <c:pt idx="99">
                  <c:v>62</c:v>
                </c:pt>
                <c:pt idx="100">
                  <c:v>62</c:v>
                </c:pt>
                <c:pt idx="101">
                  <c:v>62</c:v>
                </c:pt>
                <c:pt idx="102">
                  <c:v>62</c:v>
                </c:pt>
                <c:pt idx="103">
                  <c:v>62</c:v>
                </c:pt>
                <c:pt idx="104">
                  <c:v>62</c:v>
                </c:pt>
                <c:pt idx="105">
                  <c:v>62</c:v>
                </c:pt>
                <c:pt idx="106">
                  <c:v>62</c:v>
                </c:pt>
                <c:pt idx="107">
                  <c:v>62</c:v>
                </c:pt>
                <c:pt idx="108">
                  <c:v>62</c:v>
                </c:pt>
                <c:pt idx="109">
                  <c:v>62</c:v>
                </c:pt>
                <c:pt idx="110">
                  <c:v>62</c:v>
                </c:pt>
                <c:pt idx="111">
                  <c:v>62</c:v>
                </c:pt>
                <c:pt idx="112">
                  <c:v>62</c:v>
                </c:pt>
                <c:pt idx="113">
                  <c:v>62</c:v>
                </c:pt>
                <c:pt idx="114">
                  <c:v>62</c:v>
                </c:pt>
                <c:pt idx="115">
                  <c:v>62</c:v>
                </c:pt>
                <c:pt idx="116">
                  <c:v>62</c:v>
                </c:pt>
                <c:pt idx="117">
                  <c:v>62</c:v>
                </c:pt>
                <c:pt idx="118">
                  <c:v>62</c:v>
                </c:pt>
                <c:pt idx="119">
                  <c:v>62</c:v>
                </c:pt>
                <c:pt idx="120">
                  <c:v>62</c:v>
                </c:pt>
                <c:pt idx="121">
                  <c:v>62</c:v>
                </c:pt>
                <c:pt idx="122">
                  <c:v>62</c:v>
                </c:pt>
                <c:pt idx="123">
                  <c:v>62</c:v>
                </c:pt>
                <c:pt idx="124">
                  <c:v>62</c:v>
                </c:pt>
                <c:pt idx="125">
                  <c:v>62</c:v>
                </c:pt>
                <c:pt idx="126">
                  <c:v>62</c:v>
                </c:pt>
                <c:pt idx="127">
                  <c:v>62</c:v>
                </c:pt>
                <c:pt idx="128">
                  <c:v>62</c:v>
                </c:pt>
                <c:pt idx="129">
                  <c:v>62</c:v>
                </c:pt>
                <c:pt idx="130">
                  <c:v>62</c:v>
                </c:pt>
                <c:pt idx="131">
                  <c:v>62</c:v>
                </c:pt>
                <c:pt idx="132">
                  <c:v>62</c:v>
                </c:pt>
                <c:pt idx="133">
                  <c:v>62</c:v>
                </c:pt>
                <c:pt idx="134">
                  <c:v>62</c:v>
                </c:pt>
                <c:pt idx="135">
                  <c:v>62</c:v>
                </c:pt>
                <c:pt idx="136">
                  <c:v>62</c:v>
                </c:pt>
                <c:pt idx="137">
                  <c:v>62</c:v>
                </c:pt>
                <c:pt idx="138">
                  <c:v>62</c:v>
                </c:pt>
                <c:pt idx="139">
                  <c:v>62</c:v>
                </c:pt>
                <c:pt idx="140">
                  <c:v>62</c:v>
                </c:pt>
                <c:pt idx="141">
                  <c:v>62</c:v>
                </c:pt>
                <c:pt idx="142">
                  <c:v>62</c:v>
                </c:pt>
                <c:pt idx="143">
                  <c:v>62</c:v>
                </c:pt>
                <c:pt idx="144">
                  <c:v>62</c:v>
                </c:pt>
                <c:pt idx="145">
                  <c:v>62</c:v>
                </c:pt>
                <c:pt idx="146">
                  <c:v>62</c:v>
                </c:pt>
                <c:pt idx="147">
                  <c:v>62</c:v>
                </c:pt>
                <c:pt idx="148">
                  <c:v>62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62</c:v>
                </c:pt>
                <c:pt idx="156">
                  <c:v>62</c:v>
                </c:pt>
                <c:pt idx="157">
                  <c:v>62</c:v>
                </c:pt>
                <c:pt idx="158">
                  <c:v>62</c:v>
                </c:pt>
                <c:pt idx="159">
                  <c:v>62</c:v>
                </c:pt>
                <c:pt idx="160">
                  <c:v>62</c:v>
                </c:pt>
                <c:pt idx="161">
                  <c:v>62</c:v>
                </c:pt>
                <c:pt idx="162">
                  <c:v>62</c:v>
                </c:pt>
                <c:pt idx="163">
                  <c:v>62</c:v>
                </c:pt>
                <c:pt idx="164">
                  <c:v>62</c:v>
                </c:pt>
                <c:pt idx="165">
                  <c:v>62</c:v>
                </c:pt>
                <c:pt idx="166">
                  <c:v>62</c:v>
                </c:pt>
                <c:pt idx="167">
                  <c:v>62</c:v>
                </c:pt>
                <c:pt idx="168">
                  <c:v>62</c:v>
                </c:pt>
                <c:pt idx="169">
                  <c:v>62</c:v>
                </c:pt>
                <c:pt idx="170">
                  <c:v>62</c:v>
                </c:pt>
                <c:pt idx="171">
                  <c:v>62</c:v>
                </c:pt>
                <c:pt idx="172">
                  <c:v>62</c:v>
                </c:pt>
                <c:pt idx="173">
                  <c:v>62</c:v>
                </c:pt>
                <c:pt idx="174">
                  <c:v>62</c:v>
                </c:pt>
                <c:pt idx="175">
                  <c:v>62</c:v>
                </c:pt>
                <c:pt idx="176">
                  <c:v>62</c:v>
                </c:pt>
                <c:pt idx="177">
                  <c:v>62</c:v>
                </c:pt>
                <c:pt idx="178">
                  <c:v>62</c:v>
                </c:pt>
                <c:pt idx="179">
                  <c:v>62</c:v>
                </c:pt>
                <c:pt idx="180">
                  <c:v>62</c:v>
                </c:pt>
                <c:pt idx="181">
                  <c:v>62</c:v>
                </c:pt>
                <c:pt idx="182">
                  <c:v>62</c:v>
                </c:pt>
                <c:pt idx="183">
                  <c:v>62</c:v>
                </c:pt>
                <c:pt idx="184">
                  <c:v>62</c:v>
                </c:pt>
                <c:pt idx="185">
                  <c:v>62</c:v>
                </c:pt>
                <c:pt idx="186">
                  <c:v>62</c:v>
                </c:pt>
                <c:pt idx="187">
                  <c:v>62</c:v>
                </c:pt>
                <c:pt idx="188">
                  <c:v>62</c:v>
                </c:pt>
                <c:pt idx="189">
                  <c:v>62</c:v>
                </c:pt>
                <c:pt idx="190">
                  <c:v>62</c:v>
                </c:pt>
                <c:pt idx="191">
                  <c:v>62</c:v>
                </c:pt>
                <c:pt idx="192">
                  <c:v>62</c:v>
                </c:pt>
                <c:pt idx="193">
                  <c:v>62</c:v>
                </c:pt>
                <c:pt idx="194">
                  <c:v>62</c:v>
                </c:pt>
                <c:pt idx="195">
                  <c:v>62</c:v>
                </c:pt>
                <c:pt idx="196">
                  <c:v>62</c:v>
                </c:pt>
                <c:pt idx="197">
                  <c:v>62</c:v>
                </c:pt>
                <c:pt idx="198">
                  <c:v>62</c:v>
                </c:pt>
                <c:pt idx="199">
                  <c:v>62</c:v>
                </c:pt>
                <c:pt idx="200">
                  <c:v>62</c:v>
                </c:pt>
                <c:pt idx="201">
                  <c:v>62</c:v>
                </c:pt>
                <c:pt idx="202">
                  <c:v>62</c:v>
                </c:pt>
                <c:pt idx="203">
                  <c:v>62</c:v>
                </c:pt>
                <c:pt idx="204">
                  <c:v>62</c:v>
                </c:pt>
                <c:pt idx="205">
                  <c:v>62</c:v>
                </c:pt>
                <c:pt idx="206">
                  <c:v>62</c:v>
                </c:pt>
                <c:pt idx="207">
                  <c:v>62</c:v>
                </c:pt>
                <c:pt idx="208">
                  <c:v>62</c:v>
                </c:pt>
                <c:pt idx="209">
                  <c:v>62</c:v>
                </c:pt>
                <c:pt idx="210">
                  <c:v>62</c:v>
                </c:pt>
                <c:pt idx="211">
                  <c:v>62</c:v>
                </c:pt>
                <c:pt idx="212">
                  <c:v>62</c:v>
                </c:pt>
                <c:pt idx="213">
                  <c:v>62</c:v>
                </c:pt>
                <c:pt idx="214">
                  <c:v>62</c:v>
                </c:pt>
                <c:pt idx="215">
                  <c:v>62</c:v>
                </c:pt>
                <c:pt idx="216">
                  <c:v>62</c:v>
                </c:pt>
                <c:pt idx="217">
                  <c:v>62</c:v>
                </c:pt>
                <c:pt idx="218">
                  <c:v>62</c:v>
                </c:pt>
                <c:pt idx="219">
                  <c:v>62</c:v>
                </c:pt>
                <c:pt idx="220">
                  <c:v>62</c:v>
                </c:pt>
                <c:pt idx="221">
                  <c:v>62</c:v>
                </c:pt>
                <c:pt idx="222">
                  <c:v>62</c:v>
                </c:pt>
                <c:pt idx="223">
                  <c:v>62</c:v>
                </c:pt>
                <c:pt idx="224">
                  <c:v>62</c:v>
                </c:pt>
                <c:pt idx="225">
                  <c:v>62</c:v>
                </c:pt>
                <c:pt idx="226">
                  <c:v>62</c:v>
                </c:pt>
                <c:pt idx="227">
                  <c:v>62</c:v>
                </c:pt>
                <c:pt idx="228">
                  <c:v>62</c:v>
                </c:pt>
                <c:pt idx="229">
                  <c:v>62</c:v>
                </c:pt>
                <c:pt idx="230">
                  <c:v>62</c:v>
                </c:pt>
                <c:pt idx="231">
                  <c:v>62</c:v>
                </c:pt>
                <c:pt idx="232">
                  <c:v>62</c:v>
                </c:pt>
                <c:pt idx="233">
                  <c:v>62</c:v>
                </c:pt>
                <c:pt idx="234">
                  <c:v>62</c:v>
                </c:pt>
                <c:pt idx="235">
                  <c:v>62</c:v>
                </c:pt>
                <c:pt idx="236">
                  <c:v>62</c:v>
                </c:pt>
                <c:pt idx="237">
                  <c:v>62</c:v>
                </c:pt>
                <c:pt idx="238">
                  <c:v>62</c:v>
                </c:pt>
                <c:pt idx="239">
                  <c:v>62</c:v>
                </c:pt>
                <c:pt idx="240">
                  <c:v>62</c:v>
                </c:pt>
                <c:pt idx="241">
                  <c:v>62</c:v>
                </c:pt>
                <c:pt idx="242">
                  <c:v>62</c:v>
                </c:pt>
                <c:pt idx="243">
                  <c:v>62</c:v>
                </c:pt>
                <c:pt idx="244">
                  <c:v>62</c:v>
                </c:pt>
                <c:pt idx="245">
                  <c:v>62</c:v>
                </c:pt>
                <c:pt idx="246">
                  <c:v>62</c:v>
                </c:pt>
                <c:pt idx="247">
                  <c:v>62</c:v>
                </c:pt>
                <c:pt idx="248">
                  <c:v>62</c:v>
                </c:pt>
                <c:pt idx="249">
                  <c:v>62</c:v>
                </c:pt>
                <c:pt idx="250">
                  <c:v>62</c:v>
                </c:pt>
                <c:pt idx="251">
                  <c:v>62</c:v>
                </c:pt>
                <c:pt idx="252">
                  <c:v>62</c:v>
                </c:pt>
                <c:pt idx="253">
                  <c:v>62</c:v>
                </c:pt>
                <c:pt idx="254">
                  <c:v>62</c:v>
                </c:pt>
                <c:pt idx="255">
                  <c:v>62</c:v>
                </c:pt>
                <c:pt idx="256">
                  <c:v>62</c:v>
                </c:pt>
                <c:pt idx="257">
                  <c:v>62</c:v>
                </c:pt>
                <c:pt idx="258">
                  <c:v>62</c:v>
                </c:pt>
                <c:pt idx="259">
                  <c:v>62</c:v>
                </c:pt>
                <c:pt idx="260">
                  <c:v>62</c:v>
                </c:pt>
                <c:pt idx="261">
                  <c:v>62</c:v>
                </c:pt>
                <c:pt idx="262">
                  <c:v>62</c:v>
                </c:pt>
                <c:pt idx="263">
                  <c:v>62</c:v>
                </c:pt>
                <c:pt idx="264">
                  <c:v>62</c:v>
                </c:pt>
                <c:pt idx="265">
                  <c:v>62</c:v>
                </c:pt>
                <c:pt idx="266">
                  <c:v>62</c:v>
                </c:pt>
                <c:pt idx="267">
                  <c:v>62</c:v>
                </c:pt>
                <c:pt idx="268">
                  <c:v>62</c:v>
                </c:pt>
                <c:pt idx="269">
                  <c:v>62</c:v>
                </c:pt>
                <c:pt idx="270">
                  <c:v>62</c:v>
                </c:pt>
                <c:pt idx="271">
                  <c:v>62</c:v>
                </c:pt>
                <c:pt idx="272">
                  <c:v>62</c:v>
                </c:pt>
                <c:pt idx="273">
                  <c:v>62</c:v>
                </c:pt>
                <c:pt idx="274">
                  <c:v>62</c:v>
                </c:pt>
                <c:pt idx="275">
                  <c:v>62</c:v>
                </c:pt>
                <c:pt idx="276">
                  <c:v>62</c:v>
                </c:pt>
                <c:pt idx="277">
                  <c:v>62</c:v>
                </c:pt>
                <c:pt idx="278">
                  <c:v>62</c:v>
                </c:pt>
                <c:pt idx="279">
                  <c:v>62</c:v>
                </c:pt>
                <c:pt idx="280">
                  <c:v>62</c:v>
                </c:pt>
                <c:pt idx="281">
                  <c:v>62</c:v>
                </c:pt>
                <c:pt idx="282">
                  <c:v>62</c:v>
                </c:pt>
                <c:pt idx="283">
                  <c:v>62</c:v>
                </c:pt>
                <c:pt idx="284">
                  <c:v>62</c:v>
                </c:pt>
                <c:pt idx="285">
                  <c:v>62</c:v>
                </c:pt>
                <c:pt idx="286">
                  <c:v>62</c:v>
                </c:pt>
                <c:pt idx="287">
                  <c:v>62</c:v>
                </c:pt>
                <c:pt idx="288">
                  <c:v>62</c:v>
                </c:pt>
                <c:pt idx="289">
                  <c:v>62</c:v>
                </c:pt>
                <c:pt idx="290">
                  <c:v>62</c:v>
                </c:pt>
                <c:pt idx="291">
                  <c:v>62</c:v>
                </c:pt>
                <c:pt idx="292">
                  <c:v>62</c:v>
                </c:pt>
                <c:pt idx="293">
                  <c:v>62</c:v>
                </c:pt>
                <c:pt idx="294">
                  <c:v>62</c:v>
                </c:pt>
                <c:pt idx="295">
                  <c:v>62</c:v>
                </c:pt>
                <c:pt idx="296">
                  <c:v>62</c:v>
                </c:pt>
                <c:pt idx="297">
                  <c:v>62</c:v>
                </c:pt>
                <c:pt idx="298">
                  <c:v>62</c:v>
                </c:pt>
                <c:pt idx="299">
                  <c:v>62</c:v>
                </c:pt>
                <c:pt idx="300">
                  <c:v>62</c:v>
                </c:pt>
                <c:pt idx="301">
                  <c:v>62</c:v>
                </c:pt>
                <c:pt idx="302">
                  <c:v>62</c:v>
                </c:pt>
                <c:pt idx="303">
                  <c:v>62</c:v>
                </c:pt>
                <c:pt idx="304">
                  <c:v>62</c:v>
                </c:pt>
                <c:pt idx="305">
                  <c:v>62</c:v>
                </c:pt>
                <c:pt idx="306">
                  <c:v>62</c:v>
                </c:pt>
                <c:pt idx="307">
                  <c:v>62</c:v>
                </c:pt>
                <c:pt idx="308">
                  <c:v>62</c:v>
                </c:pt>
                <c:pt idx="309">
                  <c:v>62</c:v>
                </c:pt>
                <c:pt idx="310">
                  <c:v>62</c:v>
                </c:pt>
                <c:pt idx="311">
                  <c:v>62</c:v>
                </c:pt>
                <c:pt idx="312">
                  <c:v>62</c:v>
                </c:pt>
                <c:pt idx="313">
                  <c:v>62</c:v>
                </c:pt>
                <c:pt idx="314">
                  <c:v>62</c:v>
                </c:pt>
                <c:pt idx="315">
                  <c:v>62</c:v>
                </c:pt>
                <c:pt idx="316">
                  <c:v>62</c:v>
                </c:pt>
                <c:pt idx="317">
                  <c:v>62</c:v>
                </c:pt>
                <c:pt idx="318">
                  <c:v>62</c:v>
                </c:pt>
                <c:pt idx="319">
                  <c:v>62</c:v>
                </c:pt>
                <c:pt idx="320">
                  <c:v>62</c:v>
                </c:pt>
                <c:pt idx="321">
                  <c:v>62</c:v>
                </c:pt>
                <c:pt idx="322">
                  <c:v>62</c:v>
                </c:pt>
                <c:pt idx="323">
                  <c:v>62</c:v>
                </c:pt>
                <c:pt idx="324">
                  <c:v>62</c:v>
                </c:pt>
                <c:pt idx="325">
                  <c:v>62</c:v>
                </c:pt>
                <c:pt idx="326">
                  <c:v>62</c:v>
                </c:pt>
                <c:pt idx="327">
                  <c:v>62</c:v>
                </c:pt>
                <c:pt idx="328">
                  <c:v>62</c:v>
                </c:pt>
                <c:pt idx="329">
                  <c:v>62</c:v>
                </c:pt>
                <c:pt idx="330">
                  <c:v>62</c:v>
                </c:pt>
                <c:pt idx="331">
                  <c:v>62</c:v>
                </c:pt>
                <c:pt idx="332">
                  <c:v>62</c:v>
                </c:pt>
                <c:pt idx="333">
                  <c:v>62</c:v>
                </c:pt>
                <c:pt idx="334">
                  <c:v>62</c:v>
                </c:pt>
                <c:pt idx="335">
                  <c:v>62</c:v>
                </c:pt>
                <c:pt idx="336">
                  <c:v>62</c:v>
                </c:pt>
                <c:pt idx="337">
                  <c:v>62</c:v>
                </c:pt>
                <c:pt idx="338">
                  <c:v>62</c:v>
                </c:pt>
                <c:pt idx="339">
                  <c:v>62</c:v>
                </c:pt>
                <c:pt idx="340">
                  <c:v>62</c:v>
                </c:pt>
                <c:pt idx="341">
                  <c:v>62</c:v>
                </c:pt>
                <c:pt idx="342">
                  <c:v>62</c:v>
                </c:pt>
                <c:pt idx="343">
                  <c:v>62</c:v>
                </c:pt>
                <c:pt idx="344">
                  <c:v>62</c:v>
                </c:pt>
                <c:pt idx="345">
                  <c:v>62</c:v>
                </c:pt>
                <c:pt idx="346">
                  <c:v>62</c:v>
                </c:pt>
                <c:pt idx="347">
                  <c:v>62</c:v>
                </c:pt>
                <c:pt idx="348">
                  <c:v>62</c:v>
                </c:pt>
                <c:pt idx="349">
                  <c:v>62</c:v>
                </c:pt>
                <c:pt idx="350">
                  <c:v>62</c:v>
                </c:pt>
                <c:pt idx="351">
                  <c:v>62</c:v>
                </c:pt>
                <c:pt idx="352">
                  <c:v>62</c:v>
                </c:pt>
                <c:pt idx="353">
                  <c:v>62</c:v>
                </c:pt>
                <c:pt idx="354">
                  <c:v>62</c:v>
                </c:pt>
                <c:pt idx="355">
                  <c:v>62</c:v>
                </c:pt>
                <c:pt idx="356">
                  <c:v>62</c:v>
                </c:pt>
                <c:pt idx="357">
                  <c:v>62</c:v>
                </c:pt>
                <c:pt idx="358">
                  <c:v>62</c:v>
                </c:pt>
                <c:pt idx="359">
                  <c:v>62</c:v>
                </c:pt>
                <c:pt idx="360">
                  <c:v>62</c:v>
                </c:pt>
                <c:pt idx="361">
                  <c:v>62</c:v>
                </c:pt>
                <c:pt idx="362">
                  <c:v>62</c:v>
                </c:pt>
                <c:pt idx="363">
                  <c:v>62</c:v>
                </c:pt>
                <c:pt idx="364">
                  <c:v>62</c:v>
                </c:pt>
                <c:pt idx="365">
                  <c:v>62</c:v>
                </c:pt>
                <c:pt idx="366">
                  <c:v>62</c:v>
                </c:pt>
                <c:pt idx="367">
                  <c:v>62</c:v>
                </c:pt>
                <c:pt idx="368">
                  <c:v>62</c:v>
                </c:pt>
                <c:pt idx="369">
                  <c:v>62</c:v>
                </c:pt>
                <c:pt idx="370">
                  <c:v>62</c:v>
                </c:pt>
                <c:pt idx="371">
                  <c:v>62</c:v>
                </c:pt>
                <c:pt idx="372">
                  <c:v>62</c:v>
                </c:pt>
                <c:pt idx="373">
                  <c:v>62</c:v>
                </c:pt>
                <c:pt idx="374">
                  <c:v>62</c:v>
                </c:pt>
                <c:pt idx="375">
                  <c:v>62</c:v>
                </c:pt>
                <c:pt idx="376">
                  <c:v>62</c:v>
                </c:pt>
                <c:pt idx="377">
                  <c:v>62</c:v>
                </c:pt>
                <c:pt idx="378">
                  <c:v>62</c:v>
                </c:pt>
                <c:pt idx="379">
                  <c:v>62</c:v>
                </c:pt>
                <c:pt idx="380">
                  <c:v>62</c:v>
                </c:pt>
                <c:pt idx="381">
                  <c:v>62</c:v>
                </c:pt>
                <c:pt idx="382">
                  <c:v>62</c:v>
                </c:pt>
                <c:pt idx="383">
                  <c:v>62</c:v>
                </c:pt>
                <c:pt idx="384">
                  <c:v>62</c:v>
                </c:pt>
                <c:pt idx="385">
                  <c:v>62</c:v>
                </c:pt>
                <c:pt idx="386">
                  <c:v>62</c:v>
                </c:pt>
                <c:pt idx="387">
                  <c:v>62</c:v>
                </c:pt>
                <c:pt idx="388">
                  <c:v>62</c:v>
                </c:pt>
                <c:pt idx="389">
                  <c:v>62</c:v>
                </c:pt>
                <c:pt idx="390">
                  <c:v>62</c:v>
                </c:pt>
                <c:pt idx="391">
                  <c:v>62</c:v>
                </c:pt>
                <c:pt idx="392">
                  <c:v>62</c:v>
                </c:pt>
                <c:pt idx="393">
                  <c:v>62</c:v>
                </c:pt>
                <c:pt idx="394">
                  <c:v>62</c:v>
                </c:pt>
                <c:pt idx="395">
                  <c:v>62</c:v>
                </c:pt>
                <c:pt idx="396">
                  <c:v>62</c:v>
                </c:pt>
                <c:pt idx="397">
                  <c:v>62</c:v>
                </c:pt>
                <c:pt idx="398">
                  <c:v>62</c:v>
                </c:pt>
                <c:pt idx="399">
                  <c:v>62</c:v>
                </c:pt>
                <c:pt idx="400">
                  <c:v>62</c:v>
                </c:pt>
                <c:pt idx="401">
                  <c:v>62</c:v>
                </c:pt>
                <c:pt idx="402">
                  <c:v>62</c:v>
                </c:pt>
                <c:pt idx="403">
                  <c:v>62</c:v>
                </c:pt>
                <c:pt idx="404">
                  <c:v>62</c:v>
                </c:pt>
                <c:pt idx="405">
                  <c:v>62</c:v>
                </c:pt>
                <c:pt idx="406">
                  <c:v>62</c:v>
                </c:pt>
                <c:pt idx="407">
                  <c:v>62</c:v>
                </c:pt>
                <c:pt idx="408">
                  <c:v>62</c:v>
                </c:pt>
                <c:pt idx="409">
                  <c:v>62</c:v>
                </c:pt>
                <c:pt idx="410">
                  <c:v>62</c:v>
                </c:pt>
                <c:pt idx="411">
                  <c:v>62</c:v>
                </c:pt>
                <c:pt idx="412">
                  <c:v>62</c:v>
                </c:pt>
                <c:pt idx="413">
                  <c:v>62</c:v>
                </c:pt>
                <c:pt idx="414">
                  <c:v>62</c:v>
                </c:pt>
                <c:pt idx="415">
                  <c:v>62</c:v>
                </c:pt>
                <c:pt idx="416">
                  <c:v>62</c:v>
                </c:pt>
                <c:pt idx="417">
                  <c:v>62</c:v>
                </c:pt>
                <c:pt idx="418">
                  <c:v>62</c:v>
                </c:pt>
                <c:pt idx="419">
                  <c:v>62</c:v>
                </c:pt>
                <c:pt idx="420">
                  <c:v>62</c:v>
                </c:pt>
                <c:pt idx="421">
                  <c:v>62</c:v>
                </c:pt>
                <c:pt idx="422">
                  <c:v>62</c:v>
                </c:pt>
                <c:pt idx="423">
                  <c:v>62</c:v>
                </c:pt>
                <c:pt idx="424">
                  <c:v>62</c:v>
                </c:pt>
                <c:pt idx="425">
                  <c:v>62</c:v>
                </c:pt>
                <c:pt idx="426">
                  <c:v>62</c:v>
                </c:pt>
                <c:pt idx="427">
                  <c:v>62</c:v>
                </c:pt>
                <c:pt idx="428">
                  <c:v>62</c:v>
                </c:pt>
                <c:pt idx="429">
                  <c:v>62</c:v>
                </c:pt>
                <c:pt idx="430">
                  <c:v>62</c:v>
                </c:pt>
                <c:pt idx="431">
                  <c:v>62</c:v>
                </c:pt>
                <c:pt idx="432">
                  <c:v>62</c:v>
                </c:pt>
                <c:pt idx="433">
                  <c:v>62</c:v>
                </c:pt>
                <c:pt idx="434">
                  <c:v>62</c:v>
                </c:pt>
                <c:pt idx="435">
                  <c:v>62</c:v>
                </c:pt>
                <c:pt idx="436">
                  <c:v>62</c:v>
                </c:pt>
                <c:pt idx="437">
                  <c:v>62</c:v>
                </c:pt>
                <c:pt idx="438">
                  <c:v>62</c:v>
                </c:pt>
                <c:pt idx="439">
                  <c:v>62</c:v>
                </c:pt>
                <c:pt idx="440">
                  <c:v>62</c:v>
                </c:pt>
                <c:pt idx="441">
                  <c:v>62</c:v>
                </c:pt>
                <c:pt idx="442">
                  <c:v>62</c:v>
                </c:pt>
                <c:pt idx="443">
                  <c:v>62</c:v>
                </c:pt>
                <c:pt idx="444">
                  <c:v>62</c:v>
                </c:pt>
                <c:pt idx="445">
                  <c:v>62</c:v>
                </c:pt>
                <c:pt idx="446">
                  <c:v>62</c:v>
                </c:pt>
                <c:pt idx="447">
                  <c:v>62</c:v>
                </c:pt>
                <c:pt idx="448">
                  <c:v>62</c:v>
                </c:pt>
                <c:pt idx="449">
                  <c:v>62</c:v>
                </c:pt>
                <c:pt idx="450">
                  <c:v>62</c:v>
                </c:pt>
                <c:pt idx="451">
                  <c:v>62</c:v>
                </c:pt>
                <c:pt idx="452">
                  <c:v>62</c:v>
                </c:pt>
                <c:pt idx="453">
                  <c:v>62</c:v>
                </c:pt>
                <c:pt idx="454">
                  <c:v>62</c:v>
                </c:pt>
                <c:pt idx="455">
                  <c:v>62</c:v>
                </c:pt>
                <c:pt idx="456">
                  <c:v>62</c:v>
                </c:pt>
                <c:pt idx="457">
                  <c:v>62</c:v>
                </c:pt>
                <c:pt idx="458">
                  <c:v>62</c:v>
                </c:pt>
                <c:pt idx="459">
                  <c:v>62</c:v>
                </c:pt>
                <c:pt idx="460">
                  <c:v>62</c:v>
                </c:pt>
                <c:pt idx="461">
                  <c:v>62</c:v>
                </c:pt>
                <c:pt idx="462">
                  <c:v>62</c:v>
                </c:pt>
                <c:pt idx="463">
                  <c:v>62</c:v>
                </c:pt>
                <c:pt idx="464">
                  <c:v>62</c:v>
                </c:pt>
                <c:pt idx="465">
                  <c:v>62</c:v>
                </c:pt>
                <c:pt idx="466">
                  <c:v>62</c:v>
                </c:pt>
                <c:pt idx="467">
                  <c:v>62</c:v>
                </c:pt>
                <c:pt idx="468">
                  <c:v>62</c:v>
                </c:pt>
                <c:pt idx="469">
                  <c:v>62</c:v>
                </c:pt>
                <c:pt idx="470">
                  <c:v>62</c:v>
                </c:pt>
                <c:pt idx="471">
                  <c:v>62</c:v>
                </c:pt>
                <c:pt idx="472">
                  <c:v>62</c:v>
                </c:pt>
                <c:pt idx="473">
                  <c:v>62</c:v>
                </c:pt>
                <c:pt idx="474">
                  <c:v>62</c:v>
                </c:pt>
                <c:pt idx="475">
                  <c:v>62</c:v>
                </c:pt>
                <c:pt idx="476">
                  <c:v>62</c:v>
                </c:pt>
                <c:pt idx="477">
                  <c:v>62</c:v>
                </c:pt>
                <c:pt idx="478">
                  <c:v>62</c:v>
                </c:pt>
                <c:pt idx="479">
                  <c:v>62</c:v>
                </c:pt>
                <c:pt idx="480">
                  <c:v>62</c:v>
                </c:pt>
                <c:pt idx="481">
                  <c:v>62</c:v>
                </c:pt>
                <c:pt idx="482">
                  <c:v>62</c:v>
                </c:pt>
                <c:pt idx="483">
                  <c:v>62</c:v>
                </c:pt>
                <c:pt idx="484">
                  <c:v>62</c:v>
                </c:pt>
                <c:pt idx="485">
                  <c:v>62</c:v>
                </c:pt>
                <c:pt idx="486">
                  <c:v>62</c:v>
                </c:pt>
                <c:pt idx="487">
                  <c:v>62</c:v>
                </c:pt>
                <c:pt idx="488">
                  <c:v>62</c:v>
                </c:pt>
                <c:pt idx="489">
                  <c:v>62</c:v>
                </c:pt>
                <c:pt idx="490">
                  <c:v>62</c:v>
                </c:pt>
                <c:pt idx="491">
                  <c:v>62</c:v>
                </c:pt>
                <c:pt idx="492">
                  <c:v>62</c:v>
                </c:pt>
                <c:pt idx="493">
                  <c:v>62</c:v>
                </c:pt>
                <c:pt idx="494">
                  <c:v>62</c:v>
                </c:pt>
                <c:pt idx="495">
                  <c:v>62</c:v>
                </c:pt>
                <c:pt idx="496">
                  <c:v>62</c:v>
                </c:pt>
                <c:pt idx="497">
                  <c:v>62</c:v>
                </c:pt>
                <c:pt idx="498">
                  <c:v>62</c:v>
                </c:pt>
                <c:pt idx="499">
                  <c:v>62</c:v>
                </c:pt>
                <c:pt idx="500">
                  <c:v>62</c:v>
                </c:pt>
                <c:pt idx="501">
                  <c:v>62</c:v>
                </c:pt>
                <c:pt idx="502">
                  <c:v>62</c:v>
                </c:pt>
                <c:pt idx="503">
                  <c:v>62</c:v>
                </c:pt>
                <c:pt idx="504">
                  <c:v>62</c:v>
                </c:pt>
                <c:pt idx="505">
                  <c:v>62</c:v>
                </c:pt>
                <c:pt idx="506">
                  <c:v>62</c:v>
                </c:pt>
                <c:pt idx="507">
                  <c:v>62</c:v>
                </c:pt>
                <c:pt idx="508">
                  <c:v>62</c:v>
                </c:pt>
                <c:pt idx="509">
                  <c:v>62</c:v>
                </c:pt>
                <c:pt idx="510">
                  <c:v>62</c:v>
                </c:pt>
                <c:pt idx="511">
                  <c:v>62</c:v>
                </c:pt>
                <c:pt idx="512">
                  <c:v>62</c:v>
                </c:pt>
                <c:pt idx="513">
                  <c:v>62</c:v>
                </c:pt>
                <c:pt idx="514">
                  <c:v>62</c:v>
                </c:pt>
                <c:pt idx="515">
                  <c:v>62</c:v>
                </c:pt>
                <c:pt idx="516">
                  <c:v>62</c:v>
                </c:pt>
                <c:pt idx="517">
                  <c:v>62</c:v>
                </c:pt>
                <c:pt idx="518">
                  <c:v>62</c:v>
                </c:pt>
                <c:pt idx="519">
                  <c:v>62</c:v>
                </c:pt>
                <c:pt idx="520">
                  <c:v>62</c:v>
                </c:pt>
                <c:pt idx="521">
                  <c:v>62</c:v>
                </c:pt>
                <c:pt idx="522">
                  <c:v>62</c:v>
                </c:pt>
                <c:pt idx="523">
                  <c:v>62</c:v>
                </c:pt>
                <c:pt idx="524">
                  <c:v>62</c:v>
                </c:pt>
                <c:pt idx="525">
                  <c:v>62</c:v>
                </c:pt>
                <c:pt idx="526">
                  <c:v>62</c:v>
                </c:pt>
                <c:pt idx="527">
                  <c:v>62</c:v>
                </c:pt>
                <c:pt idx="528">
                  <c:v>62</c:v>
                </c:pt>
                <c:pt idx="529">
                  <c:v>62</c:v>
                </c:pt>
                <c:pt idx="530">
                  <c:v>62</c:v>
                </c:pt>
                <c:pt idx="531">
                  <c:v>62</c:v>
                </c:pt>
                <c:pt idx="532">
                  <c:v>62</c:v>
                </c:pt>
                <c:pt idx="533">
                  <c:v>62</c:v>
                </c:pt>
                <c:pt idx="534">
                  <c:v>62</c:v>
                </c:pt>
                <c:pt idx="535">
                  <c:v>62</c:v>
                </c:pt>
                <c:pt idx="536">
                  <c:v>62</c:v>
                </c:pt>
                <c:pt idx="537">
                  <c:v>62</c:v>
                </c:pt>
                <c:pt idx="538">
                  <c:v>62</c:v>
                </c:pt>
                <c:pt idx="539">
                  <c:v>62</c:v>
                </c:pt>
                <c:pt idx="540">
                  <c:v>62</c:v>
                </c:pt>
                <c:pt idx="541">
                  <c:v>62</c:v>
                </c:pt>
                <c:pt idx="542">
                  <c:v>62</c:v>
                </c:pt>
                <c:pt idx="543">
                  <c:v>62</c:v>
                </c:pt>
                <c:pt idx="544">
                  <c:v>62</c:v>
                </c:pt>
                <c:pt idx="545">
                  <c:v>62</c:v>
                </c:pt>
                <c:pt idx="546">
                  <c:v>62</c:v>
                </c:pt>
                <c:pt idx="547">
                  <c:v>62</c:v>
                </c:pt>
                <c:pt idx="548">
                  <c:v>62</c:v>
                </c:pt>
                <c:pt idx="549">
                  <c:v>62</c:v>
                </c:pt>
                <c:pt idx="550">
                  <c:v>62</c:v>
                </c:pt>
                <c:pt idx="551">
                  <c:v>62</c:v>
                </c:pt>
                <c:pt idx="552">
                  <c:v>62</c:v>
                </c:pt>
                <c:pt idx="553">
                  <c:v>62</c:v>
                </c:pt>
                <c:pt idx="554">
                  <c:v>62</c:v>
                </c:pt>
                <c:pt idx="555">
                  <c:v>62</c:v>
                </c:pt>
                <c:pt idx="556">
                  <c:v>62</c:v>
                </c:pt>
                <c:pt idx="557">
                  <c:v>62</c:v>
                </c:pt>
                <c:pt idx="558">
                  <c:v>62</c:v>
                </c:pt>
                <c:pt idx="559">
                  <c:v>62</c:v>
                </c:pt>
                <c:pt idx="560">
                  <c:v>62</c:v>
                </c:pt>
                <c:pt idx="561">
                  <c:v>62</c:v>
                </c:pt>
                <c:pt idx="562">
                  <c:v>62</c:v>
                </c:pt>
                <c:pt idx="563">
                  <c:v>62</c:v>
                </c:pt>
                <c:pt idx="564">
                  <c:v>62</c:v>
                </c:pt>
                <c:pt idx="565">
                  <c:v>62</c:v>
                </c:pt>
                <c:pt idx="566">
                  <c:v>62</c:v>
                </c:pt>
                <c:pt idx="567">
                  <c:v>62</c:v>
                </c:pt>
                <c:pt idx="568">
                  <c:v>62</c:v>
                </c:pt>
                <c:pt idx="569">
                  <c:v>62</c:v>
                </c:pt>
                <c:pt idx="570">
                  <c:v>62</c:v>
                </c:pt>
                <c:pt idx="571">
                  <c:v>62</c:v>
                </c:pt>
                <c:pt idx="572">
                  <c:v>62</c:v>
                </c:pt>
                <c:pt idx="573">
                  <c:v>62</c:v>
                </c:pt>
                <c:pt idx="574">
                  <c:v>62</c:v>
                </c:pt>
                <c:pt idx="575">
                  <c:v>62</c:v>
                </c:pt>
                <c:pt idx="576">
                  <c:v>62</c:v>
                </c:pt>
                <c:pt idx="577">
                  <c:v>62</c:v>
                </c:pt>
                <c:pt idx="578">
                  <c:v>62</c:v>
                </c:pt>
                <c:pt idx="579">
                  <c:v>62</c:v>
                </c:pt>
                <c:pt idx="580">
                  <c:v>62</c:v>
                </c:pt>
                <c:pt idx="581">
                  <c:v>62</c:v>
                </c:pt>
                <c:pt idx="582">
                  <c:v>62</c:v>
                </c:pt>
                <c:pt idx="583">
                  <c:v>62</c:v>
                </c:pt>
                <c:pt idx="584">
                  <c:v>62</c:v>
                </c:pt>
                <c:pt idx="585">
                  <c:v>62</c:v>
                </c:pt>
                <c:pt idx="586">
                  <c:v>62</c:v>
                </c:pt>
                <c:pt idx="587">
                  <c:v>62</c:v>
                </c:pt>
                <c:pt idx="588">
                  <c:v>62</c:v>
                </c:pt>
                <c:pt idx="589">
                  <c:v>62</c:v>
                </c:pt>
                <c:pt idx="590">
                  <c:v>62</c:v>
                </c:pt>
                <c:pt idx="591">
                  <c:v>62</c:v>
                </c:pt>
                <c:pt idx="592">
                  <c:v>62</c:v>
                </c:pt>
                <c:pt idx="593">
                  <c:v>62</c:v>
                </c:pt>
                <c:pt idx="594">
                  <c:v>62</c:v>
                </c:pt>
                <c:pt idx="595">
                  <c:v>62</c:v>
                </c:pt>
                <c:pt idx="596">
                  <c:v>62</c:v>
                </c:pt>
                <c:pt idx="597">
                  <c:v>62</c:v>
                </c:pt>
                <c:pt idx="598">
                  <c:v>62</c:v>
                </c:pt>
                <c:pt idx="599">
                  <c:v>62</c:v>
                </c:pt>
                <c:pt idx="600">
                  <c:v>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C3-44BE-AC50-F85EA2CD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34927"/>
        <c:axId val="1111535407"/>
      </c:scatterChart>
      <c:valAx>
        <c:axId val="1111534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35407"/>
        <c:crosses val="autoZero"/>
        <c:crossBetween val="midCat"/>
      </c:valAx>
      <c:valAx>
        <c:axId val="11115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349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'65'!$B$1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'65'!$A$2:$A$602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'65'!$B$2:$B$602</c:f>
              <c:numCache>
                <c:formatCode>General</c:formatCode>
                <c:ptCount val="60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65</c:v>
                </c:pt>
                <c:pt idx="111">
                  <c:v>65</c:v>
                </c:pt>
                <c:pt idx="112">
                  <c:v>65</c:v>
                </c:pt>
                <c:pt idx="113">
                  <c:v>65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65</c:v>
                </c:pt>
                <c:pt idx="155">
                  <c:v>65</c:v>
                </c:pt>
                <c:pt idx="156">
                  <c:v>65</c:v>
                </c:pt>
                <c:pt idx="157">
                  <c:v>65</c:v>
                </c:pt>
                <c:pt idx="158">
                  <c:v>65</c:v>
                </c:pt>
                <c:pt idx="159">
                  <c:v>65</c:v>
                </c:pt>
                <c:pt idx="160">
                  <c:v>65</c:v>
                </c:pt>
                <c:pt idx="161">
                  <c:v>65</c:v>
                </c:pt>
                <c:pt idx="162">
                  <c:v>65</c:v>
                </c:pt>
                <c:pt idx="163">
                  <c:v>65</c:v>
                </c:pt>
                <c:pt idx="164">
                  <c:v>65</c:v>
                </c:pt>
                <c:pt idx="165">
                  <c:v>65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  <c:pt idx="169">
                  <c:v>65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65</c:v>
                </c:pt>
                <c:pt idx="176">
                  <c:v>65</c:v>
                </c:pt>
                <c:pt idx="177">
                  <c:v>65</c:v>
                </c:pt>
                <c:pt idx="178">
                  <c:v>65</c:v>
                </c:pt>
                <c:pt idx="179">
                  <c:v>65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65</c:v>
                </c:pt>
                <c:pt idx="193">
                  <c:v>65</c:v>
                </c:pt>
                <c:pt idx="194">
                  <c:v>65</c:v>
                </c:pt>
                <c:pt idx="195">
                  <c:v>65</c:v>
                </c:pt>
                <c:pt idx="196">
                  <c:v>65</c:v>
                </c:pt>
                <c:pt idx="197">
                  <c:v>65</c:v>
                </c:pt>
                <c:pt idx="198">
                  <c:v>65</c:v>
                </c:pt>
                <c:pt idx="199">
                  <c:v>65</c:v>
                </c:pt>
                <c:pt idx="200">
                  <c:v>65</c:v>
                </c:pt>
                <c:pt idx="201">
                  <c:v>65</c:v>
                </c:pt>
                <c:pt idx="202">
                  <c:v>65</c:v>
                </c:pt>
                <c:pt idx="203">
                  <c:v>65</c:v>
                </c:pt>
                <c:pt idx="204">
                  <c:v>65</c:v>
                </c:pt>
                <c:pt idx="205">
                  <c:v>65</c:v>
                </c:pt>
                <c:pt idx="206">
                  <c:v>65</c:v>
                </c:pt>
                <c:pt idx="207">
                  <c:v>65</c:v>
                </c:pt>
                <c:pt idx="208">
                  <c:v>65</c:v>
                </c:pt>
                <c:pt idx="209">
                  <c:v>65</c:v>
                </c:pt>
                <c:pt idx="210">
                  <c:v>65</c:v>
                </c:pt>
                <c:pt idx="211">
                  <c:v>65</c:v>
                </c:pt>
                <c:pt idx="212">
                  <c:v>65</c:v>
                </c:pt>
                <c:pt idx="213">
                  <c:v>65</c:v>
                </c:pt>
                <c:pt idx="214">
                  <c:v>65</c:v>
                </c:pt>
                <c:pt idx="215">
                  <c:v>65</c:v>
                </c:pt>
                <c:pt idx="216">
                  <c:v>65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65</c:v>
                </c:pt>
                <c:pt idx="224">
                  <c:v>65</c:v>
                </c:pt>
                <c:pt idx="225">
                  <c:v>65</c:v>
                </c:pt>
                <c:pt idx="226">
                  <c:v>65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65</c:v>
                </c:pt>
                <c:pt idx="234">
                  <c:v>65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65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65</c:v>
                </c:pt>
                <c:pt idx="244">
                  <c:v>65</c:v>
                </c:pt>
                <c:pt idx="245">
                  <c:v>65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65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65</c:v>
                </c:pt>
                <c:pt idx="292">
                  <c:v>65</c:v>
                </c:pt>
                <c:pt idx="293">
                  <c:v>65</c:v>
                </c:pt>
                <c:pt idx="294">
                  <c:v>65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65</c:v>
                </c:pt>
                <c:pt idx="302">
                  <c:v>65</c:v>
                </c:pt>
                <c:pt idx="303">
                  <c:v>65</c:v>
                </c:pt>
                <c:pt idx="304">
                  <c:v>65</c:v>
                </c:pt>
                <c:pt idx="305">
                  <c:v>65</c:v>
                </c:pt>
                <c:pt idx="306">
                  <c:v>65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65</c:v>
                </c:pt>
                <c:pt idx="317">
                  <c:v>65</c:v>
                </c:pt>
                <c:pt idx="318">
                  <c:v>65</c:v>
                </c:pt>
                <c:pt idx="319">
                  <c:v>65</c:v>
                </c:pt>
                <c:pt idx="320">
                  <c:v>65</c:v>
                </c:pt>
                <c:pt idx="321">
                  <c:v>65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DC-49AD-A870-D2A392932D53}"/>
            </c:ext>
          </c:extLst>
        </c:ser>
        <c:ser>
          <c:idx val="1"/>
          <c:order val="1"/>
          <c:tx>
            <c:strRef>
              <c:f>'65'!$C$1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'65'!$A$2:$A$602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'65'!$C$2:$C$602</c:f>
              <c:numCache>
                <c:formatCode>General</c:formatCode>
                <c:ptCount val="601"/>
                <c:pt idx="0">
                  <c:v>29.03</c:v>
                </c:pt>
                <c:pt idx="1">
                  <c:v>29.05</c:v>
                </c:pt>
                <c:pt idx="2">
                  <c:v>29.2</c:v>
                </c:pt>
                <c:pt idx="3">
                  <c:v>29.16</c:v>
                </c:pt>
                <c:pt idx="4">
                  <c:v>29.25</c:v>
                </c:pt>
                <c:pt idx="5">
                  <c:v>29.36</c:v>
                </c:pt>
                <c:pt idx="6">
                  <c:v>29.51</c:v>
                </c:pt>
                <c:pt idx="7">
                  <c:v>29.74</c:v>
                </c:pt>
                <c:pt idx="8">
                  <c:v>29.95</c:v>
                </c:pt>
                <c:pt idx="9">
                  <c:v>30.32</c:v>
                </c:pt>
                <c:pt idx="10">
                  <c:v>30.74</c:v>
                </c:pt>
                <c:pt idx="11">
                  <c:v>31.13</c:v>
                </c:pt>
                <c:pt idx="12">
                  <c:v>31.59</c:v>
                </c:pt>
                <c:pt idx="13">
                  <c:v>32.130000000000003</c:v>
                </c:pt>
                <c:pt idx="14">
                  <c:v>32.61</c:v>
                </c:pt>
                <c:pt idx="15">
                  <c:v>33.22</c:v>
                </c:pt>
                <c:pt idx="16">
                  <c:v>33.770000000000003</c:v>
                </c:pt>
                <c:pt idx="17">
                  <c:v>34.28</c:v>
                </c:pt>
                <c:pt idx="18">
                  <c:v>34.89</c:v>
                </c:pt>
                <c:pt idx="19">
                  <c:v>35.46</c:v>
                </c:pt>
                <c:pt idx="20">
                  <c:v>36.04</c:v>
                </c:pt>
                <c:pt idx="21">
                  <c:v>36.630000000000003</c:v>
                </c:pt>
                <c:pt idx="22">
                  <c:v>37.18</c:v>
                </c:pt>
                <c:pt idx="23">
                  <c:v>37.74</c:v>
                </c:pt>
                <c:pt idx="24">
                  <c:v>38.33</c:v>
                </c:pt>
                <c:pt idx="25">
                  <c:v>38.979999999999997</c:v>
                </c:pt>
                <c:pt idx="26">
                  <c:v>39.49</c:v>
                </c:pt>
                <c:pt idx="27">
                  <c:v>40.08</c:v>
                </c:pt>
                <c:pt idx="28">
                  <c:v>40.64</c:v>
                </c:pt>
                <c:pt idx="29">
                  <c:v>41.13</c:v>
                </c:pt>
                <c:pt idx="30">
                  <c:v>41.72</c:v>
                </c:pt>
                <c:pt idx="31">
                  <c:v>42.26</c:v>
                </c:pt>
                <c:pt idx="32">
                  <c:v>42.87</c:v>
                </c:pt>
                <c:pt idx="33">
                  <c:v>43.36</c:v>
                </c:pt>
                <c:pt idx="34">
                  <c:v>43.92</c:v>
                </c:pt>
                <c:pt idx="35">
                  <c:v>44.48</c:v>
                </c:pt>
                <c:pt idx="36">
                  <c:v>44.99</c:v>
                </c:pt>
                <c:pt idx="37">
                  <c:v>45.53</c:v>
                </c:pt>
                <c:pt idx="38">
                  <c:v>46.03</c:v>
                </c:pt>
                <c:pt idx="39">
                  <c:v>46.55</c:v>
                </c:pt>
                <c:pt idx="40">
                  <c:v>47.07</c:v>
                </c:pt>
                <c:pt idx="41">
                  <c:v>47.53</c:v>
                </c:pt>
                <c:pt idx="42">
                  <c:v>48.08</c:v>
                </c:pt>
                <c:pt idx="43">
                  <c:v>48.52</c:v>
                </c:pt>
                <c:pt idx="44">
                  <c:v>49.02</c:v>
                </c:pt>
                <c:pt idx="45">
                  <c:v>49.54</c:v>
                </c:pt>
                <c:pt idx="46">
                  <c:v>50.01</c:v>
                </c:pt>
                <c:pt idx="47">
                  <c:v>50.45</c:v>
                </c:pt>
                <c:pt idx="48">
                  <c:v>50.97</c:v>
                </c:pt>
                <c:pt idx="49">
                  <c:v>51.45</c:v>
                </c:pt>
                <c:pt idx="50">
                  <c:v>51.86</c:v>
                </c:pt>
                <c:pt idx="51">
                  <c:v>52.36</c:v>
                </c:pt>
                <c:pt idx="52">
                  <c:v>52.81</c:v>
                </c:pt>
                <c:pt idx="53">
                  <c:v>53.27</c:v>
                </c:pt>
                <c:pt idx="54">
                  <c:v>53.75</c:v>
                </c:pt>
                <c:pt idx="55">
                  <c:v>54.15</c:v>
                </c:pt>
                <c:pt idx="56">
                  <c:v>54.6</c:v>
                </c:pt>
                <c:pt idx="57">
                  <c:v>55.06</c:v>
                </c:pt>
                <c:pt idx="58">
                  <c:v>55.44</c:v>
                </c:pt>
                <c:pt idx="59">
                  <c:v>55.89</c:v>
                </c:pt>
                <c:pt idx="60">
                  <c:v>56.33</c:v>
                </c:pt>
                <c:pt idx="61">
                  <c:v>56.71</c:v>
                </c:pt>
                <c:pt idx="62">
                  <c:v>57.14</c:v>
                </c:pt>
                <c:pt idx="63">
                  <c:v>57.56</c:v>
                </c:pt>
                <c:pt idx="64">
                  <c:v>57.88</c:v>
                </c:pt>
                <c:pt idx="65">
                  <c:v>58.35</c:v>
                </c:pt>
                <c:pt idx="66">
                  <c:v>58.73</c:v>
                </c:pt>
                <c:pt idx="67">
                  <c:v>59.15</c:v>
                </c:pt>
                <c:pt idx="68">
                  <c:v>59.47</c:v>
                </c:pt>
                <c:pt idx="69">
                  <c:v>59.84</c:v>
                </c:pt>
                <c:pt idx="70">
                  <c:v>60.19</c:v>
                </c:pt>
                <c:pt idx="71">
                  <c:v>60.57</c:v>
                </c:pt>
                <c:pt idx="72">
                  <c:v>60.94</c:v>
                </c:pt>
                <c:pt idx="73">
                  <c:v>61.28</c:v>
                </c:pt>
                <c:pt idx="74">
                  <c:v>61.62</c:v>
                </c:pt>
                <c:pt idx="75">
                  <c:v>61.99</c:v>
                </c:pt>
                <c:pt idx="76">
                  <c:v>62.28</c:v>
                </c:pt>
                <c:pt idx="77">
                  <c:v>62.64</c:v>
                </c:pt>
                <c:pt idx="78">
                  <c:v>62.99</c:v>
                </c:pt>
                <c:pt idx="79">
                  <c:v>63.32</c:v>
                </c:pt>
                <c:pt idx="80">
                  <c:v>63.61</c:v>
                </c:pt>
                <c:pt idx="81">
                  <c:v>63.95</c:v>
                </c:pt>
                <c:pt idx="82">
                  <c:v>64.239999999999995</c:v>
                </c:pt>
                <c:pt idx="83">
                  <c:v>64.569999999999993</c:v>
                </c:pt>
                <c:pt idx="84">
                  <c:v>64.83</c:v>
                </c:pt>
                <c:pt idx="85">
                  <c:v>65.11</c:v>
                </c:pt>
                <c:pt idx="86">
                  <c:v>65.14</c:v>
                </c:pt>
                <c:pt idx="87">
                  <c:v>65.34</c:v>
                </c:pt>
                <c:pt idx="88">
                  <c:v>65.56</c:v>
                </c:pt>
                <c:pt idx="89">
                  <c:v>65.77</c:v>
                </c:pt>
                <c:pt idx="90">
                  <c:v>65.900000000000006</c:v>
                </c:pt>
                <c:pt idx="91">
                  <c:v>66.05</c:v>
                </c:pt>
                <c:pt idx="92">
                  <c:v>66.16</c:v>
                </c:pt>
                <c:pt idx="93">
                  <c:v>66.23</c:v>
                </c:pt>
                <c:pt idx="94">
                  <c:v>66.239999999999995</c:v>
                </c:pt>
                <c:pt idx="95">
                  <c:v>66.27</c:v>
                </c:pt>
                <c:pt idx="96">
                  <c:v>66.22</c:v>
                </c:pt>
                <c:pt idx="97">
                  <c:v>66.13</c:v>
                </c:pt>
                <c:pt idx="98">
                  <c:v>66.02</c:v>
                </c:pt>
                <c:pt idx="99">
                  <c:v>65.8</c:v>
                </c:pt>
                <c:pt idx="100">
                  <c:v>65.62</c:v>
                </c:pt>
                <c:pt idx="101">
                  <c:v>65.44</c:v>
                </c:pt>
                <c:pt idx="102">
                  <c:v>65.25</c:v>
                </c:pt>
                <c:pt idx="103">
                  <c:v>65.09</c:v>
                </c:pt>
                <c:pt idx="104">
                  <c:v>64.87</c:v>
                </c:pt>
                <c:pt idx="105">
                  <c:v>64.709999999999994</c:v>
                </c:pt>
                <c:pt idx="106">
                  <c:v>64.650000000000006</c:v>
                </c:pt>
                <c:pt idx="107">
                  <c:v>64.62</c:v>
                </c:pt>
                <c:pt idx="108">
                  <c:v>64.53</c:v>
                </c:pt>
                <c:pt idx="109">
                  <c:v>64.45</c:v>
                </c:pt>
                <c:pt idx="110">
                  <c:v>64.45</c:v>
                </c:pt>
                <c:pt idx="111">
                  <c:v>64.34</c:v>
                </c:pt>
                <c:pt idx="112">
                  <c:v>64.400000000000006</c:v>
                </c:pt>
                <c:pt idx="113">
                  <c:v>64.36</c:v>
                </c:pt>
                <c:pt idx="114">
                  <c:v>64.42</c:v>
                </c:pt>
                <c:pt idx="115">
                  <c:v>64.52</c:v>
                </c:pt>
                <c:pt idx="116">
                  <c:v>64.52</c:v>
                </c:pt>
                <c:pt idx="117">
                  <c:v>64.650000000000006</c:v>
                </c:pt>
                <c:pt idx="118">
                  <c:v>64.56</c:v>
                </c:pt>
                <c:pt idx="119">
                  <c:v>64.790000000000006</c:v>
                </c:pt>
                <c:pt idx="120">
                  <c:v>64.72</c:v>
                </c:pt>
                <c:pt idx="121">
                  <c:v>64.8</c:v>
                </c:pt>
                <c:pt idx="122">
                  <c:v>64.900000000000006</c:v>
                </c:pt>
                <c:pt idx="123">
                  <c:v>65.010000000000005</c:v>
                </c:pt>
                <c:pt idx="124">
                  <c:v>65.11</c:v>
                </c:pt>
                <c:pt idx="125">
                  <c:v>65.19</c:v>
                </c:pt>
                <c:pt idx="126">
                  <c:v>65.31</c:v>
                </c:pt>
                <c:pt idx="127">
                  <c:v>65.34</c:v>
                </c:pt>
                <c:pt idx="128">
                  <c:v>65.42</c:v>
                </c:pt>
                <c:pt idx="129">
                  <c:v>65.53</c:v>
                </c:pt>
                <c:pt idx="130">
                  <c:v>65.5</c:v>
                </c:pt>
                <c:pt idx="131">
                  <c:v>65.59</c:v>
                </c:pt>
                <c:pt idx="132">
                  <c:v>65.62</c:v>
                </c:pt>
                <c:pt idx="133">
                  <c:v>65.67</c:v>
                </c:pt>
                <c:pt idx="134">
                  <c:v>65.7</c:v>
                </c:pt>
                <c:pt idx="135">
                  <c:v>65.709999999999994</c:v>
                </c:pt>
                <c:pt idx="136">
                  <c:v>65.73</c:v>
                </c:pt>
                <c:pt idx="137">
                  <c:v>65.69</c:v>
                </c:pt>
                <c:pt idx="138">
                  <c:v>65.67</c:v>
                </c:pt>
                <c:pt idx="139">
                  <c:v>65.64</c:v>
                </c:pt>
                <c:pt idx="140">
                  <c:v>65.56</c:v>
                </c:pt>
                <c:pt idx="141">
                  <c:v>65.5</c:v>
                </c:pt>
                <c:pt idx="142">
                  <c:v>65.400000000000006</c:v>
                </c:pt>
                <c:pt idx="143">
                  <c:v>65.41</c:v>
                </c:pt>
                <c:pt idx="144">
                  <c:v>65.28</c:v>
                </c:pt>
                <c:pt idx="145">
                  <c:v>65.239999999999995</c:v>
                </c:pt>
                <c:pt idx="146">
                  <c:v>65.16</c:v>
                </c:pt>
                <c:pt idx="147">
                  <c:v>65.06</c:v>
                </c:pt>
                <c:pt idx="148">
                  <c:v>65.09</c:v>
                </c:pt>
                <c:pt idx="149">
                  <c:v>64.989999999999995</c:v>
                </c:pt>
                <c:pt idx="150">
                  <c:v>64.95</c:v>
                </c:pt>
                <c:pt idx="151">
                  <c:v>64.989999999999995</c:v>
                </c:pt>
                <c:pt idx="152">
                  <c:v>64.959999999999994</c:v>
                </c:pt>
                <c:pt idx="153">
                  <c:v>64.900000000000006</c:v>
                </c:pt>
                <c:pt idx="154">
                  <c:v>64.930000000000007</c:v>
                </c:pt>
                <c:pt idx="155">
                  <c:v>64.900000000000006</c:v>
                </c:pt>
                <c:pt idx="156">
                  <c:v>64.930000000000007</c:v>
                </c:pt>
                <c:pt idx="157">
                  <c:v>64.95</c:v>
                </c:pt>
                <c:pt idx="158">
                  <c:v>64.97</c:v>
                </c:pt>
                <c:pt idx="159">
                  <c:v>64.989999999999995</c:v>
                </c:pt>
                <c:pt idx="160">
                  <c:v>65.02</c:v>
                </c:pt>
                <c:pt idx="161">
                  <c:v>65.03</c:v>
                </c:pt>
                <c:pt idx="162">
                  <c:v>65.08</c:v>
                </c:pt>
                <c:pt idx="163">
                  <c:v>65.08</c:v>
                </c:pt>
                <c:pt idx="164">
                  <c:v>65.16</c:v>
                </c:pt>
                <c:pt idx="165">
                  <c:v>65.14</c:v>
                </c:pt>
                <c:pt idx="166">
                  <c:v>65.22</c:v>
                </c:pt>
                <c:pt idx="167">
                  <c:v>65.25</c:v>
                </c:pt>
                <c:pt idx="168">
                  <c:v>65.239999999999995</c:v>
                </c:pt>
                <c:pt idx="169">
                  <c:v>65.290000000000006</c:v>
                </c:pt>
                <c:pt idx="170">
                  <c:v>65.3</c:v>
                </c:pt>
                <c:pt idx="171">
                  <c:v>65.34</c:v>
                </c:pt>
                <c:pt idx="172">
                  <c:v>65.37</c:v>
                </c:pt>
                <c:pt idx="173">
                  <c:v>65.33</c:v>
                </c:pt>
                <c:pt idx="174">
                  <c:v>65.38</c:v>
                </c:pt>
                <c:pt idx="175">
                  <c:v>65.349999999999994</c:v>
                </c:pt>
                <c:pt idx="176">
                  <c:v>65.39</c:v>
                </c:pt>
                <c:pt idx="177">
                  <c:v>65.400000000000006</c:v>
                </c:pt>
                <c:pt idx="178">
                  <c:v>65.41</c:v>
                </c:pt>
                <c:pt idx="179">
                  <c:v>65.400000000000006</c:v>
                </c:pt>
                <c:pt idx="180">
                  <c:v>65.37</c:v>
                </c:pt>
                <c:pt idx="181">
                  <c:v>65.36</c:v>
                </c:pt>
                <c:pt idx="182">
                  <c:v>65.400000000000006</c:v>
                </c:pt>
                <c:pt idx="183">
                  <c:v>65.400000000000006</c:v>
                </c:pt>
                <c:pt idx="184">
                  <c:v>65.39</c:v>
                </c:pt>
                <c:pt idx="185">
                  <c:v>65.319999999999993</c:v>
                </c:pt>
                <c:pt idx="186">
                  <c:v>65.34</c:v>
                </c:pt>
                <c:pt idx="187">
                  <c:v>65.37</c:v>
                </c:pt>
                <c:pt idx="188">
                  <c:v>65.349999999999994</c:v>
                </c:pt>
                <c:pt idx="189">
                  <c:v>65.34</c:v>
                </c:pt>
                <c:pt idx="190">
                  <c:v>65.27</c:v>
                </c:pt>
                <c:pt idx="191">
                  <c:v>65.31</c:v>
                </c:pt>
                <c:pt idx="192">
                  <c:v>65.28</c:v>
                </c:pt>
                <c:pt idx="193">
                  <c:v>65.290000000000006</c:v>
                </c:pt>
                <c:pt idx="194">
                  <c:v>65.25</c:v>
                </c:pt>
                <c:pt idx="195">
                  <c:v>65.27</c:v>
                </c:pt>
                <c:pt idx="196">
                  <c:v>65.290000000000006</c:v>
                </c:pt>
                <c:pt idx="197">
                  <c:v>65.25</c:v>
                </c:pt>
                <c:pt idx="198">
                  <c:v>65.28</c:v>
                </c:pt>
                <c:pt idx="199">
                  <c:v>65.25</c:v>
                </c:pt>
                <c:pt idx="200">
                  <c:v>65.19</c:v>
                </c:pt>
                <c:pt idx="201">
                  <c:v>65.27</c:v>
                </c:pt>
                <c:pt idx="202">
                  <c:v>65.28</c:v>
                </c:pt>
                <c:pt idx="203">
                  <c:v>65.209999999999994</c:v>
                </c:pt>
                <c:pt idx="204">
                  <c:v>65.25</c:v>
                </c:pt>
                <c:pt idx="205">
                  <c:v>65.239999999999995</c:v>
                </c:pt>
                <c:pt idx="206">
                  <c:v>65.239999999999995</c:v>
                </c:pt>
                <c:pt idx="207">
                  <c:v>65.23</c:v>
                </c:pt>
                <c:pt idx="208">
                  <c:v>65.260000000000005</c:v>
                </c:pt>
                <c:pt idx="209">
                  <c:v>65.23</c:v>
                </c:pt>
                <c:pt idx="210">
                  <c:v>65.27</c:v>
                </c:pt>
                <c:pt idx="211">
                  <c:v>65.290000000000006</c:v>
                </c:pt>
                <c:pt idx="212">
                  <c:v>65.33</c:v>
                </c:pt>
                <c:pt idx="213">
                  <c:v>65.319999999999993</c:v>
                </c:pt>
                <c:pt idx="214">
                  <c:v>65.28</c:v>
                </c:pt>
                <c:pt idx="215">
                  <c:v>65.319999999999993</c:v>
                </c:pt>
                <c:pt idx="216">
                  <c:v>65.3</c:v>
                </c:pt>
                <c:pt idx="217">
                  <c:v>65.290000000000006</c:v>
                </c:pt>
                <c:pt idx="218">
                  <c:v>65.290000000000006</c:v>
                </c:pt>
                <c:pt idx="219">
                  <c:v>65.319999999999993</c:v>
                </c:pt>
                <c:pt idx="220">
                  <c:v>65.27</c:v>
                </c:pt>
                <c:pt idx="221">
                  <c:v>65.33</c:v>
                </c:pt>
                <c:pt idx="222">
                  <c:v>65.31</c:v>
                </c:pt>
                <c:pt idx="223">
                  <c:v>65.33</c:v>
                </c:pt>
                <c:pt idx="224">
                  <c:v>65.33</c:v>
                </c:pt>
                <c:pt idx="225">
                  <c:v>65.319999999999993</c:v>
                </c:pt>
                <c:pt idx="226">
                  <c:v>65.260000000000005</c:v>
                </c:pt>
                <c:pt idx="227">
                  <c:v>65.28</c:v>
                </c:pt>
                <c:pt idx="228">
                  <c:v>65.25</c:v>
                </c:pt>
                <c:pt idx="229">
                  <c:v>65.260000000000005</c:v>
                </c:pt>
                <c:pt idx="230">
                  <c:v>65.22</c:v>
                </c:pt>
                <c:pt idx="231">
                  <c:v>65.23</c:v>
                </c:pt>
                <c:pt idx="232">
                  <c:v>65.23</c:v>
                </c:pt>
                <c:pt idx="233">
                  <c:v>65.209999999999994</c:v>
                </c:pt>
                <c:pt idx="234">
                  <c:v>65.260000000000005</c:v>
                </c:pt>
                <c:pt idx="235">
                  <c:v>65.22</c:v>
                </c:pt>
                <c:pt idx="236">
                  <c:v>65.23</c:v>
                </c:pt>
                <c:pt idx="237">
                  <c:v>65.290000000000006</c:v>
                </c:pt>
                <c:pt idx="238">
                  <c:v>65.260000000000005</c:v>
                </c:pt>
                <c:pt idx="239">
                  <c:v>65.260000000000005</c:v>
                </c:pt>
                <c:pt idx="240">
                  <c:v>65.290000000000006</c:v>
                </c:pt>
                <c:pt idx="241">
                  <c:v>65.25</c:v>
                </c:pt>
                <c:pt idx="242">
                  <c:v>65.239999999999995</c:v>
                </c:pt>
                <c:pt idx="243">
                  <c:v>65.319999999999993</c:v>
                </c:pt>
                <c:pt idx="244">
                  <c:v>65.239999999999995</c:v>
                </c:pt>
                <c:pt idx="245">
                  <c:v>65.31</c:v>
                </c:pt>
                <c:pt idx="246">
                  <c:v>65.27</c:v>
                </c:pt>
                <c:pt idx="247">
                  <c:v>65.290000000000006</c:v>
                </c:pt>
                <c:pt idx="248">
                  <c:v>65.319999999999993</c:v>
                </c:pt>
                <c:pt idx="249">
                  <c:v>65.34</c:v>
                </c:pt>
                <c:pt idx="250">
                  <c:v>65.349999999999994</c:v>
                </c:pt>
                <c:pt idx="251">
                  <c:v>65.31</c:v>
                </c:pt>
                <c:pt idx="252">
                  <c:v>65.290000000000006</c:v>
                </c:pt>
                <c:pt idx="253">
                  <c:v>65.36</c:v>
                </c:pt>
                <c:pt idx="254">
                  <c:v>65.31</c:v>
                </c:pt>
                <c:pt idx="255">
                  <c:v>65.31</c:v>
                </c:pt>
                <c:pt idx="256">
                  <c:v>65.31</c:v>
                </c:pt>
                <c:pt idx="257">
                  <c:v>65.34</c:v>
                </c:pt>
                <c:pt idx="258">
                  <c:v>65.349999999999994</c:v>
                </c:pt>
                <c:pt idx="259">
                  <c:v>65.319999999999993</c:v>
                </c:pt>
                <c:pt idx="260">
                  <c:v>65.33</c:v>
                </c:pt>
                <c:pt idx="261">
                  <c:v>65.290000000000006</c:v>
                </c:pt>
                <c:pt idx="262">
                  <c:v>65.33</c:v>
                </c:pt>
                <c:pt idx="263">
                  <c:v>65.349999999999994</c:v>
                </c:pt>
                <c:pt idx="264">
                  <c:v>65.36</c:v>
                </c:pt>
                <c:pt idx="265">
                  <c:v>65.290000000000006</c:v>
                </c:pt>
                <c:pt idx="266">
                  <c:v>65.33</c:v>
                </c:pt>
                <c:pt idx="267">
                  <c:v>65.34</c:v>
                </c:pt>
                <c:pt idx="268">
                  <c:v>65.319999999999993</c:v>
                </c:pt>
                <c:pt idx="269">
                  <c:v>65.28</c:v>
                </c:pt>
                <c:pt idx="270">
                  <c:v>65.27</c:v>
                </c:pt>
                <c:pt idx="271">
                  <c:v>65.27</c:v>
                </c:pt>
                <c:pt idx="272">
                  <c:v>65.27</c:v>
                </c:pt>
                <c:pt idx="273">
                  <c:v>65.31</c:v>
                </c:pt>
                <c:pt idx="274">
                  <c:v>65.290000000000006</c:v>
                </c:pt>
                <c:pt idx="275">
                  <c:v>65.31</c:v>
                </c:pt>
                <c:pt idx="276">
                  <c:v>65.23</c:v>
                </c:pt>
                <c:pt idx="277">
                  <c:v>65.28</c:v>
                </c:pt>
                <c:pt idx="278">
                  <c:v>65.290000000000006</c:v>
                </c:pt>
                <c:pt idx="279">
                  <c:v>65.31</c:v>
                </c:pt>
                <c:pt idx="280">
                  <c:v>65.27</c:v>
                </c:pt>
                <c:pt idx="281">
                  <c:v>65.290000000000006</c:v>
                </c:pt>
                <c:pt idx="282">
                  <c:v>65.260000000000005</c:v>
                </c:pt>
                <c:pt idx="283">
                  <c:v>65.31</c:v>
                </c:pt>
                <c:pt idx="284">
                  <c:v>65.260000000000005</c:v>
                </c:pt>
                <c:pt idx="285">
                  <c:v>65.31</c:v>
                </c:pt>
                <c:pt idx="286">
                  <c:v>65.28</c:v>
                </c:pt>
                <c:pt idx="287">
                  <c:v>65.239999999999995</c:v>
                </c:pt>
                <c:pt idx="288">
                  <c:v>65.290000000000006</c:v>
                </c:pt>
                <c:pt idx="289">
                  <c:v>65.23</c:v>
                </c:pt>
                <c:pt idx="290">
                  <c:v>65.239999999999995</c:v>
                </c:pt>
                <c:pt idx="291">
                  <c:v>65.23</c:v>
                </c:pt>
                <c:pt idx="292">
                  <c:v>65.23</c:v>
                </c:pt>
                <c:pt idx="293">
                  <c:v>65.27</c:v>
                </c:pt>
                <c:pt idx="294">
                  <c:v>65.23</c:v>
                </c:pt>
                <c:pt idx="295">
                  <c:v>65.2</c:v>
                </c:pt>
                <c:pt idx="296">
                  <c:v>65.209999999999994</c:v>
                </c:pt>
                <c:pt idx="297">
                  <c:v>65.28</c:v>
                </c:pt>
                <c:pt idx="298">
                  <c:v>65.209999999999994</c:v>
                </c:pt>
                <c:pt idx="299">
                  <c:v>65.28</c:v>
                </c:pt>
                <c:pt idx="300">
                  <c:v>65.260000000000005</c:v>
                </c:pt>
                <c:pt idx="301">
                  <c:v>65.23</c:v>
                </c:pt>
                <c:pt idx="302">
                  <c:v>65.22</c:v>
                </c:pt>
                <c:pt idx="303">
                  <c:v>65.290000000000006</c:v>
                </c:pt>
                <c:pt idx="304">
                  <c:v>65.239999999999995</c:v>
                </c:pt>
                <c:pt idx="305">
                  <c:v>65.27</c:v>
                </c:pt>
                <c:pt idx="306">
                  <c:v>65.25</c:v>
                </c:pt>
                <c:pt idx="307">
                  <c:v>65.27</c:v>
                </c:pt>
                <c:pt idx="308">
                  <c:v>65.36</c:v>
                </c:pt>
                <c:pt idx="309">
                  <c:v>65.290000000000006</c:v>
                </c:pt>
                <c:pt idx="310">
                  <c:v>65.27</c:v>
                </c:pt>
                <c:pt idx="311">
                  <c:v>65.31</c:v>
                </c:pt>
                <c:pt idx="312">
                  <c:v>65.28</c:v>
                </c:pt>
                <c:pt idx="313">
                  <c:v>65.349999999999994</c:v>
                </c:pt>
                <c:pt idx="314">
                  <c:v>65.34</c:v>
                </c:pt>
                <c:pt idx="315">
                  <c:v>65.28</c:v>
                </c:pt>
                <c:pt idx="316">
                  <c:v>65.31</c:v>
                </c:pt>
                <c:pt idx="317">
                  <c:v>65.31</c:v>
                </c:pt>
                <c:pt idx="318">
                  <c:v>65.319999999999993</c:v>
                </c:pt>
                <c:pt idx="319">
                  <c:v>65.3</c:v>
                </c:pt>
                <c:pt idx="320">
                  <c:v>65.33</c:v>
                </c:pt>
                <c:pt idx="321">
                  <c:v>65.319999999999993</c:v>
                </c:pt>
                <c:pt idx="322">
                  <c:v>65.31</c:v>
                </c:pt>
                <c:pt idx="323">
                  <c:v>65.36</c:v>
                </c:pt>
                <c:pt idx="324">
                  <c:v>65.34</c:v>
                </c:pt>
                <c:pt idx="325">
                  <c:v>65.34</c:v>
                </c:pt>
                <c:pt idx="326">
                  <c:v>65.34</c:v>
                </c:pt>
                <c:pt idx="327">
                  <c:v>65.349999999999994</c:v>
                </c:pt>
                <c:pt idx="328">
                  <c:v>65.3</c:v>
                </c:pt>
                <c:pt idx="329">
                  <c:v>65.36</c:v>
                </c:pt>
                <c:pt idx="330">
                  <c:v>65.36</c:v>
                </c:pt>
                <c:pt idx="331">
                  <c:v>65.33</c:v>
                </c:pt>
                <c:pt idx="332">
                  <c:v>65.37</c:v>
                </c:pt>
                <c:pt idx="333">
                  <c:v>65.34</c:v>
                </c:pt>
                <c:pt idx="334">
                  <c:v>65.34</c:v>
                </c:pt>
                <c:pt idx="335">
                  <c:v>65.349999999999994</c:v>
                </c:pt>
                <c:pt idx="336">
                  <c:v>65.34</c:v>
                </c:pt>
                <c:pt idx="337">
                  <c:v>65.33</c:v>
                </c:pt>
                <c:pt idx="338">
                  <c:v>65.349999999999994</c:v>
                </c:pt>
                <c:pt idx="339">
                  <c:v>65.31</c:v>
                </c:pt>
                <c:pt idx="340">
                  <c:v>65.31</c:v>
                </c:pt>
                <c:pt idx="341">
                  <c:v>65.3</c:v>
                </c:pt>
                <c:pt idx="342">
                  <c:v>65.28</c:v>
                </c:pt>
                <c:pt idx="343">
                  <c:v>65.319999999999993</c:v>
                </c:pt>
                <c:pt idx="344">
                  <c:v>65.3</c:v>
                </c:pt>
                <c:pt idx="345">
                  <c:v>65.28</c:v>
                </c:pt>
                <c:pt idx="346">
                  <c:v>65.260000000000005</c:v>
                </c:pt>
                <c:pt idx="347">
                  <c:v>65.239999999999995</c:v>
                </c:pt>
                <c:pt idx="348">
                  <c:v>65.3</c:v>
                </c:pt>
                <c:pt idx="349">
                  <c:v>65.290000000000006</c:v>
                </c:pt>
                <c:pt idx="350">
                  <c:v>65.290000000000006</c:v>
                </c:pt>
                <c:pt idx="351">
                  <c:v>65.3</c:v>
                </c:pt>
                <c:pt idx="352">
                  <c:v>65.290000000000006</c:v>
                </c:pt>
                <c:pt idx="353">
                  <c:v>65.290000000000006</c:v>
                </c:pt>
                <c:pt idx="354">
                  <c:v>65.23</c:v>
                </c:pt>
                <c:pt idx="355">
                  <c:v>65.23</c:v>
                </c:pt>
                <c:pt idx="356">
                  <c:v>65.260000000000005</c:v>
                </c:pt>
                <c:pt idx="357">
                  <c:v>65.25</c:v>
                </c:pt>
                <c:pt idx="358">
                  <c:v>65.290000000000006</c:v>
                </c:pt>
                <c:pt idx="359">
                  <c:v>65.25</c:v>
                </c:pt>
                <c:pt idx="360">
                  <c:v>65.25</c:v>
                </c:pt>
                <c:pt idx="361">
                  <c:v>65.28</c:v>
                </c:pt>
                <c:pt idx="362">
                  <c:v>65.290000000000006</c:v>
                </c:pt>
                <c:pt idx="363">
                  <c:v>65.3</c:v>
                </c:pt>
                <c:pt idx="364">
                  <c:v>65.290000000000006</c:v>
                </c:pt>
                <c:pt idx="365">
                  <c:v>65.3</c:v>
                </c:pt>
                <c:pt idx="366">
                  <c:v>65.290000000000006</c:v>
                </c:pt>
                <c:pt idx="367">
                  <c:v>65.27</c:v>
                </c:pt>
                <c:pt idx="368">
                  <c:v>65.290000000000006</c:v>
                </c:pt>
                <c:pt idx="369">
                  <c:v>65.27</c:v>
                </c:pt>
                <c:pt idx="370">
                  <c:v>65.28</c:v>
                </c:pt>
                <c:pt idx="371">
                  <c:v>65.33</c:v>
                </c:pt>
                <c:pt idx="372">
                  <c:v>65.349999999999994</c:v>
                </c:pt>
                <c:pt idx="373">
                  <c:v>65.37</c:v>
                </c:pt>
                <c:pt idx="374">
                  <c:v>65.290000000000006</c:v>
                </c:pt>
                <c:pt idx="375">
                  <c:v>65.37</c:v>
                </c:pt>
                <c:pt idx="376">
                  <c:v>65.38</c:v>
                </c:pt>
                <c:pt idx="377">
                  <c:v>65.400000000000006</c:v>
                </c:pt>
                <c:pt idx="378">
                  <c:v>65.400000000000006</c:v>
                </c:pt>
                <c:pt idx="379">
                  <c:v>65.38</c:v>
                </c:pt>
                <c:pt idx="380">
                  <c:v>65.400000000000006</c:v>
                </c:pt>
                <c:pt idx="381">
                  <c:v>65.39</c:v>
                </c:pt>
                <c:pt idx="382">
                  <c:v>65.39</c:v>
                </c:pt>
                <c:pt idx="383">
                  <c:v>65.44</c:v>
                </c:pt>
                <c:pt idx="384">
                  <c:v>65.41</c:v>
                </c:pt>
                <c:pt idx="385">
                  <c:v>65.42</c:v>
                </c:pt>
                <c:pt idx="386">
                  <c:v>65.42</c:v>
                </c:pt>
                <c:pt idx="387">
                  <c:v>65.400000000000006</c:v>
                </c:pt>
                <c:pt idx="388">
                  <c:v>65.349999999999994</c:v>
                </c:pt>
                <c:pt idx="389">
                  <c:v>65.38</c:v>
                </c:pt>
                <c:pt idx="390">
                  <c:v>65.33</c:v>
                </c:pt>
                <c:pt idx="391">
                  <c:v>65.38</c:v>
                </c:pt>
                <c:pt idx="392">
                  <c:v>65.290000000000006</c:v>
                </c:pt>
                <c:pt idx="393">
                  <c:v>65.33</c:v>
                </c:pt>
                <c:pt idx="394">
                  <c:v>65.349999999999994</c:v>
                </c:pt>
                <c:pt idx="395">
                  <c:v>65.37</c:v>
                </c:pt>
                <c:pt idx="396">
                  <c:v>65.34</c:v>
                </c:pt>
                <c:pt idx="397">
                  <c:v>65.36</c:v>
                </c:pt>
                <c:pt idx="398">
                  <c:v>65.3</c:v>
                </c:pt>
                <c:pt idx="399">
                  <c:v>65.319999999999993</c:v>
                </c:pt>
                <c:pt idx="400">
                  <c:v>65.34</c:v>
                </c:pt>
                <c:pt idx="401">
                  <c:v>65.290000000000006</c:v>
                </c:pt>
                <c:pt idx="402">
                  <c:v>65.3</c:v>
                </c:pt>
                <c:pt idx="403">
                  <c:v>65.27</c:v>
                </c:pt>
                <c:pt idx="404">
                  <c:v>65.319999999999993</c:v>
                </c:pt>
                <c:pt idx="405">
                  <c:v>65.319999999999993</c:v>
                </c:pt>
                <c:pt idx="406">
                  <c:v>65.290000000000006</c:v>
                </c:pt>
                <c:pt idx="407">
                  <c:v>65.290000000000006</c:v>
                </c:pt>
                <c:pt idx="408">
                  <c:v>65.27</c:v>
                </c:pt>
                <c:pt idx="409">
                  <c:v>65.319999999999993</c:v>
                </c:pt>
                <c:pt idx="410">
                  <c:v>65.27</c:v>
                </c:pt>
                <c:pt idx="411">
                  <c:v>65.239999999999995</c:v>
                </c:pt>
                <c:pt idx="412">
                  <c:v>65.260000000000005</c:v>
                </c:pt>
                <c:pt idx="413">
                  <c:v>65.23</c:v>
                </c:pt>
                <c:pt idx="414">
                  <c:v>65.209999999999994</c:v>
                </c:pt>
                <c:pt idx="415">
                  <c:v>65.260000000000005</c:v>
                </c:pt>
                <c:pt idx="416">
                  <c:v>65.3</c:v>
                </c:pt>
                <c:pt idx="417">
                  <c:v>65.25</c:v>
                </c:pt>
                <c:pt idx="418">
                  <c:v>65.290000000000006</c:v>
                </c:pt>
                <c:pt idx="419">
                  <c:v>65.33</c:v>
                </c:pt>
                <c:pt idx="420">
                  <c:v>65.290000000000006</c:v>
                </c:pt>
                <c:pt idx="421">
                  <c:v>65.33</c:v>
                </c:pt>
                <c:pt idx="422">
                  <c:v>65.33</c:v>
                </c:pt>
                <c:pt idx="423">
                  <c:v>65.319999999999993</c:v>
                </c:pt>
                <c:pt idx="424">
                  <c:v>65.290000000000006</c:v>
                </c:pt>
                <c:pt idx="425">
                  <c:v>65.36</c:v>
                </c:pt>
                <c:pt idx="426">
                  <c:v>65.290000000000006</c:v>
                </c:pt>
                <c:pt idx="427">
                  <c:v>65.290000000000006</c:v>
                </c:pt>
                <c:pt idx="428">
                  <c:v>65.33</c:v>
                </c:pt>
                <c:pt idx="429">
                  <c:v>65.31</c:v>
                </c:pt>
                <c:pt idx="430">
                  <c:v>65.290000000000006</c:v>
                </c:pt>
                <c:pt idx="431">
                  <c:v>65.290000000000006</c:v>
                </c:pt>
                <c:pt idx="432">
                  <c:v>65.290000000000006</c:v>
                </c:pt>
                <c:pt idx="433">
                  <c:v>65.28</c:v>
                </c:pt>
                <c:pt idx="434">
                  <c:v>65.28</c:v>
                </c:pt>
                <c:pt idx="435">
                  <c:v>65.319999999999993</c:v>
                </c:pt>
                <c:pt idx="436">
                  <c:v>65.31</c:v>
                </c:pt>
                <c:pt idx="437">
                  <c:v>65.36</c:v>
                </c:pt>
                <c:pt idx="438">
                  <c:v>65.33</c:v>
                </c:pt>
                <c:pt idx="439">
                  <c:v>65.349999999999994</c:v>
                </c:pt>
                <c:pt idx="440">
                  <c:v>65.31</c:v>
                </c:pt>
                <c:pt idx="441">
                  <c:v>65.349999999999994</c:v>
                </c:pt>
                <c:pt idx="442">
                  <c:v>65.290000000000006</c:v>
                </c:pt>
                <c:pt idx="443">
                  <c:v>65.290000000000006</c:v>
                </c:pt>
                <c:pt idx="444">
                  <c:v>65.349999999999994</c:v>
                </c:pt>
                <c:pt idx="445">
                  <c:v>65.290000000000006</c:v>
                </c:pt>
                <c:pt idx="446">
                  <c:v>65.31</c:v>
                </c:pt>
                <c:pt idx="447">
                  <c:v>65.28</c:v>
                </c:pt>
                <c:pt idx="448">
                  <c:v>65.34</c:v>
                </c:pt>
                <c:pt idx="449">
                  <c:v>65.3</c:v>
                </c:pt>
                <c:pt idx="450">
                  <c:v>65.290000000000006</c:v>
                </c:pt>
                <c:pt idx="451">
                  <c:v>65.31</c:v>
                </c:pt>
                <c:pt idx="452">
                  <c:v>65.31</c:v>
                </c:pt>
                <c:pt idx="453">
                  <c:v>65.290000000000006</c:v>
                </c:pt>
                <c:pt idx="454">
                  <c:v>65.25</c:v>
                </c:pt>
                <c:pt idx="455">
                  <c:v>65.290000000000006</c:v>
                </c:pt>
                <c:pt idx="456">
                  <c:v>65.260000000000005</c:v>
                </c:pt>
                <c:pt idx="457">
                  <c:v>65.31</c:v>
                </c:pt>
                <c:pt idx="458">
                  <c:v>65.25</c:v>
                </c:pt>
                <c:pt idx="459">
                  <c:v>65.28</c:v>
                </c:pt>
                <c:pt idx="460">
                  <c:v>65.290000000000006</c:v>
                </c:pt>
                <c:pt idx="461">
                  <c:v>65.290000000000006</c:v>
                </c:pt>
                <c:pt idx="462">
                  <c:v>65.260000000000005</c:v>
                </c:pt>
                <c:pt idx="463">
                  <c:v>65.31</c:v>
                </c:pt>
                <c:pt idx="464">
                  <c:v>65.260000000000005</c:v>
                </c:pt>
                <c:pt idx="465">
                  <c:v>65.260000000000005</c:v>
                </c:pt>
                <c:pt idx="466">
                  <c:v>65.27</c:v>
                </c:pt>
                <c:pt idx="467">
                  <c:v>65.27</c:v>
                </c:pt>
                <c:pt idx="468">
                  <c:v>65.34</c:v>
                </c:pt>
                <c:pt idx="469">
                  <c:v>65.260000000000005</c:v>
                </c:pt>
                <c:pt idx="470">
                  <c:v>65.31</c:v>
                </c:pt>
                <c:pt idx="471">
                  <c:v>65.27</c:v>
                </c:pt>
                <c:pt idx="472">
                  <c:v>65.33</c:v>
                </c:pt>
                <c:pt idx="473">
                  <c:v>65.33</c:v>
                </c:pt>
                <c:pt idx="474">
                  <c:v>65.349999999999994</c:v>
                </c:pt>
                <c:pt idx="475">
                  <c:v>65.33</c:v>
                </c:pt>
                <c:pt idx="476">
                  <c:v>65.349999999999994</c:v>
                </c:pt>
                <c:pt idx="477">
                  <c:v>65.31</c:v>
                </c:pt>
                <c:pt idx="478">
                  <c:v>65.37</c:v>
                </c:pt>
                <c:pt idx="479">
                  <c:v>65.290000000000006</c:v>
                </c:pt>
                <c:pt idx="480">
                  <c:v>65.34</c:v>
                </c:pt>
                <c:pt idx="481">
                  <c:v>65.33</c:v>
                </c:pt>
                <c:pt idx="482">
                  <c:v>65.31</c:v>
                </c:pt>
                <c:pt idx="483">
                  <c:v>65.3</c:v>
                </c:pt>
                <c:pt idx="484">
                  <c:v>65.33</c:v>
                </c:pt>
                <c:pt idx="485">
                  <c:v>65.3</c:v>
                </c:pt>
                <c:pt idx="486">
                  <c:v>65.34</c:v>
                </c:pt>
                <c:pt idx="487">
                  <c:v>65.33</c:v>
                </c:pt>
                <c:pt idx="488">
                  <c:v>65.3</c:v>
                </c:pt>
                <c:pt idx="489">
                  <c:v>65.28</c:v>
                </c:pt>
                <c:pt idx="490">
                  <c:v>65.34</c:v>
                </c:pt>
                <c:pt idx="491">
                  <c:v>65.290000000000006</c:v>
                </c:pt>
                <c:pt idx="492">
                  <c:v>65.3</c:v>
                </c:pt>
                <c:pt idx="493">
                  <c:v>65.34</c:v>
                </c:pt>
                <c:pt idx="494">
                  <c:v>65.319999999999993</c:v>
                </c:pt>
                <c:pt idx="495">
                  <c:v>65.31</c:v>
                </c:pt>
                <c:pt idx="496">
                  <c:v>65.33</c:v>
                </c:pt>
                <c:pt idx="497">
                  <c:v>65.27</c:v>
                </c:pt>
                <c:pt idx="498">
                  <c:v>65.36</c:v>
                </c:pt>
                <c:pt idx="499">
                  <c:v>65.27</c:v>
                </c:pt>
                <c:pt idx="500">
                  <c:v>65.37</c:v>
                </c:pt>
                <c:pt idx="501">
                  <c:v>65.349999999999994</c:v>
                </c:pt>
                <c:pt idx="502">
                  <c:v>65.349999999999994</c:v>
                </c:pt>
                <c:pt idx="503">
                  <c:v>65.34</c:v>
                </c:pt>
                <c:pt idx="504">
                  <c:v>65.33</c:v>
                </c:pt>
                <c:pt idx="505">
                  <c:v>65.38</c:v>
                </c:pt>
                <c:pt idx="506">
                  <c:v>65.38</c:v>
                </c:pt>
                <c:pt idx="507">
                  <c:v>65.319999999999993</c:v>
                </c:pt>
                <c:pt idx="508">
                  <c:v>65.33</c:v>
                </c:pt>
                <c:pt idx="509">
                  <c:v>65.290000000000006</c:v>
                </c:pt>
                <c:pt idx="510">
                  <c:v>65.34</c:v>
                </c:pt>
                <c:pt idx="511">
                  <c:v>65.33</c:v>
                </c:pt>
                <c:pt idx="512">
                  <c:v>65.37</c:v>
                </c:pt>
                <c:pt idx="513">
                  <c:v>65.33</c:v>
                </c:pt>
                <c:pt idx="514">
                  <c:v>65.34</c:v>
                </c:pt>
                <c:pt idx="515">
                  <c:v>65.38</c:v>
                </c:pt>
                <c:pt idx="516">
                  <c:v>65.37</c:v>
                </c:pt>
                <c:pt idx="517">
                  <c:v>65.38</c:v>
                </c:pt>
                <c:pt idx="518">
                  <c:v>65.38</c:v>
                </c:pt>
                <c:pt idx="519">
                  <c:v>65.349999999999994</c:v>
                </c:pt>
                <c:pt idx="520">
                  <c:v>65.349999999999994</c:v>
                </c:pt>
                <c:pt idx="521">
                  <c:v>65.38</c:v>
                </c:pt>
                <c:pt idx="522">
                  <c:v>65.349999999999994</c:v>
                </c:pt>
                <c:pt idx="523">
                  <c:v>65.319999999999993</c:v>
                </c:pt>
                <c:pt idx="524">
                  <c:v>65.37</c:v>
                </c:pt>
                <c:pt idx="525">
                  <c:v>65.34</c:v>
                </c:pt>
                <c:pt idx="526">
                  <c:v>65.34</c:v>
                </c:pt>
                <c:pt idx="527">
                  <c:v>65.36</c:v>
                </c:pt>
                <c:pt idx="528">
                  <c:v>65.34</c:v>
                </c:pt>
                <c:pt idx="529">
                  <c:v>65.34</c:v>
                </c:pt>
                <c:pt idx="530">
                  <c:v>65.34</c:v>
                </c:pt>
                <c:pt idx="531">
                  <c:v>65.34</c:v>
                </c:pt>
                <c:pt idx="532">
                  <c:v>65.31</c:v>
                </c:pt>
                <c:pt idx="533">
                  <c:v>65.319999999999993</c:v>
                </c:pt>
                <c:pt idx="534">
                  <c:v>65.31</c:v>
                </c:pt>
                <c:pt idx="535">
                  <c:v>65.25</c:v>
                </c:pt>
                <c:pt idx="536">
                  <c:v>65.27</c:v>
                </c:pt>
                <c:pt idx="537">
                  <c:v>65.260000000000005</c:v>
                </c:pt>
                <c:pt idx="538">
                  <c:v>65.260000000000005</c:v>
                </c:pt>
                <c:pt idx="539">
                  <c:v>65.31</c:v>
                </c:pt>
                <c:pt idx="540">
                  <c:v>65.33</c:v>
                </c:pt>
                <c:pt idx="541">
                  <c:v>65.27</c:v>
                </c:pt>
                <c:pt idx="542">
                  <c:v>65.27</c:v>
                </c:pt>
                <c:pt idx="543">
                  <c:v>65.31</c:v>
                </c:pt>
                <c:pt idx="544">
                  <c:v>65.260000000000005</c:v>
                </c:pt>
                <c:pt idx="545">
                  <c:v>65.319999999999993</c:v>
                </c:pt>
                <c:pt idx="546">
                  <c:v>65.28</c:v>
                </c:pt>
                <c:pt idx="547">
                  <c:v>65.31</c:v>
                </c:pt>
                <c:pt idx="548">
                  <c:v>65.34</c:v>
                </c:pt>
                <c:pt idx="549">
                  <c:v>65.31</c:v>
                </c:pt>
                <c:pt idx="550">
                  <c:v>65.34</c:v>
                </c:pt>
                <c:pt idx="551">
                  <c:v>65.33</c:v>
                </c:pt>
                <c:pt idx="552">
                  <c:v>65.36</c:v>
                </c:pt>
                <c:pt idx="553">
                  <c:v>65.36</c:v>
                </c:pt>
                <c:pt idx="554">
                  <c:v>65.319999999999993</c:v>
                </c:pt>
                <c:pt idx="555">
                  <c:v>65.400000000000006</c:v>
                </c:pt>
                <c:pt idx="556">
                  <c:v>65.38</c:v>
                </c:pt>
                <c:pt idx="557">
                  <c:v>65.37</c:v>
                </c:pt>
                <c:pt idx="558">
                  <c:v>65.38</c:v>
                </c:pt>
                <c:pt idx="559">
                  <c:v>65.31</c:v>
                </c:pt>
                <c:pt idx="560">
                  <c:v>65.38</c:v>
                </c:pt>
                <c:pt idx="561">
                  <c:v>65.349999999999994</c:v>
                </c:pt>
                <c:pt idx="562">
                  <c:v>65.3</c:v>
                </c:pt>
                <c:pt idx="563">
                  <c:v>65.31</c:v>
                </c:pt>
                <c:pt idx="564">
                  <c:v>65.3</c:v>
                </c:pt>
                <c:pt idx="565">
                  <c:v>65.3</c:v>
                </c:pt>
                <c:pt idx="566">
                  <c:v>65.349999999999994</c:v>
                </c:pt>
                <c:pt idx="567">
                  <c:v>65.3</c:v>
                </c:pt>
                <c:pt idx="568">
                  <c:v>65.28</c:v>
                </c:pt>
                <c:pt idx="569">
                  <c:v>65.23</c:v>
                </c:pt>
                <c:pt idx="570">
                  <c:v>65.290000000000006</c:v>
                </c:pt>
                <c:pt idx="571">
                  <c:v>65.3</c:v>
                </c:pt>
                <c:pt idx="572">
                  <c:v>65.3</c:v>
                </c:pt>
                <c:pt idx="573">
                  <c:v>65.290000000000006</c:v>
                </c:pt>
                <c:pt idx="574">
                  <c:v>65.27</c:v>
                </c:pt>
                <c:pt idx="575">
                  <c:v>65.290000000000006</c:v>
                </c:pt>
                <c:pt idx="576">
                  <c:v>65.290000000000006</c:v>
                </c:pt>
                <c:pt idx="577">
                  <c:v>65.33</c:v>
                </c:pt>
                <c:pt idx="578">
                  <c:v>65.31</c:v>
                </c:pt>
                <c:pt idx="579">
                  <c:v>65.33</c:v>
                </c:pt>
                <c:pt idx="580">
                  <c:v>65.3</c:v>
                </c:pt>
                <c:pt idx="581">
                  <c:v>65.290000000000006</c:v>
                </c:pt>
                <c:pt idx="582">
                  <c:v>65.239999999999995</c:v>
                </c:pt>
                <c:pt idx="583">
                  <c:v>65.27</c:v>
                </c:pt>
                <c:pt idx="584">
                  <c:v>65.28</c:v>
                </c:pt>
                <c:pt idx="585">
                  <c:v>65.22</c:v>
                </c:pt>
                <c:pt idx="586">
                  <c:v>65.31</c:v>
                </c:pt>
                <c:pt idx="587">
                  <c:v>65.17</c:v>
                </c:pt>
                <c:pt idx="588">
                  <c:v>65.34</c:v>
                </c:pt>
                <c:pt idx="589">
                  <c:v>65.099999999999994</c:v>
                </c:pt>
                <c:pt idx="590">
                  <c:v>65.349999999999994</c:v>
                </c:pt>
                <c:pt idx="591">
                  <c:v>65.11</c:v>
                </c:pt>
                <c:pt idx="592">
                  <c:v>65.319999999999993</c:v>
                </c:pt>
                <c:pt idx="593">
                  <c:v>65.12</c:v>
                </c:pt>
                <c:pt idx="594">
                  <c:v>65.31</c:v>
                </c:pt>
                <c:pt idx="595">
                  <c:v>65.180000000000007</c:v>
                </c:pt>
                <c:pt idx="596">
                  <c:v>65.239999999999995</c:v>
                </c:pt>
                <c:pt idx="597">
                  <c:v>65.13</c:v>
                </c:pt>
                <c:pt idx="598">
                  <c:v>65.260000000000005</c:v>
                </c:pt>
                <c:pt idx="599">
                  <c:v>65.14</c:v>
                </c:pt>
                <c:pt idx="600">
                  <c:v>65.209999999999994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DC-49AD-A870-D2A392932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57087"/>
        <c:axId val="517658527"/>
      </c:scatterChart>
      <c:valAx>
        <c:axId val="51765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58527"/>
        <c:crosses val="autoZero"/>
        <c:crossBetween val="midCat"/>
      </c:valAx>
      <c:valAx>
        <c:axId val="51765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57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'65'!$R$1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'65'!$Q$2:$Q$602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'65'!$R$2:$R$602</c:f>
              <c:numCache>
                <c:formatCode>General</c:formatCode>
                <c:ptCount val="601"/>
                <c:pt idx="0">
                  <c:v>35.14</c:v>
                </c:pt>
                <c:pt idx="1">
                  <c:v>36.06</c:v>
                </c:pt>
                <c:pt idx="2">
                  <c:v>36.119999999999997</c:v>
                </c:pt>
                <c:pt idx="3">
                  <c:v>36.229999999999997</c:v>
                </c:pt>
                <c:pt idx="4">
                  <c:v>36.32</c:v>
                </c:pt>
                <c:pt idx="5">
                  <c:v>36.549999999999997</c:v>
                </c:pt>
                <c:pt idx="6">
                  <c:v>36.83</c:v>
                </c:pt>
                <c:pt idx="7">
                  <c:v>37.25</c:v>
                </c:pt>
                <c:pt idx="8">
                  <c:v>37.729999999999997</c:v>
                </c:pt>
                <c:pt idx="9">
                  <c:v>38.22</c:v>
                </c:pt>
                <c:pt idx="10">
                  <c:v>38.78</c:v>
                </c:pt>
                <c:pt idx="11">
                  <c:v>39.36</c:v>
                </c:pt>
                <c:pt idx="12">
                  <c:v>39.99</c:v>
                </c:pt>
                <c:pt idx="13">
                  <c:v>40.69</c:v>
                </c:pt>
                <c:pt idx="14">
                  <c:v>41.34</c:v>
                </c:pt>
                <c:pt idx="15">
                  <c:v>42.08</c:v>
                </c:pt>
                <c:pt idx="16">
                  <c:v>42.84</c:v>
                </c:pt>
                <c:pt idx="17">
                  <c:v>43.49</c:v>
                </c:pt>
                <c:pt idx="18">
                  <c:v>44.21</c:v>
                </c:pt>
                <c:pt idx="19">
                  <c:v>44.95</c:v>
                </c:pt>
                <c:pt idx="20">
                  <c:v>45.6</c:v>
                </c:pt>
                <c:pt idx="21">
                  <c:v>46.25</c:v>
                </c:pt>
                <c:pt idx="22">
                  <c:v>46.9</c:v>
                </c:pt>
                <c:pt idx="23">
                  <c:v>47.58</c:v>
                </c:pt>
                <c:pt idx="24">
                  <c:v>48.2</c:v>
                </c:pt>
                <c:pt idx="25">
                  <c:v>48.81</c:v>
                </c:pt>
                <c:pt idx="26">
                  <c:v>49.43</c:v>
                </c:pt>
                <c:pt idx="27">
                  <c:v>49.99</c:v>
                </c:pt>
                <c:pt idx="28">
                  <c:v>50.57</c:v>
                </c:pt>
                <c:pt idx="29">
                  <c:v>51.15</c:v>
                </c:pt>
                <c:pt idx="30">
                  <c:v>51.68</c:v>
                </c:pt>
                <c:pt idx="31">
                  <c:v>52.2</c:v>
                </c:pt>
                <c:pt idx="32">
                  <c:v>52.72</c:v>
                </c:pt>
                <c:pt idx="33">
                  <c:v>53.21</c:v>
                </c:pt>
                <c:pt idx="34">
                  <c:v>53.67</c:v>
                </c:pt>
                <c:pt idx="35">
                  <c:v>54.13</c:v>
                </c:pt>
                <c:pt idx="36">
                  <c:v>54.62</c:v>
                </c:pt>
                <c:pt idx="37">
                  <c:v>55.02</c:v>
                </c:pt>
                <c:pt idx="38">
                  <c:v>55.45</c:v>
                </c:pt>
                <c:pt idx="39">
                  <c:v>55.94</c:v>
                </c:pt>
                <c:pt idx="40">
                  <c:v>56.29</c:v>
                </c:pt>
                <c:pt idx="41">
                  <c:v>56.68</c:v>
                </c:pt>
                <c:pt idx="42">
                  <c:v>57.09</c:v>
                </c:pt>
                <c:pt idx="43">
                  <c:v>57.45</c:v>
                </c:pt>
                <c:pt idx="44">
                  <c:v>57.83</c:v>
                </c:pt>
                <c:pt idx="45">
                  <c:v>58.1</c:v>
                </c:pt>
                <c:pt idx="46">
                  <c:v>58.48</c:v>
                </c:pt>
                <c:pt idx="47">
                  <c:v>58.8</c:v>
                </c:pt>
                <c:pt idx="48">
                  <c:v>59.11</c:v>
                </c:pt>
                <c:pt idx="49">
                  <c:v>59.4</c:v>
                </c:pt>
                <c:pt idx="50">
                  <c:v>59.66</c:v>
                </c:pt>
                <c:pt idx="51">
                  <c:v>59.96</c:v>
                </c:pt>
                <c:pt idx="52">
                  <c:v>60.28</c:v>
                </c:pt>
                <c:pt idx="53">
                  <c:v>60.49</c:v>
                </c:pt>
                <c:pt idx="54">
                  <c:v>60.75</c:v>
                </c:pt>
                <c:pt idx="55">
                  <c:v>61</c:v>
                </c:pt>
                <c:pt idx="56">
                  <c:v>61.22</c:v>
                </c:pt>
                <c:pt idx="57">
                  <c:v>61.43</c:v>
                </c:pt>
                <c:pt idx="58">
                  <c:v>61.67</c:v>
                </c:pt>
                <c:pt idx="59">
                  <c:v>61.81</c:v>
                </c:pt>
                <c:pt idx="60">
                  <c:v>62.06</c:v>
                </c:pt>
                <c:pt idx="61">
                  <c:v>62.2</c:v>
                </c:pt>
                <c:pt idx="62">
                  <c:v>62.4</c:v>
                </c:pt>
                <c:pt idx="63">
                  <c:v>62.59</c:v>
                </c:pt>
                <c:pt idx="64">
                  <c:v>62.72</c:v>
                </c:pt>
                <c:pt idx="65">
                  <c:v>62.96</c:v>
                </c:pt>
                <c:pt idx="66">
                  <c:v>63.09</c:v>
                </c:pt>
                <c:pt idx="67">
                  <c:v>63.23</c:v>
                </c:pt>
                <c:pt idx="68">
                  <c:v>63.37</c:v>
                </c:pt>
                <c:pt idx="69">
                  <c:v>63.57</c:v>
                </c:pt>
                <c:pt idx="70">
                  <c:v>63.67</c:v>
                </c:pt>
                <c:pt idx="71">
                  <c:v>63.76</c:v>
                </c:pt>
                <c:pt idx="72">
                  <c:v>63.9</c:v>
                </c:pt>
                <c:pt idx="73">
                  <c:v>64.02</c:v>
                </c:pt>
                <c:pt idx="74">
                  <c:v>64.08</c:v>
                </c:pt>
                <c:pt idx="75">
                  <c:v>64.27</c:v>
                </c:pt>
                <c:pt idx="76">
                  <c:v>64.34</c:v>
                </c:pt>
                <c:pt idx="77">
                  <c:v>64.44</c:v>
                </c:pt>
                <c:pt idx="78">
                  <c:v>64.55</c:v>
                </c:pt>
                <c:pt idx="79">
                  <c:v>64.599999999999994</c:v>
                </c:pt>
                <c:pt idx="80">
                  <c:v>64.69</c:v>
                </c:pt>
                <c:pt idx="81">
                  <c:v>64.75</c:v>
                </c:pt>
                <c:pt idx="82">
                  <c:v>64.84</c:v>
                </c:pt>
                <c:pt idx="83">
                  <c:v>64.95</c:v>
                </c:pt>
                <c:pt idx="84">
                  <c:v>65.010000000000005</c:v>
                </c:pt>
                <c:pt idx="85">
                  <c:v>65.02</c:v>
                </c:pt>
                <c:pt idx="86">
                  <c:v>65.14</c:v>
                </c:pt>
                <c:pt idx="87">
                  <c:v>65.180000000000007</c:v>
                </c:pt>
                <c:pt idx="88">
                  <c:v>65.27</c:v>
                </c:pt>
                <c:pt idx="89">
                  <c:v>65.319999999999993</c:v>
                </c:pt>
                <c:pt idx="90">
                  <c:v>65.31</c:v>
                </c:pt>
                <c:pt idx="91">
                  <c:v>65.37</c:v>
                </c:pt>
                <c:pt idx="92">
                  <c:v>65.45</c:v>
                </c:pt>
                <c:pt idx="93">
                  <c:v>65.52</c:v>
                </c:pt>
                <c:pt idx="94">
                  <c:v>65.540000000000006</c:v>
                </c:pt>
                <c:pt idx="95">
                  <c:v>65.58</c:v>
                </c:pt>
                <c:pt idx="96">
                  <c:v>65.63</c:v>
                </c:pt>
                <c:pt idx="97">
                  <c:v>65.66</c:v>
                </c:pt>
                <c:pt idx="98">
                  <c:v>65.650000000000006</c:v>
                </c:pt>
                <c:pt idx="99">
                  <c:v>65.680000000000007</c:v>
                </c:pt>
                <c:pt idx="100">
                  <c:v>65.75</c:v>
                </c:pt>
                <c:pt idx="101">
                  <c:v>65.78</c:v>
                </c:pt>
                <c:pt idx="102">
                  <c:v>65.790000000000006</c:v>
                </c:pt>
                <c:pt idx="103">
                  <c:v>65.819999999999993</c:v>
                </c:pt>
                <c:pt idx="104">
                  <c:v>65.83</c:v>
                </c:pt>
                <c:pt idx="105">
                  <c:v>65.86</c:v>
                </c:pt>
                <c:pt idx="106">
                  <c:v>65.819999999999993</c:v>
                </c:pt>
                <c:pt idx="107">
                  <c:v>65.86</c:v>
                </c:pt>
                <c:pt idx="108">
                  <c:v>65.900000000000006</c:v>
                </c:pt>
                <c:pt idx="109">
                  <c:v>65.92</c:v>
                </c:pt>
                <c:pt idx="110">
                  <c:v>65.95</c:v>
                </c:pt>
                <c:pt idx="111">
                  <c:v>65.930000000000007</c:v>
                </c:pt>
                <c:pt idx="112">
                  <c:v>65.94</c:v>
                </c:pt>
                <c:pt idx="113">
                  <c:v>65.959999999999994</c:v>
                </c:pt>
                <c:pt idx="114">
                  <c:v>65.94</c:v>
                </c:pt>
                <c:pt idx="115">
                  <c:v>65.930000000000007</c:v>
                </c:pt>
                <c:pt idx="116">
                  <c:v>65.92</c:v>
                </c:pt>
                <c:pt idx="117">
                  <c:v>65.959999999999994</c:v>
                </c:pt>
                <c:pt idx="118">
                  <c:v>65.959999999999994</c:v>
                </c:pt>
                <c:pt idx="119">
                  <c:v>65.959999999999994</c:v>
                </c:pt>
                <c:pt idx="120">
                  <c:v>65.959999999999994</c:v>
                </c:pt>
                <c:pt idx="121">
                  <c:v>65.98</c:v>
                </c:pt>
                <c:pt idx="122">
                  <c:v>65.959999999999994</c:v>
                </c:pt>
                <c:pt idx="123">
                  <c:v>65.989999999999995</c:v>
                </c:pt>
                <c:pt idx="124">
                  <c:v>66</c:v>
                </c:pt>
                <c:pt idx="125">
                  <c:v>65.98</c:v>
                </c:pt>
                <c:pt idx="126">
                  <c:v>66.010000000000005</c:v>
                </c:pt>
                <c:pt idx="127">
                  <c:v>65.98</c:v>
                </c:pt>
                <c:pt idx="128">
                  <c:v>65.959999999999994</c:v>
                </c:pt>
                <c:pt idx="129">
                  <c:v>65.98</c:v>
                </c:pt>
                <c:pt idx="130">
                  <c:v>65.959999999999994</c:v>
                </c:pt>
                <c:pt idx="131">
                  <c:v>65.959999999999994</c:v>
                </c:pt>
                <c:pt idx="132">
                  <c:v>66.010000000000005</c:v>
                </c:pt>
                <c:pt idx="133">
                  <c:v>65.95</c:v>
                </c:pt>
                <c:pt idx="134">
                  <c:v>65.91</c:v>
                </c:pt>
                <c:pt idx="135">
                  <c:v>65.92</c:v>
                </c:pt>
                <c:pt idx="136">
                  <c:v>65.92</c:v>
                </c:pt>
                <c:pt idx="137">
                  <c:v>65.930000000000007</c:v>
                </c:pt>
                <c:pt idx="138">
                  <c:v>65.92</c:v>
                </c:pt>
                <c:pt idx="139">
                  <c:v>65.89</c:v>
                </c:pt>
                <c:pt idx="140">
                  <c:v>65.900000000000006</c:v>
                </c:pt>
                <c:pt idx="141">
                  <c:v>65.91</c:v>
                </c:pt>
                <c:pt idx="142">
                  <c:v>65.87</c:v>
                </c:pt>
                <c:pt idx="143">
                  <c:v>65.89</c:v>
                </c:pt>
                <c:pt idx="144">
                  <c:v>65.849999999999994</c:v>
                </c:pt>
                <c:pt idx="145">
                  <c:v>65.89</c:v>
                </c:pt>
                <c:pt idx="146">
                  <c:v>65.87</c:v>
                </c:pt>
                <c:pt idx="147">
                  <c:v>65.88</c:v>
                </c:pt>
                <c:pt idx="148">
                  <c:v>65.84</c:v>
                </c:pt>
                <c:pt idx="149">
                  <c:v>65.83</c:v>
                </c:pt>
                <c:pt idx="150">
                  <c:v>65.819999999999993</c:v>
                </c:pt>
                <c:pt idx="151">
                  <c:v>65.819999999999993</c:v>
                </c:pt>
                <c:pt idx="152">
                  <c:v>65.790000000000006</c:v>
                </c:pt>
                <c:pt idx="153">
                  <c:v>65.89</c:v>
                </c:pt>
                <c:pt idx="154">
                  <c:v>65.8</c:v>
                </c:pt>
                <c:pt idx="155">
                  <c:v>65.77</c:v>
                </c:pt>
                <c:pt idx="156">
                  <c:v>65.760000000000005</c:v>
                </c:pt>
                <c:pt idx="157">
                  <c:v>65.77</c:v>
                </c:pt>
                <c:pt idx="158">
                  <c:v>65.78</c:v>
                </c:pt>
                <c:pt idx="159">
                  <c:v>65.75</c:v>
                </c:pt>
                <c:pt idx="160">
                  <c:v>65.7</c:v>
                </c:pt>
                <c:pt idx="161">
                  <c:v>65.7</c:v>
                </c:pt>
                <c:pt idx="162">
                  <c:v>65.680000000000007</c:v>
                </c:pt>
                <c:pt idx="163">
                  <c:v>65.67</c:v>
                </c:pt>
                <c:pt idx="164">
                  <c:v>65.64</c:v>
                </c:pt>
                <c:pt idx="165">
                  <c:v>65.650000000000006</c:v>
                </c:pt>
                <c:pt idx="166">
                  <c:v>65.62</c:v>
                </c:pt>
                <c:pt idx="167">
                  <c:v>65.66</c:v>
                </c:pt>
                <c:pt idx="168">
                  <c:v>65.2</c:v>
                </c:pt>
                <c:pt idx="169">
                  <c:v>65.61</c:v>
                </c:pt>
                <c:pt idx="170">
                  <c:v>64.7</c:v>
                </c:pt>
                <c:pt idx="171">
                  <c:v>65.59</c:v>
                </c:pt>
                <c:pt idx="172">
                  <c:v>64.66</c:v>
                </c:pt>
                <c:pt idx="173">
                  <c:v>65.59</c:v>
                </c:pt>
                <c:pt idx="174">
                  <c:v>64.67</c:v>
                </c:pt>
                <c:pt idx="175">
                  <c:v>65.599999999999994</c:v>
                </c:pt>
                <c:pt idx="176">
                  <c:v>64.69</c:v>
                </c:pt>
                <c:pt idx="177">
                  <c:v>65.599999999999994</c:v>
                </c:pt>
                <c:pt idx="178">
                  <c:v>64.709999999999994</c:v>
                </c:pt>
                <c:pt idx="179">
                  <c:v>65.64</c:v>
                </c:pt>
                <c:pt idx="180">
                  <c:v>64.72</c:v>
                </c:pt>
                <c:pt idx="181">
                  <c:v>65.64</c:v>
                </c:pt>
                <c:pt idx="182">
                  <c:v>64.67</c:v>
                </c:pt>
                <c:pt idx="183">
                  <c:v>65.66</c:v>
                </c:pt>
                <c:pt idx="184">
                  <c:v>64.680000000000007</c:v>
                </c:pt>
                <c:pt idx="185">
                  <c:v>65.680000000000007</c:v>
                </c:pt>
                <c:pt idx="186">
                  <c:v>64.7</c:v>
                </c:pt>
                <c:pt idx="187">
                  <c:v>65.67</c:v>
                </c:pt>
                <c:pt idx="188">
                  <c:v>64.69</c:v>
                </c:pt>
                <c:pt idx="189">
                  <c:v>65.64</c:v>
                </c:pt>
                <c:pt idx="190">
                  <c:v>64.680000000000007</c:v>
                </c:pt>
                <c:pt idx="191">
                  <c:v>65.709999999999994</c:v>
                </c:pt>
                <c:pt idx="192">
                  <c:v>64.72</c:v>
                </c:pt>
                <c:pt idx="193">
                  <c:v>65.650000000000006</c:v>
                </c:pt>
                <c:pt idx="194">
                  <c:v>64.73</c:v>
                </c:pt>
                <c:pt idx="195">
                  <c:v>65.67</c:v>
                </c:pt>
                <c:pt idx="196">
                  <c:v>64.67</c:v>
                </c:pt>
                <c:pt idx="197">
                  <c:v>65.66</c:v>
                </c:pt>
                <c:pt idx="198">
                  <c:v>64.650000000000006</c:v>
                </c:pt>
                <c:pt idx="199">
                  <c:v>65.63</c:v>
                </c:pt>
                <c:pt idx="200">
                  <c:v>64.69</c:v>
                </c:pt>
                <c:pt idx="201">
                  <c:v>65.67</c:v>
                </c:pt>
                <c:pt idx="202">
                  <c:v>64.709999999999994</c:v>
                </c:pt>
                <c:pt idx="203">
                  <c:v>65.63</c:v>
                </c:pt>
                <c:pt idx="204">
                  <c:v>64.680000000000007</c:v>
                </c:pt>
                <c:pt idx="205">
                  <c:v>65.67</c:v>
                </c:pt>
                <c:pt idx="206">
                  <c:v>64.69</c:v>
                </c:pt>
                <c:pt idx="207">
                  <c:v>65.680000000000007</c:v>
                </c:pt>
                <c:pt idx="208">
                  <c:v>64.66</c:v>
                </c:pt>
                <c:pt idx="209">
                  <c:v>65.67</c:v>
                </c:pt>
                <c:pt idx="210">
                  <c:v>64.67</c:v>
                </c:pt>
                <c:pt idx="211">
                  <c:v>65.67</c:v>
                </c:pt>
                <c:pt idx="212">
                  <c:v>64.739999999999995</c:v>
                </c:pt>
                <c:pt idx="213">
                  <c:v>65.73</c:v>
                </c:pt>
                <c:pt idx="214">
                  <c:v>64.680000000000007</c:v>
                </c:pt>
                <c:pt idx="215">
                  <c:v>65.709999999999994</c:v>
                </c:pt>
                <c:pt idx="216">
                  <c:v>64.67</c:v>
                </c:pt>
                <c:pt idx="217">
                  <c:v>65.67</c:v>
                </c:pt>
                <c:pt idx="218">
                  <c:v>64.67</c:v>
                </c:pt>
                <c:pt idx="219">
                  <c:v>65.72</c:v>
                </c:pt>
                <c:pt idx="220">
                  <c:v>64.7</c:v>
                </c:pt>
                <c:pt idx="221">
                  <c:v>65.63</c:v>
                </c:pt>
                <c:pt idx="222">
                  <c:v>64.7</c:v>
                </c:pt>
                <c:pt idx="223">
                  <c:v>65.680000000000007</c:v>
                </c:pt>
                <c:pt idx="224">
                  <c:v>64.66</c:v>
                </c:pt>
                <c:pt idx="225">
                  <c:v>65.650000000000006</c:v>
                </c:pt>
                <c:pt idx="226">
                  <c:v>64.67</c:v>
                </c:pt>
                <c:pt idx="227">
                  <c:v>65.62</c:v>
                </c:pt>
                <c:pt idx="228">
                  <c:v>64.63</c:v>
                </c:pt>
                <c:pt idx="229">
                  <c:v>65.66</c:v>
                </c:pt>
                <c:pt idx="230">
                  <c:v>64.67</c:v>
                </c:pt>
                <c:pt idx="231">
                  <c:v>65.62</c:v>
                </c:pt>
                <c:pt idx="232">
                  <c:v>64.67</c:v>
                </c:pt>
                <c:pt idx="233">
                  <c:v>65.650000000000006</c:v>
                </c:pt>
                <c:pt idx="234">
                  <c:v>64.67</c:v>
                </c:pt>
                <c:pt idx="235">
                  <c:v>65.650000000000006</c:v>
                </c:pt>
                <c:pt idx="236">
                  <c:v>64.66</c:v>
                </c:pt>
                <c:pt idx="237">
                  <c:v>65.69</c:v>
                </c:pt>
                <c:pt idx="238">
                  <c:v>64.64</c:v>
                </c:pt>
                <c:pt idx="239">
                  <c:v>65.66</c:v>
                </c:pt>
                <c:pt idx="240">
                  <c:v>64.66</c:v>
                </c:pt>
                <c:pt idx="241">
                  <c:v>65.650000000000006</c:v>
                </c:pt>
                <c:pt idx="242">
                  <c:v>64.69</c:v>
                </c:pt>
                <c:pt idx="243">
                  <c:v>65.67</c:v>
                </c:pt>
                <c:pt idx="244">
                  <c:v>64.61</c:v>
                </c:pt>
                <c:pt idx="245">
                  <c:v>65.64</c:v>
                </c:pt>
                <c:pt idx="246">
                  <c:v>64.650000000000006</c:v>
                </c:pt>
                <c:pt idx="247">
                  <c:v>65.62</c:v>
                </c:pt>
                <c:pt idx="248">
                  <c:v>64.69</c:v>
                </c:pt>
                <c:pt idx="249">
                  <c:v>65.62</c:v>
                </c:pt>
                <c:pt idx="250">
                  <c:v>64.69</c:v>
                </c:pt>
                <c:pt idx="251">
                  <c:v>65.64</c:v>
                </c:pt>
                <c:pt idx="252">
                  <c:v>64.709999999999994</c:v>
                </c:pt>
                <c:pt idx="253">
                  <c:v>65.650000000000006</c:v>
                </c:pt>
                <c:pt idx="254">
                  <c:v>64.7</c:v>
                </c:pt>
                <c:pt idx="255">
                  <c:v>65.63</c:v>
                </c:pt>
                <c:pt idx="256">
                  <c:v>64.7</c:v>
                </c:pt>
                <c:pt idx="257">
                  <c:v>65.64</c:v>
                </c:pt>
                <c:pt idx="258">
                  <c:v>64.64</c:v>
                </c:pt>
                <c:pt idx="259">
                  <c:v>65.64</c:v>
                </c:pt>
                <c:pt idx="260">
                  <c:v>64.69</c:v>
                </c:pt>
                <c:pt idx="261">
                  <c:v>65.62</c:v>
                </c:pt>
                <c:pt idx="262">
                  <c:v>64.72</c:v>
                </c:pt>
                <c:pt idx="263">
                  <c:v>65.02</c:v>
                </c:pt>
                <c:pt idx="264">
                  <c:v>64.7</c:v>
                </c:pt>
                <c:pt idx="265">
                  <c:v>64.69</c:v>
                </c:pt>
                <c:pt idx="266">
                  <c:v>64.67</c:v>
                </c:pt>
                <c:pt idx="267">
                  <c:v>64.709999999999994</c:v>
                </c:pt>
                <c:pt idx="268">
                  <c:v>64.67</c:v>
                </c:pt>
                <c:pt idx="269">
                  <c:v>64.72</c:v>
                </c:pt>
                <c:pt idx="270">
                  <c:v>64.709999999999994</c:v>
                </c:pt>
                <c:pt idx="271">
                  <c:v>64.72</c:v>
                </c:pt>
                <c:pt idx="272">
                  <c:v>64.73</c:v>
                </c:pt>
                <c:pt idx="273">
                  <c:v>64.75</c:v>
                </c:pt>
                <c:pt idx="274">
                  <c:v>64.75</c:v>
                </c:pt>
                <c:pt idx="275">
                  <c:v>64.739999999999995</c:v>
                </c:pt>
                <c:pt idx="276">
                  <c:v>64.81</c:v>
                </c:pt>
                <c:pt idx="277">
                  <c:v>64.819999999999993</c:v>
                </c:pt>
                <c:pt idx="278">
                  <c:v>64.84</c:v>
                </c:pt>
                <c:pt idx="279">
                  <c:v>64.86</c:v>
                </c:pt>
                <c:pt idx="280">
                  <c:v>64.819999999999993</c:v>
                </c:pt>
                <c:pt idx="281">
                  <c:v>64.83</c:v>
                </c:pt>
                <c:pt idx="282">
                  <c:v>64.84</c:v>
                </c:pt>
                <c:pt idx="283">
                  <c:v>64.88</c:v>
                </c:pt>
                <c:pt idx="284">
                  <c:v>64.88</c:v>
                </c:pt>
                <c:pt idx="285">
                  <c:v>64.819999999999993</c:v>
                </c:pt>
                <c:pt idx="286">
                  <c:v>64.84</c:v>
                </c:pt>
                <c:pt idx="287">
                  <c:v>64.900000000000006</c:v>
                </c:pt>
                <c:pt idx="288">
                  <c:v>64.900000000000006</c:v>
                </c:pt>
                <c:pt idx="289">
                  <c:v>64.91</c:v>
                </c:pt>
                <c:pt idx="290">
                  <c:v>64.819999999999993</c:v>
                </c:pt>
                <c:pt idx="291">
                  <c:v>64.92</c:v>
                </c:pt>
                <c:pt idx="292">
                  <c:v>64.88</c:v>
                </c:pt>
                <c:pt idx="293">
                  <c:v>64.89</c:v>
                </c:pt>
                <c:pt idx="294">
                  <c:v>64.95</c:v>
                </c:pt>
                <c:pt idx="295">
                  <c:v>64.959999999999994</c:v>
                </c:pt>
                <c:pt idx="296">
                  <c:v>64.959999999999994</c:v>
                </c:pt>
                <c:pt idx="297">
                  <c:v>64.959999999999994</c:v>
                </c:pt>
                <c:pt idx="298">
                  <c:v>64.94</c:v>
                </c:pt>
                <c:pt idx="299">
                  <c:v>64.97</c:v>
                </c:pt>
                <c:pt idx="300">
                  <c:v>64.98</c:v>
                </c:pt>
                <c:pt idx="301">
                  <c:v>65</c:v>
                </c:pt>
                <c:pt idx="302">
                  <c:v>65</c:v>
                </c:pt>
                <c:pt idx="303">
                  <c:v>64.989999999999995</c:v>
                </c:pt>
                <c:pt idx="304">
                  <c:v>65</c:v>
                </c:pt>
                <c:pt idx="305">
                  <c:v>64.959999999999994</c:v>
                </c:pt>
                <c:pt idx="306">
                  <c:v>64.959999999999994</c:v>
                </c:pt>
                <c:pt idx="307">
                  <c:v>64.989999999999995</c:v>
                </c:pt>
                <c:pt idx="308">
                  <c:v>65</c:v>
                </c:pt>
                <c:pt idx="309">
                  <c:v>64.959999999999994</c:v>
                </c:pt>
                <c:pt idx="310">
                  <c:v>64.989999999999995</c:v>
                </c:pt>
                <c:pt idx="311">
                  <c:v>64.98</c:v>
                </c:pt>
                <c:pt idx="312">
                  <c:v>65.010000000000005</c:v>
                </c:pt>
                <c:pt idx="313">
                  <c:v>65.03</c:v>
                </c:pt>
                <c:pt idx="314">
                  <c:v>65</c:v>
                </c:pt>
                <c:pt idx="315">
                  <c:v>65.040000000000006</c:v>
                </c:pt>
                <c:pt idx="316">
                  <c:v>65.040000000000006</c:v>
                </c:pt>
                <c:pt idx="317">
                  <c:v>65.02</c:v>
                </c:pt>
                <c:pt idx="318">
                  <c:v>65.010000000000005</c:v>
                </c:pt>
                <c:pt idx="319">
                  <c:v>64.989999999999995</c:v>
                </c:pt>
                <c:pt idx="320">
                  <c:v>64.989999999999995</c:v>
                </c:pt>
                <c:pt idx="321">
                  <c:v>65.03</c:v>
                </c:pt>
                <c:pt idx="322">
                  <c:v>65.05</c:v>
                </c:pt>
                <c:pt idx="323">
                  <c:v>65</c:v>
                </c:pt>
                <c:pt idx="324">
                  <c:v>65.040000000000006</c:v>
                </c:pt>
                <c:pt idx="325">
                  <c:v>65.06</c:v>
                </c:pt>
                <c:pt idx="326">
                  <c:v>65.06</c:v>
                </c:pt>
                <c:pt idx="327">
                  <c:v>65.02</c:v>
                </c:pt>
                <c:pt idx="328">
                  <c:v>65.040000000000006</c:v>
                </c:pt>
                <c:pt idx="329">
                  <c:v>65.03</c:v>
                </c:pt>
                <c:pt idx="330">
                  <c:v>65</c:v>
                </c:pt>
                <c:pt idx="331">
                  <c:v>65.069999999999993</c:v>
                </c:pt>
                <c:pt idx="332">
                  <c:v>65.06</c:v>
                </c:pt>
                <c:pt idx="333">
                  <c:v>65.069999999999993</c:v>
                </c:pt>
                <c:pt idx="334">
                  <c:v>65.040000000000006</c:v>
                </c:pt>
                <c:pt idx="335">
                  <c:v>65.040000000000006</c:v>
                </c:pt>
                <c:pt idx="336">
                  <c:v>65.040000000000006</c:v>
                </c:pt>
                <c:pt idx="337">
                  <c:v>65.099999999999994</c:v>
                </c:pt>
                <c:pt idx="338">
                  <c:v>65.03</c:v>
                </c:pt>
                <c:pt idx="339">
                  <c:v>65.040000000000006</c:v>
                </c:pt>
                <c:pt idx="340">
                  <c:v>65.02</c:v>
                </c:pt>
                <c:pt idx="341">
                  <c:v>65.06</c:v>
                </c:pt>
                <c:pt idx="342">
                  <c:v>65.040000000000006</c:v>
                </c:pt>
                <c:pt idx="343">
                  <c:v>65.099999999999994</c:v>
                </c:pt>
                <c:pt idx="344">
                  <c:v>65.11</c:v>
                </c:pt>
                <c:pt idx="345">
                  <c:v>65.010000000000005</c:v>
                </c:pt>
                <c:pt idx="346">
                  <c:v>65.040000000000006</c:v>
                </c:pt>
                <c:pt idx="347">
                  <c:v>65.02</c:v>
                </c:pt>
                <c:pt idx="348">
                  <c:v>65</c:v>
                </c:pt>
                <c:pt idx="349">
                  <c:v>65</c:v>
                </c:pt>
                <c:pt idx="350">
                  <c:v>65.010000000000005</c:v>
                </c:pt>
                <c:pt idx="351">
                  <c:v>65.02</c:v>
                </c:pt>
                <c:pt idx="352">
                  <c:v>65.06</c:v>
                </c:pt>
                <c:pt idx="353">
                  <c:v>65.05</c:v>
                </c:pt>
                <c:pt idx="354">
                  <c:v>65.08</c:v>
                </c:pt>
                <c:pt idx="355">
                  <c:v>65.040000000000006</c:v>
                </c:pt>
                <c:pt idx="356">
                  <c:v>65.06</c:v>
                </c:pt>
                <c:pt idx="357">
                  <c:v>65.11</c:v>
                </c:pt>
                <c:pt idx="358">
                  <c:v>65.02</c:v>
                </c:pt>
                <c:pt idx="359">
                  <c:v>65.040000000000006</c:v>
                </c:pt>
                <c:pt idx="360">
                  <c:v>65</c:v>
                </c:pt>
                <c:pt idx="361">
                  <c:v>65.03</c:v>
                </c:pt>
                <c:pt idx="362">
                  <c:v>64.959999999999994</c:v>
                </c:pt>
                <c:pt idx="363">
                  <c:v>65.010000000000005</c:v>
                </c:pt>
                <c:pt idx="364">
                  <c:v>65.08</c:v>
                </c:pt>
                <c:pt idx="365">
                  <c:v>65</c:v>
                </c:pt>
                <c:pt idx="366">
                  <c:v>65.040000000000006</c:v>
                </c:pt>
                <c:pt idx="367">
                  <c:v>65.040000000000006</c:v>
                </c:pt>
                <c:pt idx="368">
                  <c:v>65.06</c:v>
                </c:pt>
                <c:pt idx="369">
                  <c:v>65.06</c:v>
                </c:pt>
                <c:pt idx="370">
                  <c:v>65.069999999999993</c:v>
                </c:pt>
                <c:pt idx="371">
                  <c:v>65.010000000000005</c:v>
                </c:pt>
                <c:pt idx="372">
                  <c:v>65.099999999999994</c:v>
                </c:pt>
                <c:pt idx="373">
                  <c:v>65.08</c:v>
                </c:pt>
                <c:pt idx="374">
                  <c:v>65.099999999999994</c:v>
                </c:pt>
                <c:pt idx="375">
                  <c:v>65.069999999999993</c:v>
                </c:pt>
                <c:pt idx="376">
                  <c:v>65.06</c:v>
                </c:pt>
                <c:pt idx="377">
                  <c:v>65.13</c:v>
                </c:pt>
                <c:pt idx="378">
                  <c:v>65.11</c:v>
                </c:pt>
                <c:pt idx="379">
                  <c:v>65.06</c:v>
                </c:pt>
                <c:pt idx="380">
                  <c:v>65.08</c:v>
                </c:pt>
                <c:pt idx="381">
                  <c:v>65.040000000000006</c:v>
                </c:pt>
                <c:pt idx="382">
                  <c:v>65.069999999999993</c:v>
                </c:pt>
                <c:pt idx="383">
                  <c:v>65.08</c:v>
                </c:pt>
                <c:pt idx="384">
                  <c:v>65.099999999999994</c:v>
                </c:pt>
                <c:pt idx="385">
                  <c:v>65.099999999999994</c:v>
                </c:pt>
                <c:pt idx="386">
                  <c:v>65.08</c:v>
                </c:pt>
                <c:pt idx="387">
                  <c:v>65.08</c:v>
                </c:pt>
                <c:pt idx="388">
                  <c:v>65.040000000000006</c:v>
                </c:pt>
                <c:pt idx="389">
                  <c:v>65.08</c:v>
                </c:pt>
                <c:pt idx="390">
                  <c:v>65.14</c:v>
                </c:pt>
                <c:pt idx="391">
                  <c:v>65.08</c:v>
                </c:pt>
                <c:pt idx="392">
                  <c:v>65.11</c:v>
                </c:pt>
                <c:pt idx="393">
                  <c:v>65.099999999999994</c:v>
                </c:pt>
                <c:pt idx="394">
                  <c:v>65.09</c:v>
                </c:pt>
                <c:pt idx="395">
                  <c:v>65.150000000000006</c:v>
                </c:pt>
                <c:pt idx="396">
                  <c:v>65.12</c:v>
                </c:pt>
                <c:pt idx="397">
                  <c:v>65.069999999999993</c:v>
                </c:pt>
                <c:pt idx="398">
                  <c:v>65.13</c:v>
                </c:pt>
                <c:pt idx="399">
                  <c:v>65.09</c:v>
                </c:pt>
                <c:pt idx="400">
                  <c:v>65.08</c:v>
                </c:pt>
                <c:pt idx="401">
                  <c:v>65.150000000000006</c:v>
                </c:pt>
                <c:pt idx="402">
                  <c:v>65.08</c:v>
                </c:pt>
                <c:pt idx="403">
                  <c:v>65.09</c:v>
                </c:pt>
                <c:pt idx="404">
                  <c:v>65.069999999999993</c:v>
                </c:pt>
                <c:pt idx="405">
                  <c:v>65.13</c:v>
                </c:pt>
                <c:pt idx="406">
                  <c:v>65.11</c:v>
                </c:pt>
                <c:pt idx="407">
                  <c:v>65.08</c:v>
                </c:pt>
                <c:pt idx="408">
                  <c:v>65.13</c:v>
                </c:pt>
                <c:pt idx="409">
                  <c:v>65.05</c:v>
                </c:pt>
                <c:pt idx="410">
                  <c:v>65.09</c:v>
                </c:pt>
                <c:pt idx="411">
                  <c:v>65.08</c:v>
                </c:pt>
                <c:pt idx="412">
                  <c:v>65.13</c:v>
                </c:pt>
                <c:pt idx="413">
                  <c:v>65.17</c:v>
                </c:pt>
                <c:pt idx="414">
                  <c:v>65.12</c:v>
                </c:pt>
                <c:pt idx="415">
                  <c:v>65.06</c:v>
                </c:pt>
                <c:pt idx="416">
                  <c:v>65.12</c:v>
                </c:pt>
                <c:pt idx="417">
                  <c:v>65.13</c:v>
                </c:pt>
                <c:pt idx="418">
                  <c:v>65.09</c:v>
                </c:pt>
                <c:pt idx="419">
                  <c:v>65.069999999999993</c:v>
                </c:pt>
                <c:pt idx="420">
                  <c:v>65.14</c:v>
                </c:pt>
                <c:pt idx="421">
                  <c:v>65.099999999999994</c:v>
                </c:pt>
                <c:pt idx="422">
                  <c:v>65.16</c:v>
                </c:pt>
                <c:pt idx="423">
                  <c:v>65.16</c:v>
                </c:pt>
                <c:pt idx="424">
                  <c:v>65.09</c:v>
                </c:pt>
                <c:pt idx="425">
                  <c:v>65.13</c:v>
                </c:pt>
                <c:pt idx="426">
                  <c:v>65.16</c:v>
                </c:pt>
                <c:pt idx="427">
                  <c:v>65.11</c:v>
                </c:pt>
                <c:pt idx="428">
                  <c:v>65.14</c:v>
                </c:pt>
                <c:pt idx="429">
                  <c:v>65.08</c:v>
                </c:pt>
                <c:pt idx="430">
                  <c:v>65.13</c:v>
                </c:pt>
                <c:pt idx="431">
                  <c:v>65.09</c:v>
                </c:pt>
                <c:pt idx="432">
                  <c:v>65.08</c:v>
                </c:pt>
                <c:pt idx="433">
                  <c:v>65.069999999999993</c:v>
                </c:pt>
                <c:pt idx="434">
                  <c:v>65.08</c:v>
                </c:pt>
                <c:pt idx="435">
                  <c:v>65.12</c:v>
                </c:pt>
                <c:pt idx="436">
                  <c:v>65.08</c:v>
                </c:pt>
                <c:pt idx="437">
                  <c:v>65.06</c:v>
                </c:pt>
                <c:pt idx="438">
                  <c:v>65.08</c:v>
                </c:pt>
                <c:pt idx="439">
                  <c:v>65.05</c:v>
                </c:pt>
                <c:pt idx="440">
                  <c:v>65.099999999999994</c:v>
                </c:pt>
                <c:pt idx="441">
                  <c:v>65.069999999999993</c:v>
                </c:pt>
                <c:pt idx="442">
                  <c:v>65.040000000000006</c:v>
                </c:pt>
                <c:pt idx="443">
                  <c:v>65.069999999999993</c:v>
                </c:pt>
                <c:pt idx="444">
                  <c:v>65.010000000000005</c:v>
                </c:pt>
                <c:pt idx="445">
                  <c:v>65.040000000000006</c:v>
                </c:pt>
                <c:pt idx="446">
                  <c:v>65.02</c:v>
                </c:pt>
                <c:pt idx="447">
                  <c:v>65.03</c:v>
                </c:pt>
                <c:pt idx="448">
                  <c:v>65.05</c:v>
                </c:pt>
                <c:pt idx="449">
                  <c:v>65.08</c:v>
                </c:pt>
                <c:pt idx="450">
                  <c:v>65.03</c:v>
                </c:pt>
                <c:pt idx="451">
                  <c:v>65.069999999999993</c:v>
                </c:pt>
                <c:pt idx="452">
                  <c:v>65.03</c:v>
                </c:pt>
                <c:pt idx="453">
                  <c:v>65.03</c:v>
                </c:pt>
                <c:pt idx="454">
                  <c:v>65.03</c:v>
                </c:pt>
                <c:pt idx="455">
                  <c:v>65</c:v>
                </c:pt>
                <c:pt idx="456">
                  <c:v>65.03</c:v>
                </c:pt>
                <c:pt idx="457">
                  <c:v>65.02</c:v>
                </c:pt>
                <c:pt idx="458">
                  <c:v>64.97</c:v>
                </c:pt>
                <c:pt idx="459">
                  <c:v>64.98</c:v>
                </c:pt>
                <c:pt idx="460">
                  <c:v>64.98</c:v>
                </c:pt>
                <c:pt idx="461">
                  <c:v>64.959999999999994</c:v>
                </c:pt>
                <c:pt idx="462">
                  <c:v>64.91</c:v>
                </c:pt>
                <c:pt idx="463">
                  <c:v>64.819999999999993</c:v>
                </c:pt>
                <c:pt idx="464">
                  <c:v>64.819999999999993</c:v>
                </c:pt>
                <c:pt idx="465">
                  <c:v>64.63</c:v>
                </c:pt>
                <c:pt idx="466">
                  <c:v>64.650000000000006</c:v>
                </c:pt>
                <c:pt idx="467">
                  <c:v>64.66</c:v>
                </c:pt>
                <c:pt idx="468">
                  <c:v>64.67</c:v>
                </c:pt>
                <c:pt idx="469">
                  <c:v>64.62</c:v>
                </c:pt>
                <c:pt idx="470">
                  <c:v>64.650000000000006</c:v>
                </c:pt>
                <c:pt idx="471">
                  <c:v>64.67</c:v>
                </c:pt>
                <c:pt idx="472">
                  <c:v>64.67</c:v>
                </c:pt>
                <c:pt idx="473">
                  <c:v>64.7</c:v>
                </c:pt>
                <c:pt idx="474">
                  <c:v>64.62</c:v>
                </c:pt>
                <c:pt idx="475">
                  <c:v>64.709999999999994</c:v>
                </c:pt>
                <c:pt idx="476">
                  <c:v>64.709999999999994</c:v>
                </c:pt>
                <c:pt idx="477">
                  <c:v>64.7</c:v>
                </c:pt>
                <c:pt idx="478">
                  <c:v>64.67</c:v>
                </c:pt>
                <c:pt idx="479">
                  <c:v>64.790000000000006</c:v>
                </c:pt>
                <c:pt idx="480">
                  <c:v>64.819999999999993</c:v>
                </c:pt>
                <c:pt idx="481">
                  <c:v>64.650000000000006</c:v>
                </c:pt>
                <c:pt idx="482">
                  <c:v>64.84</c:v>
                </c:pt>
                <c:pt idx="483">
                  <c:v>64.8</c:v>
                </c:pt>
                <c:pt idx="484">
                  <c:v>64.81</c:v>
                </c:pt>
                <c:pt idx="485">
                  <c:v>64.790000000000006</c:v>
                </c:pt>
                <c:pt idx="486">
                  <c:v>64.83</c:v>
                </c:pt>
                <c:pt idx="487">
                  <c:v>64.78</c:v>
                </c:pt>
                <c:pt idx="488">
                  <c:v>64.84</c:v>
                </c:pt>
                <c:pt idx="489">
                  <c:v>64.84</c:v>
                </c:pt>
                <c:pt idx="490">
                  <c:v>64.819999999999993</c:v>
                </c:pt>
                <c:pt idx="491">
                  <c:v>65</c:v>
                </c:pt>
                <c:pt idx="492">
                  <c:v>64.89</c:v>
                </c:pt>
                <c:pt idx="493">
                  <c:v>64.88</c:v>
                </c:pt>
                <c:pt idx="494">
                  <c:v>64.88</c:v>
                </c:pt>
                <c:pt idx="495">
                  <c:v>64.94</c:v>
                </c:pt>
                <c:pt idx="496">
                  <c:v>64.959999999999994</c:v>
                </c:pt>
                <c:pt idx="497">
                  <c:v>65.13</c:v>
                </c:pt>
                <c:pt idx="498">
                  <c:v>65.209999999999994</c:v>
                </c:pt>
                <c:pt idx="499">
                  <c:v>65.31</c:v>
                </c:pt>
                <c:pt idx="500">
                  <c:v>65.290000000000006</c:v>
                </c:pt>
                <c:pt idx="501">
                  <c:v>65.31</c:v>
                </c:pt>
                <c:pt idx="502">
                  <c:v>65.209999999999994</c:v>
                </c:pt>
                <c:pt idx="503">
                  <c:v>65.27</c:v>
                </c:pt>
                <c:pt idx="504">
                  <c:v>65.33</c:v>
                </c:pt>
                <c:pt idx="505">
                  <c:v>65.28</c:v>
                </c:pt>
                <c:pt idx="506">
                  <c:v>65.290000000000006</c:v>
                </c:pt>
                <c:pt idx="507">
                  <c:v>65.25</c:v>
                </c:pt>
                <c:pt idx="508">
                  <c:v>65.3</c:v>
                </c:pt>
                <c:pt idx="509">
                  <c:v>65.25</c:v>
                </c:pt>
                <c:pt idx="510">
                  <c:v>65.25</c:v>
                </c:pt>
                <c:pt idx="511">
                  <c:v>65.3</c:v>
                </c:pt>
                <c:pt idx="512">
                  <c:v>65.27</c:v>
                </c:pt>
                <c:pt idx="513">
                  <c:v>65.28</c:v>
                </c:pt>
                <c:pt idx="514">
                  <c:v>65.25</c:v>
                </c:pt>
                <c:pt idx="515">
                  <c:v>65.290000000000006</c:v>
                </c:pt>
                <c:pt idx="516">
                  <c:v>65.290000000000006</c:v>
                </c:pt>
                <c:pt idx="517">
                  <c:v>65.34</c:v>
                </c:pt>
                <c:pt idx="518">
                  <c:v>65.39</c:v>
                </c:pt>
                <c:pt idx="519">
                  <c:v>65.510000000000005</c:v>
                </c:pt>
                <c:pt idx="520">
                  <c:v>65.540000000000006</c:v>
                </c:pt>
                <c:pt idx="521">
                  <c:v>65.67</c:v>
                </c:pt>
                <c:pt idx="522">
                  <c:v>65.69</c:v>
                </c:pt>
                <c:pt idx="523">
                  <c:v>65.8</c:v>
                </c:pt>
                <c:pt idx="524">
                  <c:v>65.760000000000005</c:v>
                </c:pt>
                <c:pt idx="525">
                  <c:v>65.83</c:v>
                </c:pt>
                <c:pt idx="526">
                  <c:v>65.87</c:v>
                </c:pt>
                <c:pt idx="527">
                  <c:v>65.819999999999993</c:v>
                </c:pt>
                <c:pt idx="528">
                  <c:v>65.790000000000006</c:v>
                </c:pt>
                <c:pt idx="529">
                  <c:v>65.86</c:v>
                </c:pt>
                <c:pt idx="530">
                  <c:v>65.83</c:v>
                </c:pt>
                <c:pt idx="531">
                  <c:v>65.83</c:v>
                </c:pt>
                <c:pt idx="532">
                  <c:v>65.8</c:v>
                </c:pt>
                <c:pt idx="533">
                  <c:v>65.77</c:v>
                </c:pt>
                <c:pt idx="534">
                  <c:v>65.78</c:v>
                </c:pt>
                <c:pt idx="535">
                  <c:v>65.739999999999995</c:v>
                </c:pt>
                <c:pt idx="536">
                  <c:v>65.680000000000007</c:v>
                </c:pt>
                <c:pt idx="537">
                  <c:v>65.62</c:v>
                </c:pt>
                <c:pt idx="538">
                  <c:v>65.62</c:v>
                </c:pt>
                <c:pt idx="539">
                  <c:v>65.62</c:v>
                </c:pt>
                <c:pt idx="540">
                  <c:v>65.62</c:v>
                </c:pt>
                <c:pt idx="541">
                  <c:v>65.61</c:v>
                </c:pt>
                <c:pt idx="542">
                  <c:v>65.59</c:v>
                </c:pt>
                <c:pt idx="543">
                  <c:v>65.58</c:v>
                </c:pt>
                <c:pt idx="544">
                  <c:v>65.489999999999995</c:v>
                </c:pt>
                <c:pt idx="545">
                  <c:v>65.5</c:v>
                </c:pt>
                <c:pt idx="546">
                  <c:v>65.5</c:v>
                </c:pt>
                <c:pt idx="547">
                  <c:v>65.489999999999995</c:v>
                </c:pt>
                <c:pt idx="548">
                  <c:v>65.45</c:v>
                </c:pt>
                <c:pt idx="549">
                  <c:v>65.430000000000007</c:v>
                </c:pt>
                <c:pt idx="550">
                  <c:v>65.38</c:v>
                </c:pt>
                <c:pt idx="551">
                  <c:v>65.41</c:v>
                </c:pt>
                <c:pt idx="552">
                  <c:v>65.38</c:v>
                </c:pt>
                <c:pt idx="553">
                  <c:v>65.349999999999994</c:v>
                </c:pt>
                <c:pt idx="554">
                  <c:v>65.319999999999993</c:v>
                </c:pt>
                <c:pt idx="555">
                  <c:v>65.33</c:v>
                </c:pt>
                <c:pt idx="556">
                  <c:v>65.37</c:v>
                </c:pt>
                <c:pt idx="557">
                  <c:v>65.319999999999993</c:v>
                </c:pt>
                <c:pt idx="558">
                  <c:v>65.319999999999993</c:v>
                </c:pt>
                <c:pt idx="559">
                  <c:v>65.36</c:v>
                </c:pt>
                <c:pt idx="560">
                  <c:v>65.34</c:v>
                </c:pt>
                <c:pt idx="561">
                  <c:v>65.36</c:v>
                </c:pt>
                <c:pt idx="562">
                  <c:v>65.319999999999993</c:v>
                </c:pt>
                <c:pt idx="563">
                  <c:v>65.290000000000006</c:v>
                </c:pt>
                <c:pt idx="564">
                  <c:v>65.290000000000006</c:v>
                </c:pt>
                <c:pt idx="565">
                  <c:v>65.28</c:v>
                </c:pt>
                <c:pt idx="566">
                  <c:v>65.260000000000005</c:v>
                </c:pt>
                <c:pt idx="567">
                  <c:v>65.28</c:v>
                </c:pt>
                <c:pt idx="568">
                  <c:v>65.25</c:v>
                </c:pt>
                <c:pt idx="569">
                  <c:v>65.290000000000006</c:v>
                </c:pt>
                <c:pt idx="570">
                  <c:v>65.25</c:v>
                </c:pt>
                <c:pt idx="571">
                  <c:v>65.22</c:v>
                </c:pt>
                <c:pt idx="572">
                  <c:v>65.209999999999994</c:v>
                </c:pt>
                <c:pt idx="573">
                  <c:v>65.180000000000007</c:v>
                </c:pt>
                <c:pt idx="574">
                  <c:v>65.19</c:v>
                </c:pt>
                <c:pt idx="575">
                  <c:v>65.180000000000007</c:v>
                </c:pt>
                <c:pt idx="576">
                  <c:v>65.19</c:v>
                </c:pt>
                <c:pt idx="577">
                  <c:v>65.14</c:v>
                </c:pt>
                <c:pt idx="578">
                  <c:v>65.14</c:v>
                </c:pt>
                <c:pt idx="579">
                  <c:v>65.13</c:v>
                </c:pt>
                <c:pt idx="580">
                  <c:v>65.14</c:v>
                </c:pt>
                <c:pt idx="581">
                  <c:v>65.11</c:v>
                </c:pt>
                <c:pt idx="582">
                  <c:v>65.08</c:v>
                </c:pt>
                <c:pt idx="583">
                  <c:v>65.12</c:v>
                </c:pt>
                <c:pt idx="584">
                  <c:v>65.099999999999994</c:v>
                </c:pt>
                <c:pt idx="585">
                  <c:v>65.099999999999994</c:v>
                </c:pt>
                <c:pt idx="586">
                  <c:v>65.08</c:v>
                </c:pt>
                <c:pt idx="587">
                  <c:v>65.05</c:v>
                </c:pt>
                <c:pt idx="588">
                  <c:v>65.09</c:v>
                </c:pt>
                <c:pt idx="589">
                  <c:v>65.05</c:v>
                </c:pt>
                <c:pt idx="590">
                  <c:v>65.05</c:v>
                </c:pt>
                <c:pt idx="591">
                  <c:v>65.040000000000006</c:v>
                </c:pt>
                <c:pt idx="592">
                  <c:v>65.03</c:v>
                </c:pt>
                <c:pt idx="593">
                  <c:v>65</c:v>
                </c:pt>
                <c:pt idx="594">
                  <c:v>65.040000000000006</c:v>
                </c:pt>
                <c:pt idx="595">
                  <c:v>65.040000000000006</c:v>
                </c:pt>
                <c:pt idx="596">
                  <c:v>65.010000000000005</c:v>
                </c:pt>
                <c:pt idx="597">
                  <c:v>65.03</c:v>
                </c:pt>
                <c:pt idx="598">
                  <c:v>65.040000000000006</c:v>
                </c:pt>
                <c:pt idx="599">
                  <c:v>65.010000000000005</c:v>
                </c:pt>
                <c:pt idx="600">
                  <c:v>65.040000000000006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D7-42E7-82A7-9DDCB3642906}"/>
            </c:ext>
          </c:extLst>
        </c:ser>
        <c:ser>
          <c:idx val="1"/>
          <c:order val="1"/>
          <c:tx>
            <c:strRef>
              <c:f>'65'!$S$1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'65'!$Q$2:$Q$602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'65'!$S$2:$S$602</c:f>
              <c:numCache>
                <c:formatCode>General</c:formatCode>
                <c:ptCount val="60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  <c:pt idx="50">
                  <c:v>65</c:v>
                </c:pt>
                <c:pt idx="51">
                  <c:v>65</c:v>
                </c:pt>
                <c:pt idx="52">
                  <c:v>65</c:v>
                </c:pt>
                <c:pt idx="53">
                  <c:v>65</c:v>
                </c:pt>
                <c:pt idx="54">
                  <c:v>65</c:v>
                </c:pt>
                <c:pt idx="55">
                  <c:v>65</c:v>
                </c:pt>
                <c:pt idx="56">
                  <c:v>65</c:v>
                </c:pt>
                <c:pt idx="57">
                  <c:v>65</c:v>
                </c:pt>
                <c:pt idx="58">
                  <c:v>65</c:v>
                </c:pt>
                <c:pt idx="59">
                  <c:v>65</c:v>
                </c:pt>
                <c:pt idx="60">
                  <c:v>65</c:v>
                </c:pt>
                <c:pt idx="61">
                  <c:v>65</c:v>
                </c:pt>
                <c:pt idx="62">
                  <c:v>65</c:v>
                </c:pt>
                <c:pt idx="63">
                  <c:v>65</c:v>
                </c:pt>
                <c:pt idx="64">
                  <c:v>65</c:v>
                </c:pt>
                <c:pt idx="65">
                  <c:v>65</c:v>
                </c:pt>
                <c:pt idx="66">
                  <c:v>65</c:v>
                </c:pt>
                <c:pt idx="67">
                  <c:v>65</c:v>
                </c:pt>
                <c:pt idx="68">
                  <c:v>65</c:v>
                </c:pt>
                <c:pt idx="69">
                  <c:v>65</c:v>
                </c:pt>
                <c:pt idx="70">
                  <c:v>65</c:v>
                </c:pt>
                <c:pt idx="71">
                  <c:v>65</c:v>
                </c:pt>
                <c:pt idx="72">
                  <c:v>65</c:v>
                </c:pt>
                <c:pt idx="73">
                  <c:v>65</c:v>
                </c:pt>
                <c:pt idx="74">
                  <c:v>65</c:v>
                </c:pt>
                <c:pt idx="75">
                  <c:v>65</c:v>
                </c:pt>
                <c:pt idx="76">
                  <c:v>65</c:v>
                </c:pt>
                <c:pt idx="77">
                  <c:v>65</c:v>
                </c:pt>
                <c:pt idx="78">
                  <c:v>65</c:v>
                </c:pt>
                <c:pt idx="79">
                  <c:v>65</c:v>
                </c:pt>
                <c:pt idx="80">
                  <c:v>65</c:v>
                </c:pt>
                <c:pt idx="81">
                  <c:v>65</c:v>
                </c:pt>
                <c:pt idx="82">
                  <c:v>65</c:v>
                </c:pt>
                <c:pt idx="83">
                  <c:v>65</c:v>
                </c:pt>
                <c:pt idx="84">
                  <c:v>65</c:v>
                </c:pt>
                <c:pt idx="85">
                  <c:v>65</c:v>
                </c:pt>
                <c:pt idx="86">
                  <c:v>65</c:v>
                </c:pt>
                <c:pt idx="87">
                  <c:v>65</c:v>
                </c:pt>
                <c:pt idx="88">
                  <c:v>65</c:v>
                </c:pt>
                <c:pt idx="89">
                  <c:v>65</c:v>
                </c:pt>
                <c:pt idx="90">
                  <c:v>65</c:v>
                </c:pt>
                <c:pt idx="91">
                  <c:v>65</c:v>
                </c:pt>
                <c:pt idx="92">
                  <c:v>65</c:v>
                </c:pt>
                <c:pt idx="93">
                  <c:v>65</c:v>
                </c:pt>
                <c:pt idx="94">
                  <c:v>65</c:v>
                </c:pt>
                <c:pt idx="95">
                  <c:v>65</c:v>
                </c:pt>
                <c:pt idx="96">
                  <c:v>65</c:v>
                </c:pt>
                <c:pt idx="97">
                  <c:v>65</c:v>
                </c:pt>
                <c:pt idx="98">
                  <c:v>65</c:v>
                </c:pt>
                <c:pt idx="99">
                  <c:v>65</c:v>
                </c:pt>
                <c:pt idx="100">
                  <c:v>65</c:v>
                </c:pt>
                <c:pt idx="101">
                  <c:v>65</c:v>
                </c:pt>
                <c:pt idx="102">
                  <c:v>65</c:v>
                </c:pt>
                <c:pt idx="103">
                  <c:v>65</c:v>
                </c:pt>
                <c:pt idx="104">
                  <c:v>65</c:v>
                </c:pt>
                <c:pt idx="105">
                  <c:v>65</c:v>
                </c:pt>
                <c:pt idx="106">
                  <c:v>65</c:v>
                </c:pt>
                <c:pt idx="107">
                  <c:v>65</c:v>
                </c:pt>
                <c:pt idx="108">
                  <c:v>65</c:v>
                </c:pt>
                <c:pt idx="109">
                  <c:v>65</c:v>
                </c:pt>
                <c:pt idx="110">
                  <c:v>65</c:v>
                </c:pt>
                <c:pt idx="111">
                  <c:v>65</c:v>
                </c:pt>
                <c:pt idx="112">
                  <c:v>65</c:v>
                </c:pt>
                <c:pt idx="113">
                  <c:v>65</c:v>
                </c:pt>
                <c:pt idx="114">
                  <c:v>65</c:v>
                </c:pt>
                <c:pt idx="115">
                  <c:v>65</c:v>
                </c:pt>
                <c:pt idx="116">
                  <c:v>65</c:v>
                </c:pt>
                <c:pt idx="117">
                  <c:v>65</c:v>
                </c:pt>
                <c:pt idx="118">
                  <c:v>65</c:v>
                </c:pt>
                <c:pt idx="119">
                  <c:v>65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65</c:v>
                </c:pt>
                <c:pt idx="145">
                  <c:v>65</c:v>
                </c:pt>
                <c:pt idx="146">
                  <c:v>65</c:v>
                </c:pt>
                <c:pt idx="147">
                  <c:v>65</c:v>
                </c:pt>
                <c:pt idx="148">
                  <c:v>65</c:v>
                </c:pt>
                <c:pt idx="149">
                  <c:v>65</c:v>
                </c:pt>
                <c:pt idx="150">
                  <c:v>65</c:v>
                </c:pt>
                <c:pt idx="151">
                  <c:v>65</c:v>
                </c:pt>
                <c:pt idx="152">
                  <c:v>65</c:v>
                </c:pt>
                <c:pt idx="153">
                  <c:v>65</c:v>
                </c:pt>
                <c:pt idx="154">
                  <c:v>65</c:v>
                </c:pt>
                <c:pt idx="155">
                  <c:v>65</c:v>
                </c:pt>
                <c:pt idx="156">
                  <c:v>65</c:v>
                </c:pt>
                <c:pt idx="157">
                  <c:v>65</c:v>
                </c:pt>
                <c:pt idx="158">
                  <c:v>65</c:v>
                </c:pt>
                <c:pt idx="159">
                  <c:v>65</c:v>
                </c:pt>
                <c:pt idx="160">
                  <c:v>65</c:v>
                </c:pt>
                <c:pt idx="161">
                  <c:v>65</c:v>
                </c:pt>
                <c:pt idx="162">
                  <c:v>65</c:v>
                </c:pt>
                <c:pt idx="163">
                  <c:v>65</c:v>
                </c:pt>
                <c:pt idx="164">
                  <c:v>65</c:v>
                </c:pt>
                <c:pt idx="165">
                  <c:v>65</c:v>
                </c:pt>
                <c:pt idx="166">
                  <c:v>65</c:v>
                </c:pt>
                <c:pt idx="167">
                  <c:v>65</c:v>
                </c:pt>
                <c:pt idx="168">
                  <c:v>65</c:v>
                </c:pt>
                <c:pt idx="169">
                  <c:v>65</c:v>
                </c:pt>
                <c:pt idx="170">
                  <c:v>65</c:v>
                </c:pt>
                <c:pt idx="171">
                  <c:v>65</c:v>
                </c:pt>
                <c:pt idx="172">
                  <c:v>65</c:v>
                </c:pt>
                <c:pt idx="173">
                  <c:v>65</c:v>
                </c:pt>
                <c:pt idx="174">
                  <c:v>65</c:v>
                </c:pt>
                <c:pt idx="175">
                  <c:v>65</c:v>
                </c:pt>
                <c:pt idx="176">
                  <c:v>65</c:v>
                </c:pt>
                <c:pt idx="177">
                  <c:v>65</c:v>
                </c:pt>
                <c:pt idx="178">
                  <c:v>65</c:v>
                </c:pt>
                <c:pt idx="179">
                  <c:v>65</c:v>
                </c:pt>
                <c:pt idx="180">
                  <c:v>65</c:v>
                </c:pt>
                <c:pt idx="181">
                  <c:v>65</c:v>
                </c:pt>
                <c:pt idx="182">
                  <c:v>65</c:v>
                </c:pt>
                <c:pt idx="183">
                  <c:v>65</c:v>
                </c:pt>
                <c:pt idx="184">
                  <c:v>65</c:v>
                </c:pt>
                <c:pt idx="185">
                  <c:v>65</c:v>
                </c:pt>
                <c:pt idx="186">
                  <c:v>65</c:v>
                </c:pt>
                <c:pt idx="187">
                  <c:v>65</c:v>
                </c:pt>
                <c:pt idx="188">
                  <c:v>65</c:v>
                </c:pt>
                <c:pt idx="189">
                  <c:v>65</c:v>
                </c:pt>
                <c:pt idx="190">
                  <c:v>65</c:v>
                </c:pt>
                <c:pt idx="191">
                  <c:v>65</c:v>
                </c:pt>
                <c:pt idx="192">
                  <c:v>65</c:v>
                </c:pt>
                <c:pt idx="193">
                  <c:v>65</c:v>
                </c:pt>
                <c:pt idx="194">
                  <c:v>65</c:v>
                </c:pt>
                <c:pt idx="195">
                  <c:v>65</c:v>
                </c:pt>
                <c:pt idx="196">
                  <c:v>65</c:v>
                </c:pt>
                <c:pt idx="197">
                  <c:v>65</c:v>
                </c:pt>
                <c:pt idx="198">
                  <c:v>65</c:v>
                </c:pt>
                <c:pt idx="199">
                  <c:v>65</c:v>
                </c:pt>
                <c:pt idx="200">
                  <c:v>65</c:v>
                </c:pt>
                <c:pt idx="201">
                  <c:v>65</c:v>
                </c:pt>
                <c:pt idx="202">
                  <c:v>65</c:v>
                </c:pt>
                <c:pt idx="203">
                  <c:v>65</c:v>
                </c:pt>
                <c:pt idx="204">
                  <c:v>65</c:v>
                </c:pt>
                <c:pt idx="205">
                  <c:v>65</c:v>
                </c:pt>
                <c:pt idx="206">
                  <c:v>65</c:v>
                </c:pt>
                <c:pt idx="207">
                  <c:v>65</c:v>
                </c:pt>
                <c:pt idx="208">
                  <c:v>65</c:v>
                </c:pt>
                <c:pt idx="209">
                  <c:v>65</c:v>
                </c:pt>
                <c:pt idx="210">
                  <c:v>65</c:v>
                </c:pt>
                <c:pt idx="211">
                  <c:v>65</c:v>
                </c:pt>
                <c:pt idx="212">
                  <c:v>65</c:v>
                </c:pt>
                <c:pt idx="213">
                  <c:v>65</c:v>
                </c:pt>
                <c:pt idx="214">
                  <c:v>65</c:v>
                </c:pt>
                <c:pt idx="215">
                  <c:v>65</c:v>
                </c:pt>
                <c:pt idx="216">
                  <c:v>65</c:v>
                </c:pt>
                <c:pt idx="217">
                  <c:v>65</c:v>
                </c:pt>
                <c:pt idx="218">
                  <c:v>65</c:v>
                </c:pt>
                <c:pt idx="219">
                  <c:v>65</c:v>
                </c:pt>
                <c:pt idx="220">
                  <c:v>65</c:v>
                </c:pt>
                <c:pt idx="221">
                  <c:v>65</c:v>
                </c:pt>
                <c:pt idx="222">
                  <c:v>65</c:v>
                </c:pt>
                <c:pt idx="223">
                  <c:v>65</c:v>
                </c:pt>
                <c:pt idx="224">
                  <c:v>65</c:v>
                </c:pt>
                <c:pt idx="225">
                  <c:v>65</c:v>
                </c:pt>
                <c:pt idx="226">
                  <c:v>65</c:v>
                </c:pt>
                <c:pt idx="227">
                  <c:v>65</c:v>
                </c:pt>
                <c:pt idx="228">
                  <c:v>65</c:v>
                </c:pt>
                <c:pt idx="229">
                  <c:v>65</c:v>
                </c:pt>
                <c:pt idx="230">
                  <c:v>65</c:v>
                </c:pt>
                <c:pt idx="231">
                  <c:v>65</c:v>
                </c:pt>
                <c:pt idx="232">
                  <c:v>65</c:v>
                </c:pt>
                <c:pt idx="233">
                  <c:v>65</c:v>
                </c:pt>
                <c:pt idx="234">
                  <c:v>65</c:v>
                </c:pt>
                <c:pt idx="235">
                  <c:v>65</c:v>
                </c:pt>
                <c:pt idx="236">
                  <c:v>65</c:v>
                </c:pt>
                <c:pt idx="237">
                  <c:v>65</c:v>
                </c:pt>
                <c:pt idx="238">
                  <c:v>65</c:v>
                </c:pt>
                <c:pt idx="239">
                  <c:v>65</c:v>
                </c:pt>
                <c:pt idx="240">
                  <c:v>65</c:v>
                </c:pt>
                <c:pt idx="241">
                  <c:v>65</c:v>
                </c:pt>
                <c:pt idx="242">
                  <c:v>65</c:v>
                </c:pt>
                <c:pt idx="243">
                  <c:v>65</c:v>
                </c:pt>
                <c:pt idx="244">
                  <c:v>65</c:v>
                </c:pt>
                <c:pt idx="245">
                  <c:v>65</c:v>
                </c:pt>
                <c:pt idx="246">
                  <c:v>65</c:v>
                </c:pt>
                <c:pt idx="247">
                  <c:v>65</c:v>
                </c:pt>
                <c:pt idx="248">
                  <c:v>65</c:v>
                </c:pt>
                <c:pt idx="249">
                  <c:v>65</c:v>
                </c:pt>
                <c:pt idx="250">
                  <c:v>65</c:v>
                </c:pt>
                <c:pt idx="251">
                  <c:v>65</c:v>
                </c:pt>
                <c:pt idx="252">
                  <c:v>65</c:v>
                </c:pt>
                <c:pt idx="253">
                  <c:v>65</c:v>
                </c:pt>
                <c:pt idx="254">
                  <c:v>65</c:v>
                </c:pt>
                <c:pt idx="255">
                  <c:v>65</c:v>
                </c:pt>
                <c:pt idx="256">
                  <c:v>65</c:v>
                </c:pt>
                <c:pt idx="257">
                  <c:v>65</c:v>
                </c:pt>
                <c:pt idx="258">
                  <c:v>65</c:v>
                </c:pt>
                <c:pt idx="259">
                  <c:v>65</c:v>
                </c:pt>
                <c:pt idx="260">
                  <c:v>65</c:v>
                </c:pt>
                <c:pt idx="261">
                  <c:v>65</c:v>
                </c:pt>
                <c:pt idx="262">
                  <c:v>65</c:v>
                </c:pt>
                <c:pt idx="263">
                  <c:v>65</c:v>
                </c:pt>
                <c:pt idx="264">
                  <c:v>65</c:v>
                </c:pt>
                <c:pt idx="265">
                  <c:v>65</c:v>
                </c:pt>
                <c:pt idx="266">
                  <c:v>65</c:v>
                </c:pt>
                <c:pt idx="267">
                  <c:v>65</c:v>
                </c:pt>
                <c:pt idx="268">
                  <c:v>65</c:v>
                </c:pt>
                <c:pt idx="269">
                  <c:v>65</c:v>
                </c:pt>
                <c:pt idx="270">
                  <c:v>65</c:v>
                </c:pt>
                <c:pt idx="271">
                  <c:v>65</c:v>
                </c:pt>
                <c:pt idx="272">
                  <c:v>65</c:v>
                </c:pt>
                <c:pt idx="273">
                  <c:v>65</c:v>
                </c:pt>
                <c:pt idx="274">
                  <c:v>65</c:v>
                </c:pt>
                <c:pt idx="275">
                  <c:v>65</c:v>
                </c:pt>
                <c:pt idx="276">
                  <c:v>65</c:v>
                </c:pt>
                <c:pt idx="277">
                  <c:v>65</c:v>
                </c:pt>
                <c:pt idx="278">
                  <c:v>65</c:v>
                </c:pt>
                <c:pt idx="279">
                  <c:v>65</c:v>
                </c:pt>
                <c:pt idx="280">
                  <c:v>65</c:v>
                </c:pt>
                <c:pt idx="281">
                  <c:v>65</c:v>
                </c:pt>
                <c:pt idx="282">
                  <c:v>65</c:v>
                </c:pt>
                <c:pt idx="283">
                  <c:v>65</c:v>
                </c:pt>
                <c:pt idx="284">
                  <c:v>65</c:v>
                </c:pt>
                <c:pt idx="285">
                  <c:v>65</c:v>
                </c:pt>
                <c:pt idx="286">
                  <c:v>65</c:v>
                </c:pt>
                <c:pt idx="287">
                  <c:v>65</c:v>
                </c:pt>
                <c:pt idx="288">
                  <c:v>65</c:v>
                </c:pt>
                <c:pt idx="289">
                  <c:v>65</c:v>
                </c:pt>
                <c:pt idx="290">
                  <c:v>65</c:v>
                </c:pt>
                <c:pt idx="291">
                  <c:v>65</c:v>
                </c:pt>
                <c:pt idx="292">
                  <c:v>65</c:v>
                </c:pt>
                <c:pt idx="293">
                  <c:v>65</c:v>
                </c:pt>
                <c:pt idx="294">
                  <c:v>65</c:v>
                </c:pt>
                <c:pt idx="295">
                  <c:v>65</c:v>
                </c:pt>
                <c:pt idx="296">
                  <c:v>65</c:v>
                </c:pt>
                <c:pt idx="297">
                  <c:v>65</c:v>
                </c:pt>
                <c:pt idx="298">
                  <c:v>65</c:v>
                </c:pt>
                <c:pt idx="299">
                  <c:v>65</c:v>
                </c:pt>
                <c:pt idx="300">
                  <c:v>65</c:v>
                </c:pt>
                <c:pt idx="301">
                  <c:v>65</c:v>
                </c:pt>
                <c:pt idx="302">
                  <c:v>65</c:v>
                </c:pt>
                <c:pt idx="303">
                  <c:v>65</c:v>
                </c:pt>
                <c:pt idx="304">
                  <c:v>65</c:v>
                </c:pt>
                <c:pt idx="305">
                  <c:v>65</c:v>
                </c:pt>
                <c:pt idx="306">
                  <c:v>65</c:v>
                </c:pt>
                <c:pt idx="307">
                  <c:v>65</c:v>
                </c:pt>
                <c:pt idx="308">
                  <c:v>65</c:v>
                </c:pt>
                <c:pt idx="309">
                  <c:v>65</c:v>
                </c:pt>
                <c:pt idx="310">
                  <c:v>65</c:v>
                </c:pt>
                <c:pt idx="311">
                  <c:v>65</c:v>
                </c:pt>
                <c:pt idx="312">
                  <c:v>65</c:v>
                </c:pt>
                <c:pt idx="313">
                  <c:v>65</c:v>
                </c:pt>
                <c:pt idx="314">
                  <c:v>65</c:v>
                </c:pt>
                <c:pt idx="315">
                  <c:v>65</c:v>
                </c:pt>
                <c:pt idx="316">
                  <c:v>65</c:v>
                </c:pt>
                <c:pt idx="317">
                  <c:v>65</c:v>
                </c:pt>
                <c:pt idx="318">
                  <c:v>65</c:v>
                </c:pt>
                <c:pt idx="319">
                  <c:v>65</c:v>
                </c:pt>
                <c:pt idx="320">
                  <c:v>65</c:v>
                </c:pt>
                <c:pt idx="321">
                  <c:v>65</c:v>
                </c:pt>
                <c:pt idx="322">
                  <c:v>65</c:v>
                </c:pt>
                <c:pt idx="323">
                  <c:v>65</c:v>
                </c:pt>
                <c:pt idx="324">
                  <c:v>65</c:v>
                </c:pt>
                <c:pt idx="325">
                  <c:v>65</c:v>
                </c:pt>
                <c:pt idx="326">
                  <c:v>65</c:v>
                </c:pt>
                <c:pt idx="327">
                  <c:v>65</c:v>
                </c:pt>
                <c:pt idx="328">
                  <c:v>65</c:v>
                </c:pt>
                <c:pt idx="329">
                  <c:v>65</c:v>
                </c:pt>
                <c:pt idx="330">
                  <c:v>65</c:v>
                </c:pt>
                <c:pt idx="331">
                  <c:v>65</c:v>
                </c:pt>
                <c:pt idx="332">
                  <c:v>65</c:v>
                </c:pt>
                <c:pt idx="333">
                  <c:v>65</c:v>
                </c:pt>
                <c:pt idx="334">
                  <c:v>65</c:v>
                </c:pt>
                <c:pt idx="335">
                  <c:v>65</c:v>
                </c:pt>
                <c:pt idx="336">
                  <c:v>65</c:v>
                </c:pt>
                <c:pt idx="337">
                  <c:v>65</c:v>
                </c:pt>
                <c:pt idx="338">
                  <c:v>65</c:v>
                </c:pt>
                <c:pt idx="339">
                  <c:v>65</c:v>
                </c:pt>
                <c:pt idx="340">
                  <c:v>65</c:v>
                </c:pt>
                <c:pt idx="341">
                  <c:v>65</c:v>
                </c:pt>
                <c:pt idx="342">
                  <c:v>65</c:v>
                </c:pt>
                <c:pt idx="343">
                  <c:v>65</c:v>
                </c:pt>
                <c:pt idx="344">
                  <c:v>65</c:v>
                </c:pt>
                <c:pt idx="345">
                  <c:v>65</c:v>
                </c:pt>
                <c:pt idx="346">
                  <c:v>65</c:v>
                </c:pt>
                <c:pt idx="347">
                  <c:v>65</c:v>
                </c:pt>
                <c:pt idx="348">
                  <c:v>65</c:v>
                </c:pt>
                <c:pt idx="349">
                  <c:v>65</c:v>
                </c:pt>
                <c:pt idx="350">
                  <c:v>65</c:v>
                </c:pt>
                <c:pt idx="351">
                  <c:v>65</c:v>
                </c:pt>
                <c:pt idx="352">
                  <c:v>65</c:v>
                </c:pt>
                <c:pt idx="353">
                  <c:v>65</c:v>
                </c:pt>
                <c:pt idx="354">
                  <c:v>65</c:v>
                </c:pt>
                <c:pt idx="355">
                  <c:v>65</c:v>
                </c:pt>
                <c:pt idx="356">
                  <c:v>65</c:v>
                </c:pt>
                <c:pt idx="357">
                  <c:v>65</c:v>
                </c:pt>
                <c:pt idx="358">
                  <c:v>65</c:v>
                </c:pt>
                <c:pt idx="359">
                  <c:v>65</c:v>
                </c:pt>
                <c:pt idx="360">
                  <c:v>65</c:v>
                </c:pt>
                <c:pt idx="361">
                  <c:v>65</c:v>
                </c:pt>
                <c:pt idx="362">
                  <c:v>65</c:v>
                </c:pt>
                <c:pt idx="363">
                  <c:v>65</c:v>
                </c:pt>
                <c:pt idx="364">
                  <c:v>65</c:v>
                </c:pt>
                <c:pt idx="365">
                  <c:v>65</c:v>
                </c:pt>
                <c:pt idx="366">
                  <c:v>65</c:v>
                </c:pt>
                <c:pt idx="367">
                  <c:v>65</c:v>
                </c:pt>
                <c:pt idx="368">
                  <c:v>65</c:v>
                </c:pt>
                <c:pt idx="369">
                  <c:v>65</c:v>
                </c:pt>
                <c:pt idx="370">
                  <c:v>65</c:v>
                </c:pt>
                <c:pt idx="371">
                  <c:v>65</c:v>
                </c:pt>
                <c:pt idx="372">
                  <c:v>65</c:v>
                </c:pt>
                <c:pt idx="373">
                  <c:v>65</c:v>
                </c:pt>
                <c:pt idx="374">
                  <c:v>65</c:v>
                </c:pt>
                <c:pt idx="375">
                  <c:v>65</c:v>
                </c:pt>
                <c:pt idx="376">
                  <c:v>65</c:v>
                </c:pt>
                <c:pt idx="377">
                  <c:v>65</c:v>
                </c:pt>
                <c:pt idx="378">
                  <c:v>65</c:v>
                </c:pt>
                <c:pt idx="379">
                  <c:v>65</c:v>
                </c:pt>
                <c:pt idx="380">
                  <c:v>65</c:v>
                </c:pt>
                <c:pt idx="381">
                  <c:v>65</c:v>
                </c:pt>
                <c:pt idx="382">
                  <c:v>65</c:v>
                </c:pt>
                <c:pt idx="383">
                  <c:v>65</c:v>
                </c:pt>
                <c:pt idx="384">
                  <c:v>65</c:v>
                </c:pt>
                <c:pt idx="385">
                  <c:v>65</c:v>
                </c:pt>
                <c:pt idx="386">
                  <c:v>65</c:v>
                </c:pt>
                <c:pt idx="387">
                  <c:v>65</c:v>
                </c:pt>
                <c:pt idx="388">
                  <c:v>65</c:v>
                </c:pt>
                <c:pt idx="389">
                  <c:v>65</c:v>
                </c:pt>
                <c:pt idx="390">
                  <c:v>65</c:v>
                </c:pt>
                <c:pt idx="391">
                  <c:v>65</c:v>
                </c:pt>
                <c:pt idx="392">
                  <c:v>65</c:v>
                </c:pt>
                <c:pt idx="393">
                  <c:v>65</c:v>
                </c:pt>
                <c:pt idx="394">
                  <c:v>65</c:v>
                </c:pt>
                <c:pt idx="395">
                  <c:v>65</c:v>
                </c:pt>
                <c:pt idx="396">
                  <c:v>65</c:v>
                </c:pt>
                <c:pt idx="397">
                  <c:v>65</c:v>
                </c:pt>
                <c:pt idx="398">
                  <c:v>65</c:v>
                </c:pt>
                <c:pt idx="399">
                  <c:v>65</c:v>
                </c:pt>
                <c:pt idx="400">
                  <c:v>65</c:v>
                </c:pt>
                <c:pt idx="401">
                  <c:v>65</c:v>
                </c:pt>
                <c:pt idx="402">
                  <c:v>65</c:v>
                </c:pt>
                <c:pt idx="403">
                  <c:v>65</c:v>
                </c:pt>
                <c:pt idx="404">
                  <c:v>65</c:v>
                </c:pt>
                <c:pt idx="405">
                  <c:v>65</c:v>
                </c:pt>
                <c:pt idx="406">
                  <c:v>65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</c:v>
                </c:pt>
                <c:pt idx="411">
                  <c:v>65</c:v>
                </c:pt>
                <c:pt idx="412">
                  <c:v>65</c:v>
                </c:pt>
                <c:pt idx="413">
                  <c:v>65</c:v>
                </c:pt>
                <c:pt idx="414">
                  <c:v>65</c:v>
                </c:pt>
                <c:pt idx="415">
                  <c:v>65</c:v>
                </c:pt>
                <c:pt idx="416">
                  <c:v>65</c:v>
                </c:pt>
                <c:pt idx="417">
                  <c:v>65</c:v>
                </c:pt>
                <c:pt idx="418">
                  <c:v>65</c:v>
                </c:pt>
                <c:pt idx="419">
                  <c:v>65</c:v>
                </c:pt>
                <c:pt idx="420">
                  <c:v>65</c:v>
                </c:pt>
                <c:pt idx="421">
                  <c:v>65</c:v>
                </c:pt>
                <c:pt idx="422">
                  <c:v>65</c:v>
                </c:pt>
                <c:pt idx="423">
                  <c:v>65</c:v>
                </c:pt>
                <c:pt idx="424">
                  <c:v>65</c:v>
                </c:pt>
                <c:pt idx="425">
                  <c:v>65</c:v>
                </c:pt>
                <c:pt idx="426">
                  <c:v>65</c:v>
                </c:pt>
                <c:pt idx="427">
                  <c:v>65</c:v>
                </c:pt>
                <c:pt idx="428">
                  <c:v>65</c:v>
                </c:pt>
                <c:pt idx="429">
                  <c:v>65</c:v>
                </c:pt>
                <c:pt idx="430">
                  <c:v>65</c:v>
                </c:pt>
                <c:pt idx="431">
                  <c:v>65</c:v>
                </c:pt>
                <c:pt idx="432">
                  <c:v>65</c:v>
                </c:pt>
                <c:pt idx="433">
                  <c:v>65</c:v>
                </c:pt>
                <c:pt idx="434">
                  <c:v>65</c:v>
                </c:pt>
                <c:pt idx="435">
                  <c:v>65</c:v>
                </c:pt>
                <c:pt idx="436">
                  <c:v>65</c:v>
                </c:pt>
                <c:pt idx="437">
                  <c:v>65</c:v>
                </c:pt>
                <c:pt idx="438">
                  <c:v>65</c:v>
                </c:pt>
                <c:pt idx="439">
                  <c:v>65</c:v>
                </c:pt>
                <c:pt idx="440">
                  <c:v>65</c:v>
                </c:pt>
                <c:pt idx="441">
                  <c:v>65</c:v>
                </c:pt>
                <c:pt idx="442">
                  <c:v>65</c:v>
                </c:pt>
                <c:pt idx="443">
                  <c:v>65</c:v>
                </c:pt>
                <c:pt idx="444">
                  <c:v>65</c:v>
                </c:pt>
                <c:pt idx="445">
                  <c:v>65</c:v>
                </c:pt>
                <c:pt idx="446">
                  <c:v>65</c:v>
                </c:pt>
                <c:pt idx="447">
                  <c:v>65</c:v>
                </c:pt>
                <c:pt idx="448">
                  <c:v>65</c:v>
                </c:pt>
                <c:pt idx="449">
                  <c:v>65</c:v>
                </c:pt>
                <c:pt idx="450">
                  <c:v>65</c:v>
                </c:pt>
                <c:pt idx="451">
                  <c:v>65</c:v>
                </c:pt>
                <c:pt idx="452">
                  <c:v>65</c:v>
                </c:pt>
                <c:pt idx="453">
                  <c:v>65</c:v>
                </c:pt>
                <c:pt idx="454">
                  <c:v>65</c:v>
                </c:pt>
                <c:pt idx="455">
                  <c:v>65</c:v>
                </c:pt>
                <c:pt idx="456">
                  <c:v>65</c:v>
                </c:pt>
                <c:pt idx="457">
                  <c:v>65</c:v>
                </c:pt>
                <c:pt idx="458">
                  <c:v>65</c:v>
                </c:pt>
                <c:pt idx="459">
                  <c:v>65</c:v>
                </c:pt>
                <c:pt idx="460">
                  <c:v>65</c:v>
                </c:pt>
                <c:pt idx="461">
                  <c:v>65</c:v>
                </c:pt>
                <c:pt idx="462">
                  <c:v>65</c:v>
                </c:pt>
                <c:pt idx="463">
                  <c:v>65</c:v>
                </c:pt>
                <c:pt idx="464">
                  <c:v>65</c:v>
                </c:pt>
                <c:pt idx="465">
                  <c:v>65</c:v>
                </c:pt>
                <c:pt idx="466">
                  <c:v>65</c:v>
                </c:pt>
                <c:pt idx="467">
                  <c:v>65</c:v>
                </c:pt>
                <c:pt idx="468">
                  <c:v>65</c:v>
                </c:pt>
                <c:pt idx="469">
                  <c:v>65</c:v>
                </c:pt>
                <c:pt idx="470">
                  <c:v>65</c:v>
                </c:pt>
                <c:pt idx="471">
                  <c:v>65</c:v>
                </c:pt>
                <c:pt idx="472">
                  <c:v>65</c:v>
                </c:pt>
                <c:pt idx="473">
                  <c:v>65</c:v>
                </c:pt>
                <c:pt idx="474">
                  <c:v>65</c:v>
                </c:pt>
                <c:pt idx="475">
                  <c:v>65</c:v>
                </c:pt>
                <c:pt idx="476">
                  <c:v>65</c:v>
                </c:pt>
                <c:pt idx="477">
                  <c:v>65</c:v>
                </c:pt>
                <c:pt idx="478">
                  <c:v>65</c:v>
                </c:pt>
                <c:pt idx="479">
                  <c:v>65</c:v>
                </c:pt>
                <c:pt idx="480">
                  <c:v>65</c:v>
                </c:pt>
                <c:pt idx="481">
                  <c:v>65</c:v>
                </c:pt>
                <c:pt idx="482">
                  <c:v>65</c:v>
                </c:pt>
                <c:pt idx="483">
                  <c:v>65</c:v>
                </c:pt>
                <c:pt idx="484">
                  <c:v>65</c:v>
                </c:pt>
                <c:pt idx="485">
                  <c:v>65</c:v>
                </c:pt>
                <c:pt idx="486">
                  <c:v>65</c:v>
                </c:pt>
                <c:pt idx="487">
                  <c:v>65</c:v>
                </c:pt>
                <c:pt idx="488">
                  <c:v>65</c:v>
                </c:pt>
                <c:pt idx="489">
                  <c:v>65</c:v>
                </c:pt>
                <c:pt idx="490">
                  <c:v>65</c:v>
                </c:pt>
                <c:pt idx="491">
                  <c:v>65</c:v>
                </c:pt>
                <c:pt idx="492">
                  <c:v>65</c:v>
                </c:pt>
                <c:pt idx="493">
                  <c:v>65</c:v>
                </c:pt>
                <c:pt idx="494">
                  <c:v>65</c:v>
                </c:pt>
                <c:pt idx="495">
                  <c:v>65</c:v>
                </c:pt>
                <c:pt idx="496">
                  <c:v>65</c:v>
                </c:pt>
                <c:pt idx="497">
                  <c:v>65</c:v>
                </c:pt>
                <c:pt idx="498">
                  <c:v>65</c:v>
                </c:pt>
                <c:pt idx="499">
                  <c:v>65</c:v>
                </c:pt>
                <c:pt idx="500">
                  <c:v>65</c:v>
                </c:pt>
                <c:pt idx="501">
                  <c:v>65</c:v>
                </c:pt>
                <c:pt idx="502">
                  <c:v>65</c:v>
                </c:pt>
                <c:pt idx="503">
                  <c:v>65</c:v>
                </c:pt>
                <c:pt idx="504">
                  <c:v>65</c:v>
                </c:pt>
                <c:pt idx="505">
                  <c:v>65</c:v>
                </c:pt>
                <c:pt idx="506">
                  <c:v>65</c:v>
                </c:pt>
                <c:pt idx="507">
                  <c:v>65</c:v>
                </c:pt>
                <c:pt idx="508">
                  <c:v>65</c:v>
                </c:pt>
                <c:pt idx="509">
                  <c:v>65</c:v>
                </c:pt>
                <c:pt idx="510">
                  <c:v>65</c:v>
                </c:pt>
                <c:pt idx="511">
                  <c:v>65</c:v>
                </c:pt>
                <c:pt idx="512">
                  <c:v>65</c:v>
                </c:pt>
                <c:pt idx="513">
                  <c:v>65</c:v>
                </c:pt>
                <c:pt idx="514">
                  <c:v>65</c:v>
                </c:pt>
                <c:pt idx="515">
                  <c:v>65</c:v>
                </c:pt>
                <c:pt idx="516">
                  <c:v>65</c:v>
                </c:pt>
                <c:pt idx="517">
                  <c:v>65</c:v>
                </c:pt>
                <c:pt idx="518">
                  <c:v>65</c:v>
                </c:pt>
                <c:pt idx="519">
                  <c:v>65</c:v>
                </c:pt>
                <c:pt idx="520">
                  <c:v>65</c:v>
                </c:pt>
                <c:pt idx="521">
                  <c:v>65</c:v>
                </c:pt>
                <c:pt idx="522">
                  <c:v>65</c:v>
                </c:pt>
                <c:pt idx="523">
                  <c:v>65</c:v>
                </c:pt>
                <c:pt idx="524">
                  <c:v>65</c:v>
                </c:pt>
                <c:pt idx="525">
                  <c:v>65</c:v>
                </c:pt>
                <c:pt idx="526">
                  <c:v>65</c:v>
                </c:pt>
                <c:pt idx="527">
                  <c:v>65</c:v>
                </c:pt>
                <c:pt idx="528">
                  <c:v>65</c:v>
                </c:pt>
                <c:pt idx="529">
                  <c:v>65</c:v>
                </c:pt>
                <c:pt idx="530">
                  <c:v>65</c:v>
                </c:pt>
                <c:pt idx="531">
                  <c:v>65</c:v>
                </c:pt>
                <c:pt idx="532">
                  <c:v>65</c:v>
                </c:pt>
                <c:pt idx="533">
                  <c:v>65</c:v>
                </c:pt>
                <c:pt idx="534">
                  <c:v>65</c:v>
                </c:pt>
                <c:pt idx="535">
                  <c:v>65</c:v>
                </c:pt>
                <c:pt idx="536">
                  <c:v>65</c:v>
                </c:pt>
                <c:pt idx="537">
                  <c:v>65</c:v>
                </c:pt>
                <c:pt idx="538">
                  <c:v>65</c:v>
                </c:pt>
                <c:pt idx="539">
                  <c:v>65</c:v>
                </c:pt>
                <c:pt idx="540">
                  <c:v>65</c:v>
                </c:pt>
                <c:pt idx="541">
                  <c:v>65</c:v>
                </c:pt>
                <c:pt idx="542">
                  <c:v>65</c:v>
                </c:pt>
                <c:pt idx="543">
                  <c:v>65</c:v>
                </c:pt>
                <c:pt idx="544">
                  <c:v>65</c:v>
                </c:pt>
                <c:pt idx="545">
                  <c:v>65</c:v>
                </c:pt>
                <c:pt idx="546">
                  <c:v>65</c:v>
                </c:pt>
                <c:pt idx="547">
                  <c:v>65</c:v>
                </c:pt>
                <c:pt idx="548">
                  <c:v>65</c:v>
                </c:pt>
                <c:pt idx="549">
                  <c:v>65</c:v>
                </c:pt>
                <c:pt idx="550">
                  <c:v>65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65</c:v>
                </c:pt>
                <c:pt idx="557">
                  <c:v>65</c:v>
                </c:pt>
                <c:pt idx="558">
                  <c:v>65</c:v>
                </c:pt>
                <c:pt idx="559">
                  <c:v>65</c:v>
                </c:pt>
                <c:pt idx="560">
                  <c:v>65</c:v>
                </c:pt>
                <c:pt idx="561">
                  <c:v>65</c:v>
                </c:pt>
                <c:pt idx="562">
                  <c:v>65</c:v>
                </c:pt>
                <c:pt idx="563">
                  <c:v>65</c:v>
                </c:pt>
                <c:pt idx="564">
                  <c:v>65</c:v>
                </c:pt>
                <c:pt idx="565">
                  <c:v>65</c:v>
                </c:pt>
                <c:pt idx="566">
                  <c:v>65</c:v>
                </c:pt>
                <c:pt idx="567">
                  <c:v>65</c:v>
                </c:pt>
                <c:pt idx="568">
                  <c:v>65</c:v>
                </c:pt>
                <c:pt idx="569">
                  <c:v>65</c:v>
                </c:pt>
                <c:pt idx="570">
                  <c:v>65</c:v>
                </c:pt>
                <c:pt idx="571">
                  <c:v>65</c:v>
                </c:pt>
                <c:pt idx="572">
                  <c:v>65</c:v>
                </c:pt>
                <c:pt idx="573">
                  <c:v>65</c:v>
                </c:pt>
                <c:pt idx="574">
                  <c:v>65</c:v>
                </c:pt>
                <c:pt idx="575">
                  <c:v>65</c:v>
                </c:pt>
                <c:pt idx="576">
                  <c:v>65</c:v>
                </c:pt>
                <c:pt idx="577">
                  <c:v>65</c:v>
                </c:pt>
                <c:pt idx="578">
                  <c:v>65</c:v>
                </c:pt>
                <c:pt idx="579">
                  <c:v>65</c:v>
                </c:pt>
                <c:pt idx="580">
                  <c:v>65</c:v>
                </c:pt>
                <c:pt idx="581">
                  <c:v>65</c:v>
                </c:pt>
                <c:pt idx="582">
                  <c:v>65</c:v>
                </c:pt>
                <c:pt idx="583">
                  <c:v>65</c:v>
                </c:pt>
                <c:pt idx="584">
                  <c:v>65</c:v>
                </c:pt>
                <c:pt idx="585">
                  <c:v>65</c:v>
                </c:pt>
                <c:pt idx="586">
                  <c:v>65</c:v>
                </c:pt>
                <c:pt idx="587">
                  <c:v>65</c:v>
                </c:pt>
                <c:pt idx="588">
                  <c:v>65</c:v>
                </c:pt>
                <c:pt idx="589">
                  <c:v>65</c:v>
                </c:pt>
                <c:pt idx="590">
                  <c:v>65</c:v>
                </c:pt>
                <c:pt idx="591">
                  <c:v>65</c:v>
                </c:pt>
                <c:pt idx="592">
                  <c:v>65</c:v>
                </c:pt>
                <c:pt idx="593">
                  <c:v>65</c:v>
                </c:pt>
                <c:pt idx="594">
                  <c:v>65</c:v>
                </c:pt>
                <c:pt idx="595">
                  <c:v>65</c:v>
                </c:pt>
                <c:pt idx="596">
                  <c:v>65</c:v>
                </c:pt>
                <c:pt idx="597">
                  <c:v>65</c:v>
                </c:pt>
                <c:pt idx="598">
                  <c:v>65</c:v>
                </c:pt>
                <c:pt idx="599">
                  <c:v>65</c:v>
                </c:pt>
                <c:pt idx="600">
                  <c:v>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D7-42E7-82A7-9DDCB36429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2486111"/>
        <c:axId val="322486591"/>
      </c:scatterChart>
      <c:valAx>
        <c:axId val="32248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86591"/>
        <c:crosses val="autoZero"/>
        <c:crossBetween val="midCat"/>
      </c:valAx>
      <c:valAx>
        <c:axId val="32248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486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'68'!$B$1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'68'!$A$2:$A$602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'68'!$B$2:$B$602</c:f>
              <c:numCache>
                <c:formatCode>General</c:formatCode>
                <c:ptCount val="601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68</c:v>
                </c:pt>
                <c:pt idx="81">
                  <c:v>68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68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68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68</c:v>
                </c:pt>
                <c:pt idx="165">
                  <c:v>68</c:v>
                </c:pt>
                <c:pt idx="166">
                  <c:v>68</c:v>
                </c:pt>
                <c:pt idx="167">
                  <c:v>68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  <c:pt idx="360">
                  <c:v>68</c:v>
                </c:pt>
                <c:pt idx="361">
                  <c:v>68</c:v>
                </c:pt>
                <c:pt idx="362">
                  <c:v>68</c:v>
                </c:pt>
                <c:pt idx="363">
                  <c:v>68</c:v>
                </c:pt>
                <c:pt idx="364">
                  <c:v>68</c:v>
                </c:pt>
                <c:pt idx="365">
                  <c:v>68</c:v>
                </c:pt>
                <c:pt idx="366">
                  <c:v>68</c:v>
                </c:pt>
                <c:pt idx="367">
                  <c:v>68</c:v>
                </c:pt>
                <c:pt idx="368">
                  <c:v>68</c:v>
                </c:pt>
                <c:pt idx="369">
                  <c:v>68</c:v>
                </c:pt>
                <c:pt idx="370">
                  <c:v>68</c:v>
                </c:pt>
                <c:pt idx="371">
                  <c:v>68</c:v>
                </c:pt>
                <c:pt idx="372">
                  <c:v>68</c:v>
                </c:pt>
                <c:pt idx="373">
                  <c:v>68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68</c:v>
                </c:pt>
                <c:pt idx="382">
                  <c:v>68</c:v>
                </c:pt>
                <c:pt idx="383">
                  <c:v>68</c:v>
                </c:pt>
                <c:pt idx="384">
                  <c:v>68</c:v>
                </c:pt>
                <c:pt idx="385">
                  <c:v>68</c:v>
                </c:pt>
                <c:pt idx="386">
                  <c:v>68</c:v>
                </c:pt>
                <c:pt idx="387">
                  <c:v>68</c:v>
                </c:pt>
                <c:pt idx="388">
                  <c:v>68</c:v>
                </c:pt>
                <c:pt idx="389">
                  <c:v>68</c:v>
                </c:pt>
                <c:pt idx="390">
                  <c:v>68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68</c:v>
                </c:pt>
                <c:pt idx="397">
                  <c:v>68</c:v>
                </c:pt>
                <c:pt idx="398">
                  <c:v>68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68</c:v>
                </c:pt>
                <c:pt idx="403">
                  <c:v>68</c:v>
                </c:pt>
                <c:pt idx="404">
                  <c:v>68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68</c:v>
                </c:pt>
                <c:pt idx="416">
                  <c:v>68</c:v>
                </c:pt>
                <c:pt idx="417">
                  <c:v>68</c:v>
                </c:pt>
                <c:pt idx="418">
                  <c:v>68</c:v>
                </c:pt>
                <c:pt idx="419">
                  <c:v>68</c:v>
                </c:pt>
                <c:pt idx="420">
                  <c:v>68</c:v>
                </c:pt>
                <c:pt idx="421">
                  <c:v>68</c:v>
                </c:pt>
                <c:pt idx="422">
                  <c:v>68</c:v>
                </c:pt>
                <c:pt idx="423">
                  <c:v>68</c:v>
                </c:pt>
                <c:pt idx="424">
                  <c:v>68</c:v>
                </c:pt>
                <c:pt idx="425">
                  <c:v>68</c:v>
                </c:pt>
                <c:pt idx="426">
                  <c:v>68</c:v>
                </c:pt>
                <c:pt idx="427">
                  <c:v>68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68</c:v>
                </c:pt>
                <c:pt idx="438">
                  <c:v>68</c:v>
                </c:pt>
                <c:pt idx="439">
                  <c:v>68</c:v>
                </c:pt>
                <c:pt idx="440">
                  <c:v>68</c:v>
                </c:pt>
                <c:pt idx="441">
                  <c:v>68</c:v>
                </c:pt>
                <c:pt idx="442">
                  <c:v>68</c:v>
                </c:pt>
                <c:pt idx="443">
                  <c:v>68</c:v>
                </c:pt>
                <c:pt idx="444">
                  <c:v>68</c:v>
                </c:pt>
                <c:pt idx="445">
                  <c:v>68</c:v>
                </c:pt>
                <c:pt idx="446">
                  <c:v>68</c:v>
                </c:pt>
                <c:pt idx="447">
                  <c:v>68</c:v>
                </c:pt>
                <c:pt idx="448">
                  <c:v>68</c:v>
                </c:pt>
                <c:pt idx="449">
                  <c:v>68</c:v>
                </c:pt>
                <c:pt idx="450">
                  <c:v>68</c:v>
                </c:pt>
                <c:pt idx="451">
                  <c:v>68</c:v>
                </c:pt>
                <c:pt idx="452">
                  <c:v>68</c:v>
                </c:pt>
                <c:pt idx="453">
                  <c:v>68</c:v>
                </c:pt>
                <c:pt idx="454">
                  <c:v>68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68</c:v>
                </c:pt>
                <c:pt idx="463">
                  <c:v>68</c:v>
                </c:pt>
                <c:pt idx="464">
                  <c:v>68</c:v>
                </c:pt>
                <c:pt idx="465">
                  <c:v>68</c:v>
                </c:pt>
                <c:pt idx="466">
                  <c:v>68</c:v>
                </c:pt>
                <c:pt idx="467">
                  <c:v>68</c:v>
                </c:pt>
                <c:pt idx="468">
                  <c:v>68</c:v>
                </c:pt>
                <c:pt idx="469">
                  <c:v>68</c:v>
                </c:pt>
                <c:pt idx="470">
                  <c:v>68</c:v>
                </c:pt>
                <c:pt idx="471">
                  <c:v>68</c:v>
                </c:pt>
                <c:pt idx="472">
                  <c:v>68</c:v>
                </c:pt>
                <c:pt idx="473">
                  <c:v>68</c:v>
                </c:pt>
                <c:pt idx="474">
                  <c:v>68</c:v>
                </c:pt>
                <c:pt idx="475">
                  <c:v>68</c:v>
                </c:pt>
                <c:pt idx="476">
                  <c:v>68</c:v>
                </c:pt>
                <c:pt idx="477">
                  <c:v>68</c:v>
                </c:pt>
                <c:pt idx="478">
                  <c:v>68</c:v>
                </c:pt>
                <c:pt idx="479">
                  <c:v>68</c:v>
                </c:pt>
                <c:pt idx="480">
                  <c:v>68</c:v>
                </c:pt>
                <c:pt idx="481">
                  <c:v>68</c:v>
                </c:pt>
                <c:pt idx="482">
                  <c:v>68</c:v>
                </c:pt>
                <c:pt idx="483">
                  <c:v>68</c:v>
                </c:pt>
                <c:pt idx="484">
                  <c:v>68</c:v>
                </c:pt>
                <c:pt idx="485">
                  <c:v>68</c:v>
                </c:pt>
                <c:pt idx="486">
                  <c:v>68</c:v>
                </c:pt>
                <c:pt idx="487">
                  <c:v>68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68</c:v>
                </c:pt>
                <c:pt idx="496">
                  <c:v>68</c:v>
                </c:pt>
                <c:pt idx="497">
                  <c:v>68</c:v>
                </c:pt>
                <c:pt idx="498">
                  <c:v>68</c:v>
                </c:pt>
                <c:pt idx="499">
                  <c:v>68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68</c:v>
                </c:pt>
                <c:pt idx="507">
                  <c:v>68</c:v>
                </c:pt>
                <c:pt idx="508">
                  <c:v>68</c:v>
                </c:pt>
                <c:pt idx="509">
                  <c:v>68</c:v>
                </c:pt>
                <c:pt idx="510">
                  <c:v>68</c:v>
                </c:pt>
                <c:pt idx="511">
                  <c:v>68</c:v>
                </c:pt>
                <c:pt idx="512">
                  <c:v>68</c:v>
                </c:pt>
                <c:pt idx="513">
                  <c:v>68</c:v>
                </c:pt>
                <c:pt idx="514">
                  <c:v>68</c:v>
                </c:pt>
                <c:pt idx="515">
                  <c:v>68</c:v>
                </c:pt>
                <c:pt idx="516">
                  <c:v>68</c:v>
                </c:pt>
                <c:pt idx="517">
                  <c:v>68</c:v>
                </c:pt>
                <c:pt idx="518">
                  <c:v>68</c:v>
                </c:pt>
                <c:pt idx="519">
                  <c:v>68</c:v>
                </c:pt>
                <c:pt idx="520">
                  <c:v>68</c:v>
                </c:pt>
                <c:pt idx="521">
                  <c:v>68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68</c:v>
                </c:pt>
                <c:pt idx="537">
                  <c:v>68</c:v>
                </c:pt>
                <c:pt idx="538">
                  <c:v>68</c:v>
                </c:pt>
                <c:pt idx="539">
                  <c:v>68</c:v>
                </c:pt>
                <c:pt idx="540">
                  <c:v>68</c:v>
                </c:pt>
                <c:pt idx="541">
                  <c:v>68</c:v>
                </c:pt>
                <c:pt idx="542">
                  <c:v>68</c:v>
                </c:pt>
                <c:pt idx="543">
                  <c:v>68</c:v>
                </c:pt>
                <c:pt idx="544">
                  <c:v>68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68</c:v>
                </c:pt>
                <c:pt idx="549">
                  <c:v>68</c:v>
                </c:pt>
                <c:pt idx="550">
                  <c:v>68</c:v>
                </c:pt>
                <c:pt idx="551">
                  <c:v>68</c:v>
                </c:pt>
                <c:pt idx="552">
                  <c:v>68</c:v>
                </c:pt>
                <c:pt idx="553">
                  <c:v>68</c:v>
                </c:pt>
                <c:pt idx="554">
                  <c:v>68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68</c:v>
                </c:pt>
                <c:pt idx="559">
                  <c:v>68</c:v>
                </c:pt>
                <c:pt idx="560">
                  <c:v>68</c:v>
                </c:pt>
                <c:pt idx="561">
                  <c:v>68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68</c:v>
                </c:pt>
                <c:pt idx="572">
                  <c:v>68</c:v>
                </c:pt>
                <c:pt idx="573">
                  <c:v>68</c:v>
                </c:pt>
                <c:pt idx="574">
                  <c:v>68</c:v>
                </c:pt>
                <c:pt idx="575">
                  <c:v>68</c:v>
                </c:pt>
                <c:pt idx="576">
                  <c:v>68</c:v>
                </c:pt>
                <c:pt idx="577">
                  <c:v>68</c:v>
                </c:pt>
                <c:pt idx="578">
                  <c:v>68</c:v>
                </c:pt>
                <c:pt idx="579">
                  <c:v>68</c:v>
                </c:pt>
                <c:pt idx="580">
                  <c:v>68</c:v>
                </c:pt>
                <c:pt idx="581">
                  <c:v>68</c:v>
                </c:pt>
                <c:pt idx="582">
                  <c:v>68</c:v>
                </c:pt>
                <c:pt idx="583">
                  <c:v>68</c:v>
                </c:pt>
                <c:pt idx="584">
                  <c:v>68</c:v>
                </c:pt>
                <c:pt idx="585">
                  <c:v>68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68</c:v>
                </c:pt>
                <c:pt idx="590">
                  <c:v>68</c:v>
                </c:pt>
                <c:pt idx="591">
                  <c:v>68</c:v>
                </c:pt>
                <c:pt idx="592">
                  <c:v>68</c:v>
                </c:pt>
                <c:pt idx="593">
                  <c:v>68</c:v>
                </c:pt>
                <c:pt idx="594">
                  <c:v>68</c:v>
                </c:pt>
                <c:pt idx="595">
                  <c:v>68</c:v>
                </c:pt>
                <c:pt idx="596">
                  <c:v>68</c:v>
                </c:pt>
                <c:pt idx="597">
                  <c:v>68</c:v>
                </c:pt>
                <c:pt idx="598">
                  <c:v>68</c:v>
                </c:pt>
                <c:pt idx="599">
                  <c:v>68</c:v>
                </c:pt>
                <c:pt idx="600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58-47B5-8631-83DA97FC181B}"/>
            </c:ext>
          </c:extLst>
        </c:ser>
        <c:ser>
          <c:idx val="1"/>
          <c:order val="1"/>
          <c:tx>
            <c:strRef>
              <c:f>'68'!$C$1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'68'!$A$2:$A$602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'68'!$C$2:$C$602</c:f>
              <c:numCache>
                <c:formatCode>General</c:formatCode>
                <c:ptCount val="601"/>
                <c:pt idx="0">
                  <c:v>29.56</c:v>
                </c:pt>
                <c:pt idx="1">
                  <c:v>29.57</c:v>
                </c:pt>
                <c:pt idx="2">
                  <c:v>29.73</c:v>
                </c:pt>
                <c:pt idx="3">
                  <c:v>29.68</c:v>
                </c:pt>
                <c:pt idx="4">
                  <c:v>29.72</c:v>
                </c:pt>
                <c:pt idx="5">
                  <c:v>29.83</c:v>
                </c:pt>
                <c:pt idx="6">
                  <c:v>29.98</c:v>
                </c:pt>
                <c:pt idx="7">
                  <c:v>30.15</c:v>
                </c:pt>
                <c:pt idx="8">
                  <c:v>30.43</c:v>
                </c:pt>
                <c:pt idx="9">
                  <c:v>30.77</c:v>
                </c:pt>
                <c:pt idx="10">
                  <c:v>31.14</c:v>
                </c:pt>
                <c:pt idx="11">
                  <c:v>31.53</c:v>
                </c:pt>
                <c:pt idx="12">
                  <c:v>32</c:v>
                </c:pt>
                <c:pt idx="13">
                  <c:v>32.53</c:v>
                </c:pt>
                <c:pt idx="14">
                  <c:v>32.979999999999997</c:v>
                </c:pt>
                <c:pt idx="15">
                  <c:v>33.479999999999997</c:v>
                </c:pt>
                <c:pt idx="16">
                  <c:v>33.979999999999997</c:v>
                </c:pt>
                <c:pt idx="17">
                  <c:v>34.549999999999997</c:v>
                </c:pt>
                <c:pt idx="18">
                  <c:v>35.119999999999997</c:v>
                </c:pt>
                <c:pt idx="19">
                  <c:v>35.6</c:v>
                </c:pt>
                <c:pt idx="20">
                  <c:v>36.18</c:v>
                </c:pt>
                <c:pt idx="21">
                  <c:v>36.74</c:v>
                </c:pt>
                <c:pt idx="22">
                  <c:v>37.29</c:v>
                </c:pt>
                <c:pt idx="23">
                  <c:v>37.83</c:v>
                </c:pt>
                <c:pt idx="24">
                  <c:v>38.39</c:v>
                </c:pt>
                <c:pt idx="25">
                  <c:v>38.869999999999997</c:v>
                </c:pt>
                <c:pt idx="26">
                  <c:v>39.46</c:v>
                </c:pt>
                <c:pt idx="27">
                  <c:v>39.979999999999997</c:v>
                </c:pt>
                <c:pt idx="28">
                  <c:v>40.51</c:v>
                </c:pt>
                <c:pt idx="29">
                  <c:v>40.97</c:v>
                </c:pt>
                <c:pt idx="30">
                  <c:v>41.46</c:v>
                </c:pt>
                <c:pt idx="31">
                  <c:v>41.96</c:v>
                </c:pt>
                <c:pt idx="32">
                  <c:v>42.48</c:v>
                </c:pt>
                <c:pt idx="33">
                  <c:v>42.97</c:v>
                </c:pt>
                <c:pt idx="34">
                  <c:v>43.45</c:v>
                </c:pt>
                <c:pt idx="35">
                  <c:v>43.97</c:v>
                </c:pt>
                <c:pt idx="36">
                  <c:v>44.47</c:v>
                </c:pt>
                <c:pt idx="37">
                  <c:v>44.93</c:v>
                </c:pt>
                <c:pt idx="38">
                  <c:v>45.36</c:v>
                </c:pt>
                <c:pt idx="39">
                  <c:v>45.83</c:v>
                </c:pt>
                <c:pt idx="40">
                  <c:v>46.32</c:v>
                </c:pt>
                <c:pt idx="41">
                  <c:v>46.78</c:v>
                </c:pt>
                <c:pt idx="42">
                  <c:v>47.25</c:v>
                </c:pt>
                <c:pt idx="43">
                  <c:v>47.66</c:v>
                </c:pt>
                <c:pt idx="44">
                  <c:v>48.17</c:v>
                </c:pt>
                <c:pt idx="45">
                  <c:v>48.63</c:v>
                </c:pt>
                <c:pt idx="46">
                  <c:v>49.06</c:v>
                </c:pt>
                <c:pt idx="47">
                  <c:v>49.53</c:v>
                </c:pt>
                <c:pt idx="48">
                  <c:v>49.93</c:v>
                </c:pt>
                <c:pt idx="49">
                  <c:v>50.42</c:v>
                </c:pt>
                <c:pt idx="50">
                  <c:v>50.86</c:v>
                </c:pt>
                <c:pt idx="51">
                  <c:v>51.28</c:v>
                </c:pt>
                <c:pt idx="52">
                  <c:v>51.68</c:v>
                </c:pt>
                <c:pt idx="53">
                  <c:v>52.15</c:v>
                </c:pt>
                <c:pt idx="54">
                  <c:v>52.57</c:v>
                </c:pt>
                <c:pt idx="55">
                  <c:v>53.05</c:v>
                </c:pt>
                <c:pt idx="56">
                  <c:v>53.42</c:v>
                </c:pt>
                <c:pt idx="57">
                  <c:v>53.89</c:v>
                </c:pt>
                <c:pt idx="58">
                  <c:v>54.27</c:v>
                </c:pt>
                <c:pt idx="59">
                  <c:v>54.61</c:v>
                </c:pt>
                <c:pt idx="60">
                  <c:v>55.09</c:v>
                </c:pt>
                <c:pt idx="61">
                  <c:v>55.48</c:v>
                </c:pt>
                <c:pt idx="62">
                  <c:v>55.9</c:v>
                </c:pt>
                <c:pt idx="63">
                  <c:v>56.24</c:v>
                </c:pt>
                <c:pt idx="64">
                  <c:v>56.65</c:v>
                </c:pt>
                <c:pt idx="65">
                  <c:v>57.02</c:v>
                </c:pt>
                <c:pt idx="66">
                  <c:v>57.36</c:v>
                </c:pt>
                <c:pt idx="67">
                  <c:v>57.72</c:v>
                </c:pt>
                <c:pt idx="68">
                  <c:v>58.15</c:v>
                </c:pt>
                <c:pt idx="69">
                  <c:v>58.49</c:v>
                </c:pt>
                <c:pt idx="70">
                  <c:v>58.9</c:v>
                </c:pt>
                <c:pt idx="71">
                  <c:v>59.19</c:v>
                </c:pt>
                <c:pt idx="72">
                  <c:v>59.58</c:v>
                </c:pt>
                <c:pt idx="73">
                  <c:v>59.96</c:v>
                </c:pt>
                <c:pt idx="74">
                  <c:v>60.29</c:v>
                </c:pt>
                <c:pt idx="75">
                  <c:v>60.64</c:v>
                </c:pt>
                <c:pt idx="76">
                  <c:v>60.98</c:v>
                </c:pt>
                <c:pt idx="77">
                  <c:v>61.27</c:v>
                </c:pt>
                <c:pt idx="78">
                  <c:v>61.6</c:v>
                </c:pt>
                <c:pt idx="79">
                  <c:v>61.97</c:v>
                </c:pt>
                <c:pt idx="80">
                  <c:v>62.26</c:v>
                </c:pt>
                <c:pt idx="81">
                  <c:v>62.55</c:v>
                </c:pt>
                <c:pt idx="82">
                  <c:v>62.86</c:v>
                </c:pt>
                <c:pt idx="83">
                  <c:v>63.21</c:v>
                </c:pt>
                <c:pt idx="84">
                  <c:v>63.55</c:v>
                </c:pt>
                <c:pt idx="85">
                  <c:v>63.8</c:v>
                </c:pt>
                <c:pt idx="86">
                  <c:v>64.14</c:v>
                </c:pt>
                <c:pt idx="87">
                  <c:v>64.400000000000006</c:v>
                </c:pt>
                <c:pt idx="88">
                  <c:v>64.709999999999994</c:v>
                </c:pt>
                <c:pt idx="89">
                  <c:v>64.94</c:v>
                </c:pt>
                <c:pt idx="90">
                  <c:v>65.27</c:v>
                </c:pt>
                <c:pt idx="91">
                  <c:v>65.55</c:v>
                </c:pt>
                <c:pt idx="92">
                  <c:v>65.83</c:v>
                </c:pt>
                <c:pt idx="93">
                  <c:v>66.08</c:v>
                </c:pt>
                <c:pt idx="94">
                  <c:v>66.34</c:v>
                </c:pt>
                <c:pt idx="95">
                  <c:v>66.62</c:v>
                </c:pt>
                <c:pt idx="96">
                  <c:v>66.819999999999993</c:v>
                </c:pt>
                <c:pt idx="97">
                  <c:v>67.13</c:v>
                </c:pt>
                <c:pt idx="98">
                  <c:v>67.37</c:v>
                </c:pt>
                <c:pt idx="99">
                  <c:v>67.55</c:v>
                </c:pt>
                <c:pt idx="100">
                  <c:v>67.849999999999994</c:v>
                </c:pt>
                <c:pt idx="101">
                  <c:v>68.09</c:v>
                </c:pt>
                <c:pt idx="102">
                  <c:v>68.290000000000006</c:v>
                </c:pt>
                <c:pt idx="103">
                  <c:v>68.56</c:v>
                </c:pt>
                <c:pt idx="104">
                  <c:v>68.760000000000005</c:v>
                </c:pt>
                <c:pt idx="105">
                  <c:v>68.92</c:v>
                </c:pt>
                <c:pt idx="106">
                  <c:v>69.09</c:v>
                </c:pt>
                <c:pt idx="107">
                  <c:v>69.2</c:v>
                </c:pt>
                <c:pt idx="108">
                  <c:v>69.260000000000005</c:v>
                </c:pt>
                <c:pt idx="109">
                  <c:v>69.290000000000006</c:v>
                </c:pt>
                <c:pt idx="110">
                  <c:v>69.36</c:v>
                </c:pt>
                <c:pt idx="111">
                  <c:v>69.3</c:v>
                </c:pt>
                <c:pt idx="112">
                  <c:v>69.239999999999995</c:v>
                </c:pt>
                <c:pt idx="113">
                  <c:v>69.13</c:v>
                </c:pt>
                <c:pt idx="114">
                  <c:v>68.92</c:v>
                </c:pt>
                <c:pt idx="115">
                  <c:v>68.790000000000006</c:v>
                </c:pt>
                <c:pt idx="116">
                  <c:v>68.62</c:v>
                </c:pt>
                <c:pt idx="117">
                  <c:v>68.45</c:v>
                </c:pt>
                <c:pt idx="118">
                  <c:v>68.2</c:v>
                </c:pt>
                <c:pt idx="119">
                  <c:v>68.010000000000005</c:v>
                </c:pt>
                <c:pt idx="120">
                  <c:v>67.849999999999994</c:v>
                </c:pt>
                <c:pt idx="121">
                  <c:v>67.67</c:v>
                </c:pt>
                <c:pt idx="122">
                  <c:v>67.48</c:v>
                </c:pt>
                <c:pt idx="123">
                  <c:v>67.400000000000006</c:v>
                </c:pt>
                <c:pt idx="124">
                  <c:v>67.31</c:v>
                </c:pt>
                <c:pt idx="125">
                  <c:v>67.209999999999994</c:v>
                </c:pt>
                <c:pt idx="126">
                  <c:v>67.180000000000007</c:v>
                </c:pt>
                <c:pt idx="127">
                  <c:v>67.180000000000007</c:v>
                </c:pt>
                <c:pt idx="128">
                  <c:v>67.239999999999995</c:v>
                </c:pt>
                <c:pt idx="129">
                  <c:v>67.3</c:v>
                </c:pt>
                <c:pt idx="130">
                  <c:v>67.319999999999993</c:v>
                </c:pt>
                <c:pt idx="131">
                  <c:v>67.430000000000007</c:v>
                </c:pt>
                <c:pt idx="132">
                  <c:v>67.52</c:v>
                </c:pt>
                <c:pt idx="133">
                  <c:v>67.63</c:v>
                </c:pt>
                <c:pt idx="134">
                  <c:v>67.75</c:v>
                </c:pt>
                <c:pt idx="135">
                  <c:v>67.92</c:v>
                </c:pt>
                <c:pt idx="136">
                  <c:v>68.010000000000005</c:v>
                </c:pt>
                <c:pt idx="137">
                  <c:v>68.2</c:v>
                </c:pt>
                <c:pt idx="138">
                  <c:v>68.319999999999993</c:v>
                </c:pt>
                <c:pt idx="139">
                  <c:v>68.45</c:v>
                </c:pt>
                <c:pt idx="140">
                  <c:v>68.58</c:v>
                </c:pt>
                <c:pt idx="141">
                  <c:v>68.72</c:v>
                </c:pt>
                <c:pt idx="142">
                  <c:v>68.78</c:v>
                </c:pt>
                <c:pt idx="143">
                  <c:v>68.86</c:v>
                </c:pt>
                <c:pt idx="144">
                  <c:v>68.900000000000006</c:v>
                </c:pt>
                <c:pt idx="145">
                  <c:v>68.92</c:v>
                </c:pt>
                <c:pt idx="146">
                  <c:v>68.959999999999994</c:v>
                </c:pt>
                <c:pt idx="147">
                  <c:v>68.88</c:v>
                </c:pt>
                <c:pt idx="148">
                  <c:v>68.87</c:v>
                </c:pt>
                <c:pt idx="149">
                  <c:v>68.8</c:v>
                </c:pt>
                <c:pt idx="150">
                  <c:v>68.62</c:v>
                </c:pt>
                <c:pt idx="151">
                  <c:v>68.459999999999994</c:v>
                </c:pt>
                <c:pt idx="152">
                  <c:v>68.349999999999994</c:v>
                </c:pt>
                <c:pt idx="153">
                  <c:v>68.2</c:v>
                </c:pt>
                <c:pt idx="154">
                  <c:v>68.02</c:v>
                </c:pt>
                <c:pt idx="155">
                  <c:v>67.87</c:v>
                </c:pt>
                <c:pt idx="156">
                  <c:v>67.72</c:v>
                </c:pt>
                <c:pt idx="157">
                  <c:v>67.599999999999994</c:v>
                </c:pt>
                <c:pt idx="158">
                  <c:v>67.56</c:v>
                </c:pt>
                <c:pt idx="159">
                  <c:v>67.459999999999994</c:v>
                </c:pt>
                <c:pt idx="160">
                  <c:v>67.42</c:v>
                </c:pt>
                <c:pt idx="161">
                  <c:v>67.37</c:v>
                </c:pt>
                <c:pt idx="162">
                  <c:v>67.38</c:v>
                </c:pt>
                <c:pt idx="163">
                  <c:v>67.42</c:v>
                </c:pt>
                <c:pt idx="164">
                  <c:v>67.430000000000007</c:v>
                </c:pt>
                <c:pt idx="165">
                  <c:v>67.52</c:v>
                </c:pt>
                <c:pt idx="166">
                  <c:v>67.56</c:v>
                </c:pt>
                <c:pt idx="167">
                  <c:v>67.64</c:v>
                </c:pt>
                <c:pt idx="168">
                  <c:v>67.67</c:v>
                </c:pt>
                <c:pt idx="169">
                  <c:v>67.760000000000005</c:v>
                </c:pt>
                <c:pt idx="170">
                  <c:v>67.86</c:v>
                </c:pt>
                <c:pt idx="171">
                  <c:v>67.98</c:v>
                </c:pt>
                <c:pt idx="172">
                  <c:v>68.05</c:v>
                </c:pt>
                <c:pt idx="173">
                  <c:v>68.08</c:v>
                </c:pt>
                <c:pt idx="174">
                  <c:v>68.23</c:v>
                </c:pt>
                <c:pt idx="175">
                  <c:v>68.3</c:v>
                </c:pt>
                <c:pt idx="176">
                  <c:v>68.34</c:v>
                </c:pt>
                <c:pt idx="177">
                  <c:v>68.400000000000006</c:v>
                </c:pt>
                <c:pt idx="178">
                  <c:v>68.489999999999995</c:v>
                </c:pt>
                <c:pt idx="179">
                  <c:v>68.510000000000005</c:v>
                </c:pt>
                <c:pt idx="180">
                  <c:v>68.61</c:v>
                </c:pt>
                <c:pt idx="181">
                  <c:v>68.599999999999994</c:v>
                </c:pt>
                <c:pt idx="182">
                  <c:v>68.66</c:v>
                </c:pt>
                <c:pt idx="183">
                  <c:v>68.64</c:v>
                </c:pt>
                <c:pt idx="184">
                  <c:v>68.650000000000006</c:v>
                </c:pt>
                <c:pt idx="185">
                  <c:v>68.709999999999994</c:v>
                </c:pt>
                <c:pt idx="186">
                  <c:v>68.67</c:v>
                </c:pt>
                <c:pt idx="187">
                  <c:v>68.680000000000007</c:v>
                </c:pt>
                <c:pt idx="188">
                  <c:v>68.61</c:v>
                </c:pt>
                <c:pt idx="189">
                  <c:v>68.63</c:v>
                </c:pt>
                <c:pt idx="190">
                  <c:v>68.599999999999994</c:v>
                </c:pt>
                <c:pt idx="191">
                  <c:v>68.52</c:v>
                </c:pt>
                <c:pt idx="192">
                  <c:v>68.510000000000005</c:v>
                </c:pt>
                <c:pt idx="193">
                  <c:v>68.430000000000007</c:v>
                </c:pt>
                <c:pt idx="194">
                  <c:v>68.45</c:v>
                </c:pt>
                <c:pt idx="195">
                  <c:v>68.34</c:v>
                </c:pt>
                <c:pt idx="196">
                  <c:v>68.349999999999994</c:v>
                </c:pt>
                <c:pt idx="197">
                  <c:v>68.33</c:v>
                </c:pt>
                <c:pt idx="198">
                  <c:v>68.290000000000006</c:v>
                </c:pt>
                <c:pt idx="199">
                  <c:v>68.25</c:v>
                </c:pt>
                <c:pt idx="200">
                  <c:v>68.209999999999994</c:v>
                </c:pt>
                <c:pt idx="201">
                  <c:v>68.19</c:v>
                </c:pt>
                <c:pt idx="202">
                  <c:v>68.150000000000006</c:v>
                </c:pt>
                <c:pt idx="203">
                  <c:v>68.12</c:v>
                </c:pt>
                <c:pt idx="204">
                  <c:v>68.08</c:v>
                </c:pt>
                <c:pt idx="205">
                  <c:v>68.06</c:v>
                </c:pt>
                <c:pt idx="206">
                  <c:v>68.09</c:v>
                </c:pt>
                <c:pt idx="207">
                  <c:v>68.069999999999993</c:v>
                </c:pt>
                <c:pt idx="208">
                  <c:v>68.08</c:v>
                </c:pt>
                <c:pt idx="209">
                  <c:v>68.05</c:v>
                </c:pt>
                <c:pt idx="210">
                  <c:v>68.12</c:v>
                </c:pt>
                <c:pt idx="211">
                  <c:v>68.14</c:v>
                </c:pt>
                <c:pt idx="212">
                  <c:v>68.09</c:v>
                </c:pt>
                <c:pt idx="213">
                  <c:v>68.17</c:v>
                </c:pt>
                <c:pt idx="214">
                  <c:v>68.150000000000006</c:v>
                </c:pt>
                <c:pt idx="215">
                  <c:v>68.180000000000007</c:v>
                </c:pt>
                <c:pt idx="216">
                  <c:v>68.19</c:v>
                </c:pt>
                <c:pt idx="217">
                  <c:v>68.22</c:v>
                </c:pt>
                <c:pt idx="218">
                  <c:v>68.23</c:v>
                </c:pt>
                <c:pt idx="219">
                  <c:v>68.27</c:v>
                </c:pt>
                <c:pt idx="220">
                  <c:v>68.260000000000005</c:v>
                </c:pt>
                <c:pt idx="221">
                  <c:v>68.27</c:v>
                </c:pt>
                <c:pt idx="222">
                  <c:v>68.319999999999993</c:v>
                </c:pt>
                <c:pt idx="223">
                  <c:v>68.34</c:v>
                </c:pt>
                <c:pt idx="224">
                  <c:v>68.33</c:v>
                </c:pt>
                <c:pt idx="225">
                  <c:v>68.3</c:v>
                </c:pt>
                <c:pt idx="226">
                  <c:v>68.349999999999994</c:v>
                </c:pt>
                <c:pt idx="227">
                  <c:v>68.31</c:v>
                </c:pt>
                <c:pt idx="228">
                  <c:v>68.28</c:v>
                </c:pt>
                <c:pt idx="229">
                  <c:v>68.319999999999993</c:v>
                </c:pt>
                <c:pt idx="230">
                  <c:v>68.3</c:v>
                </c:pt>
                <c:pt idx="231">
                  <c:v>68.34</c:v>
                </c:pt>
                <c:pt idx="232">
                  <c:v>68.28</c:v>
                </c:pt>
                <c:pt idx="233">
                  <c:v>68.3</c:v>
                </c:pt>
                <c:pt idx="234">
                  <c:v>68.33</c:v>
                </c:pt>
                <c:pt idx="235">
                  <c:v>68.31</c:v>
                </c:pt>
                <c:pt idx="236">
                  <c:v>68.3</c:v>
                </c:pt>
                <c:pt idx="237">
                  <c:v>68.28</c:v>
                </c:pt>
                <c:pt idx="238">
                  <c:v>68.260000000000005</c:v>
                </c:pt>
                <c:pt idx="239">
                  <c:v>68.23</c:v>
                </c:pt>
                <c:pt idx="240">
                  <c:v>68.23</c:v>
                </c:pt>
                <c:pt idx="241">
                  <c:v>68.260000000000005</c:v>
                </c:pt>
                <c:pt idx="242">
                  <c:v>68.19</c:v>
                </c:pt>
                <c:pt idx="243">
                  <c:v>68.23</c:v>
                </c:pt>
                <c:pt idx="244">
                  <c:v>68.209999999999994</c:v>
                </c:pt>
                <c:pt idx="245">
                  <c:v>68.209999999999994</c:v>
                </c:pt>
                <c:pt idx="246">
                  <c:v>68.2</c:v>
                </c:pt>
                <c:pt idx="247">
                  <c:v>68.13</c:v>
                </c:pt>
                <c:pt idx="248">
                  <c:v>68.17</c:v>
                </c:pt>
                <c:pt idx="249">
                  <c:v>68.19</c:v>
                </c:pt>
                <c:pt idx="250">
                  <c:v>68.19</c:v>
                </c:pt>
                <c:pt idx="251">
                  <c:v>68.12</c:v>
                </c:pt>
                <c:pt idx="252">
                  <c:v>68.12</c:v>
                </c:pt>
                <c:pt idx="253">
                  <c:v>68.180000000000007</c:v>
                </c:pt>
                <c:pt idx="254">
                  <c:v>68.22</c:v>
                </c:pt>
                <c:pt idx="255">
                  <c:v>68.180000000000007</c:v>
                </c:pt>
                <c:pt idx="256">
                  <c:v>68.209999999999994</c:v>
                </c:pt>
                <c:pt idx="257">
                  <c:v>68.180000000000007</c:v>
                </c:pt>
                <c:pt idx="258">
                  <c:v>68.16</c:v>
                </c:pt>
                <c:pt idx="259">
                  <c:v>68.180000000000007</c:v>
                </c:pt>
                <c:pt idx="260">
                  <c:v>68.2</c:v>
                </c:pt>
                <c:pt idx="261">
                  <c:v>68.28</c:v>
                </c:pt>
                <c:pt idx="262">
                  <c:v>68.2</c:v>
                </c:pt>
                <c:pt idx="263">
                  <c:v>68.22</c:v>
                </c:pt>
                <c:pt idx="264">
                  <c:v>68.28</c:v>
                </c:pt>
                <c:pt idx="265">
                  <c:v>68.239999999999995</c:v>
                </c:pt>
                <c:pt idx="266">
                  <c:v>68.25</c:v>
                </c:pt>
                <c:pt idx="267">
                  <c:v>68.3</c:v>
                </c:pt>
                <c:pt idx="268">
                  <c:v>68.319999999999993</c:v>
                </c:pt>
                <c:pt idx="269">
                  <c:v>68.31</c:v>
                </c:pt>
                <c:pt idx="270">
                  <c:v>68.319999999999993</c:v>
                </c:pt>
                <c:pt idx="271">
                  <c:v>68.25</c:v>
                </c:pt>
                <c:pt idx="272">
                  <c:v>68.28</c:v>
                </c:pt>
                <c:pt idx="273">
                  <c:v>68.27</c:v>
                </c:pt>
                <c:pt idx="274">
                  <c:v>68.3</c:v>
                </c:pt>
                <c:pt idx="275">
                  <c:v>68.28</c:v>
                </c:pt>
                <c:pt idx="276">
                  <c:v>68.239999999999995</c:v>
                </c:pt>
                <c:pt idx="277">
                  <c:v>68.33</c:v>
                </c:pt>
                <c:pt idx="278">
                  <c:v>68.31</c:v>
                </c:pt>
                <c:pt idx="279">
                  <c:v>68.319999999999993</c:v>
                </c:pt>
                <c:pt idx="280">
                  <c:v>68.25</c:v>
                </c:pt>
                <c:pt idx="281">
                  <c:v>68.27</c:v>
                </c:pt>
                <c:pt idx="282">
                  <c:v>68.23</c:v>
                </c:pt>
                <c:pt idx="283">
                  <c:v>68.260000000000005</c:v>
                </c:pt>
                <c:pt idx="284">
                  <c:v>68.290000000000006</c:v>
                </c:pt>
                <c:pt idx="285">
                  <c:v>68.23</c:v>
                </c:pt>
                <c:pt idx="286">
                  <c:v>68.25</c:v>
                </c:pt>
                <c:pt idx="287">
                  <c:v>68.23</c:v>
                </c:pt>
                <c:pt idx="288">
                  <c:v>68.2</c:v>
                </c:pt>
                <c:pt idx="289">
                  <c:v>68.22</c:v>
                </c:pt>
                <c:pt idx="290">
                  <c:v>68.2</c:v>
                </c:pt>
                <c:pt idx="291">
                  <c:v>68.260000000000005</c:v>
                </c:pt>
                <c:pt idx="292">
                  <c:v>68.180000000000007</c:v>
                </c:pt>
                <c:pt idx="293">
                  <c:v>68.22</c:v>
                </c:pt>
                <c:pt idx="294">
                  <c:v>68.25</c:v>
                </c:pt>
                <c:pt idx="295">
                  <c:v>68.25</c:v>
                </c:pt>
                <c:pt idx="296">
                  <c:v>68.23</c:v>
                </c:pt>
                <c:pt idx="297">
                  <c:v>68.239999999999995</c:v>
                </c:pt>
                <c:pt idx="298">
                  <c:v>68.260000000000005</c:v>
                </c:pt>
                <c:pt idx="299">
                  <c:v>68.28</c:v>
                </c:pt>
                <c:pt idx="300">
                  <c:v>68.260000000000005</c:v>
                </c:pt>
                <c:pt idx="301">
                  <c:v>68.260000000000005</c:v>
                </c:pt>
                <c:pt idx="302">
                  <c:v>68.25</c:v>
                </c:pt>
                <c:pt idx="303">
                  <c:v>68.260000000000005</c:v>
                </c:pt>
                <c:pt idx="304">
                  <c:v>68.239999999999995</c:v>
                </c:pt>
                <c:pt idx="305">
                  <c:v>68.28</c:v>
                </c:pt>
                <c:pt idx="306">
                  <c:v>68.28</c:v>
                </c:pt>
                <c:pt idx="307">
                  <c:v>68.3</c:v>
                </c:pt>
                <c:pt idx="308">
                  <c:v>68.23</c:v>
                </c:pt>
                <c:pt idx="309">
                  <c:v>68.260000000000005</c:v>
                </c:pt>
                <c:pt idx="310">
                  <c:v>68.209999999999994</c:v>
                </c:pt>
                <c:pt idx="311">
                  <c:v>68.260000000000005</c:v>
                </c:pt>
                <c:pt idx="312">
                  <c:v>68.22</c:v>
                </c:pt>
                <c:pt idx="313">
                  <c:v>68.28</c:v>
                </c:pt>
                <c:pt idx="314">
                  <c:v>68.239999999999995</c:v>
                </c:pt>
                <c:pt idx="315">
                  <c:v>68.23</c:v>
                </c:pt>
                <c:pt idx="316">
                  <c:v>68.260000000000005</c:v>
                </c:pt>
                <c:pt idx="317">
                  <c:v>68.3</c:v>
                </c:pt>
                <c:pt idx="318">
                  <c:v>68.25</c:v>
                </c:pt>
                <c:pt idx="319">
                  <c:v>68.31</c:v>
                </c:pt>
                <c:pt idx="320">
                  <c:v>68.31</c:v>
                </c:pt>
                <c:pt idx="321">
                  <c:v>68.239999999999995</c:v>
                </c:pt>
                <c:pt idx="322">
                  <c:v>68.22</c:v>
                </c:pt>
                <c:pt idx="323">
                  <c:v>68.31</c:v>
                </c:pt>
                <c:pt idx="324">
                  <c:v>68.31</c:v>
                </c:pt>
                <c:pt idx="325">
                  <c:v>68.25</c:v>
                </c:pt>
                <c:pt idx="326">
                  <c:v>68.28</c:v>
                </c:pt>
                <c:pt idx="327">
                  <c:v>68.3</c:v>
                </c:pt>
                <c:pt idx="328">
                  <c:v>68.28</c:v>
                </c:pt>
                <c:pt idx="329">
                  <c:v>68.31</c:v>
                </c:pt>
                <c:pt idx="330">
                  <c:v>68.239999999999995</c:v>
                </c:pt>
                <c:pt idx="331">
                  <c:v>68.31</c:v>
                </c:pt>
                <c:pt idx="332">
                  <c:v>68.290000000000006</c:v>
                </c:pt>
                <c:pt idx="333">
                  <c:v>68.3</c:v>
                </c:pt>
                <c:pt idx="334">
                  <c:v>68.290000000000006</c:v>
                </c:pt>
                <c:pt idx="335">
                  <c:v>68.25</c:v>
                </c:pt>
                <c:pt idx="336">
                  <c:v>68.22</c:v>
                </c:pt>
                <c:pt idx="337">
                  <c:v>68.260000000000005</c:v>
                </c:pt>
                <c:pt idx="338">
                  <c:v>68.290000000000006</c:v>
                </c:pt>
                <c:pt idx="339">
                  <c:v>68.27</c:v>
                </c:pt>
                <c:pt idx="340">
                  <c:v>68.209999999999994</c:v>
                </c:pt>
                <c:pt idx="341">
                  <c:v>68.260000000000005</c:v>
                </c:pt>
                <c:pt idx="342">
                  <c:v>68.239999999999995</c:v>
                </c:pt>
                <c:pt idx="343">
                  <c:v>68.25</c:v>
                </c:pt>
                <c:pt idx="344">
                  <c:v>68.25</c:v>
                </c:pt>
                <c:pt idx="345">
                  <c:v>68.209999999999994</c:v>
                </c:pt>
                <c:pt idx="346">
                  <c:v>68.22</c:v>
                </c:pt>
                <c:pt idx="347">
                  <c:v>68.17</c:v>
                </c:pt>
                <c:pt idx="348">
                  <c:v>68.16</c:v>
                </c:pt>
                <c:pt idx="349">
                  <c:v>68.2</c:v>
                </c:pt>
                <c:pt idx="350">
                  <c:v>68.22</c:v>
                </c:pt>
                <c:pt idx="351">
                  <c:v>68.22</c:v>
                </c:pt>
                <c:pt idx="352">
                  <c:v>68.17</c:v>
                </c:pt>
                <c:pt idx="353">
                  <c:v>68.22</c:v>
                </c:pt>
                <c:pt idx="354">
                  <c:v>68.16</c:v>
                </c:pt>
                <c:pt idx="355">
                  <c:v>68.22</c:v>
                </c:pt>
                <c:pt idx="356">
                  <c:v>68.19</c:v>
                </c:pt>
                <c:pt idx="357">
                  <c:v>68.23</c:v>
                </c:pt>
                <c:pt idx="358">
                  <c:v>68.180000000000007</c:v>
                </c:pt>
                <c:pt idx="359">
                  <c:v>68.19</c:v>
                </c:pt>
                <c:pt idx="360">
                  <c:v>68.239999999999995</c:v>
                </c:pt>
                <c:pt idx="361">
                  <c:v>68.239999999999995</c:v>
                </c:pt>
                <c:pt idx="362">
                  <c:v>68.239999999999995</c:v>
                </c:pt>
                <c:pt idx="363">
                  <c:v>68.19</c:v>
                </c:pt>
                <c:pt idx="364">
                  <c:v>68.2</c:v>
                </c:pt>
                <c:pt idx="365">
                  <c:v>68.260000000000005</c:v>
                </c:pt>
                <c:pt idx="366">
                  <c:v>68.209999999999994</c:v>
                </c:pt>
                <c:pt idx="367">
                  <c:v>68.23</c:v>
                </c:pt>
                <c:pt idx="368">
                  <c:v>68.28</c:v>
                </c:pt>
                <c:pt idx="369">
                  <c:v>68.19</c:v>
                </c:pt>
                <c:pt idx="370">
                  <c:v>68.25</c:v>
                </c:pt>
                <c:pt idx="371">
                  <c:v>68.25</c:v>
                </c:pt>
                <c:pt idx="372">
                  <c:v>68.23</c:v>
                </c:pt>
                <c:pt idx="373">
                  <c:v>68.260000000000005</c:v>
                </c:pt>
                <c:pt idx="374">
                  <c:v>68.16</c:v>
                </c:pt>
                <c:pt idx="375">
                  <c:v>68.290000000000006</c:v>
                </c:pt>
                <c:pt idx="376">
                  <c:v>68.14</c:v>
                </c:pt>
                <c:pt idx="377">
                  <c:v>68.23</c:v>
                </c:pt>
                <c:pt idx="378">
                  <c:v>68.180000000000007</c:v>
                </c:pt>
                <c:pt idx="379">
                  <c:v>68.19</c:v>
                </c:pt>
                <c:pt idx="380">
                  <c:v>68.150000000000006</c:v>
                </c:pt>
                <c:pt idx="381">
                  <c:v>68.180000000000007</c:v>
                </c:pt>
                <c:pt idx="382">
                  <c:v>68.150000000000006</c:v>
                </c:pt>
                <c:pt idx="383">
                  <c:v>68.23</c:v>
                </c:pt>
                <c:pt idx="384">
                  <c:v>68.040000000000006</c:v>
                </c:pt>
                <c:pt idx="385">
                  <c:v>68.27</c:v>
                </c:pt>
                <c:pt idx="386">
                  <c:v>68.08</c:v>
                </c:pt>
                <c:pt idx="387">
                  <c:v>68.3</c:v>
                </c:pt>
                <c:pt idx="388">
                  <c:v>68.09</c:v>
                </c:pt>
                <c:pt idx="389">
                  <c:v>68.28</c:v>
                </c:pt>
                <c:pt idx="390">
                  <c:v>68.099999999999994</c:v>
                </c:pt>
                <c:pt idx="391">
                  <c:v>68.260000000000005</c:v>
                </c:pt>
                <c:pt idx="392">
                  <c:v>68.12</c:v>
                </c:pt>
                <c:pt idx="393">
                  <c:v>68.22</c:v>
                </c:pt>
                <c:pt idx="394">
                  <c:v>68.209999999999994</c:v>
                </c:pt>
                <c:pt idx="395">
                  <c:v>68.209999999999994</c:v>
                </c:pt>
                <c:pt idx="396">
                  <c:v>68.16</c:v>
                </c:pt>
                <c:pt idx="397">
                  <c:v>68.180000000000007</c:v>
                </c:pt>
                <c:pt idx="398">
                  <c:v>68.209999999999994</c:v>
                </c:pt>
                <c:pt idx="399">
                  <c:v>68.209999999999994</c:v>
                </c:pt>
                <c:pt idx="400">
                  <c:v>68.22</c:v>
                </c:pt>
                <c:pt idx="401">
                  <c:v>68.239999999999995</c:v>
                </c:pt>
                <c:pt idx="402">
                  <c:v>68.22</c:v>
                </c:pt>
                <c:pt idx="403">
                  <c:v>68.25</c:v>
                </c:pt>
                <c:pt idx="404">
                  <c:v>68.260000000000005</c:v>
                </c:pt>
                <c:pt idx="405">
                  <c:v>68.260000000000005</c:v>
                </c:pt>
                <c:pt idx="406">
                  <c:v>68.23</c:v>
                </c:pt>
                <c:pt idx="407">
                  <c:v>68.27</c:v>
                </c:pt>
                <c:pt idx="408">
                  <c:v>68.25</c:v>
                </c:pt>
                <c:pt idx="409">
                  <c:v>68.27</c:v>
                </c:pt>
                <c:pt idx="410">
                  <c:v>68.27</c:v>
                </c:pt>
                <c:pt idx="411">
                  <c:v>68.25</c:v>
                </c:pt>
                <c:pt idx="412">
                  <c:v>68.33</c:v>
                </c:pt>
                <c:pt idx="413">
                  <c:v>68.3</c:v>
                </c:pt>
                <c:pt idx="414">
                  <c:v>68.349999999999994</c:v>
                </c:pt>
                <c:pt idx="415">
                  <c:v>68.34</c:v>
                </c:pt>
                <c:pt idx="416">
                  <c:v>68.31</c:v>
                </c:pt>
                <c:pt idx="417">
                  <c:v>68.349999999999994</c:v>
                </c:pt>
                <c:pt idx="418">
                  <c:v>68.31</c:v>
                </c:pt>
                <c:pt idx="419">
                  <c:v>68.319999999999993</c:v>
                </c:pt>
                <c:pt idx="420">
                  <c:v>68.3</c:v>
                </c:pt>
                <c:pt idx="421">
                  <c:v>68.3</c:v>
                </c:pt>
                <c:pt idx="422">
                  <c:v>68.239999999999995</c:v>
                </c:pt>
                <c:pt idx="423">
                  <c:v>68.25</c:v>
                </c:pt>
                <c:pt idx="424">
                  <c:v>68.27</c:v>
                </c:pt>
                <c:pt idx="425">
                  <c:v>68.260000000000005</c:v>
                </c:pt>
                <c:pt idx="426">
                  <c:v>68.260000000000005</c:v>
                </c:pt>
                <c:pt idx="427">
                  <c:v>68.27</c:v>
                </c:pt>
                <c:pt idx="428">
                  <c:v>68.22</c:v>
                </c:pt>
                <c:pt idx="429">
                  <c:v>68.239999999999995</c:v>
                </c:pt>
                <c:pt idx="430">
                  <c:v>68.2</c:v>
                </c:pt>
                <c:pt idx="431">
                  <c:v>68.260000000000005</c:v>
                </c:pt>
                <c:pt idx="432">
                  <c:v>68.2</c:v>
                </c:pt>
                <c:pt idx="433">
                  <c:v>68.239999999999995</c:v>
                </c:pt>
                <c:pt idx="434">
                  <c:v>68.25</c:v>
                </c:pt>
                <c:pt idx="435">
                  <c:v>68.2</c:v>
                </c:pt>
                <c:pt idx="436">
                  <c:v>68.239999999999995</c:v>
                </c:pt>
                <c:pt idx="437">
                  <c:v>68.239999999999995</c:v>
                </c:pt>
                <c:pt idx="438">
                  <c:v>68.209999999999994</c:v>
                </c:pt>
                <c:pt idx="439">
                  <c:v>68.2</c:v>
                </c:pt>
                <c:pt idx="440">
                  <c:v>68.17</c:v>
                </c:pt>
                <c:pt idx="441">
                  <c:v>68.25</c:v>
                </c:pt>
                <c:pt idx="442">
                  <c:v>68.239999999999995</c:v>
                </c:pt>
                <c:pt idx="443">
                  <c:v>68.209999999999994</c:v>
                </c:pt>
                <c:pt idx="444">
                  <c:v>68.25</c:v>
                </c:pt>
                <c:pt idx="445">
                  <c:v>68.27</c:v>
                </c:pt>
                <c:pt idx="446">
                  <c:v>68.25</c:v>
                </c:pt>
                <c:pt idx="447">
                  <c:v>68.25</c:v>
                </c:pt>
                <c:pt idx="448">
                  <c:v>68.22</c:v>
                </c:pt>
                <c:pt idx="449">
                  <c:v>68.2</c:v>
                </c:pt>
                <c:pt idx="450">
                  <c:v>68.28</c:v>
                </c:pt>
                <c:pt idx="451">
                  <c:v>68.260000000000005</c:v>
                </c:pt>
                <c:pt idx="452">
                  <c:v>68.28</c:v>
                </c:pt>
                <c:pt idx="453">
                  <c:v>68.28</c:v>
                </c:pt>
                <c:pt idx="454">
                  <c:v>68.28</c:v>
                </c:pt>
                <c:pt idx="455">
                  <c:v>68.260000000000005</c:v>
                </c:pt>
                <c:pt idx="456">
                  <c:v>68.25</c:v>
                </c:pt>
                <c:pt idx="457">
                  <c:v>68.239999999999995</c:v>
                </c:pt>
                <c:pt idx="458">
                  <c:v>68.290000000000006</c:v>
                </c:pt>
                <c:pt idx="459">
                  <c:v>68.23</c:v>
                </c:pt>
                <c:pt idx="460">
                  <c:v>68.27</c:v>
                </c:pt>
                <c:pt idx="461">
                  <c:v>68.28</c:v>
                </c:pt>
                <c:pt idx="462">
                  <c:v>68.290000000000006</c:v>
                </c:pt>
                <c:pt idx="463">
                  <c:v>68.239999999999995</c:v>
                </c:pt>
                <c:pt idx="464">
                  <c:v>68.22</c:v>
                </c:pt>
                <c:pt idx="465">
                  <c:v>68.25</c:v>
                </c:pt>
                <c:pt idx="466">
                  <c:v>68.239999999999995</c:v>
                </c:pt>
                <c:pt idx="467">
                  <c:v>68.23</c:v>
                </c:pt>
                <c:pt idx="468">
                  <c:v>68.28</c:v>
                </c:pt>
                <c:pt idx="469">
                  <c:v>68.239999999999995</c:v>
                </c:pt>
                <c:pt idx="470">
                  <c:v>68.239999999999995</c:v>
                </c:pt>
                <c:pt idx="471">
                  <c:v>68.239999999999995</c:v>
                </c:pt>
                <c:pt idx="472">
                  <c:v>68.239999999999995</c:v>
                </c:pt>
                <c:pt idx="473">
                  <c:v>68.3</c:v>
                </c:pt>
                <c:pt idx="474">
                  <c:v>68.23</c:v>
                </c:pt>
                <c:pt idx="475">
                  <c:v>68.28</c:v>
                </c:pt>
                <c:pt idx="476">
                  <c:v>68.27</c:v>
                </c:pt>
                <c:pt idx="477">
                  <c:v>68.209999999999994</c:v>
                </c:pt>
                <c:pt idx="478">
                  <c:v>68.27</c:v>
                </c:pt>
                <c:pt idx="479">
                  <c:v>68.22</c:v>
                </c:pt>
                <c:pt idx="480">
                  <c:v>68.28</c:v>
                </c:pt>
                <c:pt idx="481">
                  <c:v>68.260000000000005</c:v>
                </c:pt>
                <c:pt idx="482">
                  <c:v>68.290000000000006</c:v>
                </c:pt>
                <c:pt idx="483">
                  <c:v>68.260000000000005</c:v>
                </c:pt>
                <c:pt idx="484">
                  <c:v>68.209999999999994</c:v>
                </c:pt>
                <c:pt idx="485">
                  <c:v>68.22</c:v>
                </c:pt>
                <c:pt idx="486">
                  <c:v>68.2</c:v>
                </c:pt>
                <c:pt idx="487">
                  <c:v>68.27</c:v>
                </c:pt>
                <c:pt idx="488">
                  <c:v>68.260000000000005</c:v>
                </c:pt>
                <c:pt idx="489">
                  <c:v>68.22</c:v>
                </c:pt>
                <c:pt idx="490">
                  <c:v>68.260000000000005</c:v>
                </c:pt>
                <c:pt idx="491">
                  <c:v>68.239999999999995</c:v>
                </c:pt>
                <c:pt idx="492">
                  <c:v>68.27</c:v>
                </c:pt>
                <c:pt idx="493">
                  <c:v>68.239999999999995</c:v>
                </c:pt>
                <c:pt idx="494">
                  <c:v>68.22</c:v>
                </c:pt>
                <c:pt idx="495">
                  <c:v>68.23</c:v>
                </c:pt>
                <c:pt idx="496">
                  <c:v>68.2</c:v>
                </c:pt>
                <c:pt idx="497">
                  <c:v>68.260000000000005</c:v>
                </c:pt>
                <c:pt idx="498">
                  <c:v>68.209999999999994</c:v>
                </c:pt>
                <c:pt idx="499">
                  <c:v>68.23</c:v>
                </c:pt>
                <c:pt idx="500">
                  <c:v>68.23</c:v>
                </c:pt>
                <c:pt idx="501">
                  <c:v>68.239999999999995</c:v>
                </c:pt>
                <c:pt idx="502">
                  <c:v>68.23</c:v>
                </c:pt>
                <c:pt idx="503">
                  <c:v>68.19</c:v>
                </c:pt>
                <c:pt idx="504">
                  <c:v>68.180000000000007</c:v>
                </c:pt>
                <c:pt idx="505">
                  <c:v>68.209999999999994</c:v>
                </c:pt>
                <c:pt idx="506">
                  <c:v>68.239999999999995</c:v>
                </c:pt>
                <c:pt idx="507">
                  <c:v>68.25</c:v>
                </c:pt>
                <c:pt idx="508">
                  <c:v>68.2</c:v>
                </c:pt>
                <c:pt idx="509">
                  <c:v>68.239999999999995</c:v>
                </c:pt>
                <c:pt idx="510">
                  <c:v>68.239999999999995</c:v>
                </c:pt>
                <c:pt idx="511">
                  <c:v>68.260000000000005</c:v>
                </c:pt>
                <c:pt idx="512">
                  <c:v>68.290000000000006</c:v>
                </c:pt>
                <c:pt idx="513">
                  <c:v>68.25</c:v>
                </c:pt>
                <c:pt idx="514">
                  <c:v>68.25</c:v>
                </c:pt>
                <c:pt idx="515">
                  <c:v>68.31</c:v>
                </c:pt>
                <c:pt idx="516">
                  <c:v>68.3</c:v>
                </c:pt>
                <c:pt idx="517">
                  <c:v>68.28</c:v>
                </c:pt>
                <c:pt idx="518">
                  <c:v>68.28</c:v>
                </c:pt>
                <c:pt idx="519">
                  <c:v>68.28</c:v>
                </c:pt>
                <c:pt idx="520">
                  <c:v>68.290000000000006</c:v>
                </c:pt>
                <c:pt idx="521">
                  <c:v>68.27</c:v>
                </c:pt>
                <c:pt idx="522">
                  <c:v>68.33</c:v>
                </c:pt>
                <c:pt idx="523">
                  <c:v>68.27</c:v>
                </c:pt>
                <c:pt idx="524">
                  <c:v>68.319999999999993</c:v>
                </c:pt>
                <c:pt idx="525">
                  <c:v>68.3</c:v>
                </c:pt>
                <c:pt idx="526">
                  <c:v>68.260000000000005</c:v>
                </c:pt>
                <c:pt idx="527">
                  <c:v>68.31</c:v>
                </c:pt>
                <c:pt idx="528">
                  <c:v>68.34</c:v>
                </c:pt>
                <c:pt idx="529">
                  <c:v>68.27</c:v>
                </c:pt>
                <c:pt idx="530">
                  <c:v>68.28</c:v>
                </c:pt>
                <c:pt idx="531">
                  <c:v>68.25</c:v>
                </c:pt>
                <c:pt idx="532">
                  <c:v>68.239999999999995</c:v>
                </c:pt>
                <c:pt idx="533">
                  <c:v>68.22</c:v>
                </c:pt>
                <c:pt idx="534">
                  <c:v>68.22</c:v>
                </c:pt>
                <c:pt idx="535">
                  <c:v>68.260000000000005</c:v>
                </c:pt>
                <c:pt idx="536">
                  <c:v>68.260000000000005</c:v>
                </c:pt>
                <c:pt idx="537">
                  <c:v>68.22</c:v>
                </c:pt>
                <c:pt idx="538">
                  <c:v>68.23</c:v>
                </c:pt>
                <c:pt idx="539">
                  <c:v>68.25</c:v>
                </c:pt>
                <c:pt idx="540">
                  <c:v>68.23</c:v>
                </c:pt>
                <c:pt idx="541">
                  <c:v>68.23</c:v>
                </c:pt>
                <c:pt idx="542">
                  <c:v>68.209999999999994</c:v>
                </c:pt>
                <c:pt idx="543">
                  <c:v>68.19</c:v>
                </c:pt>
                <c:pt idx="544">
                  <c:v>68.150000000000006</c:v>
                </c:pt>
                <c:pt idx="545">
                  <c:v>68.150000000000006</c:v>
                </c:pt>
                <c:pt idx="546">
                  <c:v>68.22</c:v>
                </c:pt>
                <c:pt idx="547">
                  <c:v>68.14</c:v>
                </c:pt>
                <c:pt idx="548">
                  <c:v>68.209999999999994</c:v>
                </c:pt>
                <c:pt idx="549">
                  <c:v>68.209999999999994</c:v>
                </c:pt>
                <c:pt idx="550">
                  <c:v>68.22</c:v>
                </c:pt>
                <c:pt idx="551">
                  <c:v>68.17</c:v>
                </c:pt>
                <c:pt idx="552">
                  <c:v>68.16</c:v>
                </c:pt>
                <c:pt idx="553">
                  <c:v>68.19</c:v>
                </c:pt>
                <c:pt idx="554">
                  <c:v>68.209999999999994</c:v>
                </c:pt>
                <c:pt idx="555">
                  <c:v>68.239999999999995</c:v>
                </c:pt>
                <c:pt idx="556">
                  <c:v>68.25</c:v>
                </c:pt>
                <c:pt idx="557">
                  <c:v>68.27</c:v>
                </c:pt>
                <c:pt idx="558">
                  <c:v>68.209999999999994</c:v>
                </c:pt>
                <c:pt idx="559">
                  <c:v>68.239999999999995</c:v>
                </c:pt>
                <c:pt idx="560">
                  <c:v>68.260000000000005</c:v>
                </c:pt>
                <c:pt idx="561">
                  <c:v>68.25</c:v>
                </c:pt>
                <c:pt idx="562">
                  <c:v>68.239999999999995</c:v>
                </c:pt>
                <c:pt idx="563">
                  <c:v>68.22</c:v>
                </c:pt>
                <c:pt idx="564">
                  <c:v>68.209999999999994</c:v>
                </c:pt>
                <c:pt idx="565">
                  <c:v>68.3</c:v>
                </c:pt>
                <c:pt idx="566">
                  <c:v>68.27</c:v>
                </c:pt>
                <c:pt idx="567">
                  <c:v>68.260000000000005</c:v>
                </c:pt>
                <c:pt idx="568">
                  <c:v>68.28</c:v>
                </c:pt>
                <c:pt idx="569">
                  <c:v>68.290000000000006</c:v>
                </c:pt>
                <c:pt idx="570">
                  <c:v>68.260000000000005</c:v>
                </c:pt>
                <c:pt idx="571">
                  <c:v>68.31</c:v>
                </c:pt>
                <c:pt idx="572">
                  <c:v>68.28</c:v>
                </c:pt>
                <c:pt idx="573">
                  <c:v>68.239999999999995</c:v>
                </c:pt>
                <c:pt idx="574">
                  <c:v>68.260000000000005</c:v>
                </c:pt>
                <c:pt idx="575">
                  <c:v>68.23</c:v>
                </c:pt>
                <c:pt idx="576">
                  <c:v>68.260000000000005</c:v>
                </c:pt>
                <c:pt idx="577">
                  <c:v>68.3</c:v>
                </c:pt>
                <c:pt idx="578">
                  <c:v>68.290000000000006</c:v>
                </c:pt>
                <c:pt idx="579">
                  <c:v>68.25</c:v>
                </c:pt>
                <c:pt idx="580">
                  <c:v>68.209999999999994</c:v>
                </c:pt>
                <c:pt idx="581">
                  <c:v>68.25</c:v>
                </c:pt>
                <c:pt idx="582">
                  <c:v>68.23</c:v>
                </c:pt>
                <c:pt idx="583">
                  <c:v>68.25</c:v>
                </c:pt>
                <c:pt idx="584">
                  <c:v>68.239999999999995</c:v>
                </c:pt>
                <c:pt idx="585">
                  <c:v>68.25</c:v>
                </c:pt>
                <c:pt idx="586">
                  <c:v>68.260000000000005</c:v>
                </c:pt>
                <c:pt idx="587">
                  <c:v>68.2</c:v>
                </c:pt>
                <c:pt idx="588">
                  <c:v>68.25</c:v>
                </c:pt>
                <c:pt idx="589">
                  <c:v>68.260000000000005</c:v>
                </c:pt>
                <c:pt idx="590">
                  <c:v>68.260000000000005</c:v>
                </c:pt>
                <c:pt idx="591">
                  <c:v>68.19</c:v>
                </c:pt>
                <c:pt idx="592">
                  <c:v>68.22</c:v>
                </c:pt>
                <c:pt idx="593">
                  <c:v>68.22</c:v>
                </c:pt>
                <c:pt idx="594">
                  <c:v>68.260000000000005</c:v>
                </c:pt>
                <c:pt idx="595">
                  <c:v>68.25</c:v>
                </c:pt>
                <c:pt idx="596">
                  <c:v>68.25</c:v>
                </c:pt>
                <c:pt idx="597">
                  <c:v>68.25</c:v>
                </c:pt>
                <c:pt idx="598">
                  <c:v>68.27</c:v>
                </c:pt>
                <c:pt idx="599">
                  <c:v>68.27</c:v>
                </c:pt>
                <c:pt idx="600">
                  <c:v>68.22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58-47B5-8631-83DA97FC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7665247"/>
        <c:axId val="517663807"/>
      </c:scatterChart>
      <c:valAx>
        <c:axId val="51766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3807"/>
        <c:crosses val="autoZero"/>
        <c:crossBetween val="midCat"/>
      </c:valAx>
      <c:valAx>
        <c:axId val="51766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6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'68'!$R$1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'68'!$Q$2:$Q$602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'68'!$R$2:$R$602</c:f>
              <c:numCache>
                <c:formatCode>General</c:formatCode>
                <c:ptCount val="601"/>
                <c:pt idx="0">
                  <c:v>35.200000000000003</c:v>
                </c:pt>
                <c:pt idx="1">
                  <c:v>36.15</c:v>
                </c:pt>
                <c:pt idx="2">
                  <c:v>36.18</c:v>
                </c:pt>
                <c:pt idx="3">
                  <c:v>36.22</c:v>
                </c:pt>
                <c:pt idx="4">
                  <c:v>36.42</c:v>
                </c:pt>
                <c:pt idx="5">
                  <c:v>36.65</c:v>
                </c:pt>
                <c:pt idx="6">
                  <c:v>36.94</c:v>
                </c:pt>
                <c:pt idx="7">
                  <c:v>37.29</c:v>
                </c:pt>
                <c:pt idx="8">
                  <c:v>37.81</c:v>
                </c:pt>
                <c:pt idx="9">
                  <c:v>38.35</c:v>
                </c:pt>
                <c:pt idx="10">
                  <c:v>38.92</c:v>
                </c:pt>
                <c:pt idx="11">
                  <c:v>39.520000000000003</c:v>
                </c:pt>
                <c:pt idx="12">
                  <c:v>40.18</c:v>
                </c:pt>
                <c:pt idx="13">
                  <c:v>40.83</c:v>
                </c:pt>
                <c:pt idx="14">
                  <c:v>41.53</c:v>
                </c:pt>
                <c:pt idx="15">
                  <c:v>42.2</c:v>
                </c:pt>
                <c:pt idx="16">
                  <c:v>42.97</c:v>
                </c:pt>
                <c:pt idx="17">
                  <c:v>43.67</c:v>
                </c:pt>
                <c:pt idx="18">
                  <c:v>44.4</c:v>
                </c:pt>
                <c:pt idx="19">
                  <c:v>45.13</c:v>
                </c:pt>
                <c:pt idx="20">
                  <c:v>45.86</c:v>
                </c:pt>
                <c:pt idx="21">
                  <c:v>46.57</c:v>
                </c:pt>
                <c:pt idx="22">
                  <c:v>47.29</c:v>
                </c:pt>
                <c:pt idx="23">
                  <c:v>47.96</c:v>
                </c:pt>
                <c:pt idx="24">
                  <c:v>48.73</c:v>
                </c:pt>
                <c:pt idx="25">
                  <c:v>49.36</c:v>
                </c:pt>
                <c:pt idx="26">
                  <c:v>50</c:v>
                </c:pt>
                <c:pt idx="27">
                  <c:v>50.66</c:v>
                </c:pt>
                <c:pt idx="28">
                  <c:v>51.26</c:v>
                </c:pt>
                <c:pt idx="29">
                  <c:v>51.85</c:v>
                </c:pt>
                <c:pt idx="30">
                  <c:v>52.42</c:v>
                </c:pt>
                <c:pt idx="31">
                  <c:v>53.01</c:v>
                </c:pt>
                <c:pt idx="32">
                  <c:v>53.57</c:v>
                </c:pt>
                <c:pt idx="33">
                  <c:v>54.06</c:v>
                </c:pt>
                <c:pt idx="34">
                  <c:v>54.6</c:v>
                </c:pt>
                <c:pt idx="35">
                  <c:v>55.12</c:v>
                </c:pt>
                <c:pt idx="36">
                  <c:v>55.62</c:v>
                </c:pt>
                <c:pt idx="37">
                  <c:v>56.12</c:v>
                </c:pt>
                <c:pt idx="38">
                  <c:v>56.53</c:v>
                </c:pt>
                <c:pt idx="39">
                  <c:v>57</c:v>
                </c:pt>
                <c:pt idx="40">
                  <c:v>57.45</c:v>
                </c:pt>
                <c:pt idx="41">
                  <c:v>57.86</c:v>
                </c:pt>
                <c:pt idx="42">
                  <c:v>58.23</c:v>
                </c:pt>
                <c:pt idx="43">
                  <c:v>58.69</c:v>
                </c:pt>
                <c:pt idx="44">
                  <c:v>59.02</c:v>
                </c:pt>
                <c:pt idx="45">
                  <c:v>59.38</c:v>
                </c:pt>
                <c:pt idx="46">
                  <c:v>59.75</c:v>
                </c:pt>
                <c:pt idx="47">
                  <c:v>60.1</c:v>
                </c:pt>
                <c:pt idx="48">
                  <c:v>60.39</c:v>
                </c:pt>
                <c:pt idx="49">
                  <c:v>60.77</c:v>
                </c:pt>
                <c:pt idx="50">
                  <c:v>61.06</c:v>
                </c:pt>
                <c:pt idx="51">
                  <c:v>61.35</c:v>
                </c:pt>
                <c:pt idx="52">
                  <c:v>61.72</c:v>
                </c:pt>
                <c:pt idx="53">
                  <c:v>61.95</c:v>
                </c:pt>
                <c:pt idx="54">
                  <c:v>62.23</c:v>
                </c:pt>
                <c:pt idx="55">
                  <c:v>62.5</c:v>
                </c:pt>
                <c:pt idx="56">
                  <c:v>62.75</c:v>
                </c:pt>
                <c:pt idx="57">
                  <c:v>63.01</c:v>
                </c:pt>
                <c:pt idx="58">
                  <c:v>63.21</c:v>
                </c:pt>
                <c:pt idx="59">
                  <c:v>63.42</c:v>
                </c:pt>
                <c:pt idx="60">
                  <c:v>63.67</c:v>
                </c:pt>
                <c:pt idx="61">
                  <c:v>63.92</c:v>
                </c:pt>
                <c:pt idx="62">
                  <c:v>64.05</c:v>
                </c:pt>
                <c:pt idx="63">
                  <c:v>64.31</c:v>
                </c:pt>
                <c:pt idx="64">
                  <c:v>64.540000000000006</c:v>
                </c:pt>
                <c:pt idx="65">
                  <c:v>64.66</c:v>
                </c:pt>
                <c:pt idx="66">
                  <c:v>64.84</c:v>
                </c:pt>
                <c:pt idx="67">
                  <c:v>64.98</c:v>
                </c:pt>
                <c:pt idx="68">
                  <c:v>65.22</c:v>
                </c:pt>
                <c:pt idx="69">
                  <c:v>65.34</c:v>
                </c:pt>
                <c:pt idx="70">
                  <c:v>65.459999999999994</c:v>
                </c:pt>
                <c:pt idx="71">
                  <c:v>65.599999999999994</c:v>
                </c:pt>
                <c:pt idx="72">
                  <c:v>65.790000000000006</c:v>
                </c:pt>
                <c:pt idx="73">
                  <c:v>65.87</c:v>
                </c:pt>
                <c:pt idx="74">
                  <c:v>65.989999999999995</c:v>
                </c:pt>
                <c:pt idx="75">
                  <c:v>66.12</c:v>
                </c:pt>
                <c:pt idx="76">
                  <c:v>66.209999999999994</c:v>
                </c:pt>
                <c:pt idx="77">
                  <c:v>66.33</c:v>
                </c:pt>
                <c:pt idx="78">
                  <c:v>66.489999999999995</c:v>
                </c:pt>
                <c:pt idx="79">
                  <c:v>66.58</c:v>
                </c:pt>
                <c:pt idx="80">
                  <c:v>66.650000000000006</c:v>
                </c:pt>
                <c:pt idx="81">
                  <c:v>66.78</c:v>
                </c:pt>
                <c:pt idx="82">
                  <c:v>66.81</c:v>
                </c:pt>
                <c:pt idx="83">
                  <c:v>66.95</c:v>
                </c:pt>
                <c:pt idx="84">
                  <c:v>67.010000000000005</c:v>
                </c:pt>
                <c:pt idx="85">
                  <c:v>67.12</c:v>
                </c:pt>
                <c:pt idx="86">
                  <c:v>67.16</c:v>
                </c:pt>
                <c:pt idx="87">
                  <c:v>67.28</c:v>
                </c:pt>
                <c:pt idx="88">
                  <c:v>67.33</c:v>
                </c:pt>
                <c:pt idx="89">
                  <c:v>67.45</c:v>
                </c:pt>
                <c:pt idx="90">
                  <c:v>67.48</c:v>
                </c:pt>
                <c:pt idx="91">
                  <c:v>67.52</c:v>
                </c:pt>
                <c:pt idx="92">
                  <c:v>67.63</c:v>
                </c:pt>
                <c:pt idx="93">
                  <c:v>67.67</c:v>
                </c:pt>
                <c:pt idx="94">
                  <c:v>67.7</c:v>
                </c:pt>
                <c:pt idx="95">
                  <c:v>67.78</c:v>
                </c:pt>
                <c:pt idx="96">
                  <c:v>67.819999999999993</c:v>
                </c:pt>
                <c:pt idx="97">
                  <c:v>67.83</c:v>
                </c:pt>
                <c:pt idx="98">
                  <c:v>67.92</c:v>
                </c:pt>
                <c:pt idx="99">
                  <c:v>67.95</c:v>
                </c:pt>
                <c:pt idx="100">
                  <c:v>67.94</c:v>
                </c:pt>
                <c:pt idx="101">
                  <c:v>68.02</c:v>
                </c:pt>
                <c:pt idx="102">
                  <c:v>68.09</c:v>
                </c:pt>
                <c:pt idx="103">
                  <c:v>68.14</c:v>
                </c:pt>
                <c:pt idx="104">
                  <c:v>68.13</c:v>
                </c:pt>
                <c:pt idx="105">
                  <c:v>68.17</c:v>
                </c:pt>
                <c:pt idx="106">
                  <c:v>68.19</c:v>
                </c:pt>
                <c:pt idx="107">
                  <c:v>68.23</c:v>
                </c:pt>
                <c:pt idx="108">
                  <c:v>68.239999999999995</c:v>
                </c:pt>
                <c:pt idx="109">
                  <c:v>68.319999999999993</c:v>
                </c:pt>
                <c:pt idx="110">
                  <c:v>68.28</c:v>
                </c:pt>
                <c:pt idx="111">
                  <c:v>68.319999999999993</c:v>
                </c:pt>
                <c:pt idx="112">
                  <c:v>68.400000000000006</c:v>
                </c:pt>
                <c:pt idx="113">
                  <c:v>68.37</c:v>
                </c:pt>
                <c:pt idx="114">
                  <c:v>68.39</c:v>
                </c:pt>
                <c:pt idx="115">
                  <c:v>68.37</c:v>
                </c:pt>
                <c:pt idx="116">
                  <c:v>68.48</c:v>
                </c:pt>
                <c:pt idx="117">
                  <c:v>68.52</c:v>
                </c:pt>
                <c:pt idx="118">
                  <c:v>68.52</c:v>
                </c:pt>
                <c:pt idx="119">
                  <c:v>68.489999999999995</c:v>
                </c:pt>
                <c:pt idx="120">
                  <c:v>68.53</c:v>
                </c:pt>
                <c:pt idx="121">
                  <c:v>68.56</c:v>
                </c:pt>
                <c:pt idx="122">
                  <c:v>68.52</c:v>
                </c:pt>
                <c:pt idx="123">
                  <c:v>68.569999999999993</c:v>
                </c:pt>
                <c:pt idx="124">
                  <c:v>68.56</c:v>
                </c:pt>
                <c:pt idx="125">
                  <c:v>68.55</c:v>
                </c:pt>
                <c:pt idx="126">
                  <c:v>68.569999999999993</c:v>
                </c:pt>
                <c:pt idx="127">
                  <c:v>68.569999999999993</c:v>
                </c:pt>
                <c:pt idx="128">
                  <c:v>68.58</c:v>
                </c:pt>
                <c:pt idx="129">
                  <c:v>68.5</c:v>
                </c:pt>
                <c:pt idx="130">
                  <c:v>68.540000000000006</c:v>
                </c:pt>
                <c:pt idx="131">
                  <c:v>68.56</c:v>
                </c:pt>
                <c:pt idx="132">
                  <c:v>68.540000000000006</c:v>
                </c:pt>
                <c:pt idx="133">
                  <c:v>68.569999999999993</c:v>
                </c:pt>
                <c:pt idx="134">
                  <c:v>68.540000000000006</c:v>
                </c:pt>
                <c:pt idx="135">
                  <c:v>68.569999999999993</c:v>
                </c:pt>
                <c:pt idx="136">
                  <c:v>68.540000000000006</c:v>
                </c:pt>
                <c:pt idx="137">
                  <c:v>68.53</c:v>
                </c:pt>
                <c:pt idx="138">
                  <c:v>68.540000000000006</c:v>
                </c:pt>
                <c:pt idx="139">
                  <c:v>68.569999999999993</c:v>
                </c:pt>
                <c:pt idx="140">
                  <c:v>68.569999999999993</c:v>
                </c:pt>
                <c:pt idx="141">
                  <c:v>68.53</c:v>
                </c:pt>
                <c:pt idx="142">
                  <c:v>68.53</c:v>
                </c:pt>
                <c:pt idx="143">
                  <c:v>68.540000000000006</c:v>
                </c:pt>
                <c:pt idx="144">
                  <c:v>68.569999999999993</c:v>
                </c:pt>
                <c:pt idx="145">
                  <c:v>68.540000000000006</c:v>
                </c:pt>
                <c:pt idx="146">
                  <c:v>68.55</c:v>
                </c:pt>
                <c:pt idx="147">
                  <c:v>68.540000000000006</c:v>
                </c:pt>
                <c:pt idx="148">
                  <c:v>68.56</c:v>
                </c:pt>
                <c:pt idx="149">
                  <c:v>68.53</c:v>
                </c:pt>
                <c:pt idx="150">
                  <c:v>68.53</c:v>
                </c:pt>
                <c:pt idx="151">
                  <c:v>68.540000000000006</c:v>
                </c:pt>
                <c:pt idx="152">
                  <c:v>68.52</c:v>
                </c:pt>
                <c:pt idx="153">
                  <c:v>68.53</c:v>
                </c:pt>
                <c:pt idx="154">
                  <c:v>68.52</c:v>
                </c:pt>
                <c:pt idx="155">
                  <c:v>68.52</c:v>
                </c:pt>
                <c:pt idx="156">
                  <c:v>68.52</c:v>
                </c:pt>
                <c:pt idx="157">
                  <c:v>68.53</c:v>
                </c:pt>
                <c:pt idx="158">
                  <c:v>68.489999999999995</c:v>
                </c:pt>
                <c:pt idx="159">
                  <c:v>68.52</c:v>
                </c:pt>
                <c:pt idx="160">
                  <c:v>68.5</c:v>
                </c:pt>
                <c:pt idx="161">
                  <c:v>68.510000000000005</c:v>
                </c:pt>
                <c:pt idx="162">
                  <c:v>68.489999999999995</c:v>
                </c:pt>
                <c:pt idx="163">
                  <c:v>68.45</c:v>
                </c:pt>
                <c:pt idx="164">
                  <c:v>68.459999999999994</c:v>
                </c:pt>
                <c:pt idx="165">
                  <c:v>68.45</c:v>
                </c:pt>
                <c:pt idx="166">
                  <c:v>68.400000000000006</c:v>
                </c:pt>
                <c:pt idx="167">
                  <c:v>68.41</c:v>
                </c:pt>
                <c:pt idx="168">
                  <c:v>68.36</c:v>
                </c:pt>
                <c:pt idx="169">
                  <c:v>68.39</c:v>
                </c:pt>
                <c:pt idx="170">
                  <c:v>68.38</c:v>
                </c:pt>
                <c:pt idx="171">
                  <c:v>68.430000000000007</c:v>
                </c:pt>
                <c:pt idx="172">
                  <c:v>68.39</c:v>
                </c:pt>
                <c:pt idx="173">
                  <c:v>68.36</c:v>
                </c:pt>
                <c:pt idx="174">
                  <c:v>68.37</c:v>
                </c:pt>
                <c:pt idx="175">
                  <c:v>68.38</c:v>
                </c:pt>
                <c:pt idx="176">
                  <c:v>68.37</c:v>
                </c:pt>
                <c:pt idx="177">
                  <c:v>68.36</c:v>
                </c:pt>
                <c:pt idx="178">
                  <c:v>68.36</c:v>
                </c:pt>
                <c:pt idx="179">
                  <c:v>68.31</c:v>
                </c:pt>
                <c:pt idx="180">
                  <c:v>68.34</c:v>
                </c:pt>
                <c:pt idx="181">
                  <c:v>68.19</c:v>
                </c:pt>
                <c:pt idx="182">
                  <c:v>68.28</c:v>
                </c:pt>
                <c:pt idx="183">
                  <c:v>67.62</c:v>
                </c:pt>
                <c:pt idx="184">
                  <c:v>68.31</c:v>
                </c:pt>
                <c:pt idx="185">
                  <c:v>67.37</c:v>
                </c:pt>
                <c:pt idx="186">
                  <c:v>68.3</c:v>
                </c:pt>
                <c:pt idx="187">
                  <c:v>67.31</c:v>
                </c:pt>
                <c:pt idx="188">
                  <c:v>68.31</c:v>
                </c:pt>
                <c:pt idx="189">
                  <c:v>67.31</c:v>
                </c:pt>
                <c:pt idx="190">
                  <c:v>68.3</c:v>
                </c:pt>
                <c:pt idx="191">
                  <c:v>67.31</c:v>
                </c:pt>
                <c:pt idx="192">
                  <c:v>68.349999999999994</c:v>
                </c:pt>
                <c:pt idx="193">
                  <c:v>67.31</c:v>
                </c:pt>
                <c:pt idx="194">
                  <c:v>68.37</c:v>
                </c:pt>
                <c:pt idx="195">
                  <c:v>67.38</c:v>
                </c:pt>
                <c:pt idx="196">
                  <c:v>68.38</c:v>
                </c:pt>
                <c:pt idx="197">
                  <c:v>67.430000000000007</c:v>
                </c:pt>
                <c:pt idx="198">
                  <c:v>68.41</c:v>
                </c:pt>
                <c:pt idx="199">
                  <c:v>67.459999999999994</c:v>
                </c:pt>
                <c:pt idx="200">
                  <c:v>68.44</c:v>
                </c:pt>
                <c:pt idx="201">
                  <c:v>67.489999999999995</c:v>
                </c:pt>
                <c:pt idx="202">
                  <c:v>68.430000000000007</c:v>
                </c:pt>
                <c:pt idx="203">
                  <c:v>67.5</c:v>
                </c:pt>
                <c:pt idx="204">
                  <c:v>68.5</c:v>
                </c:pt>
                <c:pt idx="205">
                  <c:v>67.5</c:v>
                </c:pt>
                <c:pt idx="206">
                  <c:v>68.510000000000005</c:v>
                </c:pt>
                <c:pt idx="207">
                  <c:v>67.459999999999994</c:v>
                </c:pt>
                <c:pt idx="208">
                  <c:v>68.510000000000005</c:v>
                </c:pt>
                <c:pt idx="209">
                  <c:v>67.52</c:v>
                </c:pt>
                <c:pt idx="210">
                  <c:v>68.510000000000005</c:v>
                </c:pt>
                <c:pt idx="211">
                  <c:v>67.430000000000007</c:v>
                </c:pt>
                <c:pt idx="212">
                  <c:v>68.510000000000005</c:v>
                </c:pt>
                <c:pt idx="213">
                  <c:v>67.52</c:v>
                </c:pt>
                <c:pt idx="214">
                  <c:v>68.540000000000006</c:v>
                </c:pt>
                <c:pt idx="215">
                  <c:v>67.55</c:v>
                </c:pt>
                <c:pt idx="216">
                  <c:v>68.53</c:v>
                </c:pt>
                <c:pt idx="217">
                  <c:v>67.62</c:v>
                </c:pt>
                <c:pt idx="218">
                  <c:v>68.55</c:v>
                </c:pt>
                <c:pt idx="219">
                  <c:v>67.52</c:v>
                </c:pt>
                <c:pt idx="220">
                  <c:v>68.53</c:v>
                </c:pt>
                <c:pt idx="221">
                  <c:v>67.5</c:v>
                </c:pt>
                <c:pt idx="222">
                  <c:v>68.510000000000005</c:v>
                </c:pt>
                <c:pt idx="223">
                  <c:v>67.489999999999995</c:v>
                </c:pt>
                <c:pt idx="224">
                  <c:v>68.56</c:v>
                </c:pt>
                <c:pt idx="225">
                  <c:v>67.53</c:v>
                </c:pt>
                <c:pt idx="226">
                  <c:v>68.52</c:v>
                </c:pt>
                <c:pt idx="227">
                  <c:v>67.53</c:v>
                </c:pt>
                <c:pt idx="228">
                  <c:v>68.489999999999995</c:v>
                </c:pt>
                <c:pt idx="229">
                  <c:v>67.58</c:v>
                </c:pt>
                <c:pt idx="230">
                  <c:v>68.53</c:v>
                </c:pt>
                <c:pt idx="231">
                  <c:v>67.55</c:v>
                </c:pt>
                <c:pt idx="232">
                  <c:v>68.5</c:v>
                </c:pt>
                <c:pt idx="233">
                  <c:v>67.569999999999993</c:v>
                </c:pt>
                <c:pt idx="234">
                  <c:v>68.55</c:v>
                </c:pt>
                <c:pt idx="235">
                  <c:v>67.569999999999993</c:v>
                </c:pt>
                <c:pt idx="236">
                  <c:v>68.540000000000006</c:v>
                </c:pt>
                <c:pt idx="237">
                  <c:v>67.569999999999993</c:v>
                </c:pt>
                <c:pt idx="238">
                  <c:v>68.599999999999994</c:v>
                </c:pt>
                <c:pt idx="239">
                  <c:v>67.599999999999994</c:v>
                </c:pt>
                <c:pt idx="240">
                  <c:v>68.58</c:v>
                </c:pt>
                <c:pt idx="241">
                  <c:v>67.53</c:v>
                </c:pt>
                <c:pt idx="242">
                  <c:v>68.599999999999994</c:v>
                </c:pt>
                <c:pt idx="243">
                  <c:v>67.66</c:v>
                </c:pt>
                <c:pt idx="244">
                  <c:v>68.56</c:v>
                </c:pt>
                <c:pt idx="245">
                  <c:v>67.61</c:v>
                </c:pt>
                <c:pt idx="246">
                  <c:v>68.53</c:v>
                </c:pt>
                <c:pt idx="247">
                  <c:v>67.61</c:v>
                </c:pt>
                <c:pt idx="248">
                  <c:v>68.599999999999994</c:v>
                </c:pt>
                <c:pt idx="249">
                  <c:v>67.59</c:v>
                </c:pt>
                <c:pt idx="250">
                  <c:v>68.599999999999994</c:v>
                </c:pt>
                <c:pt idx="251">
                  <c:v>67.599999999999994</c:v>
                </c:pt>
                <c:pt idx="252">
                  <c:v>68.599999999999994</c:v>
                </c:pt>
                <c:pt idx="253">
                  <c:v>67.61</c:v>
                </c:pt>
                <c:pt idx="254">
                  <c:v>68.540000000000006</c:v>
                </c:pt>
                <c:pt idx="255">
                  <c:v>67.599999999999994</c:v>
                </c:pt>
                <c:pt idx="256">
                  <c:v>68.59</c:v>
                </c:pt>
                <c:pt idx="257">
                  <c:v>67.55</c:v>
                </c:pt>
                <c:pt idx="258">
                  <c:v>68.59</c:v>
                </c:pt>
                <c:pt idx="259">
                  <c:v>67.55</c:v>
                </c:pt>
                <c:pt idx="260">
                  <c:v>68.59</c:v>
                </c:pt>
                <c:pt idx="261">
                  <c:v>67.62</c:v>
                </c:pt>
                <c:pt idx="262">
                  <c:v>68.61</c:v>
                </c:pt>
                <c:pt idx="263">
                  <c:v>67.63</c:v>
                </c:pt>
                <c:pt idx="264">
                  <c:v>68.58</c:v>
                </c:pt>
                <c:pt idx="265">
                  <c:v>67.58</c:v>
                </c:pt>
                <c:pt idx="266">
                  <c:v>68.599999999999994</c:v>
                </c:pt>
                <c:pt idx="267">
                  <c:v>67.58</c:v>
                </c:pt>
                <c:pt idx="268">
                  <c:v>68.569999999999993</c:v>
                </c:pt>
                <c:pt idx="269">
                  <c:v>67.59</c:v>
                </c:pt>
                <c:pt idx="270">
                  <c:v>68.55</c:v>
                </c:pt>
                <c:pt idx="271">
                  <c:v>67.59</c:v>
                </c:pt>
                <c:pt idx="272">
                  <c:v>68.599999999999994</c:v>
                </c:pt>
                <c:pt idx="273">
                  <c:v>67.62</c:v>
                </c:pt>
                <c:pt idx="274">
                  <c:v>68.58</c:v>
                </c:pt>
                <c:pt idx="275">
                  <c:v>67.540000000000006</c:v>
                </c:pt>
                <c:pt idx="276">
                  <c:v>68.569999999999993</c:v>
                </c:pt>
                <c:pt idx="277">
                  <c:v>67.599999999999994</c:v>
                </c:pt>
                <c:pt idx="278">
                  <c:v>68.599999999999994</c:v>
                </c:pt>
                <c:pt idx="279">
                  <c:v>67.61</c:v>
                </c:pt>
                <c:pt idx="280">
                  <c:v>68.59</c:v>
                </c:pt>
                <c:pt idx="281">
                  <c:v>67.63</c:v>
                </c:pt>
                <c:pt idx="282">
                  <c:v>68.599999999999994</c:v>
                </c:pt>
                <c:pt idx="283">
                  <c:v>67.58</c:v>
                </c:pt>
                <c:pt idx="284">
                  <c:v>68.599999999999994</c:v>
                </c:pt>
                <c:pt idx="285">
                  <c:v>67.569999999999993</c:v>
                </c:pt>
                <c:pt idx="286">
                  <c:v>68.55</c:v>
                </c:pt>
                <c:pt idx="287">
                  <c:v>67.569999999999993</c:v>
                </c:pt>
                <c:pt idx="288">
                  <c:v>68.58</c:v>
                </c:pt>
                <c:pt idx="289">
                  <c:v>67.58</c:v>
                </c:pt>
                <c:pt idx="290">
                  <c:v>68.56</c:v>
                </c:pt>
                <c:pt idx="291">
                  <c:v>67.62</c:v>
                </c:pt>
                <c:pt idx="292">
                  <c:v>68.260000000000005</c:v>
                </c:pt>
                <c:pt idx="293">
                  <c:v>67.63</c:v>
                </c:pt>
                <c:pt idx="294">
                  <c:v>67.66</c:v>
                </c:pt>
                <c:pt idx="295">
                  <c:v>67.61</c:v>
                </c:pt>
                <c:pt idx="296">
                  <c:v>67.58</c:v>
                </c:pt>
                <c:pt idx="297">
                  <c:v>67.650000000000006</c:v>
                </c:pt>
                <c:pt idx="298">
                  <c:v>67.599999999999994</c:v>
                </c:pt>
                <c:pt idx="299">
                  <c:v>67.66</c:v>
                </c:pt>
                <c:pt idx="300">
                  <c:v>67.67</c:v>
                </c:pt>
                <c:pt idx="301">
                  <c:v>67.66</c:v>
                </c:pt>
                <c:pt idx="302">
                  <c:v>67.69</c:v>
                </c:pt>
                <c:pt idx="303">
                  <c:v>67.67</c:v>
                </c:pt>
                <c:pt idx="304">
                  <c:v>67.7</c:v>
                </c:pt>
                <c:pt idx="305">
                  <c:v>67.75</c:v>
                </c:pt>
                <c:pt idx="306">
                  <c:v>67.739999999999995</c:v>
                </c:pt>
                <c:pt idx="307">
                  <c:v>67.72</c:v>
                </c:pt>
                <c:pt idx="308">
                  <c:v>67.78</c:v>
                </c:pt>
                <c:pt idx="309">
                  <c:v>67.78</c:v>
                </c:pt>
                <c:pt idx="310">
                  <c:v>67.760000000000005</c:v>
                </c:pt>
                <c:pt idx="311">
                  <c:v>67.8</c:v>
                </c:pt>
                <c:pt idx="312">
                  <c:v>67.790000000000006</c:v>
                </c:pt>
                <c:pt idx="313">
                  <c:v>67.849999999999994</c:v>
                </c:pt>
                <c:pt idx="314">
                  <c:v>67.86</c:v>
                </c:pt>
                <c:pt idx="315">
                  <c:v>67.87</c:v>
                </c:pt>
                <c:pt idx="316">
                  <c:v>67.87</c:v>
                </c:pt>
                <c:pt idx="317">
                  <c:v>67.87</c:v>
                </c:pt>
                <c:pt idx="318">
                  <c:v>67.91</c:v>
                </c:pt>
                <c:pt idx="319">
                  <c:v>67.87</c:v>
                </c:pt>
                <c:pt idx="320">
                  <c:v>67.91</c:v>
                </c:pt>
                <c:pt idx="321">
                  <c:v>67.91</c:v>
                </c:pt>
                <c:pt idx="322">
                  <c:v>67.89</c:v>
                </c:pt>
                <c:pt idx="323">
                  <c:v>67.95</c:v>
                </c:pt>
                <c:pt idx="324">
                  <c:v>67.86</c:v>
                </c:pt>
                <c:pt idx="325">
                  <c:v>67.91</c:v>
                </c:pt>
                <c:pt idx="326">
                  <c:v>67.930000000000007</c:v>
                </c:pt>
                <c:pt idx="327">
                  <c:v>67.94</c:v>
                </c:pt>
                <c:pt idx="328">
                  <c:v>67.87</c:v>
                </c:pt>
                <c:pt idx="329">
                  <c:v>67.930000000000007</c:v>
                </c:pt>
                <c:pt idx="330">
                  <c:v>67.92</c:v>
                </c:pt>
                <c:pt idx="331">
                  <c:v>67.98</c:v>
                </c:pt>
                <c:pt idx="332">
                  <c:v>67.95</c:v>
                </c:pt>
                <c:pt idx="333">
                  <c:v>68</c:v>
                </c:pt>
                <c:pt idx="334">
                  <c:v>67.989999999999995</c:v>
                </c:pt>
                <c:pt idx="335">
                  <c:v>67.94</c:v>
                </c:pt>
                <c:pt idx="336">
                  <c:v>67.989999999999995</c:v>
                </c:pt>
                <c:pt idx="337">
                  <c:v>68.03</c:v>
                </c:pt>
                <c:pt idx="338">
                  <c:v>67.989999999999995</c:v>
                </c:pt>
                <c:pt idx="339">
                  <c:v>68.02</c:v>
                </c:pt>
                <c:pt idx="340">
                  <c:v>68.069999999999993</c:v>
                </c:pt>
                <c:pt idx="341">
                  <c:v>68.05</c:v>
                </c:pt>
                <c:pt idx="342">
                  <c:v>67.989999999999995</c:v>
                </c:pt>
                <c:pt idx="343">
                  <c:v>68</c:v>
                </c:pt>
                <c:pt idx="344">
                  <c:v>68.069999999999993</c:v>
                </c:pt>
                <c:pt idx="345">
                  <c:v>68.040000000000006</c:v>
                </c:pt>
                <c:pt idx="346">
                  <c:v>68.040000000000006</c:v>
                </c:pt>
                <c:pt idx="347">
                  <c:v>68.03</c:v>
                </c:pt>
                <c:pt idx="348">
                  <c:v>68.03</c:v>
                </c:pt>
                <c:pt idx="349">
                  <c:v>68.11</c:v>
                </c:pt>
                <c:pt idx="350">
                  <c:v>68.069999999999993</c:v>
                </c:pt>
                <c:pt idx="351">
                  <c:v>68.069999999999993</c:v>
                </c:pt>
                <c:pt idx="352">
                  <c:v>68.11</c:v>
                </c:pt>
                <c:pt idx="353">
                  <c:v>68.13</c:v>
                </c:pt>
                <c:pt idx="354">
                  <c:v>68.12</c:v>
                </c:pt>
                <c:pt idx="355">
                  <c:v>68.099999999999994</c:v>
                </c:pt>
                <c:pt idx="356">
                  <c:v>68.069999999999993</c:v>
                </c:pt>
                <c:pt idx="357">
                  <c:v>68.099999999999994</c:v>
                </c:pt>
                <c:pt idx="358">
                  <c:v>68.12</c:v>
                </c:pt>
                <c:pt idx="359">
                  <c:v>68.17</c:v>
                </c:pt>
                <c:pt idx="360">
                  <c:v>68.13</c:v>
                </c:pt>
                <c:pt idx="361">
                  <c:v>68.17</c:v>
                </c:pt>
                <c:pt idx="362">
                  <c:v>68.12</c:v>
                </c:pt>
                <c:pt idx="363">
                  <c:v>68.16</c:v>
                </c:pt>
                <c:pt idx="364">
                  <c:v>68.17</c:v>
                </c:pt>
                <c:pt idx="365">
                  <c:v>68.13</c:v>
                </c:pt>
                <c:pt idx="366">
                  <c:v>68.13</c:v>
                </c:pt>
                <c:pt idx="367">
                  <c:v>68.12</c:v>
                </c:pt>
                <c:pt idx="368">
                  <c:v>68.209999999999994</c:v>
                </c:pt>
                <c:pt idx="369">
                  <c:v>68.16</c:v>
                </c:pt>
                <c:pt idx="370">
                  <c:v>68.12</c:v>
                </c:pt>
                <c:pt idx="371">
                  <c:v>68.12</c:v>
                </c:pt>
                <c:pt idx="372">
                  <c:v>68.16</c:v>
                </c:pt>
                <c:pt idx="373">
                  <c:v>68.12</c:v>
                </c:pt>
                <c:pt idx="374">
                  <c:v>68.150000000000006</c:v>
                </c:pt>
                <c:pt idx="375">
                  <c:v>68.14</c:v>
                </c:pt>
                <c:pt idx="376">
                  <c:v>68.13</c:v>
                </c:pt>
                <c:pt idx="377">
                  <c:v>68.16</c:v>
                </c:pt>
                <c:pt idx="378">
                  <c:v>68.150000000000006</c:v>
                </c:pt>
                <c:pt idx="379">
                  <c:v>68.16</c:v>
                </c:pt>
                <c:pt idx="380">
                  <c:v>68.16</c:v>
                </c:pt>
                <c:pt idx="381">
                  <c:v>68.150000000000006</c:v>
                </c:pt>
                <c:pt idx="382">
                  <c:v>68.180000000000007</c:v>
                </c:pt>
                <c:pt idx="383">
                  <c:v>68.180000000000007</c:v>
                </c:pt>
                <c:pt idx="384">
                  <c:v>68.16</c:v>
                </c:pt>
                <c:pt idx="385">
                  <c:v>68.14</c:v>
                </c:pt>
                <c:pt idx="386">
                  <c:v>68.150000000000006</c:v>
                </c:pt>
                <c:pt idx="387">
                  <c:v>68.150000000000006</c:v>
                </c:pt>
                <c:pt idx="388">
                  <c:v>68.16</c:v>
                </c:pt>
                <c:pt idx="389">
                  <c:v>68.17</c:v>
                </c:pt>
                <c:pt idx="390">
                  <c:v>68.16</c:v>
                </c:pt>
                <c:pt idx="391">
                  <c:v>68.12</c:v>
                </c:pt>
                <c:pt idx="392">
                  <c:v>68.14</c:v>
                </c:pt>
                <c:pt idx="393">
                  <c:v>68.16</c:v>
                </c:pt>
                <c:pt idx="394">
                  <c:v>68.13</c:v>
                </c:pt>
                <c:pt idx="395">
                  <c:v>68.16</c:v>
                </c:pt>
                <c:pt idx="396">
                  <c:v>68.13</c:v>
                </c:pt>
                <c:pt idx="397">
                  <c:v>68.180000000000007</c:v>
                </c:pt>
                <c:pt idx="398">
                  <c:v>68.16</c:v>
                </c:pt>
                <c:pt idx="399">
                  <c:v>68.12</c:v>
                </c:pt>
                <c:pt idx="400">
                  <c:v>68.12</c:v>
                </c:pt>
                <c:pt idx="401">
                  <c:v>68.150000000000006</c:v>
                </c:pt>
                <c:pt idx="402">
                  <c:v>68.2</c:v>
                </c:pt>
                <c:pt idx="403">
                  <c:v>68.17</c:v>
                </c:pt>
                <c:pt idx="404">
                  <c:v>68.150000000000006</c:v>
                </c:pt>
                <c:pt idx="405">
                  <c:v>68.150000000000006</c:v>
                </c:pt>
                <c:pt idx="406">
                  <c:v>68.11</c:v>
                </c:pt>
                <c:pt idx="407">
                  <c:v>68.16</c:v>
                </c:pt>
                <c:pt idx="408">
                  <c:v>68.14</c:v>
                </c:pt>
                <c:pt idx="409">
                  <c:v>68.17</c:v>
                </c:pt>
                <c:pt idx="410">
                  <c:v>68.099999999999994</c:v>
                </c:pt>
                <c:pt idx="411">
                  <c:v>68.09</c:v>
                </c:pt>
                <c:pt idx="412">
                  <c:v>68.13</c:v>
                </c:pt>
                <c:pt idx="413">
                  <c:v>68.069999999999993</c:v>
                </c:pt>
                <c:pt idx="414">
                  <c:v>68.11</c:v>
                </c:pt>
                <c:pt idx="415">
                  <c:v>68.11</c:v>
                </c:pt>
                <c:pt idx="416">
                  <c:v>68.11</c:v>
                </c:pt>
                <c:pt idx="417">
                  <c:v>68.08</c:v>
                </c:pt>
                <c:pt idx="418">
                  <c:v>68.09</c:v>
                </c:pt>
                <c:pt idx="419">
                  <c:v>68.13</c:v>
                </c:pt>
                <c:pt idx="420">
                  <c:v>68.14</c:v>
                </c:pt>
                <c:pt idx="421">
                  <c:v>68.12</c:v>
                </c:pt>
                <c:pt idx="422">
                  <c:v>68.08</c:v>
                </c:pt>
                <c:pt idx="423">
                  <c:v>68.06</c:v>
                </c:pt>
                <c:pt idx="424">
                  <c:v>68.069999999999993</c:v>
                </c:pt>
                <c:pt idx="425">
                  <c:v>68.11</c:v>
                </c:pt>
                <c:pt idx="426">
                  <c:v>68.099999999999994</c:v>
                </c:pt>
                <c:pt idx="427">
                  <c:v>68.11</c:v>
                </c:pt>
                <c:pt idx="428">
                  <c:v>68.08</c:v>
                </c:pt>
                <c:pt idx="429">
                  <c:v>68.08</c:v>
                </c:pt>
                <c:pt idx="430">
                  <c:v>68.099999999999994</c:v>
                </c:pt>
                <c:pt idx="431">
                  <c:v>68</c:v>
                </c:pt>
                <c:pt idx="432">
                  <c:v>68.08</c:v>
                </c:pt>
                <c:pt idx="433">
                  <c:v>68.11</c:v>
                </c:pt>
                <c:pt idx="434">
                  <c:v>68.040000000000006</c:v>
                </c:pt>
                <c:pt idx="435">
                  <c:v>68.05</c:v>
                </c:pt>
                <c:pt idx="436">
                  <c:v>68.069999999999993</c:v>
                </c:pt>
                <c:pt idx="437">
                  <c:v>68.03</c:v>
                </c:pt>
                <c:pt idx="438">
                  <c:v>68.03</c:v>
                </c:pt>
                <c:pt idx="439">
                  <c:v>68.08</c:v>
                </c:pt>
                <c:pt idx="440">
                  <c:v>68.06</c:v>
                </c:pt>
                <c:pt idx="441">
                  <c:v>68.040000000000006</c:v>
                </c:pt>
                <c:pt idx="442">
                  <c:v>68.02</c:v>
                </c:pt>
                <c:pt idx="443">
                  <c:v>68.09</c:v>
                </c:pt>
                <c:pt idx="444">
                  <c:v>68.03</c:v>
                </c:pt>
                <c:pt idx="445">
                  <c:v>68.03</c:v>
                </c:pt>
                <c:pt idx="446">
                  <c:v>68.069999999999993</c:v>
                </c:pt>
                <c:pt idx="447">
                  <c:v>68.02</c:v>
                </c:pt>
                <c:pt idx="448">
                  <c:v>68.03</c:v>
                </c:pt>
                <c:pt idx="449">
                  <c:v>68.05</c:v>
                </c:pt>
                <c:pt idx="450">
                  <c:v>68.069999999999993</c:v>
                </c:pt>
                <c:pt idx="451">
                  <c:v>68.09</c:v>
                </c:pt>
                <c:pt idx="452">
                  <c:v>68.05</c:v>
                </c:pt>
                <c:pt idx="453">
                  <c:v>68.09</c:v>
                </c:pt>
                <c:pt idx="454">
                  <c:v>68.069999999999993</c:v>
                </c:pt>
                <c:pt idx="455">
                  <c:v>68.040000000000006</c:v>
                </c:pt>
                <c:pt idx="456">
                  <c:v>68.010000000000005</c:v>
                </c:pt>
                <c:pt idx="457">
                  <c:v>68.08</c:v>
                </c:pt>
                <c:pt idx="458">
                  <c:v>68.02</c:v>
                </c:pt>
                <c:pt idx="459">
                  <c:v>68.040000000000006</c:v>
                </c:pt>
                <c:pt idx="460">
                  <c:v>68.040000000000006</c:v>
                </c:pt>
                <c:pt idx="461">
                  <c:v>68.03</c:v>
                </c:pt>
                <c:pt idx="462">
                  <c:v>68.010000000000005</c:v>
                </c:pt>
                <c:pt idx="463">
                  <c:v>68.069999999999993</c:v>
                </c:pt>
                <c:pt idx="464">
                  <c:v>67.97</c:v>
                </c:pt>
                <c:pt idx="465">
                  <c:v>68.02</c:v>
                </c:pt>
                <c:pt idx="466">
                  <c:v>68</c:v>
                </c:pt>
                <c:pt idx="467">
                  <c:v>68.02</c:v>
                </c:pt>
                <c:pt idx="468">
                  <c:v>67.97</c:v>
                </c:pt>
                <c:pt idx="469">
                  <c:v>67.989999999999995</c:v>
                </c:pt>
                <c:pt idx="470">
                  <c:v>68.010000000000005</c:v>
                </c:pt>
                <c:pt idx="471">
                  <c:v>67.97</c:v>
                </c:pt>
                <c:pt idx="472">
                  <c:v>68.040000000000006</c:v>
                </c:pt>
                <c:pt idx="473">
                  <c:v>67.989999999999995</c:v>
                </c:pt>
                <c:pt idx="474">
                  <c:v>68.069999999999993</c:v>
                </c:pt>
                <c:pt idx="475">
                  <c:v>67.959999999999994</c:v>
                </c:pt>
                <c:pt idx="476">
                  <c:v>67.98</c:v>
                </c:pt>
                <c:pt idx="477">
                  <c:v>68.010000000000005</c:v>
                </c:pt>
                <c:pt idx="478">
                  <c:v>68.010000000000005</c:v>
                </c:pt>
                <c:pt idx="479">
                  <c:v>67.989999999999995</c:v>
                </c:pt>
                <c:pt idx="480">
                  <c:v>67.989999999999995</c:v>
                </c:pt>
                <c:pt idx="481">
                  <c:v>68.010000000000005</c:v>
                </c:pt>
                <c:pt idx="482">
                  <c:v>68.03</c:v>
                </c:pt>
                <c:pt idx="483">
                  <c:v>68.010000000000005</c:v>
                </c:pt>
                <c:pt idx="484">
                  <c:v>67.98</c:v>
                </c:pt>
                <c:pt idx="485">
                  <c:v>68.02</c:v>
                </c:pt>
                <c:pt idx="486">
                  <c:v>68.03</c:v>
                </c:pt>
                <c:pt idx="487">
                  <c:v>67.97</c:v>
                </c:pt>
                <c:pt idx="488">
                  <c:v>68.02</c:v>
                </c:pt>
                <c:pt idx="489">
                  <c:v>67.94</c:v>
                </c:pt>
                <c:pt idx="490">
                  <c:v>68.040000000000006</c:v>
                </c:pt>
                <c:pt idx="491">
                  <c:v>68.010000000000005</c:v>
                </c:pt>
                <c:pt idx="492">
                  <c:v>68.040000000000006</c:v>
                </c:pt>
                <c:pt idx="493">
                  <c:v>67.989999999999995</c:v>
                </c:pt>
                <c:pt idx="494">
                  <c:v>67.95</c:v>
                </c:pt>
                <c:pt idx="495">
                  <c:v>67.989999999999995</c:v>
                </c:pt>
                <c:pt idx="496">
                  <c:v>68.05</c:v>
                </c:pt>
                <c:pt idx="497">
                  <c:v>67.97</c:v>
                </c:pt>
                <c:pt idx="498">
                  <c:v>68.02</c:v>
                </c:pt>
                <c:pt idx="499">
                  <c:v>67.95</c:v>
                </c:pt>
                <c:pt idx="500">
                  <c:v>67.95</c:v>
                </c:pt>
                <c:pt idx="501">
                  <c:v>67.94</c:v>
                </c:pt>
                <c:pt idx="502">
                  <c:v>67.989999999999995</c:v>
                </c:pt>
                <c:pt idx="503">
                  <c:v>67.989999999999995</c:v>
                </c:pt>
                <c:pt idx="504">
                  <c:v>68</c:v>
                </c:pt>
                <c:pt idx="505">
                  <c:v>67.95</c:v>
                </c:pt>
                <c:pt idx="506">
                  <c:v>68.010000000000005</c:v>
                </c:pt>
                <c:pt idx="507">
                  <c:v>68.02</c:v>
                </c:pt>
                <c:pt idx="508">
                  <c:v>68.03</c:v>
                </c:pt>
                <c:pt idx="509">
                  <c:v>67.989999999999995</c:v>
                </c:pt>
                <c:pt idx="510">
                  <c:v>68.040000000000006</c:v>
                </c:pt>
                <c:pt idx="511">
                  <c:v>67.989999999999995</c:v>
                </c:pt>
                <c:pt idx="512">
                  <c:v>68.03</c:v>
                </c:pt>
                <c:pt idx="513">
                  <c:v>68.010000000000005</c:v>
                </c:pt>
                <c:pt idx="514">
                  <c:v>67.989999999999995</c:v>
                </c:pt>
                <c:pt idx="515">
                  <c:v>67.989999999999995</c:v>
                </c:pt>
                <c:pt idx="516">
                  <c:v>68.010000000000005</c:v>
                </c:pt>
                <c:pt idx="517">
                  <c:v>68.06</c:v>
                </c:pt>
                <c:pt idx="518">
                  <c:v>68.19</c:v>
                </c:pt>
                <c:pt idx="519">
                  <c:v>68.239999999999995</c:v>
                </c:pt>
                <c:pt idx="520">
                  <c:v>68.3</c:v>
                </c:pt>
                <c:pt idx="521">
                  <c:v>68.459999999999994</c:v>
                </c:pt>
                <c:pt idx="522">
                  <c:v>68.52</c:v>
                </c:pt>
                <c:pt idx="523">
                  <c:v>68.599999999999994</c:v>
                </c:pt>
                <c:pt idx="524">
                  <c:v>68.61</c:v>
                </c:pt>
                <c:pt idx="525">
                  <c:v>68.61</c:v>
                </c:pt>
                <c:pt idx="526">
                  <c:v>68.61</c:v>
                </c:pt>
                <c:pt idx="527">
                  <c:v>68.569999999999993</c:v>
                </c:pt>
                <c:pt idx="528">
                  <c:v>68.599999999999994</c:v>
                </c:pt>
                <c:pt idx="529">
                  <c:v>68.58</c:v>
                </c:pt>
                <c:pt idx="530">
                  <c:v>68.599999999999994</c:v>
                </c:pt>
                <c:pt idx="531">
                  <c:v>68.58</c:v>
                </c:pt>
                <c:pt idx="532">
                  <c:v>68.569999999999993</c:v>
                </c:pt>
                <c:pt idx="533">
                  <c:v>68.55</c:v>
                </c:pt>
                <c:pt idx="534">
                  <c:v>68.53</c:v>
                </c:pt>
                <c:pt idx="535">
                  <c:v>68.52</c:v>
                </c:pt>
                <c:pt idx="536">
                  <c:v>68.540000000000006</c:v>
                </c:pt>
                <c:pt idx="537">
                  <c:v>68.510000000000005</c:v>
                </c:pt>
                <c:pt idx="538">
                  <c:v>68.489999999999995</c:v>
                </c:pt>
                <c:pt idx="539">
                  <c:v>68.5</c:v>
                </c:pt>
                <c:pt idx="540">
                  <c:v>68.5</c:v>
                </c:pt>
                <c:pt idx="541">
                  <c:v>68.489999999999995</c:v>
                </c:pt>
                <c:pt idx="542">
                  <c:v>68.48</c:v>
                </c:pt>
                <c:pt idx="543">
                  <c:v>68.44</c:v>
                </c:pt>
                <c:pt idx="544">
                  <c:v>68.47</c:v>
                </c:pt>
                <c:pt idx="545">
                  <c:v>68.430000000000007</c:v>
                </c:pt>
                <c:pt idx="546">
                  <c:v>68.42</c:v>
                </c:pt>
                <c:pt idx="547">
                  <c:v>68.39</c:v>
                </c:pt>
                <c:pt idx="548">
                  <c:v>68.41</c:v>
                </c:pt>
                <c:pt idx="549">
                  <c:v>68.41</c:v>
                </c:pt>
                <c:pt idx="550">
                  <c:v>68.349999999999994</c:v>
                </c:pt>
                <c:pt idx="551">
                  <c:v>68.34</c:v>
                </c:pt>
                <c:pt idx="552">
                  <c:v>68.319999999999993</c:v>
                </c:pt>
                <c:pt idx="553">
                  <c:v>68.34</c:v>
                </c:pt>
                <c:pt idx="554">
                  <c:v>68.27</c:v>
                </c:pt>
                <c:pt idx="555">
                  <c:v>68.239999999999995</c:v>
                </c:pt>
                <c:pt idx="556">
                  <c:v>68.260000000000005</c:v>
                </c:pt>
                <c:pt idx="557">
                  <c:v>68.319999999999993</c:v>
                </c:pt>
                <c:pt idx="558">
                  <c:v>68.28</c:v>
                </c:pt>
                <c:pt idx="559">
                  <c:v>68.25</c:v>
                </c:pt>
                <c:pt idx="560">
                  <c:v>68.209999999999994</c:v>
                </c:pt>
                <c:pt idx="561">
                  <c:v>68.239999999999995</c:v>
                </c:pt>
                <c:pt idx="562">
                  <c:v>68.22</c:v>
                </c:pt>
                <c:pt idx="563">
                  <c:v>68.180000000000007</c:v>
                </c:pt>
                <c:pt idx="564">
                  <c:v>68.209999999999994</c:v>
                </c:pt>
                <c:pt idx="565">
                  <c:v>68.17</c:v>
                </c:pt>
                <c:pt idx="566">
                  <c:v>68.16</c:v>
                </c:pt>
                <c:pt idx="567">
                  <c:v>68.12</c:v>
                </c:pt>
                <c:pt idx="568">
                  <c:v>68.180000000000007</c:v>
                </c:pt>
                <c:pt idx="569">
                  <c:v>68.150000000000006</c:v>
                </c:pt>
                <c:pt idx="570">
                  <c:v>68.17</c:v>
                </c:pt>
                <c:pt idx="571">
                  <c:v>68.16</c:v>
                </c:pt>
                <c:pt idx="572">
                  <c:v>68.180000000000007</c:v>
                </c:pt>
                <c:pt idx="573">
                  <c:v>68.17</c:v>
                </c:pt>
                <c:pt idx="574">
                  <c:v>68.11</c:v>
                </c:pt>
                <c:pt idx="575">
                  <c:v>68.12</c:v>
                </c:pt>
                <c:pt idx="576">
                  <c:v>68.16</c:v>
                </c:pt>
                <c:pt idx="577">
                  <c:v>68.069999999999993</c:v>
                </c:pt>
                <c:pt idx="578">
                  <c:v>68.069999999999993</c:v>
                </c:pt>
                <c:pt idx="579">
                  <c:v>68.099999999999994</c:v>
                </c:pt>
                <c:pt idx="580">
                  <c:v>68.05</c:v>
                </c:pt>
                <c:pt idx="581">
                  <c:v>68.11</c:v>
                </c:pt>
                <c:pt idx="582">
                  <c:v>68.040000000000006</c:v>
                </c:pt>
                <c:pt idx="583">
                  <c:v>68.05</c:v>
                </c:pt>
                <c:pt idx="584">
                  <c:v>68.040000000000006</c:v>
                </c:pt>
                <c:pt idx="585">
                  <c:v>68.040000000000006</c:v>
                </c:pt>
                <c:pt idx="586">
                  <c:v>68.069999999999993</c:v>
                </c:pt>
                <c:pt idx="587">
                  <c:v>67.989999999999995</c:v>
                </c:pt>
                <c:pt idx="588">
                  <c:v>68.06</c:v>
                </c:pt>
                <c:pt idx="589">
                  <c:v>67.98</c:v>
                </c:pt>
                <c:pt idx="590">
                  <c:v>68.03</c:v>
                </c:pt>
                <c:pt idx="591">
                  <c:v>67.989999999999995</c:v>
                </c:pt>
                <c:pt idx="592">
                  <c:v>67.989999999999995</c:v>
                </c:pt>
                <c:pt idx="593">
                  <c:v>67.98</c:v>
                </c:pt>
                <c:pt idx="594">
                  <c:v>67.989999999999995</c:v>
                </c:pt>
                <c:pt idx="595">
                  <c:v>68.010000000000005</c:v>
                </c:pt>
                <c:pt idx="596">
                  <c:v>67.98</c:v>
                </c:pt>
                <c:pt idx="597">
                  <c:v>68.03</c:v>
                </c:pt>
                <c:pt idx="598">
                  <c:v>68.069999999999993</c:v>
                </c:pt>
                <c:pt idx="599">
                  <c:v>68.03</c:v>
                </c:pt>
                <c:pt idx="600">
                  <c:v>68.03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D9-4C12-9C59-1417E69F6C78}"/>
            </c:ext>
          </c:extLst>
        </c:ser>
        <c:ser>
          <c:idx val="1"/>
          <c:order val="1"/>
          <c:tx>
            <c:strRef>
              <c:f>'68'!$S$1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'68'!$Q$2:$Q$602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'68'!$S$2:$S$602</c:f>
              <c:numCache>
                <c:formatCode>General</c:formatCode>
                <c:ptCount val="601"/>
                <c:pt idx="0">
                  <c:v>68</c:v>
                </c:pt>
                <c:pt idx="1">
                  <c:v>68</c:v>
                </c:pt>
                <c:pt idx="2">
                  <c:v>68</c:v>
                </c:pt>
                <c:pt idx="3">
                  <c:v>68</c:v>
                </c:pt>
                <c:pt idx="4">
                  <c:v>68</c:v>
                </c:pt>
                <c:pt idx="5">
                  <c:v>68</c:v>
                </c:pt>
                <c:pt idx="6">
                  <c:v>68</c:v>
                </c:pt>
                <c:pt idx="7">
                  <c:v>68</c:v>
                </c:pt>
                <c:pt idx="8">
                  <c:v>68</c:v>
                </c:pt>
                <c:pt idx="9">
                  <c:v>68</c:v>
                </c:pt>
                <c:pt idx="10">
                  <c:v>68</c:v>
                </c:pt>
                <c:pt idx="11">
                  <c:v>68</c:v>
                </c:pt>
                <c:pt idx="12">
                  <c:v>68</c:v>
                </c:pt>
                <c:pt idx="13">
                  <c:v>68</c:v>
                </c:pt>
                <c:pt idx="14">
                  <c:v>68</c:v>
                </c:pt>
                <c:pt idx="15">
                  <c:v>68</c:v>
                </c:pt>
                <c:pt idx="16">
                  <c:v>68</c:v>
                </c:pt>
                <c:pt idx="17">
                  <c:v>68</c:v>
                </c:pt>
                <c:pt idx="18">
                  <c:v>68</c:v>
                </c:pt>
                <c:pt idx="19">
                  <c:v>68</c:v>
                </c:pt>
                <c:pt idx="20">
                  <c:v>68</c:v>
                </c:pt>
                <c:pt idx="21">
                  <c:v>68</c:v>
                </c:pt>
                <c:pt idx="22">
                  <c:v>68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68</c:v>
                </c:pt>
                <c:pt idx="27">
                  <c:v>68</c:v>
                </c:pt>
                <c:pt idx="28">
                  <c:v>68</c:v>
                </c:pt>
                <c:pt idx="29">
                  <c:v>68</c:v>
                </c:pt>
                <c:pt idx="30">
                  <c:v>68</c:v>
                </c:pt>
                <c:pt idx="31">
                  <c:v>68</c:v>
                </c:pt>
                <c:pt idx="32">
                  <c:v>68</c:v>
                </c:pt>
                <c:pt idx="33">
                  <c:v>68</c:v>
                </c:pt>
                <c:pt idx="34">
                  <c:v>68</c:v>
                </c:pt>
                <c:pt idx="35">
                  <c:v>68</c:v>
                </c:pt>
                <c:pt idx="36">
                  <c:v>68</c:v>
                </c:pt>
                <c:pt idx="37">
                  <c:v>68</c:v>
                </c:pt>
                <c:pt idx="38">
                  <c:v>68</c:v>
                </c:pt>
                <c:pt idx="39">
                  <c:v>68</c:v>
                </c:pt>
                <c:pt idx="40">
                  <c:v>68</c:v>
                </c:pt>
                <c:pt idx="41">
                  <c:v>68</c:v>
                </c:pt>
                <c:pt idx="42">
                  <c:v>68</c:v>
                </c:pt>
                <c:pt idx="43">
                  <c:v>68</c:v>
                </c:pt>
                <c:pt idx="44">
                  <c:v>68</c:v>
                </c:pt>
                <c:pt idx="45">
                  <c:v>68</c:v>
                </c:pt>
                <c:pt idx="46">
                  <c:v>68</c:v>
                </c:pt>
                <c:pt idx="47">
                  <c:v>68</c:v>
                </c:pt>
                <c:pt idx="48">
                  <c:v>68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68</c:v>
                </c:pt>
                <c:pt idx="55">
                  <c:v>68</c:v>
                </c:pt>
                <c:pt idx="56">
                  <c:v>68</c:v>
                </c:pt>
                <c:pt idx="57">
                  <c:v>68</c:v>
                </c:pt>
                <c:pt idx="58">
                  <c:v>68</c:v>
                </c:pt>
                <c:pt idx="59">
                  <c:v>68</c:v>
                </c:pt>
                <c:pt idx="60">
                  <c:v>68</c:v>
                </c:pt>
                <c:pt idx="61">
                  <c:v>68</c:v>
                </c:pt>
                <c:pt idx="62">
                  <c:v>68</c:v>
                </c:pt>
                <c:pt idx="63">
                  <c:v>68</c:v>
                </c:pt>
                <c:pt idx="64">
                  <c:v>68</c:v>
                </c:pt>
                <c:pt idx="65">
                  <c:v>68</c:v>
                </c:pt>
                <c:pt idx="66">
                  <c:v>68</c:v>
                </c:pt>
                <c:pt idx="67">
                  <c:v>68</c:v>
                </c:pt>
                <c:pt idx="68">
                  <c:v>68</c:v>
                </c:pt>
                <c:pt idx="69">
                  <c:v>68</c:v>
                </c:pt>
                <c:pt idx="70">
                  <c:v>68</c:v>
                </c:pt>
                <c:pt idx="71">
                  <c:v>68</c:v>
                </c:pt>
                <c:pt idx="72">
                  <c:v>68</c:v>
                </c:pt>
                <c:pt idx="73">
                  <c:v>68</c:v>
                </c:pt>
                <c:pt idx="74">
                  <c:v>68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68</c:v>
                </c:pt>
                <c:pt idx="79">
                  <c:v>68</c:v>
                </c:pt>
                <c:pt idx="80">
                  <c:v>68</c:v>
                </c:pt>
                <c:pt idx="81">
                  <c:v>68</c:v>
                </c:pt>
                <c:pt idx="82">
                  <c:v>68</c:v>
                </c:pt>
                <c:pt idx="83">
                  <c:v>68</c:v>
                </c:pt>
                <c:pt idx="84">
                  <c:v>68</c:v>
                </c:pt>
                <c:pt idx="85">
                  <c:v>68</c:v>
                </c:pt>
                <c:pt idx="86">
                  <c:v>68</c:v>
                </c:pt>
                <c:pt idx="87">
                  <c:v>68</c:v>
                </c:pt>
                <c:pt idx="88">
                  <c:v>68</c:v>
                </c:pt>
                <c:pt idx="89">
                  <c:v>68</c:v>
                </c:pt>
                <c:pt idx="90">
                  <c:v>68</c:v>
                </c:pt>
                <c:pt idx="91">
                  <c:v>68</c:v>
                </c:pt>
                <c:pt idx="92">
                  <c:v>68</c:v>
                </c:pt>
                <c:pt idx="93">
                  <c:v>68</c:v>
                </c:pt>
                <c:pt idx="94">
                  <c:v>68</c:v>
                </c:pt>
                <c:pt idx="95">
                  <c:v>68</c:v>
                </c:pt>
                <c:pt idx="96">
                  <c:v>68</c:v>
                </c:pt>
                <c:pt idx="97">
                  <c:v>68</c:v>
                </c:pt>
                <c:pt idx="98">
                  <c:v>68</c:v>
                </c:pt>
                <c:pt idx="99">
                  <c:v>68</c:v>
                </c:pt>
                <c:pt idx="100">
                  <c:v>68</c:v>
                </c:pt>
                <c:pt idx="101">
                  <c:v>68</c:v>
                </c:pt>
                <c:pt idx="102">
                  <c:v>68</c:v>
                </c:pt>
                <c:pt idx="103">
                  <c:v>68</c:v>
                </c:pt>
                <c:pt idx="104">
                  <c:v>68</c:v>
                </c:pt>
                <c:pt idx="105">
                  <c:v>68</c:v>
                </c:pt>
                <c:pt idx="106">
                  <c:v>68</c:v>
                </c:pt>
                <c:pt idx="107">
                  <c:v>68</c:v>
                </c:pt>
                <c:pt idx="108">
                  <c:v>68</c:v>
                </c:pt>
                <c:pt idx="109">
                  <c:v>68</c:v>
                </c:pt>
                <c:pt idx="110">
                  <c:v>68</c:v>
                </c:pt>
                <c:pt idx="111">
                  <c:v>68</c:v>
                </c:pt>
                <c:pt idx="112">
                  <c:v>68</c:v>
                </c:pt>
                <c:pt idx="113">
                  <c:v>68</c:v>
                </c:pt>
                <c:pt idx="114">
                  <c:v>68</c:v>
                </c:pt>
                <c:pt idx="115">
                  <c:v>68</c:v>
                </c:pt>
                <c:pt idx="116">
                  <c:v>68</c:v>
                </c:pt>
                <c:pt idx="117">
                  <c:v>68</c:v>
                </c:pt>
                <c:pt idx="118">
                  <c:v>68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68</c:v>
                </c:pt>
                <c:pt idx="123">
                  <c:v>68</c:v>
                </c:pt>
                <c:pt idx="124">
                  <c:v>68</c:v>
                </c:pt>
                <c:pt idx="125">
                  <c:v>68</c:v>
                </c:pt>
                <c:pt idx="126">
                  <c:v>68</c:v>
                </c:pt>
                <c:pt idx="127">
                  <c:v>68</c:v>
                </c:pt>
                <c:pt idx="128">
                  <c:v>68</c:v>
                </c:pt>
                <c:pt idx="129">
                  <c:v>68</c:v>
                </c:pt>
                <c:pt idx="130">
                  <c:v>68</c:v>
                </c:pt>
                <c:pt idx="131">
                  <c:v>68</c:v>
                </c:pt>
                <c:pt idx="132">
                  <c:v>68</c:v>
                </c:pt>
                <c:pt idx="133">
                  <c:v>68</c:v>
                </c:pt>
                <c:pt idx="134">
                  <c:v>68</c:v>
                </c:pt>
                <c:pt idx="135">
                  <c:v>68</c:v>
                </c:pt>
                <c:pt idx="136">
                  <c:v>68</c:v>
                </c:pt>
                <c:pt idx="137">
                  <c:v>68</c:v>
                </c:pt>
                <c:pt idx="138">
                  <c:v>68</c:v>
                </c:pt>
                <c:pt idx="139">
                  <c:v>68</c:v>
                </c:pt>
                <c:pt idx="140">
                  <c:v>68</c:v>
                </c:pt>
                <c:pt idx="141">
                  <c:v>68</c:v>
                </c:pt>
                <c:pt idx="142">
                  <c:v>68</c:v>
                </c:pt>
                <c:pt idx="143">
                  <c:v>68</c:v>
                </c:pt>
                <c:pt idx="144">
                  <c:v>68</c:v>
                </c:pt>
                <c:pt idx="145">
                  <c:v>68</c:v>
                </c:pt>
                <c:pt idx="146">
                  <c:v>68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68</c:v>
                </c:pt>
                <c:pt idx="151">
                  <c:v>68</c:v>
                </c:pt>
                <c:pt idx="152">
                  <c:v>68</c:v>
                </c:pt>
                <c:pt idx="153">
                  <c:v>68</c:v>
                </c:pt>
                <c:pt idx="154">
                  <c:v>68</c:v>
                </c:pt>
                <c:pt idx="155">
                  <c:v>68</c:v>
                </c:pt>
                <c:pt idx="156">
                  <c:v>68</c:v>
                </c:pt>
                <c:pt idx="157">
                  <c:v>68</c:v>
                </c:pt>
                <c:pt idx="158">
                  <c:v>68</c:v>
                </c:pt>
                <c:pt idx="159">
                  <c:v>68</c:v>
                </c:pt>
                <c:pt idx="160">
                  <c:v>68</c:v>
                </c:pt>
                <c:pt idx="161">
                  <c:v>68</c:v>
                </c:pt>
                <c:pt idx="162">
                  <c:v>68</c:v>
                </c:pt>
                <c:pt idx="163">
                  <c:v>68</c:v>
                </c:pt>
                <c:pt idx="164">
                  <c:v>68</c:v>
                </c:pt>
                <c:pt idx="165">
                  <c:v>68</c:v>
                </c:pt>
                <c:pt idx="166">
                  <c:v>68</c:v>
                </c:pt>
                <c:pt idx="167">
                  <c:v>68</c:v>
                </c:pt>
                <c:pt idx="168">
                  <c:v>68</c:v>
                </c:pt>
                <c:pt idx="169">
                  <c:v>68</c:v>
                </c:pt>
                <c:pt idx="170">
                  <c:v>68</c:v>
                </c:pt>
                <c:pt idx="171">
                  <c:v>68</c:v>
                </c:pt>
                <c:pt idx="172">
                  <c:v>68</c:v>
                </c:pt>
                <c:pt idx="173">
                  <c:v>68</c:v>
                </c:pt>
                <c:pt idx="174">
                  <c:v>68</c:v>
                </c:pt>
                <c:pt idx="175">
                  <c:v>68</c:v>
                </c:pt>
                <c:pt idx="176">
                  <c:v>68</c:v>
                </c:pt>
                <c:pt idx="177">
                  <c:v>68</c:v>
                </c:pt>
                <c:pt idx="178">
                  <c:v>68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68</c:v>
                </c:pt>
                <c:pt idx="183">
                  <c:v>68</c:v>
                </c:pt>
                <c:pt idx="184">
                  <c:v>68</c:v>
                </c:pt>
                <c:pt idx="185">
                  <c:v>68</c:v>
                </c:pt>
                <c:pt idx="186">
                  <c:v>68</c:v>
                </c:pt>
                <c:pt idx="187">
                  <c:v>68</c:v>
                </c:pt>
                <c:pt idx="188">
                  <c:v>68</c:v>
                </c:pt>
                <c:pt idx="189">
                  <c:v>68</c:v>
                </c:pt>
                <c:pt idx="190">
                  <c:v>68</c:v>
                </c:pt>
                <c:pt idx="191">
                  <c:v>68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68</c:v>
                </c:pt>
                <c:pt idx="217">
                  <c:v>68</c:v>
                </c:pt>
                <c:pt idx="218">
                  <c:v>68</c:v>
                </c:pt>
                <c:pt idx="219">
                  <c:v>68</c:v>
                </c:pt>
                <c:pt idx="220">
                  <c:v>68</c:v>
                </c:pt>
                <c:pt idx="221">
                  <c:v>68</c:v>
                </c:pt>
                <c:pt idx="222">
                  <c:v>68</c:v>
                </c:pt>
                <c:pt idx="223">
                  <c:v>68</c:v>
                </c:pt>
                <c:pt idx="224">
                  <c:v>68</c:v>
                </c:pt>
                <c:pt idx="225">
                  <c:v>68</c:v>
                </c:pt>
                <c:pt idx="226">
                  <c:v>68</c:v>
                </c:pt>
                <c:pt idx="227">
                  <c:v>68</c:v>
                </c:pt>
                <c:pt idx="228">
                  <c:v>68</c:v>
                </c:pt>
                <c:pt idx="229">
                  <c:v>68</c:v>
                </c:pt>
                <c:pt idx="230">
                  <c:v>68</c:v>
                </c:pt>
                <c:pt idx="231">
                  <c:v>68</c:v>
                </c:pt>
                <c:pt idx="232">
                  <c:v>68</c:v>
                </c:pt>
                <c:pt idx="233">
                  <c:v>68</c:v>
                </c:pt>
                <c:pt idx="234">
                  <c:v>68</c:v>
                </c:pt>
                <c:pt idx="235">
                  <c:v>68</c:v>
                </c:pt>
                <c:pt idx="236">
                  <c:v>68</c:v>
                </c:pt>
                <c:pt idx="237">
                  <c:v>68</c:v>
                </c:pt>
                <c:pt idx="238">
                  <c:v>68</c:v>
                </c:pt>
                <c:pt idx="239">
                  <c:v>68</c:v>
                </c:pt>
                <c:pt idx="240">
                  <c:v>68</c:v>
                </c:pt>
                <c:pt idx="241">
                  <c:v>68</c:v>
                </c:pt>
                <c:pt idx="242">
                  <c:v>68</c:v>
                </c:pt>
                <c:pt idx="243">
                  <c:v>68</c:v>
                </c:pt>
                <c:pt idx="244">
                  <c:v>68</c:v>
                </c:pt>
                <c:pt idx="245">
                  <c:v>68</c:v>
                </c:pt>
                <c:pt idx="246">
                  <c:v>68</c:v>
                </c:pt>
                <c:pt idx="247">
                  <c:v>68</c:v>
                </c:pt>
                <c:pt idx="248">
                  <c:v>68</c:v>
                </c:pt>
                <c:pt idx="249">
                  <c:v>68</c:v>
                </c:pt>
                <c:pt idx="250">
                  <c:v>68</c:v>
                </c:pt>
                <c:pt idx="251">
                  <c:v>68</c:v>
                </c:pt>
                <c:pt idx="252">
                  <c:v>68</c:v>
                </c:pt>
                <c:pt idx="253">
                  <c:v>68</c:v>
                </c:pt>
                <c:pt idx="254">
                  <c:v>68</c:v>
                </c:pt>
                <c:pt idx="255">
                  <c:v>68</c:v>
                </c:pt>
                <c:pt idx="256">
                  <c:v>68</c:v>
                </c:pt>
                <c:pt idx="257">
                  <c:v>68</c:v>
                </c:pt>
                <c:pt idx="258">
                  <c:v>68</c:v>
                </c:pt>
                <c:pt idx="259">
                  <c:v>68</c:v>
                </c:pt>
                <c:pt idx="260">
                  <c:v>68</c:v>
                </c:pt>
                <c:pt idx="261">
                  <c:v>68</c:v>
                </c:pt>
                <c:pt idx="262">
                  <c:v>68</c:v>
                </c:pt>
                <c:pt idx="263">
                  <c:v>68</c:v>
                </c:pt>
                <c:pt idx="264">
                  <c:v>68</c:v>
                </c:pt>
                <c:pt idx="265">
                  <c:v>68</c:v>
                </c:pt>
                <c:pt idx="266">
                  <c:v>68</c:v>
                </c:pt>
                <c:pt idx="267">
                  <c:v>68</c:v>
                </c:pt>
                <c:pt idx="268">
                  <c:v>68</c:v>
                </c:pt>
                <c:pt idx="269">
                  <c:v>68</c:v>
                </c:pt>
                <c:pt idx="270">
                  <c:v>68</c:v>
                </c:pt>
                <c:pt idx="271">
                  <c:v>68</c:v>
                </c:pt>
                <c:pt idx="272">
                  <c:v>68</c:v>
                </c:pt>
                <c:pt idx="273">
                  <c:v>68</c:v>
                </c:pt>
                <c:pt idx="274">
                  <c:v>68</c:v>
                </c:pt>
                <c:pt idx="275">
                  <c:v>68</c:v>
                </c:pt>
                <c:pt idx="276">
                  <c:v>68</c:v>
                </c:pt>
                <c:pt idx="277">
                  <c:v>68</c:v>
                </c:pt>
                <c:pt idx="278">
                  <c:v>68</c:v>
                </c:pt>
                <c:pt idx="279">
                  <c:v>68</c:v>
                </c:pt>
                <c:pt idx="280">
                  <c:v>68</c:v>
                </c:pt>
                <c:pt idx="281">
                  <c:v>68</c:v>
                </c:pt>
                <c:pt idx="282">
                  <c:v>68</c:v>
                </c:pt>
                <c:pt idx="283">
                  <c:v>68</c:v>
                </c:pt>
                <c:pt idx="284">
                  <c:v>68</c:v>
                </c:pt>
                <c:pt idx="285">
                  <c:v>68</c:v>
                </c:pt>
                <c:pt idx="286">
                  <c:v>68</c:v>
                </c:pt>
                <c:pt idx="287">
                  <c:v>68</c:v>
                </c:pt>
                <c:pt idx="288">
                  <c:v>68</c:v>
                </c:pt>
                <c:pt idx="289">
                  <c:v>68</c:v>
                </c:pt>
                <c:pt idx="290">
                  <c:v>68</c:v>
                </c:pt>
                <c:pt idx="291">
                  <c:v>68</c:v>
                </c:pt>
                <c:pt idx="292">
                  <c:v>68</c:v>
                </c:pt>
                <c:pt idx="293">
                  <c:v>68</c:v>
                </c:pt>
                <c:pt idx="294">
                  <c:v>68</c:v>
                </c:pt>
                <c:pt idx="295">
                  <c:v>68</c:v>
                </c:pt>
                <c:pt idx="296">
                  <c:v>68</c:v>
                </c:pt>
                <c:pt idx="297">
                  <c:v>68</c:v>
                </c:pt>
                <c:pt idx="298">
                  <c:v>68</c:v>
                </c:pt>
                <c:pt idx="299">
                  <c:v>68</c:v>
                </c:pt>
                <c:pt idx="300">
                  <c:v>68</c:v>
                </c:pt>
                <c:pt idx="301">
                  <c:v>68</c:v>
                </c:pt>
                <c:pt idx="302">
                  <c:v>68</c:v>
                </c:pt>
                <c:pt idx="303">
                  <c:v>68</c:v>
                </c:pt>
                <c:pt idx="304">
                  <c:v>68</c:v>
                </c:pt>
                <c:pt idx="305">
                  <c:v>68</c:v>
                </c:pt>
                <c:pt idx="306">
                  <c:v>68</c:v>
                </c:pt>
                <c:pt idx="307">
                  <c:v>68</c:v>
                </c:pt>
                <c:pt idx="308">
                  <c:v>68</c:v>
                </c:pt>
                <c:pt idx="309">
                  <c:v>68</c:v>
                </c:pt>
                <c:pt idx="310">
                  <c:v>68</c:v>
                </c:pt>
                <c:pt idx="311">
                  <c:v>68</c:v>
                </c:pt>
                <c:pt idx="312">
                  <c:v>68</c:v>
                </c:pt>
                <c:pt idx="313">
                  <c:v>68</c:v>
                </c:pt>
                <c:pt idx="314">
                  <c:v>68</c:v>
                </c:pt>
                <c:pt idx="315">
                  <c:v>68</c:v>
                </c:pt>
                <c:pt idx="316">
                  <c:v>68</c:v>
                </c:pt>
                <c:pt idx="317">
                  <c:v>68</c:v>
                </c:pt>
                <c:pt idx="318">
                  <c:v>68</c:v>
                </c:pt>
                <c:pt idx="319">
                  <c:v>68</c:v>
                </c:pt>
                <c:pt idx="320">
                  <c:v>68</c:v>
                </c:pt>
                <c:pt idx="321">
                  <c:v>68</c:v>
                </c:pt>
                <c:pt idx="322">
                  <c:v>68</c:v>
                </c:pt>
                <c:pt idx="323">
                  <c:v>68</c:v>
                </c:pt>
                <c:pt idx="324">
                  <c:v>68</c:v>
                </c:pt>
                <c:pt idx="325">
                  <c:v>68</c:v>
                </c:pt>
                <c:pt idx="326">
                  <c:v>68</c:v>
                </c:pt>
                <c:pt idx="327">
                  <c:v>68</c:v>
                </c:pt>
                <c:pt idx="328">
                  <c:v>68</c:v>
                </c:pt>
                <c:pt idx="329">
                  <c:v>68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68</c:v>
                </c:pt>
                <c:pt idx="334">
                  <c:v>68</c:v>
                </c:pt>
                <c:pt idx="335">
                  <c:v>68</c:v>
                </c:pt>
                <c:pt idx="336">
                  <c:v>68</c:v>
                </c:pt>
                <c:pt idx="337">
                  <c:v>68</c:v>
                </c:pt>
                <c:pt idx="338">
                  <c:v>68</c:v>
                </c:pt>
                <c:pt idx="339">
                  <c:v>68</c:v>
                </c:pt>
                <c:pt idx="340">
                  <c:v>68</c:v>
                </c:pt>
                <c:pt idx="341">
                  <c:v>68</c:v>
                </c:pt>
                <c:pt idx="342">
                  <c:v>68</c:v>
                </c:pt>
                <c:pt idx="343">
                  <c:v>68</c:v>
                </c:pt>
                <c:pt idx="344">
                  <c:v>68</c:v>
                </c:pt>
                <c:pt idx="345">
                  <c:v>68</c:v>
                </c:pt>
                <c:pt idx="346">
                  <c:v>68</c:v>
                </c:pt>
                <c:pt idx="347">
                  <c:v>68</c:v>
                </c:pt>
                <c:pt idx="348">
                  <c:v>68</c:v>
                </c:pt>
                <c:pt idx="349">
                  <c:v>68</c:v>
                </c:pt>
                <c:pt idx="350">
                  <c:v>68</c:v>
                </c:pt>
                <c:pt idx="351">
                  <c:v>68</c:v>
                </c:pt>
                <c:pt idx="352">
                  <c:v>68</c:v>
                </c:pt>
                <c:pt idx="353">
                  <c:v>68</c:v>
                </c:pt>
                <c:pt idx="354">
                  <c:v>68</c:v>
                </c:pt>
                <c:pt idx="355">
                  <c:v>68</c:v>
                </c:pt>
                <c:pt idx="356">
                  <c:v>68</c:v>
                </c:pt>
                <c:pt idx="357">
                  <c:v>68</c:v>
                </c:pt>
                <c:pt idx="358">
                  <c:v>68</c:v>
                </c:pt>
                <c:pt idx="359">
                  <c:v>68</c:v>
                </c:pt>
                <c:pt idx="360">
                  <c:v>68</c:v>
                </c:pt>
                <c:pt idx="361">
                  <c:v>68</c:v>
                </c:pt>
                <c:pt idx="362">
                  <c:v>68</c:v>
                </c:pt>
                <c:pt idx="363">
                  <c:v>68</c:v>
                </c:pt>
                <c:pt idx="364">
                  <c:v>68</c:v>
                </c:pt>
                <c:pt idx="365">
                  <c:v>68</c:v>
                </c:pt>
                <c:pt idx="366">
                  <c:v>68</c:v>
                </c:pt>
                <c:pt idx="367">
                  <c:v>68</c:v>
                </c:pt>
                <c:pt idx="368">
                  <c:v>68</c:v>
                </c:pt>
                <c:pt idx="369">
                  <c:v>68</c:v>
                </c:pt>
                <c:pt idx="370">
                  <c:v>68</c:v>
                </c:pt>
                <c:pt idx="371">
                  <c:v>68</c:v>
                </c:pt>
                <c:pt idx="372">
                  <c:v>68</c:v>
                </c:pt>
                <c:pt idx="373">
                  <c:v>68</c:v>
                </c:pt>
                <c:pt idx="374">
                  <c:v>68</c:v>
                </c:pt>
                <c:pt idx="375">
                  <c:v>68</c:v>
                </c:pt>
                <c:pt idx="376">
                  <c:v>68</c:v>
                </c:pt>
                <c:pt idx="377">
                  <c:v>68</c:v>
                </c:pt>
                <c:pt idx="378">
                  <c:v>68</c:v>
                </c:pt>
                <c:pt idx="379">
                  <c:v>68</c:v>
                </c:pt>
                <c:pt idx="380">
                  <c:v>68</c:v>
                </c:pt>
                <c:pt idx="381">
                  <c:v>68</c:v>
                </c:pt>
                <c:pt idx="382">
                  <c:v>68</c:v>
                </c:pt>
                <c:pt idx="383">
                  <c:v>68</c:v>
                </c:pt>
                <c:pt idx="384">
                  <c:v>68</c:v>
                </c:pt>
                <c:pt idx="385">
                  <c:v>68</c:v>
                </c:pt>
                <c:pt idx="386">
                  <c:v>68</c:v>
                </c:pt>
                <c:pt idx="387">
                  <c:v>68</c:v>
                </c:pt>
                <c:pt idx="388">
                  <c:v>68</c:v>
                </c:pt>
                <c:pt idx="389">
                  <c:v>68</c:v>
                </c:pt>
                <c:pt idx="390">
                  <c:v>68</c:v>
                </c:pt>
                <c:pt idx="391">
                  <c:v>68</c:v>
                </c:pt>
                <c:pt idx="392">
                  <c:v>68</c:v>
                </c:pt>
                <c:pt idx="393">
                  <c:v>68</c:v>
                </c:pt>
                <c:pt idx="394">
                  <c:v>68</c:v>
                </c:pt>
                <c:pt idx="395">
                  <c:v>68</c:v>
                </c:pt>
                <c:pt idx="396">
                  <c:v>68</c:v>
                </c:pt>
                <c:pt idx="397">
                  <c:v>68</c:v>
                </c:pt>
                <c:pt idx="398">
                  <c:v>68</c:v>
                </c:pt>
                <c:pt idx="399">
                  <c:v>68</c:v>
                </c:pt>
                <c:pt idx="400">
                  <c:v>68</c:v>
                </c:pt>
                <c:pt idx="401">
                  <c:v>68</c:v>
                </c:pt>
                <c:pt idx="402">
                  <c:v>68</c:v>
                </c:pt>
                <c:pt idx="403">
                  <c:v>68</c:v>
                </c:pt>
                <c:pt idx="404">
                  <c:v>68</c:v>
                </c:pt>
                <c:pt idx="405">
                  <c:v>68</c:v>
                </c:pt>
                <c:pt idx="406">
                  <c:v>68</c:v>
                </c:pt>
                <c:pt idx="407">
                  <c:v>68</c:v>
                </c:pt>
                <c:pt idx="408">
                  <c:v>68</c:v>
                </c:pt>
                <c:pt idx="409">
                  <c:v>68</c:v>
                </c:pt>
                <c:pt idx="410">
                  <c:v>68</c:v>
                </c:pt>
                <c:pt idx="411">
                  <c:v>68</c:v>
                </c:pt>
                <c:pt idx="412">
                  <c:v>68</c:v>
                </c:pt>
                <c:pt idx="413">
                  <c:v>68</c:v>
                </c:pt>
                <c:pt idx="414">
                  <c:v>68</c:v>
                </c:pt>
                <c:pt idx="415">
                  <c:v>68</c:v>
                </c:pt>
                <c:pt idx="416">
                  <c:v>68</c:v>
                </c:pt>
                <c:pt idx="417">
                  <c:v>68</c:v>
                </c:pt>
                <c:pt idx="418">
                  <c:v>68</c:v>
                </c:pt>
                <c:pt idx="419">
                  <c:v>68</c:v>
                </c:pt>
                <c:pt idx="420">
                  <c:v>68</c:v>
                </c:pt>
                <c:pt idx="421">
                  <c:v>68</c:v>
                </c:pt>
                <c:pt idx="422">
                  <c:v>68</c:v>
                </c:pt>
                <c:pt idx="423">
                  <c:v>68</c:v>
                </c:pt>
                <c:pt idx="424">
                  <c:v>68</c:v>
                </c:pt>
                <c:pt idx="425">
                  <c:v>68</c:v>
                </c:pt>
                <c:pt idx="426">
                  <c:v>68</c:v>
                </c:pt>
                <c:pt idx="427">
                  <c:v>68</c:v>
                </c:pt>
                <c:pt idx="428">
                  <c:v>68</c:v>
                </c:pt>
                <c:pt idx="429">
                  <c:v>68</c:v>
                </c:pt>
                <c:pt idx="430">
                  <c:v>68</c:v>
                </c:pt>
                <c:pt idx="431">
                  <c:v>68</c:v>
                </c:pt>
                <c:pt idx="432">
                  <c:v>68</c:v>
                </c:pt>
                <c:pt idx="433">
                  <c:v>68</c:v>
                </c:pt>
                <c:pt idx="434">
                  <c:v>68</c:v>
                </c:pt>
                <c:pt idx="435">
                  <c:v>68</c:v>
                </c:pt>
                <c:pt idx="436">
                  <c:v>68</c:v>
                </c:pt>
                <c:pt idx="437">
                  <c:v>68</c:v>
                </c:pt>
                <c:pt idx="438">
                  <c:v>68</c:v>
                </c:pt>
                <c:pt idx="439">
                  <c:v>68</c:v>
                </c:pt>
                <c:pt idx="440">
                  <c:v>68</c:v>
                </c:pt>
                <c:pt idx="441">
                  <c:v>68</c:v>
                </c:pt>
                <c:pt idx="442">
                  <c:v>68</c:v>
                </c:pt>
                <c:pt idx="443">
                  <c:v>68</c:v>
                </c:pt>
                <c:pt idx="444">
                  <c:v>68</c:v>
                </c:pt>
                <c:pt idx="445">
                  <c:v>68</c:v>
                </c:pt>
                <c:pt idx="446">
                  <c:v>68</c:v>
                </c:pt>
                <c:pt idx="447">
                  <c:v>68</c:v>
                </c:pt>
                <c:pt idx="448">
                  <c:v>68</c:v>
                </c:pt>
                <c:pt idx="449">
                  <c:v>68</c:v>
                </c:pt>
                <c:pt idx="450">
                  <c:v>68</c:v>
                </c:pt>
                <c:pt idx="451">
                  <c:v>68</c:v>
                </c:pt>
                <c:pt idx="452">
                  <c:v>68</c:v>
                </c:pt>
                <c:pt idx="453">
                  <c:v>68</c:v>
                </c:pt>
                <c:pt idx="454">
                  <c:v>68</c:v>
                </c:pt>
                <c:pt idx="455">
                  <c:v>68</c:v>
                </c:pt>
                <c:pt idx="456">
                  <c:v>68</c:v>
                </c:pt>
                <c:pt idx="457">
                  <c:v>68</c:v>
                </c:pt>
                <c:pt idx="458">
                  <c:v>68</c:v>
                </c:pt>
                <c:pt idx="459">
                  <c:v>68</c:v>
                </c:pt>
                <c:pt idx="460">
                  <c:v>68</c:v>
                </c:pt>
                <c:pt idx="461">
                  <c:v>68</c:v>
                </c:pt>
                <c:pt idx="462">
                  <c:v>68</c:v>
                </c:pt>
                <c:pt idx="463">
                  <c:v>68</c:v>
                </c:pt>
                <c:pt idx="464">
                  <c:v>68</c:v>
                </c:pt>
                <c:pt idx="465">
                  <c:v>68</c:v>
                </c:pt>
                <c:pt idx="466">
                  <c:v>68</c:v>
                </c:pt>
                <c:pt idx="467">
                  <c:v>68</c:v>
                </c:pt>
                <c:pt idx="468">
                  <c:v>68</c:v>
                </c:pt>
                <c:pt idx="469">
                  <c:v>68</c:v>
                </c:pt>
                <c:pt idx="470">
                  <c:v>68</c:v>
                </c:pt>
                <c:pt idx="471">
                  <c:v>68</c:v>
                </c:pt>
                <c:pt idx="472">
                  <c:v>68</c:v>
                </c:pt>
                <c:pt idx="473">
                  <c:v>68</c:v>
                </c:pt>
                <c:pt idx="474">
                  <c:v>68</c:v>
                </c:pt>
                <c:pt idx="475">
                  <c:v>68</c:v>
                </c:pt>
                <c:pt idx="476">
                  <c:v>68</c:v>
                </c:pt>
                <c:pt idx="477">
                  <c:v>68</c:v>
                </c:pt>
                <c:pt idx="478">
                  <c:v>68</c:v>
                </c:pt>
                <c:pt idx="479">
                  <c:v>68</c:v>
                </c:pt>
                <c:pt idx="480">
                  <c:v>68</c:v>
                </c:pt>
                <c:pt idx="481">
                  <c:v>68</c:v>
                </c:pt>
                <c:pt idx="482">
                  <c:v>68</c:v>
                </c:pt>
                <c:pt idx="483">
                  <c:v>68</c:v>
                </c:pt>
                <c:pt idx="484">
                  <c:v>68</c:v>
                </c:pt>
                <c:pt idx="485">
                  <c:v>68</c:v>
                </c:pt>
                <c:pt idx="486">
                  <c:v>68</c:v>
                </c:pt>
                <c:pt idx="487">
                  <c:v>68</c:v>
                </c:pt>
                <c:pt idx="488">
                  <c:v>68</c:v>
                </c:pt>
                <c:pt idx="489">
                  <c:v>68</c:v>
                </c:pt>
                <c:pt idx="490">
                  <c:v>68</c:v>
                </c:pt>
                <c:pt idx="491">
                  <c:v>68</c:v>
                </c:pt>
                <c:pt idx="492">
                  <c:v>68</c:v>
                </c:pt>
                <c:pt idx="493">
                  <c:v>68</c:v>
                </c:pt>
                <c:pt idx="494">
                  <c:v>68</c:v>
                </c:pt>
                <c:pt idx="495">
                  <c:v>68</c:v>
                </c:pt>
                <c:pt idx="496">
                  <c:v>68</c:v>
                </c:pt>
                <c:pt idx="497">
                  <c:v>68</c:v>
                </c:pt>
                <c:pt idx="498">
                  <c:v>68</c:v>
                </c:pt>
                <c:pt idx="499">
                  <c:v>68</c:v>
                </c:pt>
                <c:pt idx="500">
                  <c:v>68</c:v>
                </c:pt>
                <c:pt idx="501">
                  <c:v>68</c:v>
                </c:pt>
                <c:pt idx="502">
                  <c:v>68</c:v>
                </c:pt>
                <c:pt idx="503">
                  <c:v>68</c:v>
                </c:pt>
                <c:pt idx="504">
                  <c:v>68</c:v>
                </c:pt>
                <c:pt idx="505">
                  <c:v>68</c:v>
                </c:pt>
                <c:pt idx="506">
                  <c:v>68</c:v>
                </c:pt>
                <c:pt idx="507">
                  <c:v>68</c:v>
                </c:pt>
                <c:pt idx="508">
                  <c:v>68</c:v>
                </c:pt>
                <c:pt idx="509">
                  <c:v>68</c:v>
                </c:pt>
                <c:pt idx="510">
                  <c:v>68</c:v>
                </c:pt>
                <c:pt idx="511">
                  <c:v>68</c:v>
                </c:pt>
                <c:pt idx="512">
                  <c:v>68</c:v>
                </c:pt>
                <c:pt idx="513">
                  <c:v>68</c:v>
                </c:pt>
                <c:pt idx="514">
                  <c:v>68</c:v>
                </c:pt>
                <c:pt idx="515">
                  <c:v>68</c:v>
                </c:pt>
                <c:pt idx="516">
                  <c:v>68</c:v>
                </c:pt>
                <c:pt idx="517">
                  <c:v>68</c:v>
                </c:pt>
                <c:pt idx="518">
                  <c:v>68</c:v>
                </c:pt>
                <c:pt idx="519">
                  <c:v>68</c:v>
                </c:pt>
                <c:pt idx="520">
                  <c:v>68</c:v>
                </c:pt>
                <c:pt idx="521">
                  <c:v>68</c:v>
                </c:pt>
                <c:pt idx="522">
                  <c:v>68</c:v>
                </c:pt>
                <c:pt idx="523">
                  <c:v>68</c:v>
                </c:pt>
                <c:pt idx="524">
                  <c:v>68</c:v>
                </c:pt>
                <c:pt idx="525">
                  <c:v>68</c:v>
                </c:pt>
                <c:pt idx="526">
                  <c:v>68</c:v>
                </c:pt>
                <c:pt idx="527">
                  <c:v>68</c:v>
                </c:pt>
                <c:pt idx="528">
                  <c:v>68</c:v>
                </c:pt>
                <c:pt idx="529">
                  <c:v>68</c:v>
                </c:pt>
                <c:pt idx="530">
                  <c:v>68</c:v>
                </c:pt>
                <c:pt idx="531">
                  <c:v>68</c:v>
                </c:pt>
                <c:pt idx="532">
                  <c:v>68</c:v>
                </c:pt>
                <c:pt idx="533">
                  <c:v>68</c:v>
                </c:pt>
                <c:pt idx="534">
                  <c:v>68</c:v>
                </c:pt>
                <c:pt idx="535">
                  <c:v>68</c:v>
                </c:pt>
                <c:pt idx="536">
                  <c:v>68</c:v>
                </c:pt>
                <c:pt idx="537">
                  <c:v>68</c:v>
                </c:pt>
                <c:pt idx="538">
                  <c:v>68</c:v>
                </c:pt>
                <c:pt idx="539">
                  <c:v>68</c:v>
                </c:pt>
                <c:pt idx="540">
                  <c:v>68</c:v>
                </c:pt>
                <c:pt idx="541">
                  <c:v>68</c:v>
                </c:pt>
                <c:pt idx="542">
                  <c:v>68</c:v>
                </c:pt>
                <c:pt idx="543">
                  <c:v>68</c:v>
                </c:pt>
                <c:pt idx="544">
                  <c:v>68</c:v>
                </c:pt>
                <c:pt idx="545">
                  <c:v>68</c:v>
                </c:pt>
                <c:pt idx="546">
                  <c:v>68</c:v>
                </c:pt>
                <c:pt idx="547">
                  <c:v>68</c:v>
                </c:pt>
                <c:pt idx="548">
                  <c:v>68</c:v>
                </c:pt>
                <c:pt idx="549">
                  <c:v>68</c:v>
                </c:pt>
                <c:pt idx="550">
                  <c:v>68</c:v>
                </c:pt>
                <c:pt idx="551">
                  <c:v>68</c:v>
                </c:pt>
                <c:pt idx="552">
                  <c:v>68</c:v>
                </c:pt>
                <c:pt idx="553">
                  <c:v>68</c:v>
                </c:pt>
                <c:pt idx="554">
                  <c:v>68</c:v>
                </c:pt>
                <c:pt idx="555">
                  <c:v>68</c:v>
                </c:pt>
                <c:pt idx="556">
                  <c:v>68</c:v>
                </c:pt>
                <c:pt idx="557">
                  <c:v>68</c:v>
                </c:pt>
                <c:pt idx="558">
                  <c:v>68</c:v>
                </c:pt>
                <c:pt idx="559">
                  <c:v>68</c:v>
                </c:pt>
                <c:pt idx="560">
                  <c:v>68</c:v>
                </c:pt>
                <c:pt idx="561">
                  <c:v>68</c:v>
                </c:pt>
                <c:pt idx="562">
                  <c:v>68</c:v>
                </c:pt>
                <c:pt idx="563">
                  <c:v>68</c:v>
                </c:pt>
                <c:pt idx="564">
                  <c:v>68</c:v>
                </c:pt>
                <c:pt idx="565">
                  <c:v>68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68</c:v>
                </c:pt>
                <c:pt idx="572">
                  <c:v>68</c:v>
                </c:pt>
                <c:pt idx="573">
                  <c:v>68</c:v>
                </c:pt>
                <c:pt idx="574">
                  <c:v>68</c:v>
                </c:pt>
                <c:pt idx="575">
                  <c:v>68</c:v>
                </c:pt>
                <c:pt idx="576">
                  <c:v>68</c:v>
                </c:pt>
                <c:pt idx="577">
                  <c:v>68</c:v>
                </c:pt>
                <c:pt idx="578">
                  <c:v>68</c:v>
                </c:pt>
                <c:pt idx="579">
                  <c:v>68</c:v>
                </c:pt>
                <c:pt idx="580">
                  <c:v>68</c:v>
                </c:pt>
                <c:pt idx="581">
                  <c:v>68</c:v>
                </c:pt>
                <c:pt idx="582">
                  <c:v>68</c:v>
                </c:pt>
                <c:pt idx="583">
                  <c:v>68</c:v>
                </c:pt>
                <c:pt idx="584">
                  <c:v>68</c:v>
                </c:pt>
                <c:pt idx="585">
                  <c:v>68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68</c:v>
                </c:pt>
                <c:pt idx="590">
                  <c:v>68</c:v>
                </c:pt>
                <c:pt idx="591">
                  <c:v>68</c:v>
                </c:pt>
                <c:pt idx="592">
                  <c:v>68</c:v>
                </c:pt>
                <c:pt idx="593">
                  <c:v>68</c:v>
                </c:pt>
                <c:pt idx="594">
                  <c:v>68</c:v>
                </c:pt>
                <c:pt idx="595">
                  <c:v>68</c:v>
                </c:pt>
                <c:pt idx="596">
                  <c:v>68</c:v>
                </c:pt>
                <c:pt idx="597">
                  <c:v>68</c:v>
                </c:pt>
                <c:pt idx="598">
                  <c:v>68</c:v>
                </c:pt>
                <c:pt idx="599">
                  <c:v>68</c:v>
                </c:pt>
                <c:pt idx="600">
                  <c:v>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0D9-4C12-9C59-1417E69F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42607"/>
        <c:axId val="1111558447"/>
      </c:scatterChart>
      <c:valAx>
        <c:axId val="1111542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58447"/>
        <c:crosses val="autoZero"/>
        <c:crossBetween val="midCat"/>
      </c:valAx>
      <c:valAx>
        <c:axId val="111155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26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'71'!$B$1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'71'!$A$2:$A$602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'71'!$B$2:$B$602</c:f>
              <c:numCache>
                <c:formatCode>General</c:formatCode>
                <c:ptCount val="601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  <c:pt idx="5">
                  <c:v>71</c:v>
                </c:pt>
                <c:pt idx="6">
                  <c:v>71</c:v>
                </c:pt>
                <c:pt idx="7">
                  <c:v>71</c:v>
                </c:pt>
                <c:pt idx="8">
                  <c:v>71</c:v>
                </c:pt>
                <c:pt idx="9">
                  <c:v>71</c:v>
                </c:pt>
                <c:pt idx="10">
                  <c:v>71</c:v>
                </c:pt>
                <c:pt idx="11">
                  <c:v>71</c:v>
                </c:pt>
                <c:pt idx="12">
                  <c:v>71</c:v>
                </c:pt>
                <c:pt idx="13">
                  <c:v>71</c:v>
                </c:pt>
                <c:pt idx="14">
                  <c:v>71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71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71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  <c:pt idx="43">
                  <c:v>71</c:v>
                </c:pt>
                <c:pt idx="44">
                  <c:v>71</c:v>
                </c:pt>
                <c:pt idx="45">
                  <c:v>71</c:v>
                </c:pt>
                <c:pt idx="46">
                  <c:v>71</c:v>
                </c:pt>
                <c:pt idx="47">
                  <c:v>71</c:v>
                </c:pt>
                <c:pt idx="48">
                  <c:v>71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71</c:v>
                </c:pt>
                <c:pt idx="53">
                  <c:v>71</c:v>
                </c:pt>
                <c:pt idx="54">
                  <c:v>71</c:v>
                </c:pt>
                <c:pt idx="55">
                  <c:v>71</c:v>
                </c:pt>
                <c:pt idx="56">
                  <c:v>71</c:v>
                </c:pt>
                <c:pt idx="57">
                  <c:v>71</c:v>
                </c:pt>
                <c:pt idx="58">
                  <c:v>71</c:v>
                </c:pt>
                <c:pt idx="59">
                  <c:v>71</c:v>
                </c:pt>
                <c:pt idx="60">
                  <c:v>71</c:v>
                </c:pt>
                <c:pt idx="61">
                  <c:v>71</c:v>
                </c:pt>
                <c:pt idx="62">
                  <c:v>71</c:v>
                </c:pt>
                <c:pt idx="63">
                  <c:v>71</c:v>
                </c:pt>
                <c:pt idx="64">
                  <c:v>71</c:v>
                </c:pt>
                <c:pt idx="65">
                  <c:v>71</c:v>
                </c:pt>
                <c:pt idx="66">
                  <c:v>71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71</c:v>
                </c:pt>
                <c:pt idx="71">
                  <c:v>71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71</c:v>
                </c:pt>
                <c:pt idx="79">
                  <c:v>71</c:v>
                </c:pt>
                <c:pt idx="80">
                  <c:v>71</c:v>
                </c:pt>
                <c:pt idx="81">
                  <c:v>71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71</c:v>
                </c:pt>
                <c:pt idx="86">
                  <c:v>71</c:v>
                </c:pt>
                <c:pt idx="87">
                  <c:v>71</c:v>
                </c:pt>
                <c:pt idx="88">
                  <c:v>71</c:v>
                </c:pt>
                <c:pt idx="89">
                  <c:v>71</c:v>
                </c:pt>
                <c:pt idx="90">
                  <c:v>71</c:v>
                </c:pt>
                <c:pt idx="91">
                  <c:v>71</c:v>
                </c:pt>
                <c:pt idx="92">
                  <c:v>71</c:v>
                </c:pt>
                <c:pt idx="93">
                  <c:v>71</c:v>
                </c:pt>
                <c:pt idx="94">
                  <c:v>71</c:v>
                </c:pt>
                <c:pt idx="95">
                  <c:v>71</c:v>
                </c:pt>
                <c:pt idx="96">
                  <c:v>71</c:v>
                </c:pt>
                <c:pt idx="97">
                  <c:v>71</c:v>
                </c:pt>
                <c:pt idx="98">
                  <c:v>71</c:v>
                </c:pt>
                <c:pt idx="99">
                  <c:v>71</c:v>
                </c:pt>
                <c:pt idx="100">
                  <c:v>71</c:v>
                </c:pt>
                <c:pt idx="101">
                  <c:v>71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71</c:v>
                </c:pt>
                <c:pt idx="106">
                  <c:v>71</c:v>
                </c:pt>
                <c:pt idx="107">
                  <c:v>71</c:v>
                </c:pt>
                <c:pt idx="108">
                  <c:v>71</c:v>
                </c:pt>
                <c:pt idx="109">
                  <c:v>71</c:v>
                </c:pt>
                <c:pt idx="110">
                  <c:v>71</c:v>
                </c:pt>
                <c:pt idx="111">
                  <c:v>71</c:v>
                </c:pt>
                <c:pt idx="112">
                  <c:v>71</c:v>
                </c:pt>
                <c:pt idx="113">
                  <c:v>71</c:v>
                </c:pt>
                <c:pt idx="114">
                  <c:v>71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71</c:v>
                </c:pt>
                <c:pt idx="121">
                  <c:v>71</c:v>
                </c:pt>
                <c:pt idx="122">
                  <c:v>71</c:v>
                </c:pt>
                <c:pt idx="123">
                  <c:v>71</c:v>
                </c:pt>
                <c:pt idx="124">
                  <c:v>71</c:v>
                </c:pt>
                <c:pt idx="125">
                  <c:v>71</c:v>
                </c:pt>
                <c:pt idx="126">
                  <c:v>71</c:v>
                </c:pt>
                <c:pt idx="127">
                  <c:v>71</c:v>
                </c:pt>
                <c:pt idx="128">
                  <c:v>71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71</c:v>
                </c:pt>
                <c:pt idx="135">
                  <c:v>71</c:v>
                </c:pt>
                <c:pt idx="136">
                  <c:v>71</c:v>
                </c:pt>
                <c:pt idx="137">
                  <c:v>71</c:v>
                </c:pt>
                <c:pt idx="138">
                  <c:v>71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71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71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71</c:v>
                </c:pt>
                <c:pt idx="155">
                  <c:v>71</c:v>
                </c:pt>
                <c:pt idx="156">
                  <c:v>71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71</c:v>
                </c:pt>
                <c:pt idx="167">
                  <c:v>71</c:v>
                </c:pt>
                <c:pt idx="168">
                  <c:v>71</c:v>
                </c:pt>
                <c:pt idx="169">
                  <c:v>71</c:v>
                </c:pt>
                <c:pt idx="170">
                  <c:v>71</c:v>
                </c:pt>
                <c:pt idx="171">
                  <c:v>71</c:v>
                </c:pt>
                <c:pt idx="172">
                  <c:v>71</c:v>
                </c:pt>
                <c:pt idx="173">
                  <c:v>71</c:v>
                </c:pt>
                <c:pt idx="174">
                  <c:v>71</c:v>
                </c:pt>
                <c:pt idx="175">
                  <c:v>71</c:v>
                </c:pt>
                <c:pt idx="176">
                  <c:v>71</c:v>
                </c:pt>
                <c:pt idx="177">
                  <c:v>71</c:v>
                </c:pt>
                <c:pt idx="178">
                  <c:v>71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</c:v>
                </c:pt>
                <c:pt idx="194">
                  <c:v>71</c:v>
                </c:pt>
                <c:pt idx="195">
                  <c:v>71</c:v>
                </c:pt>
                <c:pt idx="196">
                  <c:v>71</c:v>
                </c:pt>
                <c:pt idx="197">
                  <c:v>71</c:v>
                </c:pt>
                <c:pt idx="198">
                  <c:v>71</c:v>
                </c:pt>
                <c:pt idx="199">
                  <c:v>71</c:v>
                </c:pt>
                <c:pt idx="200">
                  <c:v>71</c:v>
                </c:pt>
                <c:pt idx="201">
                  <c:v>71</c:v>
                </c:pt>
                <c:pt idx="202">
                  <c:v>71</c:v>
                </c:pt>
                <c:pt idx="203">
                  <c:v>71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71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</c:v>
                </c:pt>
                <c:pt idx="216">
                  <c:v>71</c:v>
                </c:pt>
                <c:pt idx="217">
                  <c:v>71</c:v>
                </c:pt>
                <c:pt idx="218">
                  <c:v>71</c:v>
                </c:pt>
                <c:pt idx="219">
                  <c:v>71</c:v>
                </c:pt>
                <c:pt idx="220">
                  <c:v>71</c:v>
                </c:pt>
                <c:pt idx="221">
                  <c:v>71</c:v>
                </c:pt>
                <c:pt idx="222">
                  <c:v>71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71</c:v>
                </c:pt>
                <c:pt idx="231">
                  <c:v>71</c:v>
                </c:pt>
                <c:pt idx="232">
                  <c:v>71</c:v>
                </c:pt>
                <c:pt idx="233">
                  <c:v>71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71</c:v>
                </c:pt>
                <c:pt idx="241">
                  <c:v>71</c:v>
                </c:pt>
                <c:pt idx="242">
                  <c:v>71</c:v>
                </c:pt>
                <c:pt idx="243">
                  <c:v>71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71</c:v>
                </c:pt>
                <c:pt idx="248">
                  <c:v>71</c:v>
                </c:pt>
                <c:pt idx="249">
                  <c:v>71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71</c:v>
                </c:pt>
                <c:pt idx="256">
                  <c:v>71</c:v>
                </c:pt>
                <c:pt idx="257">
                  <c:v>71</c:v>
                </c:pt>
                <c:pt idx="258">
                  <c:v>71</c:v>
                </c:pt>
                <c:pt idx="259">
                  <c:v>71</c:v>
                </c:pt>
                <c:pt idx="260">
                  <c:v>71</c:v>
                </c:pt>
                <c:pt idx="261">
                  <c:v>71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71</c:v>
                </c:pt>
                <c:pt idx="289">
                  <c:v>71</c:v>
                </c:pt>
                <c:pt idx="290">
                  <c:v>71</c:v>
                </c:pt>
                <c:pt idx="291">
                  <c:v>71</c:v>
                </c:pt>
                <c:pt idx="292">
                  <c:v>71</c:v>
                </c:pt>
                <c:pt idx="293">
                  <c:v>71</c:v>
                </c:pt>
                <c:pt idx="294">
                  <c:v>71</c:v>
                </c:pt>
                <c:pt idx="295">
                  <c:v>71</c:v>
                </c:pt>
                <c:pt idx="296">
                  <c:v>71</c:v>
                </c:pt>
                <c:pt idx="297">
                  <c:v>71</c:v>
                </c:pt>
                <c:pt idx="298">
                  <c:v>71</c:v>
                </c:pt>
                <c:pt idx="299">
                  <c:v>71</c:v>
                </c:pt>
                <c:pt idx="300">
                  <c:v>71</c:v>
                </c:pt>
                <c:pt idx="301">
                  <c:v>71</c:v>
                </c:pt>
                <c:pt idx="302">
                  <c:v>71</c:v>
                </c:pt>
                <c:pt idx="303">
                  <c:v>71</c:v>
                </c:pt>
                <c:pt idx="304">
                  <c:v>71</c:v>
                </c:pt>
                <c:pt idx="305">
                  <c:v>71</c:v>
                </c:pt>
                <c:pt idx="306">
                  <c:v>71</c:v>
                </c:pt>
                <c:pt idx="307">
                  <c:v>71</c:v>
                </c:pt>
                <c:pt idx="308">
                  <c:v>71</c:v>
                </c:pt>
                <c:pt idx="309">
                  <c:v>71</c:v>
                </c:pt>
                <c:pt idx="310">
                  <c:v>71</c:v>
                </c:pt>
                <c:pt idx="311">
                  <c:v>71</c:v>
                </c:pt>
                <c:pt idx="312">
                  <c:v>71</c:v>
                </c:pt>
                <c:pt idx="313">
                  <c:v>71</c:v>
                </c:pt>
                <c:pt idx="314">
                  <c:v>71</c:v>
                </c:pt>
                <c:pt idx="315">
                  <c:v>71</c:v>
                </c:pt>
                <c:pt idx="316">
                  <c:v>71</c:v>
                </c:pt>
                <c:pt idx="317">
                  <c:v>71</c:v>
                </c:pt>
                <c:pt idx="318">
                  <c:v>71</c:v>
                </c:pt>
                <c:pt idx="319">
                  <c:v>71</c:v>
                </c:pt>
                <c:pt idx="320">
                  <c:v>71</c:v>
                </c:pt>
                <c:pt idx="321">
                  <c:v>71</c:v>
                </c:pt>
                <c:pt idx="322">
                  <c:v>71</c:v>
                </c:pt>
                <c:pt idx="323">
                  <c:v>71</c:v>
                </c:pt>
                <c:pt idx="324">
                  <c:v>71</c:v>
                </c:pt>
                <c:pt idx="325">
                  <c:v>71</c:v>
                </c:pt>
                <c:pt idx="326">
                  <c:v>71</c:v>
                </c:pt>
                <c:pt idx="327">
                  <c:v>71</c:v>
                </c:pt>
                <c:pt idx="328">
                  <c:v>71</c:v>
                </c:pt>
                <c:pt idx="329">
                  <c:v>71</c:v>
                </c:pt>
                <c:pt idx="330">
                  <c:v>71</c:v>
                </c:pt>
                <c:pt idx="331">
                  <c:v>71</c:v>
                </c:pt>
                <c:pt idx="332">
                  <c:v>71</c:v>
                </c:pt>
                <c:pt idx="333">
                  <c:v>71</c:v>
                </c:pt>
                <c:pt idx="334">
                  <c:v>71</c:v>
                </c:pt>
                <c:pt idx="335">
                  <c:v>71</c:v>
                </c:pt>
                <c:pt idx="336">
                  <c:v>71</c:v>
                </c:pt>
                <c:pt idx="337">
                  <c:v>71</c:v>
                </c:pt>
                <c:pt idx="338">
                  <c:v>71</c:v>
                </c:pt>
                <c:pt idx="339">
                  <c:v>71</c:v>
                </c:pt>
                <c:pt idx="340">
                  <c:v>71</c:v>
                </c:pt>
                <c:pt idx="341">
                  <c:v>71</c:v>
                </c:pt>
                <c:pt idx="342">
                  <c:v>71</c:v>
                </c:pt>
                <c:pt idx="343">
                  <c:v>71</c:v>
                </c:pt>
                <c:pt idx="344">
                  <c:v>71</c:v>
                </c:pt>
                <c:pt idx="345">
                  <c:v>71</c:v>
                </c:pt>
                <c:pt idx="346">
                  <c:v>71</c:v>
                </c:pt>
                <c:pt idx="347">
                  <c:v>71</c:v>
                </c:pt>
                <c:pt idx="348">
                  <c:v>71</c:v>
                </c:pt>
                <c:pt idx="349">
                  <c:v>71</c:v>
                </c:pt>
                <c:pt idx="350">
                  <c:v>71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71</c:v>
                </c:pt>
                <c:pt idx="358">
                  <c:v>71</c:v>
                </c:pt>
                <c:pt idx="359">
                  <c:v>71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71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71</c:v>
                </c:pt>
                <c:pt idx="372">
                  <c:v>71</c:v>
                </c:pt>
                <c:pt idx="373">
                  <c:v>71</c:v>
                </c:pt>
                <c:pt idx="374">
                  <c:v>71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71</c:v>
                </c:pt>
                <c:pt idx="379">
                  <c:v>71</c:v>
                </c:pt>
                <c:pt idx="380">
                  <c:v>71</c:v>
                </c:pt>
                <c:pt idx="381">
                  <c:v>71</c:v>
                </c:pt>
                <c:pt idx="382">
                  <c:v>71</c:v>
                </c:pt>
                <c:pt idx="383">
                  <c:v>71</c:v>
                </c:pt>
                <c:pt idx="384">
                  <c:v>71</c:v>
                </c:pt>
                <c:pt idx="385">
                  <c:v>71</c:v>
                </c:pt>
                <c:pt idx="386">
                  <c:v>71</c:v>
                </c:pt>
                <c:pt idx="387">
                  <c:v>71</c:v>
                </c:pt>
                <c:pt idx="388">
                  <c:v>71</c:v>
                </c:pt>
                <c:pt idx="389">
                  <c:v>71</c:v>
                </c:pt>
                <c:pt idx="390">
                  <c:v>71</c:v>
                </c:pt>
                <c:pt idx="391">
                  <c:v>71</c:v>
                </c:pt>
                <c:pt idx="392">
                  <c:v>71</c:v>
                </c:pt>
                <c:pt idx="393">
                  <c:v>71</c:v>
                </c:pt>
                <c:pt idx="394">
                  <c:v>71</c:v>
                </c:pt>
                <c:pt idx="395">
                  <c:v>71</c:v>
                </c:pt>
                <c:pt idx="396">
                  <c:v>71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71</c:v>
                </c:pt>
                <c:pt idx="401">
                  <c:v>71</c:v>
                </c:pt>
                <c:pt idx="402">
                  <c:v>71</c:v>
                </c:pt>
                <c:pt idx="403">
                  <c:v>71</c:v>
                </c:pt>
                <c:pt idx="404">
                  <c:v>71</c:v>
                </c:pt>
                <c:pt idx="405">
                  <c:v>71</c:v>
                </c:pt>
                <c:pt idx="406">
                  <c:v>71</c:v>
                </c:pt>
                <c:pt idx="407">
                  <c:v>71</c:v>
                </c:pt>
                <c:pt idx="408">
                  <c:v>71</c:v>
                </c:pt>
                <c:pt idx="409">
                  <c:v>71</c:v>
                </c:pt>
                <c:pt idx="410">
                  <c:v>71</c:v>
                </c:pt>
                <c:pt idx="411">
                  <c:v>71</c:v>
                </c:pt>
                <c:pt idx="412">
                  <c:v>71</c:v>
                </c:pt>
                <c:pt idx="413">
                  <c:v>71</c:v>
                </c:pt>
                <c:pt idx="414">
                  <c:v>71</c:v>
                </c:pt>
                <c:pt idx="415">
                  <c:v>71</c:v>
                </c:pt>
                <c:pt idx="416">
                  <c:v>71</c:v>
                </c:pt>
                <c:pt idx="417">
                  <c:v>71</c:v>
                </c:pt>
                <c:pt idx="418">
                  <c:v>71</c:v>
                </c:pt>
                <c:pt idx="419">
                  <c:v>71</c:v>
                </c:pt>
                <c:pt idx="420">
                  <c:v>71</c:v>
                </c:pt>
                <c:pt idx="421">
                  <c:v>71</c:v>
                </c:pt>
                <c:pt idx="422">
                  <c:v>71</c:v>
                </c:pt>
                <c:pt idx="423">
                  <c:v>71</c:v>
                </c:pt>
                <c:pt idx="424">
                  <c:v>71</c:v>
                </c:pt>
                <c:pt idx="425">
                  <c:v>71</c:v>
                </c:pt>
                <c:pt idx="426">
                  <c:v>71</c:v>
                </c:pt>
                <c:pt idx="427">
                  <c:v>71</c:v>
                </c:pt>
                <c:pt idx="428">
                  <c:v>71</c:v>
                </c:pt>
                <c:pt idx="429">
                  <c:v>71</c:v>
                </c:pt>
                <c:pt idx="430">
                  <c:v>71</c:v>
                </c:pt>
                <c:pt idx="431">
                  <c:v>71</c:v>
                </c:pt>
                <c:pt idx="432">
                  <c:v>71</c:v>
                </c:pt>
                <c:pt idx="433">
                  <c:v>71</c:v>
                </c:pt>
                <c:pt idx="434">
                  <c:v>71</c:v>
                </c:pt>
                <c:pt idx="435">
                  <c:v>71</c:v>
                </c:pt>
                <c:pt idx="436">
                  <c:v>71</c:v>
                </c:pt>
                <c:pt idx="437">
                  <c:v>71</c:v>
                </c:pt>
                <c:pt idx="438">
                  <c:v>71</c:v>
                </c:pt>
                <c:pt idx="439">
                  <c:v>71</c:v>
                </c:pt>
                <c:pt idx="440">
                  <c:v>71</c:v>
                </c:pt>
                <c:pt idx="441">
                  <c:v>71</c:v>
                </c:pt>
                <c:pt idx="442">
                  <c:v>71</c:v>
                </c:pt>
                <c:pt idx="443">
                  <c:v>71</c:v>
                </c:pt>
                <c:pt idx="444">
                  <c:v>71</c:v>
                </c:pt>
                <c:pt idx="445">
                  <c:v>71</c:v>
                </c:pt>
                <c:pt idx="446">
                  <c:v>71</c:v>
                </c:pt>
                <c:pt idx="447">
                  <c:v>71</c:v>
                </c:pt>
                <c:pt idx="448">
                  <c:v>71</c:v>
                </c:pt>
                <c:pt idx="449">
                  <c:v>71</c:v>
                </c:pt>
                <c:pt idx="450">
                  <c:v>71</c:v>
                </c:pt>
                <c:pt idx="451">
                  <c:v>71</c:v>
                </c:pt>
                <c:pt idx="452">
                  <c:v>71</c:v>
                </c:pt>
                <c:pt idx="453">
                  <c:v>71</c:v>
                </c:pt>
                <c:pt idx="454">
                  <c:v>71</c:v>
                </c:pt>
                <c:pt idx="455">
                  <c:v>71</c:v>
                </c:pt>
                <c:pt idx="456">
                  <c:v>71</c:v>
                </c:pt>
                <c:pt idx="457">
                  <c:v>71</c:v>
                </c:pt>
                <c:pt idx="458">
                  <c:v>71</c:v>
                </c:pt>
                <c:pt idx="459">
                  <c:v>71</c:v>
                </c:pt>
                <c:pt idx="460">
                  <c:v>71</c:v>
                </c:pt>
                <c:pt idx="461">
                  <c:v>71</c:v>
                </c:pt>
                <c:pt idx="462">
                  <c:v>71</c:v>
                </c:pt>
                <c:pt idx="463">
                  <c:v>71</c:v>
                </c:pt>
                <c:pt idx="464">
                  <c:v>71</c:v>
                </c:pt>
                <c:pt idx="465">
                  <c:v>71</c:v>
                </c:pt>
                <c:pt idx="466">
                  <c:v>71</c:v>
                </c:pt>
                <c:pt idx="467">
                  <c:v>71</c:v>
                </c:pt>
                <c:pt idx="468">
                  <c:v>71</c:v>
                </c:pt>
                <c:pt idx="469">
                  <c:v>71</c:v>
                </c:pt>
                <c:pt idx="470">
                  <c:v>71</c:v>
                </c:pt>
                <c:pt idx="471">
                  <c:v>71</c:v>
                </c:pt>
                <c:pt idx="472">
                  <c:v>71</c:v>
                </c:pt>
                <c:pt idx="473">
                  <c:v>71</c:v>
                </c:pt>
                <c:pt idx="474">
                  <c:v>71</c:v>
                </c:pt>
                <c:pt idx="475">
                  <c:v>71</c:v>
                </c:pt>
                <c:pt idx="476">
                  <c:v>71</c:v>
                </c:pt>
                <c:pt idx="477">
                  <c:v>71</c:v>
                </c:pt>
                <c:pt idx="478">
                  <c:v>71</c:v>
                </c:pt>
                <c:pt idx="479">
                  <c:v>71</c:v>
                </c:pt>
                <c:pt idx="480">
                  <c:v>71</c:v>
                </c:pt>
                <c:pt idx="481">
                  <c:v>71</c:v>
                </c:pt>
                <c:pt idx="482">
                  <c:v>71</c:v>
                </c:pt>
                <c:pt idx="483">
                  <c:v>71</c:v>
                </c:pt>
                <c:pt idx="484">
                  <c:v>71</c:v>
                </c:pt>
                <c:pt idx="485">
                  <c:v>71</c:v>
                </c:pt>
                <c:pt idx="486">
                  <c:v>71</c:v>
                </c:pt>
                <c:pt idx="487">
                  <c:v>71</c:v>
                </c:pt>
                <c:pt idx="488">
                  <c:v>71</c:v>
                </c:pt>
                <c:pt idx="489">
                  <c:v>71</c:v>
                </c:pt>
                <c:pt idx="490">
                  <c:v>71</c:v>
                </c:pt>
                <c:pt idx="491">
                  <c:v>71</c:v>
                </c:pt>
                <c:pt idx="492">
                  <c:v>71</c:v>
                </c:pt>
                <c:pt idx="493">
                  <c:v>71</c:v>
                </c:pt>
                <c:pt idx="494">
                  <c:v>71</c:v>
                </c:pt>
                <c:pt idx="495">
                  <c:v>71</c:v>
                </c:pt>
                <c:pt idx="496">
                  <c:v>71</c:v>
                </c:pt>
                <c:pt idx="497">
                  <c:v>71</c:v>
                </c:pt>
                <c:pt idx="498">
                  <c:v>71</c:v>
                </c:pt>
                <c:pt idx="499">
                  <c:v>71</c:v>
                </c:pt>
                <c:pt idx="500">
                  <c:v>71</c:v>
                </c:pt>
                <c:pt idx="501">
                  <c:v>71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</c:v>
                </c:pt>
                <c:pt idx="506">
                  <c:v>71</c:v>
                </c:pt>
                <c:pt idx="507">
                  <c:v>71</c:v>
                </c:pt>
                <c:pt idx="508">
                  <c:v>71</c:v>
                </c:pt>
                <c:pt idx="509">
                  <c:v>71</c:v>
                </c:pt>
                <c:pt idx="510">
                  <c:v>71</c:v>
                </c:pt>
                <c:pt idx="511">
                  <c:v>71</c:v>
                </c:pt>
                <c:pt idx="512">
                  <c:v>71</c:v>
                </c:pt>
                <c:pt idx="513">
                  <c:v>71</c:v>
                </c:pt>
                <c:pt idx="514">
                  <c:v>71</c:v>
                </c:pt>
                <c:pt idx="515">
                  <c:v>71</c:v>
                </c:pt>
                <c:pt idx="516">
                  <c:v>71</c:v>
                </c:pt>
                <c:pt idx="517">
                  <c:v>71</c:v>
                </c:pt>
                <c:pt idx="518">
                  <c:v>71</c:v>
                </c:pt>
                <c:pt idx="519">
                  <c:v>71</c:v>
                </c:pt>
                <c:pt idx="520">
                  <c:v>71</c:v>
                </c:pt>
                <c:pt idx="521">
                  <c:v>71</c:v>
                </c:pt>
                <c:pt idx="522">
                  <c:v>71</c:v>
                </c:pt>
                <c:pt idx="523">
                  <c:v>71</c:v>
                </c:pt>
                <c:pt idx="524">
                  <c:v>71</c:v>
                </c:pt>
                <c:pt idx="525">
                  <c:v>71</c:v>
                </c:pt>
                <c:pt idx="526">
                  <c:v>71</c:v>
                </c:pt>
                <c:pt idx="527">
                  <c:v>71</c:v>
                </c:pt>
                <c:pt idx="528">
                  <c:v>71</c:v>
                </c:pt>
                <c:pt idx="529">
                  <c:v>71</c:v>
                </c:pt>
                <c:pt idx="530">
                  <c:v>71</c:v>
                </c:pt>
                <c:pt idx="531">
                  <c:v>71</c:v>
                </c:pt>
                <c:pt idx="532">
                  <c:v>71</c:v>
                </c:pt>
                <c:pt idx="533">
                  <c:v>71</c:v>
                </c:pt>
                <c:pt idx="534">
                  <c:v>71</c:v>
                </c:pt>
                <c:pt idx="535">
                  <c:v>71</c:v>
                </c:pt>
                <c:pt idx="536">
                  <c:v>71</c:v>
                </c:pt>
                <c:pt idx="537">
                  <c:v>71</c:v>
                </c:pt>
                <c:pt idx="538">
                  <c:v>71</c:v>
                </c:pt>
                <c:pt idx="539">
                  <c:v>71</c:v>
                </c:pt>
                <c:pt idx="540">
                  <c:v>71</c:v>
                </c:pt>
                <c:pt idx="541">
                  <c:v>71</c:v>
                </c:pt>
                <c:pt idx="542">
                  <c:v>71</c:v>
                </c:pt>
                <c:pt idx="543">
                  <c:v>71</c:v>
                </c:pt>
                <c:pt idx="544">
                  <c:v>71</c:v>
                </c:pt>
                <c:pt idx="545">
                  <c:v>71</c:v>
                </c:pt>
                <c:pt idx="546">
                  <c:v>71</c:v>
                </c:pt>
                <c:pt idx="547">
                  <c:v>71</c:v>
                </c:pt>
                <c:pt idx="548">
                  <c:v>71</c:v>
                </c:pt>
                <c:pt idx="549">
                  <c:v>71</c:v>
                </c:pt>
                <c:pt idx="550">
                  <c:v>71</c:v>
                </c:pt>
                <c:pt idx="551">
                  <c:v>71</c:v>
                </c:pt>
                <c:pt idx="552">
                  <c:v>71</c:v>
                </c:pt>
                <c:pt idx="553">
                  <c:v>71</c:v>
                </c:pt>
                <c:pt idx="554">
                  <c:v>71</c:v>
                </c:pt>
                <c:pt idx="555">
                  <c:v>71</c:v>
                </c:pt>
                <c:pt idx="556">
                  <c:v>71</c:v>
                </c:pt>
                <c:pt idx="557">
                  <c:v>71</c:v>
                </c:pt>
                <c:pt idx="558">
                  <c:v>71</c:v>
                </c:pt>
                <c:pt idx="559">
                  <c:v>71</c:v>
                </c:pt>
                <c:pt idx="560">
                  <c:v>71</c:v>
                </c:pt>
                <c:pt idx="561">
                  <c:v>71</c:v>
                </c:pt>
                <c:pt idx="562">
                  <c:v>71</c:v>
                </c:pt>
                <c:pt idx="563">
                  <c:v>71</c:v>
                </c:pt>
                <c:pt idx="564">
                  <c:v>71</c:v>
                </c:pt>
                <c:pt idx="565">
                  <c:v>71</c:v>
                </c:pt>
                <c:pt idx="566">
                  <c:v>71</c:v>
                </c:pt>
                <c:pt idx="567">
                  <c:v>71</c:v>
                </c:pt>
                <c:pt idx="568">
                  <c:v>71</c:v>
                </c:pt>
                <c:pt idx="569">
                  <c:v>71</c:v>
                </c:pt>
                <c:pt idx="570">
                  <c:v>71</c:v>
                </c:pt>
                <c:pt idx="571">
                  <c:v>71</c:v>
                </c:pt>
                <c:pt idx="572">
                  <c:v>71</c:v>
                </c:pt>
                <c:pt idx="573">
                  <c:v>71</c:v>
                </c:pt>
                <c:pt idx="574">
                  <c:v>71</c:v>
                </c:pt>
                <c:pt idx="575">
                  <c:v>71</c:v>
                </c:pt>
                <c:pt idx="576">
                  <c:v>71</c:v>
                </c:pt>
                <c:pt idx="577">
                  <c:v>71</c:v>
                </c:pt>
                <c:pt idx="578">
                  <c:v>71</c:v>
                </c:pt>
                <c:pt idx="579">
                  <c:v>71</c:v>
                </c:pt>
                <c:pt idx="580">
                  <c:v>71</c:v>
                </c:pt>
                <c:pt idx="581">
                  <c:v>71</c:v>
                </c:pt>
                <c:pt idx="582">
                  <c:v>71</c:v>
                </c:pt>
                <c:pt idx="583">
                  <c:v>71</c:v>
                </c:pt>
                <c:pt idx="584">
                  <c:v>71</c:v>
                </c:pt>
                <c:pt idx="585">
                  <c:v>71</c:v>
                </c:pt>
                <c:pt idx="586">
                  <c:v>71</c:v>
                </c:pt>
                <c:pt idx="587">
                  <c:v>71</c:v>
                </c:pt>
                <c:pt idx="588">
                  <c:v>71</c:v>
                </c:pt>
                <c:pt idx="589">
                  <c:v>71</c:v>
                </c:pt>
                <c:pt idx="590">
                  <c:v>71</c:v>
                </c:pt>
                <c:pt idx="591">
                  <c:v>71</c:v>
                </c:pt>
                <c:pt idx="592">
                  <c:v>71</c:v>
                </c:pt>
                <c:pt idx="593">
                  <c:v>71</c:v>
                </c:pt>
                <c:pt idx="594">
                  <c:v>71</c:v>
                </c:pt>
                <c:pt idx="595">
                  <c:v>71</c:v>
                </c:pt>
                <c:pt idx="596">
                  <c:v>71</c:v>
                </c:pt>
                <c:pt idx="597">
                  <c:v>71</c:v>
                </c:pt>
                <c:pt idx="598">
                  <c:v>71</c:v>
                </c:pt>
                <c:pt idx="599">
                  <c:v>71</c:v>
                </c:pt>
                <c:pt idx="600">
                  <c:v>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78-4F47-9B6B-6CEEA619CAAB}"/>
            </c:ext>
          </c:extLst>
        </c:ser>
        <c:ser>
          <c:idx val="1"/>
          <c:order val="1"/>
          <c:tx>
            <c:strRef>
              <c:f>'71'!$C$1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'71'!$A$2:$A$602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'71'!$C$2:$C$602</c:f>
              <c:numCache>
                <c:formatCode>General</c:formatCode>
                <c:ptCount val="601"/>
                <c:pt idx="0">
                  <c:v>27.97</c:v>
                </c:pt>
                <c:pt idx="1">
                  <c:v>28.02</c:v>
                </c:pt>
                <c:pt idx="2">
                  <c:v>28.1</c:v>
                </c:pt>
                <c:pt idx="3">
                  <c:v>28.16</c:v>
                </c:pt>
                <c:pt idx="4">
                  <c:v>28.14</c:v>
                </c:pt>
                <c:pt idx="5">
                  <c:v>28.24</c:v>
                </c:pt>
                <c:pt idx="6">
                  <c:v>28.35</c:v>
                </c:pt>
                <c:pt idx="7">
                  <c:v>28.57</c:v>
                </c:pt>
                <c:pt idx="8">
                  <c:v>28.85</c:v>
                </c:pt>
                <c:pt idx="9">
                  <c:v>29.13</c:v>
                </c:pt>
                <c:pt idx="10">
                  <c:v>29.46</c:v>
                </c:pt>
                <c:pt idx="11">
                  <c:v>29.84</c:v>
                </c:pt>
                <c:pt idx="12">
                  <c:v>30.3</c:v>
                </c:pt>
                <c:pt idx="13">
                  <c:v>30.74</c:v>
                </c:pt>
                <c:pt idx="14">
                  <c:v>31.25</c:v>
                </c:pt>
                <c:pt idx="15">
                  <c:v>31.72</c:v>
                </c:pt>
                <c:pt idx="16">
                  <c:v>32.24</c:v>
                </c:pt>
                <c:pt idx="17">
                  <c:v>32.799999999999997</c:v>
                </c:pt>
                <c:pt idx="18">
                  <c:v>33.31</c:v>
                </c:pt>
                <c:pt idx="19">
                  <c:v>33.840000000000003</c:v>
                </c:pt>
                <c:pt idx="20">
                  <c:v>34.340000000000003</c:v>
                </c:pt>
                <c:pt idx="21">
                  <c:v>34.86</c:v>
                </c:pt>
                <c:pt idx="22">
                  <c:v>35.39</c:v>
                </c:pt>
                <c:pt idx="23">
                  <c:v>35.880000000000003</c:v>
                </c:pt>
                <c:pt idx="24">
                  <c:v>36.4</c:v>
                </c:pt>
                <c:pt idx="25">
                  <c:v>36.869999999999997</c:v>
                </c:pt>
                <c:pt idx="26">
                  <c:v>37.4</c:v>
                </c:pt>
                <c:pt idx="27">
                  <c:v>37.880000000000003</c:v>
                </c:pt>
                <c:pt idx="28">
                  <c:v>38.36</c:v>
                </c:pt>
                <c:pt idx="29">
                  <c:v>38.86</c:v>
                </c:pt>
                <c:pt idx="30">
                  <c:v>39.32</c:v>
                </c:pt>
                <c:pt idx="31">
                  <c:v>39.81</c:v>
                </c:pt>
                <c:pt idx="32">
                  <c:v>40.340000000000003</c:v>
                </c:pt>
                <c:pt idx="33">
                  <c:v>40.770000000000003</c:v>
                </c:pt>
                <c:pt idx="34">
                  <c:v>41.26</c:v>
                </c:pt>
                <c:pt idx="35">
                  <c:v>41.7</c:v>
                </c:pt>
                <c:pt idx="36">
                  <c:v>42.13</c:v>
                </c:pt>
                <c:pt idx="37">
                  <c:v>42.62</c:v>
                </c:pt>
                <c:pt idx="38">
                  <c:v>43.04</c:v>
                </c:pt>
                <c:pt idx="39">
                  <c:v>43.5</c:v>
                </c:pt>
                <c:pt idx="40">
                  <c:v>43.97</c:v>
                </c:pt>
                <c:pt idx="41">
                  <c:v>44.39</c:v>
                </c:pt>
                <c:pt idx="42">
                  <c:v>44.81</c:v>
                </c:pt>
                <c:pt idx="43">
                  <c:v>45.24</c:v>
                </c:pt>
                <c:pt idx="44">
                  <c:v>45.64</c:v>
                </c:pt>
                <c:pt idx="45">
                  <c:v>46.08</c:v>
                </c:pt>
                <c:pt idx="46">
                  <c:v>46.53</c:v>
                </c:pt>
                <c:pt idx="47">
                  <c:v>46.96</c:v>
                </c:pt>
                <c:pt idx="48">
                  <c:v>47.36</c:v>
                </c:pt>
                <c:pt idx="49">
                  <c:v>47.73</c:v>
                </c:pt>
                <c:pt idx="50">
                  <c:v>48.18</c:v>
                </c:pt>
                <c:pt idx="51">
                  <c:v>48.62</c:v>
                </c:pt>
                <c:pt idx="52">
                  <c:v>48.98</c:v>
                </c:pt>
                <c:pt idx="53">
                  <c:v>49.44</c:v>
                </c:pt>
                <c:pt idx="54">
                  <c:v>49.81</c:v>
                </c:pt>
                <c:pt idx="55">
                  <c:v>50.2</c:v>
                </c:pt>
                <c:pt idx="56">
                  <c:v>50.62</c:v>
                </c:pt>
                <c:pt idx="57">
                  <c:v>51</c:v>
                </c:pt>
                <c:pt idx="58">
                  <c:v>51.37</c:v>
                </c:pt>
                <c:pt idx="59">
                  <c:v>51.77</c:v>
                </c:pt>
                <c:pt idx="60">
                  <c:v>52.12</c:v>
                </c:pt>
                <c:pt idx="61">
                  <c:v>52.54</c:v>
                </c:pt>
                <c:pt idx="62">
                  <c:v>52.85</c:v>
                </c:pt>
                <c:pt idx="63">
                  <c:v>53.28</c:v>
                </c:pt>
                <c:pt idx="64">
                  <c:v>53.59</c:v>
                </c:pt>
                <c:pt idx="65">
                  <c:v>54</c:v>
                </c:pt>
                <c:pt idx="66">
                  <c:v>54.35</c:v>
                </c:pt>
                <c:pt idx="67">
                  <c:v>54.71</c:v>
                </c:pt>
                <c:pt idx="68">
                  <c:v>55.04</c:v>
                </c:pt>
                <c:pt idx="69">
                  <c:v>55.35</c:v>
                </c:pt>
                <c:pt idx="70">
                  <c:v>55.73</c:v>
                </c:pt>
                <c:pt idx="71">
                  <c:v>56.09</c:v>
                </c:pt>
                <c:pt idx="72">
                  <c:v>56.41</c:v>
                </c:pt>
                <c:pt idx="73">
                  <c:v>56.74</c:v>
                </c:pt>
                <c:pt idx="74">
                  <c:v>57.08</c:v>
                </c:pt>
                <c:pt idx="75">
                  <c:v>57.42</c:v>
                </c:pt>
                <c:pt idx="76">
                  <c:v>57.75</c:v>
                </c:pt>
                <c:pt idx="77">
                  <c:v>58.09</c:v>
                </c:pt>
                <c:pt idx="78">
                  <c:v>58.42</c:v>
                </c:pt>
                <c:pt idx="79">
                  <c:v>58.74</c:v>
                </c:pt>
                <c:pt idx="80">
                  <c:v>59.03</c:v>
                </c:pt>
                <c:pt idx="81">
                  <c:v>59.34</c:v>
                </c:pt>
                <c:pt idx="82">
                  <c:v>59.65</c:v>
                </c:pt>
                <c:pt idx="83">
                  <c:v>59.93</c:v>
                </c:pt>
                <c:pt idx="84">
                  <c:v>60.28</c:v>
                </c:pt>
                <c:pt idx="85">
                  <c:v>60.57</c:v>
                </c:pt>
                <c:pt idx="86">
                  <c:v>60.84</c:v>
                </c:pt>
                <c:pt idx="87">
                  <c:v>61.14</c:v>
                </c:pt>
                <c:pt idx="88">
                  <c:v>61.45</c:v>
                </c:pt>
                <c:pt idx="89">
                  <c:v>61.73</c:v>
                </c:pt>
                <c:pt idx="90">
                  <c:v>62</c:v>
                </c:pt>
                <c:pt idx="91">
                  <c:v>62.3</c:v>
                </c:pt>
                <c:pt idx="92">
                  <c:v>62.55</c:v>
                </c:pt>
                <c:pt idx="93">
                  <c:v>62.81</c:v>
                </c:pt>
                <c:pt idx="94">
                  <c:v>63.12</c:v>
                </c:pt>
                <c:pt idx="95">
                  <c:v>63.45</c:v>
                </c:pt>
                <c:pt idx="96">
                  <c:v>63.71</c:v>
                </c:pt>
                <c:pt idx="97">
                  <c:v>63.98</c:v>
                </c:pt>
                <c:pt idx="98">
                  <c:v>64.23</c:v>
                </c:pt>
                <c:pt idx="99">
                  <c:v>64.540000000000006</c:v>
                </c:pt>
                <c:pt idx="100">
                  <c:v>64.81</c:v>
                </c:pt>
                <c:pt idx="101">
                  <c:v>65.08</c:v>
                </c:pt>
                <c:pt idx="102">
                  <c:v>65.31</c:v>
                </c:pt>
                <c:pt idx="103">
                  <c:v>65.569999999999993</c:v>
                </c:pt>
                <c:pt idx="104">
                  <c:v>65.84</c:v>
                </c:pt>
                <c:pt idx="105">
                  <c:v>66.06</c:v>
                </c:pt>
                <c:pt idx="106">
                  <c:v>66.31</c:v>
                </c:pt>
                <c:pt idx="107">
                  <c:v>66.59</c:v>
                </c:pt>
                <c:pt idx="108">
                  <c:v>66.819999999999993</c:v>
                </c:pt>
                <c:pt idx="109">
                  <c:v>67.05</c:v>
                </c:pt>
                <c:pt idx="110">
                  <c:v>67.25</c:v>
                </c:pt>
                <c:pt idx="111">
                  <c:v>67.510000000000005</c:v>
                </c:pt>
                <c:pt idx="112">
                  <c:v>67.75</c:v>
                </c:pt>
                <c:pt idx="113">
                  <c:v>67.989999999999995</c:v>
                </c:pt>
                <c:pt idx="114">
                  <c:v>68.19</c:v>
                </c:pt>
                <c:pt idx="115">
                  <c:v>68.400000000000006</c:v>
                </c:pt>
                <c:pt idx="116">
                  <c:v>68.680000000000007</c:v>
                </c:pt>
                <c:pt idx="117">
                  <c:v>68.86</c:v>
                </c:pt>
                <c:pt idx="118">
                  <c:v>69.150000000000006</c:v>
                </c:pt>
                <c:pt idx="119">
                  <c:v>69.319999999999993</c:v>
                </c:pt>
                <c:pt idx="120">
                  <c:v>69.510000000000005</c:v>
                </c:pt>
                <c:pt idx="121">
                  <c:v>69.7</c:v>
                </c:pt>
                <c:pt idx="122">
                  <c:v>69.930000000000007</c:v>
                </c:pt>
                <c:pt idx="123">
                  <c:v>70.09</c:v>
                </c:pt>
                <c:pt idx="124">
                  <c:v>70.33</c:v>
                </c:pt>
                <c:pt idx="125">
                  <c:v>70.48</c:v>
                </c:pt>
                <c:pt idx="126">
                  <c:v>70.69</c:v>
                </c:pt>
                <c:pt idx="127">
                  <c:v>70.87</c:v>
                </c:pt>
                <c:pt idx="128">
                  <c:v>71.08</c:v>
                </c:pt>
                <c:pt idx="129">
                  <c:v>71.260000000000005</c:v>
                </c:pt>
                <c:pt idx="130">
                  <c:v>71.44</c:v>
                </c:pt>
                <c:pt idx="131">
                  <c:v>71.56</c:v>
                </c:pt>
                <c:pt idx="132">
                  <c:v>71.78</c:v>
                </c:pt>
                <c:pt idx="133">
                  <c:v>71.83</c:v>
                </c:pt>
                <c:pt idx="134">
                  <c:v>72.010000000000005</c:v>
                </c:pt>
                <c:pt idx="135">
                  <c:v>72.040000000000006</c:v>
                </c:pt>
                <c:pt idx="136">
                  <c:v>72.099999999999994</c:v>
                </c:pt>
                <c:pt idx="137">
                  <c:v>72.11</c:v>
                </c:pt>
                <c:pt idx="138">
                  <c:v>72.150000000000006</c:v>
                </c:pt>
                <c:pt idx="139">
                  <c:v>72.040000000000006</c:v>
                </c:pt>
                <c:pt idx="140">
                  <c:v>71.930000000000007</c:v>
                </c:pt>
                <c:pt idx="141">
                  <c:v>71.83</c:v>
                </c:pt>
                <c:pt idx="142">
                  <c:v>71.67</c:v>
                </c:pt>
                <c:pt idx="143">
                  <c:v>71.459999999999994</c:v>
                </c:pt>
                <c:pt idx="144">
                  <c:v>71.290000000000006</c:v>
                </c:pt>
                <c:pt idx="145">
                  <c:v>71.069999999999993</c:v>
                </c:pt>
                <c:pt idx="146">
                  <c:v>70.849999999999994</c:v>
                </c:pt>
                <c:pt idx="147">
                  <c:v>70.69</c:v>
                </c:pt>
                <c:pt idx="148">
                  <c:v>70.489999999999995</c:v>
                </c:pt>
                <c:pt idx="149">
                  <c:v>70.42</c:v>
                </c:pt>
                <c:pt idx="150">
                  <c:v>70.319999999999993</c:v>
                </c:pt>
                <c:pt idx="151">
                  <c:v>70.23</c:v>
                </c:pt>
                <c:pt idx="152">
                  <c:v>70.16</c:v>
                </c:pt>
                <c:pt idx="153">
                  <c:v>70.22</c:v>
                </c:pt>
                <c:pt idx="154">
                  <c:v>70.19</c:v>
                </c:pt>
                <c:pt idx="155">
                  <c:v>70.23</c:v>
                </c:pt>
                <c:pt idx="156">
                  <c:v>70.25</c:v>
                </c:pt>
                <c:pt idx="157">
                  <c:v>70.3</c:v>
                </c:pt>
                <c:pt idx="158">
                  <c:v>70.36</c:v>
                </c:pt>
                <c:pt idx="159">
                  <c:v>70.52</c:v>
                </c:pt>
                <c:pt idx="160">
                  <c:v>70.61</c:v>
                </c:pt>
                <c:pt idx="161">
                  <c:v>70.75</c:v>
                </c:pt>
                <c:pt idx="162">
                  <c:v>70.849999999999994</c:v>
                </c:pt>
                <c:pt idx="163">
                  <c:v>70.98</c:v>
                </c:pt>
                <c:pt idx="164">
                  <c:v>71.069999999999993</c:v>
                </c:pt>
                <c:pt idx="165">
                  <c:v>71.17</c:v>
                </c:pt>
                <c:pt idx="166">
                  <c:v>71.33</c:v>
                </c:pt>
                <c:pt idx="167">
                  <c:v>71.400000000000006</c:v>
                </c:pt>
                <c:pt idx="168">
                  <c:v>71.52</c:v>
                </c:pt>
                <c:pt idx="169">
                  <c:v>71.489999999999995</c:v>
                </c:pt>
                <c:pt idx="170">
                  <c:v>71.61</c:v>
                </c:pt>
                <c:pt idx="171">
                  <c:v>71.709999999999994</c:v>
                </c:pt>
                <c:pt idx="172">
                  <c:v>71.67</c:v>
                </c:pt>
                <c:pt idx="173">
                  <c:v>71.739999999999995</c:v>
                </c:pt>
                <c:pt idx="174">
                  <c:v>71.739999999999995</c:v>
                </c:pt>
                <c:pt idx="175">
                  <c:v>71.73</c:v>
                </c:pt>
                <c:pt idx="176">
                  <c:v>71.67</c:v>
                </c:pt>
                <c:pt idx="177">
                  <c:v>71.67</c:v>
                </c:pt>
                <c:pt idx="178">
                  <c:v>71.62</c:v>
                </c:pt>
                <c:pt idx="179">
                  <c:v>71.56</c:v>
                </c:pt>
                <c:pt idx="180">
                  <c:v>71.45</c:v>
                </c:pt>
                <c:pt idx="181">
                  <c:v>71.349999999999994</c:v>
                </c:pt>
                <c:pt idx="182">
                  <c:v>71.23</c:v>
                </c:pt>
                <c:pt idx="183">
                  <c:v>71.209999999999994</c:v>
                </c:pt>
                <c:pt idx="184">
                  <c:v>71.13</c:v>
                </c:pt>
                <c:pt idx="185">
                  <c:v>71.040000000000006</c:v>
                </c:pt>
                <c:pt idx="186">
                  <c:v>70.97</c:v>
                </c:pt>
                <c:pt idx="187">
                  <c:v>70.88</c:v>
                </c:pt>
                <c:pt idx="188">
                  <c:v>70.86</c:v>
                </c:pt>
                <c:pt idx="189">
                  <c:v>70.86</c:v>
                </c:pt>
                <c:pt idx="190">
                  <c:v>70.84</c:v>
                </c:pt>
                <c:pt idx="191">
                  <c:v>70.83</c:v>
                </c:pt>
                <c:pt idx="192">
                  <c:v>70.88</c:v>
                </c:pt>
                <c:pt idx="193">
                  <c:v>70.87</c:v>
                </c:pt>
                <c:pt idx="194">
                  <c:v>70.900000000000006</c:v>
                </c:pt>
                <c:pt idx="195">
                  <c:v>71</c:v>
                </c:pt>
                <c:pt idx="196">
                  <c:v>70.98</c:v>
                </c:pt>
                <c:pt idx="197">
                  <c:v>71.09</c:v>
                </c:pt>
                <c:pt idx="198">
                  <c:v>71.08</c:v>
                </c:pt>
                <c:pt idx="199">
                  <c:v>71.13</c:v>
                </c:pt>
                <c:pt idx="200">
                  <c:v>71.19</c:v>
                </c:pt>
                <c:pt idx="201">
                  <c:v>71.3</c:v>
                </c:pt>
                <c:pt idx="202">
                  <c:v>71.34</c:v>
                </c:pt>
                <c:pt idx="203">
                  <c:v>71.39</c:v>
                </c:pt>
                <c:pt idx="204">
                  <c:v>71.45</c:v>
                </c:pt>
                <c:pt idx="205">
                  <c:v>71.47</c:v>
                </c:pt>
                <c:pt idx="206">
                  <c:v>71.5</c:v>
                </c:pt>
                <c:pt idx="207">
                  <c:v>71.569999999999993</c:v>
                </c:pt>
                <c:pt idx="208">
                  <c:v>71.62</c:v>
                </c:pt>
                <c:pt idx="209">
                  <c:v>71.540000000000006</c:v>
                </c:pt>
                <c:pt idx="210">
                  <c:v>71.650000000000006</c:v>
                </c:pt>
                <c:pt idx="211">
                  <c:v>71.62</c:v>
                </c:pt>
                <c:pt idx="212">
                  <c:v>71.599999999999994</c:v>
                </c:pt>
                <c:pt idx="213">
                  <c:v>71.55</c:v>
                </c:pt>
                <c:pt idx="214">
                  <c:v>71.59</c:v>
                </c:pt>
                <c:pt idx="215">
                  <c:v>71.48</c:v>
                </c:pt>
                <c:pt idx="216">
                  <c:v>71.47</c:v>
                </c:pt>
                <c:pt idx="217">
                  <c:v>71.37</c:v>
                </c:pt>
                <c:pt idx="218">
                  <c:v>71.37</c:v>
                </c:pt>
                <c:pt idx="219">
                  <c:v>71.28</c:v>
                </c:pt>
                <c:pt idx="220">
                  <c:v>71.25</c:v>
                </c:pt>
                <c:pt idx="221">
                  <c:v>71.17</c:v>
                </c:pt>
                <c:pt idx="222">
                  <c:v>71.099999999999994</c:v>
                </c:pt>
                <c:pt idx="223">
                  <c:v>71.06</c:v>
                </c:pt>
                <c:pt idx="224">
                  <c:v>71.069999999999993</c:v>
                </c:pt>
                <c:pt idx="225">
                  <c:v>71.040000000000006</c:v>
                </c:pt>
                <c:pt idx="226">
                  <c:v>71.069999999999993</c:v>
                </c:pt>
                <c:pt idx="227">
                  <c:v>71.05</c:v>
                </c:pt>
                <c:pt idx="228">
                  <c:v>71.02</c:v>
                </c:pt>
                <c:pt idx="229">
                  <c:v>71.069999999999993</c:v>
                </c:pt>
                <c:pt idx="230">
                  <c:v>71.08</c:v>
                </c:pt>
                <c:pt idx="231">
                  <c:v>71.12</c:v>
                </c:pt>
                <c:pt idx="232">
                  <c:v>71.13</c:v>
                </c:pt>
                <c:pt idx="233">
                  <c:v>71.12</c:v>
                </c:pt>
                <c:pt idx="234">
                  <c:v>71.17</c:v>
                </c:pt>
                <c:pt idx="235">
                  <c:v>71.209999999999994</c:v>
                </c:pt>
                <c:pt idx="236">
                  <c:v>71.19</c:v>
                </c:pt>
                <c:pt idx="237">
                  <c:v>71.260000000000005</c:v>
                </c:pt>
                <c:pt idx="238">
                  <c:v>71.290000000000006</c:v>
                </c:pt>
                <c:pt idx="239">
                  <c:v>71.34</c:v>
                </c:pt>
                <c:pt idx="240">
                  <c:v>71.37</c:v>
                </c:pt>
                <c:pt idx="241">
                  <c:v>71.400000000000006</c:v>
                </c:pt>
                <c:pt idx="242">
                  <c:v>71.44</c:v>
                </c:pt>
                <c:pt idx="243">
                  <c:v>71.42</c:v>
                </c:pt>
                <c:pt idx="244">
                  <c:v>71.45</c:v>
                </c:pt>
                <c:pt idx="245">
                  <c:v>71.42</c:v>
                </c:pt>
                <c:pt idx="246">
                  <c:v>71.430000000000007</c:v>
                </c:pt>
                <c:pt idx="247">
                  <c:v>71.45</c:v>
                </c:pt>
                <c:pt idx="248">
                  <c:v>71.489999999999995</c:v>
                </c:pt>
                <c:pt idx="249">
                  <c:v>71.459999999999994</c:v>
                </c:pt>
                <c:pt idx="250">
                  <c:v>71.459999999999994</c:v>
                </c:pt>
                <c:pt idx="251">
                  <c:v>71.39</c:v>
                </c:pt>
                <c:pt idx="252">
                  <c:v>71.44</c:v>
                </c:pt>
                <c:pt idx="253">
                  <c:v>71.349999999999994</c:v>
                </c:pt>
                <c:pt idx="254">
                  <c:v>71.42</c:v>
                </c:pt>
                <c:pt idx="255">
                  <c:v>71.34</c:v>
                </c:pt>
                <c:pt idx="256">
                  <c:v>71.33</c:v>
                </c:pt>
                <c:pt idx="257">
                  <c:v>71.34</c:v>
                </c:pt>
                <c:pt idx="258">
                  <c:v>71.28</c:v>
                </c:pt>
                <c:pt idx="259">
                  <c:v>71.28</c:v>
                </c:pt>
                <c:pt idx="260">
                  <c:v>71.239999999999995</c:v>
                </c:pt>
                <c:pt idx="261">
                  <c:v>71.260000000000005</c:v>
                </c:pt>
                <c:pt idx="262">
                  <c:v>71.239999999999995</c:v>
                </c:pt>
                <c:pt idx="263">
                  <c:v>71.2</c:v>
                </c:pt>
                <c:pt idx="264">
                  <c:v>71.23</c:v>
                </c:pt>
                <c:pt idx="265">
                  <c:v>71.209999999999994</c:v>
                </c:pt>
                <c:pt idx="266">
                  <c:v>71.22</c:v>
                </c:pt>
                <c:pt idx="267">
                  <c:v>71.23</c:v>
                </c:pt>
                <c:pt idx="268">
                  <c:v>71.23</c:v>
                </c:pt>
                <c:pt idx="269">
                  <c:v>71.27</c:v>
                </c:pt>
                <c:pt idx="270">
                  <c:v>71.2</c:v>
                </c:pt>
                <c:pt idx="271">
                  <c:v>71.260000000000005</c:v>
                </c:pt>
                <c:pt idx="272">
                  <c:v>71.260000000000005</c:v>
                </c:pt>
                <c:pt idx="273">
                  <c:v>71.27</c:v>
                </c:pt>
                <c:pt idx="274">
                  <c:v>71.31</c:v>
                </c:pt>
                <c:pt idx="275">
                  <c:v>71.290000000000006</c:v>
                </c:pt>
                <c:pt idx="276">
                  <c:v>71.28</c:v>
                </c:pt>
                <c:pt idx="277">
                  <c:v>71.36</c:v>
                </c:pt>
                <c:pt idx="278">
                  <c:v>71.34</c:v>
                </c:pt>
                <c:pt idx="279">
                  <c:v>71.38</c:v>
                </c:pt>
                <c:pt idx="280">
                  <c:v>71.319999999999993</c:v>
                </c:pt>
                <c:pt idx="281">
                  <c:v>71.33</c:v>
                </c:pt>
                <c:pt idx="282">
                  <c:v>71.37</c:v>
                </c:pt>
                <c:pt idx="283">
                  <c:v>71.33</c:v>
                </c:pt>
                <c:pt idx="284">
                  <c:v>71.33</c:v>
                </c:pt>
                <c:pt idx="285">
                  <c:v>71.38</c:v>
                </c:pt>
                <c:pt idx="286">
                  <c:v>71.37</c:v>
                </c:pt>
                <c:pt idx="287">
                  <c:v>71.36</c:v>
                </c:pt>
                <c:pt idx="288">
                  <c:v>71.28</c:v>
                </c:pt>
                <c:pt idx="289">
                  <c:v>71.3</c:v>
                </c:pt>
                <c:pt idx="290">
                  <c:v>71.34</c:v>
                </c:pt>
                <c:pt idx="291">
                  <c:v>71.319999999999993</c:v>
                </c:pt>
                <c:pt idx="292">
                  <c:v>71.27</c:v>
                </c:pt>
                <c:pt idx="293">
                  <c:v>71.33</c:v>
                </c:pt>
                <c:pt idx="294">
                  <c:v>71.33</c:v>
                </c:pt>
                <c:pt idx="295">
                  <c:v>71.34</c:v>
                </c:pt>
                <c:pt idx="296">
                  <c:v>71.27</c:v>
                </c:pt>
                <c:pt idx="297">
                  <c:v>71.349999999999994</c:v>
                </c:pt>
                <c:pt idx="298">
                  <c:v>71.36</c:v>
                </c:pt>
                <c:pt idx="299">
                  <c:v>71.33</c:v>
                </c:pt>
                <c:pt idx="300">
                  <c:v>71.34</c:v>
                </c:pt>
                <c:pt idx="301">
                  <c:v>71.34</c:v>
                </c:pt>
                <c:pt idx="302">
                  <c:v>71.349999999999994</c:v>
                </c:pt>
                <c:pt idx="303">
                  <c:v>71.349999999999994</c:v>
                </c:pt>
                <c:pt idx="304">
                  <c:v>71.349999999999994</c:v>
                </c:pt>
                <c:pt idx="305">
                  <c:v>71.27</c:v>
                </c:pt>
                <c:pt idx="306">
                  <c:v>71.37</c:v>
                </c:pt>
                <c:pt idx="307">
                  <c:v>71.319999999999993</c:v>
                </c:pt>
                <c:pt idx="308">
                  <c:v>71.319999999999993</c:v>
                </c:pt>
                <c:pt idx="309">
                  <c:v>71.36</c:v>
                </c:pt>
                <c:pt idx="310">
                  <c:v>71.33</c:v>
                </c:pt>
                <c:pt idx="311">
                  <c:v>71.319999999999993</c:v>
                </c:pt>
                <c:pt idx="312">
                  <c:v>71.290000000000006</c:v>
                </c:pt>
                <c:pt idx="313">
                  <c:v>71.33</c:v>
                </c:pt>
                <c:pt idx="314">
                  <c:v>71.28</c:v>
                </c:pt>
                <c:pt idx="315">
                  <c:v>71.290000000000006</c:v>
                </c:pt>
                <c:pt idx="316">
                  <c:v>71.349999999999994</c:v>
                </c:pt>
                <c:pt idx="317">
                  <c:v>71.290000000000006</c:v>
                </c:pt>
                <c:pt idx="318">
                  <c:v>71.38</c:v>
                </c:pt>
                <c:pt idx="319">
                  <c:v>71.37</c:v>
                </c:pt>
                <c:pt idx="320">
                  <c:v>71.27</c:v>
                </c:pt>
                <c:pt idx="321">
                  <c:v>71.33</c:v>
                </c:pt>
                <c:pt idx="322">
                  <c:v>71.290000000000006</c:v>
                </c:pt>
                <c:pt idx="323">
                  <c:v>71.27</c:v>
                </c:pt>
                <c:pt idx="324">
                  <c:v>71.33</c:v>
                </c:pt>
                <c:pt idx="325">
                  <c:v>71.28</c:v>
                </c:pt>
                <c:pt idx="326">
                  <c:v>71.27</c:v>
                </c:pt>
                <c:pt idx="327">
                  <c:v>71.28</c:v>
                </c:pt>
                <c:pt idx="328">
                  <c:v>71.34</c:v>
                </c:pt>
                <c:pt idx="329">
                  <c:v>71.33</c:v>
                </c:pt>
                <c:pt idx="330">
                  <c:v>71.34</c:v>
                </c:pt>
                <c:pt idx="331">
                  <c:v>71.290000000000006</c:v>
                </c:pt>
                <c:pt idx="332">
                  <c:v>71.349999999999994</c:v>
                </c:pt>
                <c:pt idx="333">
                  <c:v>71.290000000000006</c:v>
                </c:pt>
                <c:pt idx="334">
                  <c:v>71.37</c:v>
                </c:pt>
                <c:pt idx="335">
                  <c:v>71.31</c:v>
                </c:pt>
                <c:pt idx="336">
                  <c:v>71.31</c:v>
                </c:pt>
                <c:pt idx="337">
                  <c:v>71.39</c:v>
                </c:pt>
                <c:pt idx="338">
                  <c:v>71.33</c:v>
                </c:pt>
                <c:pt idx="339">
                  <c:v>71.34</c:v>
                </c:pt>
                <c:pt idx="340">
                  <c:v>71.38</c:v>
                </c:pt>
                <c:pt idx="341">
                  <c:v>71.36</c:v>
                </c:pt>
                <c:pt idx="342">
                  <c:v>71.349999999999994</c:v>
                </c:pt>
                <c:pt idx="343">
                  <c:v>71.34</c:v>
                </c:pt>
                <c:pt idx="344">
                  <c:v>71.33</c:v>
                </c:pt>
                <c:pt idx="345">
                  <c:v>71.319999999999993</c:v>
                </c:pt>
                <c:pt idx="346">
                  <c:v>71.36</c:v>
                </c:pt>
                <c:pt idx="347">
                  <c:v>71.349999999999994</c:v>
                </c:pt>
                <c:pt idx="348">
                  <c:v>71.37</c:v>
                </c:pt>
                <c:pt idx="349">
                  <c:v>71.38</c:v>
                </c:pt>
                <c:pt idx="350">
                  <c:v>71.37</c:v>
                </c:pt>
                <c:pt idx="351">
                  <c:v>71.349999999999994</c:v>
                </c:pt>
                <c:pt idx="352">
                  <c:v>71.31</c:v>
                </c:pt>
                <c:pt idx="353">
                  <c:v>71.28</c:v>
                </c:pt>
                <c:pt idx="354">
                  <c:v>71.27</c:v>
                </c:pt>
                <c:pt idx="355">
                  <c:v>71.33</c:v>
                </c:pt>
                <c:pt idx="356">
                  <c:v>71.27</c:v>
                </c:pt>
                <c:pt idx="357">
                  <c:v>71.31</c:v>
                </c:pt>
                <c:pt idx="358">
                  <c:v>71.290000000000006</c:v>
                </c:pt>
                <c:pt idx="359">
                  <c:v>71.290000000000006</c:v>
                </c:pt>
                <c:pt idx="360">
                  <c:v>71.31</c:v>
                </c:pt>
                <c:pt idx="361">
                  <c:v>71.290000000000006</c:v>
                </c:pt>
                <c:pt idx="362">
                  <c:v>71.31</c:v>
                </c:pt>
                <c:pt idx="363">
                  <c:v>71.25</c:v>
                </c:pt>
                <c:pt idx="364">
                  <c:v>71.260000000000005</c:v>
                </c:pt>
                <c:pt idx="365">
                  <c:v>71.31</c:v>
                </c:pt>
                <c:pt idx="366">
                  <c:v>71.290000000000006</c:v>
                </c:pt>
                <c:pt idx="367">
                  <c:v>71.27</c:v>
                </c:pt>
                <c:pt idx="368">
                  <c:v>71.319999999999993</c:v>
                </c:pt>
                <c:pt idx="369">
                  <c:v>71.319999999999993</c:v>
                </c:pt>
                <c:pt idx="370">
                  <c:v>71.27</c:v>
                </c:pt>
                <c:pt idx="371">
                  <c:v>71.3</c:v>
                </c:pt>
                <c:pt idx="372">
                  <c:v>71.34</c:v>
                </c:pt>
                <c:pt idx="373">
                  <c:v>71.34</c:v>
                </c:pt>
                <c:pt idx="374">
                  <c:v>71.349999999999994</c:v>
                </c:pt>
                <c:pt idx="375">
                  <c:v>71.33</c:v>
                </c:pt>
                <c:pt idx="376">
                  <c:v>71.36</c:v>
                </c:pt>
                <c:pt idx="377">
                  <c:v>71.28</c:v>
                </c:pt>
                <c:pt idx="378">
                  <c:v>71.37</c:v>
                </c:pt>
                <c:pt idx="379">
                  <c:v>71.319999999999993</c:v>
                </c:pt>
                <c:pt idx="380">
                  <c:v>71.39</c:v>
                </c:pt>
                <c:pt idx="381">
                  <c:v>71.260000000000005</c:v>
                </c:pt>
                <c:pt idx="382">
                  <c:v>71.37</c:v>
                </c:pt>
                <c:pt idx="383">
                  <c:v>71.239999999999995</c:v>
                </c:pt>
                <c:pt idx="384">
                  <c:v>71.44</c:v>
                </c:pt>
                <c:pt idx="385">
                  <c:v>71.239999999999995</c:v>
                </c:pt>
                <c:pt idx="386">
                  <c:v>71.44</c:v>
                </c:pt>
                <c:pt idx="387">
                  <c:v>71.23</c:v>
                </c:pt>
                <c:pt idx="388">
                  <c:v>71.37</c:v>
                </c:pt>
                <c:pt idx="389">
                  <c:v>71.2</c:v>
                </c:pt>
                <c:pt idx="390">
                  <c:v>71.42</c:v>
                </c:pt>
                <c:pt idx="391">
                  <c:v>71.16</c:v>
                </c:pt>
                <c:pt idx="392">
                  <c:v>71.37</c:v>
                </c:pt>
                <c:pt idx="393">
                  <c:v>71.16</c:v>
                </c:pt>
                <c:pt idx="394">
                  <c:v>71.42</c:v>
                </c:pt>
                <c:pt idx="395">
                  <c:v>71.180000000000007</c:v>
                </c:pt>
                <c:pt idx="396">
                  <c:v>71.31</c:v>
                </c:pt>
                <c:pt idx="397">
                  <c:v>71.2</c:v>
                </c:pt>
                <c:pt idx="398">
                  <c:v>71.25</c:v>
                </c:pt>
                <c:pt idx="399">
                  <c:v>71.19</c:v>
                </c:pt>
                <c:pt idx="400">
                  <c:v>71.290000000000006</c:v>
                </c:pt>
                <c:pt idx="401">
                  <c:v>71.16</c:v>
                </c:pt>
                <c:pt idx="402">
                  <c:v>71.239999999999995</c:v>
                </c:pt>
                <c:pt idx="403">
                  <c:v>71.23</c:v>
                </c:pt>
                <c:pt idx="404">
                  <c:v>71.19</c:v>
                </c:pt>
                <c:pt idx="405">
                  <c:v>71.27</c:v>
                </c:pt>
                <c:pt idx="406">
                  <c:v>71.22</c:v>
                </c:pt>
                <c:pt idx="407">
                  <c:v>71.290000000000006</c:v>
                </c:pt>
                <c:pt idx="408">
                  <c:v>71.3</c:v>
                </c:pt>
                <c:pt idx="409">
                  <c:v>71.27</c:v>
                </c:pt>
                <c:pt idx="410">
                  <c:v>71.31</c:v>
                </c:pt>
                <c:pt idx="411">
                  <c:v>71.290000000000006</c:v>
                </c:pt>
                <c:pt idx="412">
                  <c:v>71.349999999999994</c:v>
                </c:pt>
                <c:pt idx="413">
                  <c:v>71.31</c:v>
                </c:pt>
                <c:pt idx="414">
                  <c:v>71.39</c:v>
                </c:pt>
                <c:pt idx="415">
                  <c:v>71.34</c:v>
                </c:pt>
                <c:pt idx="416">
                  <c:v>71.42</c:v>
                </c:pt>
                <c:pt idx="417">
                  <c:v>71.430000000000007</c:v>
                </c:pt>
                <c:pt idx="418">
                  <c:v>71.44</c:v>
                </c:pt>
                <c:pt idx="419">
                  <c:v>71.47</c:v>
                </c:pt>
                <c:pt idx="420">
                  <c:v>71.44</c:v>
                </c:pt>
                <c:pt idx="421">
                  <c:v>71.45</c:v>
                </c:pt>
                <c:pt idx="422">
                  <c:v>71.41</c:v>
                </c:pt>
                <c:pt idx="423">
                  <c:v>71.41</c:v>
                </c:pt>
                <c:pt idx="424">
                  <c:v>71.42</c:v>
                </c:pt>
                <c:pt idx="425">
                  <c:v>71.400000000000006</c:v>
                </c:pt>
                <c:pt idx="426">
                  <c:v>71.39</c:v>
                </c:pt>
                <c:pt idx="427">
                  <c:v>71.37</c:v>
                </c:pt>
                <c:pt idx="428">
                  <c:v>71.31</c:v>
                </c:pt>
                <c:pt idx="429">
                  <c:v>71.349999999999994</c:v>
                </c:pt>
                <c:pt idx="430">
                  <c:v>71.34</c:v>
                </c:pt>
                <c:pt idx="431">
                  <c:v>71.34</c:v>
                </c:pt>
                <c:pt idx="432">
                  <c:v>71.28</c:v>
                </c:pt>
                <c:pt idx="433">
                  <c:v>71.31</c:v>
                </c:pt>
                <c:pt idx="434">
                  <c:v>71.3</c:v>
                </c:pt>
                <c:pt idx="435">
                  <c:v>71.3</c:v>
                </c:pt>
                <c:pt idx="436">
                  <c:v>71.290000000000006</c:v>
                </c:pt>
                <c:pt idx="437">
                  <c:v>71.290000000000006</c:v>
                </c:pt>
                <c:pt idx="438">
                  <c:v>71.25</c:v>
                </c:pt>
                <c:pt idx="439">
                  <c:v>71.3</c:v>
                </c:pt>
                <c:pt idx="440">
                  <c:v>71.23</c:v>
                </c:pt>
                <c:pt idx="441">
                  <c:v>71.23</c:v>
                </c:pt>
                <c:pt idx="442">
                  <c:v>71.27</c:v>
                </c:pt>
                <c:pt idx="443">
                  <c:v>71.290000000000006</c:v>
                </c:pt>
                <c:pt idx="444">
                  <c:v>71.27</c:v>
                </c:pt>
                <c:pt idx="445">
                  <c:v>71.319999999999993</c:v>
                </c:pt>
                <c:pt idx="446">
                  <c:v>71.34</c:v>
                </c:pt>
                <c:pt idx="447">
                  <c:v>71.290000000000006</c:v>
                </c:pt>
                <c:pt idx="448">
                  <c:v>71.31</c:v>
                </c:pt>
                <c:pt idx="449">
                  <c:v>71.36</c:v>
                </c:pt>
                <c:pt idx="450">
                  <c:v>71.34</c:v>
                </c:pt>
                <c:pt idx="451">
                  <c:v>71.31</c:v>
                </c:pt>
                <c:pt idx="452">
                  <c:v>71.38</c:v>
                </c:pt>
                <c:pt idx="453">
                  <c:v>71.33</c:v>
                </c:pt>
                <c:pt idx="454">
                  <c:v>71.36</c:v>
                </c:pt>
                <c:pt idx="455">
                  <c:v>71.42</c:v>
                </c:pt>
                <c:pt idx="456">
                  <c:v>71.38</c:v>
                </c:pt>
                <c:pt idx="457">
                  <c:v>71.42</c:v>
                </c:pt>
                <c:pt idx="458">
                  <c:v>71.42</c:v>
                </c:pt>
                <c:pt idx="459">
                  <c:v>71.36</c:v>
                </c:pt>
                <c:pt idx="460">
                  <c:v>71.36</c:v>
                </c:pt>
                <c:pt idx="461">
                  <c:v>71.39</c:v>
                </c:pt>
                <c:pt idx="462">
                  <c:v>71.349999999999994</c:v>
                </c:pt>
                <c:pt idx="463">
                  <c:v>71.39</c:v>
                </c:pt>
                <c:pt idx="464">
                  <c:v>71.31</c:v>
                </c:pt>
                <c:pt idx="465">
                  <c:v>71.36</c:v>
                </c:pt>
                <c:pt idx="466">
                  <c:v>71.37</c:v>
                </c:pt>
                <c:pt idx="467">
                  <c:v>71.31</c:v>
                </c:pt>
                <c:pt idx="468">
                  <c:v>71.349999999999994</c:v>
                </c:pt>
                <c:pt idx="469">
                  <c:v>71.349999999999994</c:v>
                </c:pt>
                <c:pt idx="470">
                  <c:v>71.31</c:v>
                </c:pt>
                <c:pt idx="471">
                  <c:v>71.3</c:v>
                </c:pt>
                <c:pt idx="472">
                  <c:v>71.33</c:v>
                </c:pt>
                <c:pt idx="473">
                  <c:v>71.290000000000006</c:v>
                </c:pt>
                <c:pt idx="474">
                  <c:v>71.27</c:v>
                </c:pt>
                <c:pt idx="475">
                  <c:v>71.260000000000005</c:v>
                </c:pt>
                <c:pt idx="476">
                  <c:v>71.31</c:v>
                </c:pt>
                <c:pt idx="477">
                  <c:v>71.239999999999995</c:v>
                </c:pt>
                <c:pt idx="478">
                  <c:v>71.260000000000005</c:v>
                </c:pt>
                <c:pt idx="479">
                  <c:v>71.290000000000006</c:v>
                </c:pt>
                <c:pt idx="480">
                  <c:v>71.3</c:v>
                </c:pt>
                <c:pt idx="481">
                  <c:v>71.260000000000005</c:v>
                </c:pt>
                <c:pt idx="482">
                  <c:v>71.28</c:v>
                </c:pt>
                <c:pt idx="483">
                  <c:v>71.33</c:v>
                </c:pt>
                <c:pt idx="484">
                  <c:v>71.290000000000006</c:v>
                </c:pt>
                <c:pt idx="485">
                  <c:v>71.290000000000006</c:v>
                </c:pt>
                <c:pt idx="486">
                  <c:v>71.349999999999994</c:v>
                </c:pt>
                <c:pt idx="487">
                  <c:v>71.37</c:v>
                </c:pt>
                <c:pt idx="488">
                  <c:v>71.42</c:v>
                </c:pt>
                <c:pt idx="489">
                  <c:v>71.39</c:v>
                </c:pt>
                <c:pt idx="490">
                  <c:v>71.41</c:v>
                </c:pt>
                <c:pt idx="491">
                  <c:v>71.349999999999994</c:v>
                </c:pt>
                <c:pt idx="492">
                  <c:v>71.37</c:v>
                </c:pt>
                <c:pt idx="493">
                  <c:v>71.37</c:v>
                </c:pt>
                <c:pt idx="494">
                  <c:v>71.36</c:v>
                </c:pt>
                <c:pt idx="495">
                  <c:v>71.39</c:v>
                </c:pt>
                <c:pt idx="496">
                  <c:v>71.36</c:v>
                </c:pt>
                <c:pt idx="497">
                  <c:v>71.39</c:v>
                </c:pt>
                <c:pt idx="498">
                  <c:v>71.400000000000006</c:v>
                </c:pt>
                <c:pt idx="499">
                  <c:v>71.38</c:v>
                </c:pt>
                <c:pt idx="500">
                  <c:v>71.39</c:v>
                </c:pt>
                <c:pt idx="501">
                  <c:v>71.319999999999993</c:v>
                </c:pt>
                <c:pt idx="502">
                  <c:v>71.33</c:v>
                </c:pt>
                <c:pt idx="503">
                  <c:v>71.31</c:v>
                </c:pt>
                <c:pt idx="504">
                  <c:v>71.349999999999994</c:v>
                </c:pt>
                <c:pt idx="505">
                  <c:v>71.34</c:v>
                </c:pt>
                <c:pt idx="506">
                  <c:v>71.319999999999993</c:v>
                </c:pt>
                <c:pt idx="507">
                  <c:v>71.319999999999993</c:v>
                </c:pt>
                <c:pt idx="508">
                  <c:v>71.27</c:v>
                </c:pt>
                <c:pt idx="509">
                  <c:v>71.31</c:v>
                </c:pt>
                <c:pt idx="510">
                  <c:v>71.290000000000006</c:v>
                </c:pt>
                <c:pt idx="511">
                  <c:v>71.27</c:v>
                </c:pt>
                <c:pt idx="512">
                  <c:v>71.25</c:v>
                </c:pt>
                <c:pt idx="513">
                  <c:v>71.319999999999993</c:v>
                </c:pt>
                <c:pt idx="514">
                  <c:v>71.31</c:v>
                </c:pt>
                <c:pt idx="515">
                  <c:v>71.319999999999993</c:v>
                </c:pt>
                <c:pt idx="516">
                  <c:v>71.33</c:v>
                </c:pt>
                <c:pt idx="517">
                  <c:v>71.3</c:v>
                </c:pt>
                <c:pt idx="518">
                  <c:v>71.27</c:v>
                </c:pt>
                <c:pt idx="519">
                  <c:v>71.3</c:v>
                </c:pt>
                <c:pt idx="520">
                  <c:v>71.349999999999994</c:v>
                </c:pt>
                <c:pt idx="521">
                  <c:v>71.33</c:v>
                </c:pt>
                <c:pt idx="522">
                  <c:v>71.290000000000006</c:v>
                </c:pt>
                <c:pt idx="523">
                  <c:v>71.349999999999994</c:v>
                </c:pt>
                <c:pt idx="524">
                  <c:v>71.349999999999994</c:v>
                </c:pt>
                <c:pt idx="525">
                  <c:v>71.36</c:v>
                </c:pt>
                <c:pt idx="526">
                  <c:v>71.37</c:v>
                </c:pt>
                <c:pt idx="527">
                  <c:v>71.319999999999993</c:v>
                </c:pt>
                <c:pt idx="528">
                  <c:v>71.36</c:v>
                </c:pt>
                <c:pt idx="529">
                  <c:v>71.349999999999994</c:v>
                </c:pt>
                <c:pt idx="530">
                  <c:v>71.34</c:v>
                </c:pt>
                <c:pt idx="531">
                  <c:v>71.349999999999994</c:v>
                </c:pt>
                <c:pt idx="532">
                  <c:v>71.37</c:v>
                </c:pt>
                <c:pt idx="533">
                  <c:v>71.36</c:v>
                </c:pt>
                <c:pt idx="534">
                  <c:v>71.34</c:v>
                </c:pt>
                <c:pt idx="535">
                  <c:v>71.34</c:v>
                </c:pt>
                <c:pt idx="536">
                  <c:v>71.33</c:v>
                </c:pt>
                <c:pt idx="537">
                  <c:v>71.33</c:v>
                </c:pt>
                <c:pt idx="538">
                  <c:v>71.319999999999993</c:v>
                </c:pt>
                <c:pt idx="539">
                  <c:v>71.319999999999993</c:v>
                </c:pt>
                <c:pt idx="540">
                  <c:v>71.34</c:v>
                </c:pt>
                <c:pt idx="541">
                  <c:v>71.319999999999993</c:v>
                </c:pt>
                <c:pt idx="542">
                  <c:v>71.31</c:v>
                </c:pt>
                <c:pt idx="543">
                  <c:v>71.33</c:v>
                </c:pt>
                <c:pt idx="544">
                  <c:v>71.31</c:v>
                </c:pt>
                <c:pt idx="545">
                  <c:v>71.319999999999993</c:v>
                </c:pt>
                <c:pt idx="546">
                  <c:v>71.31</c:v>
                </c:pt>
                <c:pt idx="547">
                  <c:v>71.28</c:v>
                </c:pt>
                <c:pt idx="548">
                  <c:v>71.25</c:v>
                </c:pt>
                <c:pt idx="549">
                  <c:v>71.33</c:v>
                </c:pt>
                <c:pt idx="550">
                  <c:v>71.27</c:v>
                </c:pt>
                <c:pt idx="551">
                  <c:v>71.319999999999993</c:v>
                </c:pt>
                <c:pt idx="552">
                  <c:v>71.27</c:v>
                </c:pt>
                <c:pt idx="553">
                  <c:v>71.34</c:v>
                </c:pt>
                <c:pt idx="554">
                  <c:v>71.3</c:v>
                </c:pt>
                <c:pt idx="555">
                  <c:v>71.34</c:v>
                </c:pt>
                <c:pt idx="556">
                  <c:v>71.31</c:v>
                </c:pt>
                <c:pt idx="557">
                  <c:v>71.37</c:v>
                </c:pt>
                <c:pt idx="558">
                  <c:v>71.36</c:v>
                </c:pt>
                <c:pt idx="559">
                  <c:v>71.34</c:v>
                </c:pt>
                <c:pt idx="560">
                  <c:v>71.319999999999993</c:v>
                </c:pt>
                <c:pt idx="561">
                  <c:v>71.39</c:v>
                </c:pt>
                <c:pt idx="562">
                  <c:v>71.37</c:v>
                </c:pt>
                <c:pt idx="563">
                  <c:v>71.31</c:v>
                </c:pt>
                <c:pt idx="564">
                  <c:v>71.31</c:v>
                </c:pt>
                <c:pt idx="565">
                  <c:v>71.36</c:v>
                </c:pt>
                <c:pt idx="566">
                  <c:v>71.31</c:v>
                </c:pt>
                <c:pt idx="567">
                  <c:v>71.31</c:v>
                </c:pt>
                <c:pt idx="568">
                  <c:v>71.31</c:v>
                </c:pt>
                <c:pt idx="569">
                  <c:v>71.349999999999994</c:v>
                </c:pt>
                <c:pt idx="570">
                  <c:v>71.36</c:v>
                </c:pt>
                <c:pt idx="571">
                  <c:v>71.31</c:v>
                </c:pt>
                <c:pt idx="572">
                  <c:v>71.3</c:v>
                </c:pt>
                <c:pt idx="573">
                  <c:v>71.33</c:v>
                </c:pt>
                <c:pt idx="574">
                  <c:v>71.28</c:v>
                </c:pt>
                <c:pt idx="575">
                  <c:v>71.36</c:v>
                </c:pt>
                <c:pt idx="576">
                  <c:v>71.33</c:v>
                </c:pt>
                <c:pt idx="577">
                  <c:v>71.34</c:v>
                </c:pt>
                <c:pt idx="578">
                  <c:v>71.349999999999994</c:v>
                </c:pt>
                <c:pt idx="579">
                  <c:v>71.349999999999994</c:v>
                </c:pt>
                <c:pt idx="580">
                  <c:v>71.349999999999994</c:v>
                </c:pt>
                <c:pt idx="581">
                  <c:v>71.319999999999993</c:v>
                </c:pt>
                <c:pt idx="582">
                  <c:v>71.31</c:v>
                </c:pt>
                <c:pt idx="583">
                  <c:v>71.37</c:v>
                </c:pt>
                <c:pt idx="584">
                  <c:v>71.38</c:v>
                </c:pt>
                <c:pt idx="585">
                  <c:v>71.37</c:v>
                </c:pt>
                <c:pt idx="586">
                  <c:v>71.31</c:v>
                </c:pt>
                <c:pt idx="587">
                  <c:v>71.36</c:v>
                </c:pt>
                <c:pt idx="588">
                  <c:v>71.290000000000006</c:v>
                </c:pt>
                <c:pt idx="589">
                  <c:v>71.31</c:v>
                </c:pt>
                <c:pt idx="590">
                  <c:v>71.33</c:v>
                </c:pt>
                <c:pt idx="591">
                  <c:v>71.349999999999994</c:v>
                </c:pt>
                <c:pt idx="592">
                  <c:v>71.319999999999993</c:v>
                </c:pt>
                <c:pt idx="593">
                  <c:v>71.290000000000006</c:v>
                </c:pt>
                <c:pt idx="594">
                  <c:v>71.290000000000006</c:v>
                </c:pt>
                <c:pt idx="595">
                  <c:v>71.27</c:v>
                </c:pt>
                <c:pt idx="596">
                  <c:v>71.319999999999993</c:v>
                </c:pt>
                <c:pt idx="597">
                  <c:v>71.31</c:v>
                </c:pt>
                <c:pt idx="598">
                  <c:v>71.290000000000006</c:v>
                </c:pt>
                <c:pt idx="599">
                  <c:v>71.33</c:v>
                </c:pt>
                <c:pt idx="600">
                  <c:v>71.31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78-4F47-9B6B-6CEEA619C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37807"/>
        <c:axId val="517648447"/>
      </c:scatterChart>
      <c:valAx>
        <c:axId val="1111537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48447"/>
        <c:crosses val="autoZero"/>
        <c:crossBetween val="midCat"/>
      </c:valAx>
      <c:valAx>
        <c:axId val="51764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37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'71'!$R$1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'71'!$Q$2:$Q$602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'71'!$R$2:$R$602</c:f>
              <c:numCache>
                <c:formatCode>General</c:formatCode>
                <c:ptCount val="601"/>
                <c:pt idx="0">
                  <c:v>34.549999999999997</c:v>
                </c:pt>
                <c:pt idx="1">
                  <c:v>35.44</c:v>
                </c:pt>
                <c:pt idx="2">
                  <c:v>35.54</c:v>
                </c:pt>
                <c:pt idx="3">
                  <c:v>35.659999999999997</c:v>
                </c:pt>
                <c:pt idx="4">
                  <c:v>35.81</c:v>
                </c:pt>
                <c:pt idx="5">
                  <c:v>36</c:v>
                </c:pt>
                <c:pt idx="6">
                  <c:v>36.28</c:v>
                </c:pt>
                <c:pt idx="7">
                  <c:v>36.71</c:v>
                </c:pt>
                <c:pt idx="8">
                  <c:v>37.19</c:v>
                </c:pt>
                <c:pt idx="9">
                  <c:v>37.74</c:v>
                </c:pt>
                <c:pt idx="10">
                  <c:v>38.299999999999997</c:v>
                </c:pt>
                <c:pt idx="11">
                  <c:v>38.92</c:v>
                </c:pt>
                <c:pt idx="12">
                  <c:v>39.6</c:v>
                </c:pt>
                <c:pt idx="13">
                  <c:v>40.29</c:v>
                </c:pt>
                <c:pt idx="14">
                  <c:v>41</c:v>
                </c:pt>
                <c:pt idx="15">
                  <c:v>41.73</c:v>
                </c:pt>
                <c:pt idx="16">
                  <c:v>42.45</c:v>
                </c:pt>
                <c:pt idx="17">
                  <c:v>43.21</c:v>
                </c:pt>
                <c:pt idx="18">
                  <c:v>43.91</c:v>
                </c:pt>
                <c:pt idx="19">
                  <c:v>44.7</c:v>
                </c:pt>
                <c:pt idx="20">
                  <c:v>45.39</c:v>
                </c:pt>
                <c:pt idx="21">
                  <c:v>46.16</c:v>
                </c:pt>
                <c:pt idx="22">
                  <c:v>46.87</c:v>
                </c:pt>
                <c:pt idx="23">
                  <c:v>47.62</c:v>
                </c:pt>
                <c:pt idx="24">
                  <c:v>48.35</c:v>
                </c:pt>
                <c:pt idx="25">
                  <c:v>49.06</c:v>
                </c:pt>
                <c:pt idx="26">
                  <c:v>49.76</c:v>
                </c:pt>
                <c:pt idx="27">
                  <c:v>50.44</c:v>
                </c:pt>
                <c:pt idx="28">
                  <c:v>51.14</c:v>
                </c:pt>
                <c:pt idx="29">
                  <c:v>51.76</c:v>
                </c:pt>
                <c:pt idx="30">
                  <c:v>52.41</c:v>
                </c:pt>
                <c:pt idx="31">
                  <c:v>53.01</c:v>
                </c:pt>
                <c:pt idx="32">
                  <c:v>53.64</c:v>
                </c:pt>
                <c:pt idx="33">
                  <c:v>54.26</c:v>
                </c:pt>
                <c:pt idx="34">
                  <c:v>54.82</c:v>
                </c:pt>
                <c:pt idx="35">
                  <c:v>55.4</c:v>
                </c:pt>
                <c:pt idx="36">
                  <c:v>55.97</c:v>
                </c:pt>
                <c:pt idx="37">
                  <c:v>56.5</c:v>
                </c:pt>
                <c:pt idx="38">
                  <c:v>56.95</c:v>
                </c:pt>
                <c:pt idx="39">
                  <c:v>57.53</c:v>
                </c:pt>
                <c:pt idx="40">
                  <c:v>58</c:v>
                </c:pt>
                <c:pt idx="41">
                  <c:v>58.52</c:v>
                </c:pt>
                <c:pt idx="42">
                  <c:v>58.94</c:v>
                </c:pt>
                <c:pt idx="43">
                  <c:v>59.4</c:v>
                </c:pt>
                <c:pt idx="44">
                  <c:v>59.83</c:v>
                </c:pt>
                <c:pt idx="45">
                  <c:v>60.25</c:v>
                </c:pt>
                <c:pt idx="46">
                  <c:v>60.65</c:v>
                </c:pt>
                <c:pt idx="47">
                  <c:v>61.08</c:v>
                </c:pt>
                <c:pt idx="48">
                  <c:v>61.48</c:v>
                </c:pt>
                <c:pt idx="49">
                  <c:v>61.81</c:v>
                </c:pt>
                <c:pt idx="50">
                  <c:v>62.15</c:v>
                </c:pt>
                <c:pt idx="51">
                  <c:v>62.55</c:v>
                </c:pt>
                <c:pt idx="52">
                  <c:v>62.85</c:v>
                </c:pt>
                <c:pt idx="53">
                  <c:v>63.24</c:v>
                </c:pt>
                <c:pt idx="54">
                  <c:v>63.54</c:v>
                </c:pt>
                <c:pt idx="55">
                  <c:v>63.84</c:v>
                </c:pt>
                <c:pt idx="56">
                  <c:v>64.12</c:v>
                </c:pt>
                <c:pt idx="57">
                  <c:v>64.42</c:v>
                </c:pt>
                <c:pt idx="58">
                  <c:v>64.67</c:v>
                </c:pt>
                <c:pt idx="59">
                  <c:v>64.930000000000007</c:v>
                </c:pt>
                <c:pt idx="60">
                  <c:v>65.23</c:v>
                </c:pt>
                <c:pt idx="61">
                  <c:v>65.459999999999994</c:v>
                </c:pt>
                <c:pt idx="62">
                  <c:v>65.709999999999994</c:v>
                </c:pt>
                <c:pt idx="63">
                  <c:v>65.94</c:v>
                </c:pt>
                <c:pt idx="64">
                  <c:v>66.17</c:v>
                </c:pt>
                <c:pt idx="65">
                  <c:v>66.37</c:v>
                </c:pt>
                <c:pt idx="66">
                  <c:v>66.599999999999994</c:v>
                </c:pt>
                <c:pt idx="67">
                  <c:v>66.790000000000006</c:v>
                </c:pt>
                <c:pt idx="68">
                  <c:v>66.97</c:v>
                </c:pt>
                <c:pt idx="69">
                  <c:v>67.209999999999994</c:v>
                </c:pt>
                <c:pt idx="70">
                  <c:v>67.349999999999994</c:v>
                </c:pt>
                <c:pt idx="71">
                  <c:v>67.540000000000006</c:v>
                </c:pt>
                <c:pt idx="72">
                  <c:v>67.680000000000007</c:v>
                </c:pt>
                <c:pt idx="73">
                  <c:v>67.87</c:v>
                </c:pt>
                <c:pt idx="74">
                  <c:v>67.930000000000007</c:v>
                </c:pt>
                <c:pt idx="75">
                  <c:v>68.14</c:v>
                </c:pt>
                <c:pt idx="76">
                  <c:v>68.33</c:v>
                </c:pt>
                <c:pt idx="77">
                  <c:v>68.42</c:v>
                </c:pt>
                <c:pt idx="78">
                  <c:v>68.56</c:v>
                </c:pt>
                <c:pt idx="79">
                  <c:v>68.650000000000006</c:v>
                </c:pt>
                <c:pt idx="80">
                  <c:v>68.83</c:v>
                </c:pt>
                <c:pt idx="81">
                  <c:v>68.92</c:v>
                </c:pt>
                <c:pt idx="82">
                  <c:v>69.069999999999993</c:v>
                </c:pt>
                <c:pt idx="83">
                  <c:v>69.17</c:v>
                </c:pt>
                <c:pt idx="84">
                  <c:v>69.239999999999995</c:v>
                </c:pt>
                <c:pt idx="85">
                  <c:v>69.349999999999994</c:v>
                </c:pt>
                <c:pt idx="86">
                  <c:v>69.45</c:v>
                </c:pt>
                <c:pt idx="87">
                  <c:v>69.53</c:v>
                </c:pt>
                <c:pt idx="88">
                  <c:v>69.63</c:v>
                </c:pt>
                <c:pt idx="89">
                  <c:v>69.7</c:v>
                </c:pt>
                <c:pt idx="90">
                  <c:v>69.8</c:v>
                </c:pt>
                <c:pt idx="91">
                  <c:v>69.86</c:v>
                </c:pt>
                <c:pt idx="92">
                  <c:v>69.959999999999994</c:v>
                </c:pt>
                <c:pt idx="93">
                  <c:v>70.069999999999993</c:v>
                </c:pt>
                <c:pt idx="94">
                  <c:v>70.11</c:v>
                </c:pt>
                <c:pt idx="95">
                  <c:v>70.17</c:v>
                </c:pt>
                <c:pt idx="96">
                  <c:v>70.28</c:v>
                </c:pt>
                <c:pt idx="97">
                  <c:v>70.34</c:v>
                </c:pt>
                <c:pt idx="98">
                  <c:v>70.39</c:v>
                </c:pt>
                <c:pt idx="99">
                  <c:v>70.430000000000007</c:v>
                </c:pt>
                <c:pt idx="100">
                  <c:v>70.510000000000005</c:v>
                </c:pt>
                <c:pt idx="101">
                  <c:v>70.53</c:v>
                </c:pt>
                <c:pt idx="102">
                  <c:v>70.59</c:v>
                </c:pt>
                <c:pt idx="103">
                  <c:v>70.67</c:v>
                </c:pt>
                <c:pt idx="104">
                  <c:v>70.709999999999994</c:v>
                </c:pt>
                <c:pt idx="105">
                  <c:v>70.7</c:v>
                </c:pt>
                <c:pt idx="106">
                  <c:v>70.739999999999995</c:v>
                </c:pt>
                <c:pt idx="107">
                  <c:v>70.8</c:v>
                </c:pt>
                <c:pt idx="108">
                  <c:v>70.83</c:v>
                </c:pt>
                <c:pt idx="109">
                  <c:v>70.89</c:v>
                </c:pt>
                <c:pt idx="110">
                  <c:v>70.930000000000007</c:v>
                </c:pt>
                <c:pt idx="111">
                  <c:v>70.959999999999994</c:v>
                </c:pt>
                <c:pt idx="112">
                  <c:v>70.959999999999994</c:v>
                </c:pt>
                <c:pt idx="113">
                  <c:v>71.010000000000005</c:v>
                </c:pt>
                <c:pt idx="114">
                  <c:v>70.98</c:v>
                </c:pt>
                <c:pt idx="115">
                  <c:v>71.02</c:v>
                </c:pt>
                <c:pt idx="116">
                  <c:v>71.040000000000006</c:v>
                </c:pt>
                <c:pt idx="117">
                  <c:v>71.06</c:v>
                </c:pt>
                <c:pt idx="118">
                  <c:v>71.040000000000006</c:v>
                </c:pt>
                <c:pt idx="119">
                  <c:v>71.11</c:v>
                </c:pt>
                <c:pt idx="120">
                  <c:v>71.14</c:v>
                </c:pt>
                <c:pt idx="121">
                  <c:v>71.11</c:v>
                </c:pt>
                <c:pt idx="122">
                  <c:v>71.19</c:v>
                </c:pt>
                <c:pt idx="123">
                  <c:v>71.14</c:v>
                </c:pt>
                <c:pt idx="124">
                  <c:v>71.19</c:v>
                </c:pt>
                <c:pt idx="125">
                  <c:v>71.14</c:v>
                </c:pt>
                <c:pt idx="126">
                  <c:v>71.2</c:v>
                </c:pt>
                <c:pt idx="127">
                  <c:v>71.17</c:v>
                </c:pt>
                <c:pt idx="128">
                  <c:v>71.180000000000007</c:v>
                </c:pt>
                <c:pt idx="129">
                  <c:v>71.19</c:v>
                </c:pt>
                <c:pt idx="130">
                  <c:v>71.209999999999994</c:v>
                </c:pt>
                <c:pt idx="131">
                  <c:v>71.22</c:v>
                </c:pt>
                <c:pt idx="132">
                  <c:v>71.239999999999995</c:v>
                </c:pt>
                <c:pt idx="133">
                  <c:v>71.22</c:v>
                </c:pt>
                <c:pt idx="134">
                  <c:v>71.28</c:v>
                </c:pt>
                <c:pt idx="135">
                  <c:v>71.27</c:v>
                </c:pt>
                <c:pt idx="136">
                  <c:v>71.239999999999995</c:v>
                </c:pt>
                <c:pt idx="137">
                  <c:v>71.23</c:v>
                </c:pt>
                <c:pt idx="138">
                  <c:v>71.27</c:v>
                </c:pt>
                <c:pt idx="139">
                  <c:v>71.28</c:v>
                </c:pt>
                <c:pt idx="140">
                  <c:v>71.28</c:v>
                </c:pt>
                <c:pt idx="141">
                  <c:v>71.31</c:v>
                </c:pt>
                <c:pt idx="142">
                  <c:v>71.23</c:v>
                </c:pt>
                <c:pt idx="143">
                  <c:v>71.27</c:v>
                </c:pt>
                <c:pt idx="144">
                  <c:v>71.3</c:v>
                </c:pt>
                <c:pt idx="145">
                  <c:v>71.3</c:v>
                </c:pt>
                <c:pt idx="146">
                  <c:v>71.319999999999993</c:v>
                </c:pt>
                <c:pt idx="147">
                  <c:v>71.290000000000006</c:v>
                </c:pt>
                <c:pt idx="148">
                  <c:v>71.3</c:v>
                </c:pt>
                <c:pt idx="149">
                  <c:v>71.31</c:v>
                </c:pt>
                <c:pt idx="150">
                  <c:v>71.260000000000005</c:v>
                </c:pt>
                <c:pt idx="151">
                  <c:v>71.28</c:v>
                </c:pt>
                <c:pt idx="152">
                  <c:v>71.27</c:v>
                </c:pt>
                <c:pt idx="153">
                  <c:v>71.319999999999993</c:v>
                </c:pt>
                <c:pt idx="154">
                  <c:v>71.260000000000005</c:v>
                </c:pt>
                <c:pt idx="155">
                  <c:v>71.3</c:v>
                </c:pt>
                <c:pt idx="156">
                  <c:v>71.23</c:v>
                </c:pt>
                <c:pt idx="157">
                  <c:v>71.27</c:v>
                </c:pt>
                <c:pt idx="158">
                  <c:v>71.3</c:v>
                </c:pt>
                <c:pt idx="159">
                  <c:v>71.3</c:v>
                </c:pt>
                <c:pt idx="160">
                  <c:v>71.3</c:v>
                </c:pt>
                <c:pt idx="161">
                  <c:v>71.319999999999993</c:v>
                </c:pt>
                <c:pt idx="162">
                  <c:v>71.319999999999993</c:v>
                </c:pt>
                <c:pt idx="163">
                  <c:v>71.27</c:v>
                </c:pt>
                <c:pt idx="164">
                  <c:v>71.28</c:v>
                </c:pt>
                <c:pt idx="165">
                  <c:v>71.290000000000006</c:v>
                </c:pt>
                <c:pt idx="166">
                  <c:v>71.34</c:v>
                </c:pt>
                <c:pt idx="167">
                  <c:v>71.3</c:v>
                </c:pt>
                <c:pt idx="168">
                  <c:v>71.3</c:v>
                </c:pt>
                <c:pt idx="169">
                  <c:v>71.25</c:v>
                </c:pt>
                <c:pt idx="170">
                  <c:v>71.31</c:v>
                </c:pt>
                <c:pt idx="171">
                  <c:v>71.27</c:v>
                </c:pt>
                <c:pt idx="172">
                  <c:v>71.25</c:v>
                </c:pt>
                <c:pt idx="173">
                  <c:v>71.27</c:v>
                </c:pt>
                <c:pt idx="174">
                  <c:v>71.260000000000005</c:v>
                </c:pt>
                <c:pt idx="175">
                  <c:v>71.25</c:v>
                </c:pt>
                <c:pt idx="176">
                  <c:v>71.23</c:v>
                </c:pt>
                <c:pt idx="177">
                  <c:v>71.239999999999995</c:v>
                </c:pt>
                <c:pt idx="178">
                  <c:v>71.23</c:v>
                </c:pt>
                <c:pt idx="179">
                  <c:v>71.22</c:v>
                </c:pt>
                <c:pt idx="180">
                  <c:v>71.25</c:v>
                </c:pt>
                <c:pt idx="181">
                  <c:v>71.2</c:v>
                </c:pt>
                <c:pt idx="182">
                  <c:v>71.2</c:v>
                </c:pt>
                <c:pt idx="183">
                  <c:v>71.23</c:v>
                </c:pt>
                <c:pt idx="184">
                  <c:v>71.23</c:v>
                </c:pt>
                <c:pt idx="185">
                  <c:v>71.209999999999994</c:v>
                </c:pt>
                <c:pt idx="186">
                  <c:v>71.17</c:v>
                </c:pt>
                <c:pt idx="187">
                  <c:v>71.150000000000006</c:v>
                </c:pt>
                <c:pt idx="188">
                  <c:v>71.17</c:v>
                </c:pt>
                <c:pt idx="189">
                  <c:v>71.17</c:v>
                </c:pt>
                <c:pt idx="190">
                  <c:v>71.17</c:v>
                </c:pt>
                <c:pt idx="191">
                  <c:v>71.180000000000007</c:v>
                </c:pt>
                <c:pt idx="192">
                  <c:v>71.150000000000006</c:v>
                </c:pt>
                <c:pt idx="193">
                  <c:v>71.150000000000006</c:v>
                </c:pt>
                <c:pt idx="194">
                  <c:v>71.150000000000006</c:v>
                </c:pt>
                <c:pt idx="195">
                  <c:v>71.180000000000007</c:v>
                </c:pt>
                <c:pt idx="196">
                  <c:v>71.14</c:v>
                </c:pt>
                <c:pt idx="197">
                  <c:v>71.14</c:v>
                </c:pt>
                <c:pt idx="198">
                  <c:v>71.14</c:v>
                </c:pt>
                <c:pt idx="199">
                  <c:v>71.16</c:v>
                </c:pt>
                <c:pt idx="200">
                  <c:v>71.14</c:v>
                </c:pt>
                <c:pt idx="201">
                  <c:v>71.14</c:v>
                </c:pt>
                <c:pt idx="202">
                  <c:v>71.150000000000006</c:v>
                </c:pt>
                <c:pt idx="203">
                  <c:v>71.06</c:v>
                </c:pt>
                <c:pt idx="204">
                  <c:v>71.11</c:v>
                </c:pt>
                <c:pt idx="205">
                  <c:v>70.650000000000006</c:v>
                </c:pt>
                <c:pt idx="206">
                  <c:v>71.14</c:v>
                </c:pt>
                <c:pt idx="207">
                  <c:v>70.180000000000007</c:v>
                </c:pt>
                <c:pt idx="208">
                  <c:v>71.12</c:v>
                </c:pt>
                <c:pt idx="209">
                  <c:v>70.150000000000006</c:v>
                </c:pt>
                <c:pt idx="210">
                  <c:v>71.14</c:v>
                </c:pt>
                <c:pt idx="211">
                  <c:v>70.150000000000006</c:v>
                </c:pt>
                <c:pt idx="212">
                  <c:v>71.180000000000007</c:v>
                </c:pt>
                <c:pt idx="213">
                  <c:v>70.17</c:v>
                </c:pt>
                <c:pt idx="214">
                  <c:v>71.2</c:v>
                </c:pt>
                <c:pt idx="215">
                  <c:v>70.19</c:v>
                </c:pt>
                <c:pt idx="216">
                  <c:v>71.25</c:v>
                </c:pt>
                <c:pt idx="217">
                  <c:v>70.239999999999995</c:v>
                </c:pt>
                <c:pt idx="218">
                  <c:v>71.27</c:v>
                </c:pt>
                <c:pt idx="219">
                  <c:v>70.260000000000005</c:v>
                </c:pt>
                <c:pt idx="220">
                  <c:v>71.31</c:v>
                </c:pt>
                <c:pt idx="221">
                  <c:v>70.31</c:v>
                </c:pt>
                <c:pt idx="222">
                  <c:v>71.31</c:v>
                </c:pt>
                <c:pt idx="223">
                  <c:v>70.319999999999993</c:v>
                </c:pt>
                <c:pt idx="224">
                  <c:v>71.319999999999993</c:v>
                </c:pt>
                <c:pt idx="225">
                  <c:v>70.319999999999993</c:v>
                </c:pt>
                <c:pt idx="226">
                  <c:v>71.33</c:v>
                </c:pt>
                <c:pt idx="227">
                  <c:v>70.319999999999993</c:v>
                </c:pt>
                <c:pt idx="228">
                  <c:v>71.39</c:v>
                </c:pt>
                <c:pt idx="229">
                  <c:v>70.349999999999994</c:v>
                </c:pt>
                <c:pt idx="230">
                  <c:v>71.39</c:v>
                </c:pt>
                <c:pt idx="231">
                  <c:v>70.38</c:v>
                </c:pt>
                <c:pt idx="232">
                  <c:v>71.430000000000007</c:v>
                </c:pt>
                <c:pt idx="233">
                  <c:v>70.36</c:v>
                </c:pt>
                <c:pt idx="234">
                  <c:v>71.44</c:v>
                </c:pt>
                <c:pt idx="235">
                  <c:v>70.41</c:v>
                </c:pt>
                <c:pt idx="236">
                  <c:v>71.459999999999994</c:v>
                </c:pt>
                <c:pt idx="237">
                  <c:v>70.400000000000006</c:v>
                </c:pt>
                <c:pt idx="238">
                  <c:v>71.489999999999995</c:v>
                </c:pt>
                <c:pt idx="239">
                  <c:v>70.48</c:v>
                </c:pt>
                <c:pt idx="240">
                  <c:v>71.48</c:v>
                </c:pt>
                <c:pt idx="241">
                  <c:v>70.45</c:v>
                </c:pt>
                <c:pt idx="242">
                  <c:v>71.48</c:v>
                </c:pt>
                <c:pt idx="243">
                  <c:v>70.48</c:v>
                </c:pt>
                <c:pt idx="244">
                  <c:v>71.52</c:v>
                </c:pt>
                <c:pt idx="245">
                  <c:v>70.459999999999994</c:v>
                </c:pt>
                <c:pt idx="246">
                  <c:v>71.569999999999993</c:v>
                </c:pt>
                <c:pt idx="247">
                  <c:v>70.489999999999995</c:v>
                </c:pt>
                <c:pt idx="248">
                  <c:v>71.52</c:v>
                </c:pt>
                <c:pt idx="249">
                  <c:v>70.5</c:v>
                </c:pt>
                <c:pt idx="250">
                  <c:v>71.55</c:v>
                </c:pt>
                <c:pt idx="251">
                  <c:v>70.510000000000005</c:v>
                </c:pt>
                <c:pt idx="252">
                  <c:v>71.510000000000005</c:v>
                </c:pt>
                <c:pt idx="253">
                  <c:v>70.52</c:v>
                </c:pt>
                <c:pt idx="254">
                  <c:v>71.61</c:v>
                </c:pt>
                <c:pt idx="255">
                  <c:v>70.5</c:v>
                </c:pt>
                <c:pt idx="256">
                  <c:v>71.599999999999994</c:v>
                </c:pt>
                <c:pt idx="257">
                  <c:v>70.510000000000005</c:v>
                </c:pt>
                <c:pt idx="258">
                  <c:v>71.58</c:v>
                </c:pt>
                <c:pt idx="259">
                  <c:v>70.510000000000005</c:v>
                </c:pt>
                <c:pt idx="260">
                  <c:v>71.599999999999994</c:v>
                </c:pt>
                <c:pt idx="261">
                  <c:v>70.53</c:v>
                </c:pt>
                <c:pt idx="262">
                  <c:v>71.599999999999994</c:v>
                </c:pt>
                <c:pt idx="263">
                  <c:v>70.55</c:v>
                </c:pt>
                <c:pt idx="264">
                  <c:v>71.56</c:v>
                </c:pt>
                <c:pt idx="265">
                  <c:v>70.52</c:v>
                </c:pt>
                <c:pt idx="266">
                  <c:v>71.599999999999994</c:v>
                </c:pt>
                <c:pt idx="267">
                  <c:v>70.48</c:v>
                </c:pt>
                <c:pt idx="268">
                  <c:v>71.58</c:v>
                </c:pt>
                <c:pt idx="269">
                  <c:v>70.55</c:v>
                </c:pt>
                <c:pt idx="270">
                  <c:v>71.61</c:v>
                </c:pt>
                <c:pt idx="271">
                  <c:v>70.53</c:v>
                </c:pt>
                <c:pt idx="272">
                  <c:v>71.56</c:v>
                </c:pt>
                <c:pt idx="273">
                  <c:v>70.52</c:v>
                </c:pt>
                <c:pt idx="274">
                  <c:v>71.569999999999993</c:v>
                </c:pt>
                <c:pt idx="275">
                  <c:v>70.510000000000005</c:v>
                </c:pt>
                <c:pt idx="276">
                  <c:v>71.61</c:v>
                </c:pt>
                <c:pt idx="277">
                  <c:v>70.540000000000006</c:v>
                </c:pt>
                <c:pt idx="278">
                  <c:v>71.599999999999994</c:v>
                </c:pt>
                <c:pt idx="279">
                  <c:v>70.52</c:v>
                </c:pt>
                <c:pt idx="280">
                  <c:v>71.61</c:v>
                </c:pt>
                <c:pt idx="281">
                  <c:v>70.540000000000006</c:v>
                </c:pt>
                <c:pt idx="282">
                  <c:v>71.599999999999994</c:v>
                </c:pt>
                <c:pt idx="283">
                  <c:v>70.48</c:v>
                </c:pt>
                <c:pt idx="284">
                  <c:v>71.61</c:v>
                </c:pt>
                <c:pt idx="285">
                  <c:v>70.540000000000006</c:v>
                </c:pt>
                <c:pt idx="286">
                  <c:v>71.599999999999994</c:v>
                </c:pt>
                <c:pt idx="287">
                  <c:v>70.52</c:v>
                </c:pt>
                <c:pt idx="288">
                  <c:v>71.56</c:v>
                </c:pt>
                <c:pt idx="289">
                  <c:v>70.56</c:v>
                </c:pt>
                <c:pt idx="290">
                  <c:v>71.64</c:v>
                </c:pt>
                <c:pt idx="291">
                  <c:v>70.52</c:v>
                </c:pt>
                <c:pt idx="292">
                  <c:v>71.599999999999994</c:v>
                </c:pt>
                <c:pt idx="293">
                  <c:v>70.52</c:v>
                </c:pt>
                <c:pt idx="294">
                  <c:v>71.599999999999994</c:v>
                </c:pt>
                <c:pt idx="295">
                  <c:v>70.510000000000005</c:v>
                </c:pt>
                <c:pt idx="296">
                  <c:v>71.63</c:v>
                </c:pt>
                <c:pt idx="297">
                  <c:v>70.52</c:v>
                </c:pt>
                <c:pt idx="298">
                  <c:v>71.569999999999993</c:v>
                </c:pt>
                <c:pt idx="299">
                  <c:v>70.45</c:v>
                </c:pt>
                <c:pt idx="300">
                  <c:v>71.64</c:v>
                </c:pt>
                <c:pt idx="301">
                  <c:v>70.52</c:v>
                </c:pt>
                <c:pt idx="302">
                  <c:v>71.61</c:v>
                </c:pt>
                <c:pt idx="303">
                  <c:v>70.510000000000005</c:v>
                </c:pt>
                <c:pt idx="304">
                  <c:v>71.650000000000006</c:v>
                </c:pt>
                <c:pt idx="305">
                  <c:v>70.56</c:v>
                </c:pt>
                <c:pt idx="306">
                  <c:v>71.59</c:v>
                </c:pt>
                <c:pt idx="307">
                  <c:v>70.540000000000006</c:v>
                </c:pt>
                <c:pt idx="308">
                  <c:v>71.650000000000006</c:v>
                </c:pt>
                <c:pt idx="309">
                  <c:v>70.510000000000005</c:v>
                </c:pt>
                <c:pt idx="310">
                  <c:v>71.63</c:v>
                </c:pt>
                <c:pt idx="311">
                  <c:v>70.48</c:v>
                </c:pt>
                <c:pt idx="312">
                  <c:v>71.64</c:v>
                </c:pt>
                <c:pt idx="313">
                  <c:v>70.52</c:v>
                </c:pt>
                <c:pt idx="314">
                  <c:v>71.64</c:v>
                </c:pt>
                <c:pt idx="315">
                  <c:v>70.540000000000006</c:v>
                </c:pt>
                <c:pt idx="316">
                  <c:v>71.64</c:v>
                </c:pt>
                <c:pt idx="317">
                  <c:v>70.53</c:v>
                </c:pt>
                <c:pt idx="318">
                  <c:v>71.64</c:v>
                </c:pt>
                <c:pt idx="319">
                  <c:v>70.52</c:v>
                </c:pt>
                <c:pt idx="320">
                  <c:v>71.63</c:v>
                </c:pt>
                <c:pt idx="321">
                  <c:v>70.56</c:v>
                </c:pt>
                <c:pt idx="322">
                  <c:v>71.599999999999994</c:v>
                </c:pt>
                <c:pt idx="323">
                  <c:v>70.510000000000005</c:v>
                </c:pt>
                <c:pt idx="324">
                  <c:v>71.599999999999994</c:v>
                </c:pt>
                <c:pt idx="325">
                  <c:v>70.52</c:v>
                </c:pt>
                <c:pt idx="326">
                  <c:v>71.62</c:v>
                </c:pt>
                <c:pt idx="327">
                  <c:v>70.510000000000005</c:v>
                </c:pt>
                <c:pt idx="328">
                  <c:v>71.599999999999994</c:v>
                </c:pt>
                <c:pt idx="329">
                  <c:v>70.52</c:v>
                </c:pt>
                <c:pt idx="330">
                  <c:v>71.52</c:v>
                </c:pt>
                <c:pt idx="331">
                  <c:v>70.5</c:v>
                </c:pt>
                <c:pt idx="332">
                  <c:v>70.92</c:v>
                </c:pt>
                <c:pt idx="333">
                  <c:v>70.55</c:v>
                </c:pt>
                <c:pt idx="334">
                  <c:v>70.61</c:v>
                </c:pt>
                <c:pt idx="335">
                  <c:v>70.510000000000005</c:v>
                </c:pt>
                <c:pt idx="336">
                  <c:v>70.569999999999993</c:v>
                </c:pt>
                <c:pt idx="337">
                  <c:v>70.569999999999993</c:v>
                </c:pt>
                <c:pt idx="338">
                  <c:v>70.61</c:v>
                </c:pt>
                <c:pt idx="339">
                  <c:v>70.61</c:v>
                </c:pt>
                <c:pt idx="340">
                  <c:v>70.599999999999994</c:v>
                </c:pt>
                <c:pt idx="341">
                  <c:v>70.62</c:v>
                </c:pt>
                <c:pt idx="342">
                  <c:v>70.650000000000006</c:v>
                </c:pt>
                <c:pt idx="343">
                  <c:v>70.67</c:v>
                </c:pt>
                <c:pt idx="344">
                  <c:v>70.709999999999994</c:v>
                </c:pt>
                <c:pt idx="345">
                  <c:v>70.72</c:v>
                </c:pt>
                <c:pt idx="346">
                  <c:v>70.75</c:v>
                </c:pt>
                <c:pt idx="347">
                  <c:v>70.73</c:v>
                </c:pt>
                <c:pt idx="348">
                  <c:v>70.8</c:v>
                </c:pt>
                <c:pt idx="349">
                  <c:v>70.78</c:v>
                </c:pt>
                <c:pt idx="350">
                  <c:v>70.81</c:v>
                </c:pt>
                <c:pt idx="351">
                  <c:v>70.81</c:v>
                </c:pt>
                <c:pt idx="352">
                  <c:v>70.819999999999993</c:v>
                </c:pt>
                <c:pt idx="353">
                  <c:v>70.819999999999993</c:v>
                </c:pt>
                <c:pt idx="354">
                  <c:v>70.849999999999994</c:v>
                </c:pt>
                <c:pt idx="355">
                  <c:v>70.81</c:v>
                </c:pt>
                <c:pt idx="356">
                  <c:v>70.849999999999994</c:v>
                </c:pt>
                <c:pt idx="357">
                  <c:v>70.87</c:v>
                </c:pt>
                <c:pt idx="358">
                  <c:v>70.88</c:v>
                </c:pt>
                <c:pt idx="359">
                  <c:v>70.89</c:v>
                </c:pt>
                <c:pt idx="360">
                  <c:v>70.930000000000007</c:v>
                </c:pt>
                <c:pt idx="361">
                  <c:v>70.959999999999994</c:v>
                </c:pt>
                <c:pt idx="362">
                  <c:v>70.930000000000007</c:v>
                </c:pt>
                <c:pt idx="363">
                  <c:v>70.959999999999994</c:v>
                </c:pt>
                <c:pt idx="364">
                  <c:v>70.97</c:v>
                </c:pt>
                <c:pt idx="365">
                  <c:v>70.94</c:v>
                </c:pt>
                <c:pt idx="366">
                  <c:v>70.98</c:v>
                </c:pt>
                <c:pt idx="367">
                  <c:v>70.97</c:v>
                </c:pt>
                <c:pt idx="368">
                  <c:v>71</c:v>
                </c:pt>
                <c:pt idx="369">
                  <c:v>71.02</c:v>
                </c:pt>
                <c:pt idx="370">
                  <c:v>70.98</c:v>
                </c:pt>
                <c:pt idx="371">
                  <c:v>71.02</c:v>
                </c:pt>
                <c:pt idx="372">
                  <c:v>71.02</c:v>
                </c:pt>
                <c:pt idx="373">
                  <c:v>71.05</c:v>
                </c:pt>
                <c:pt idx="374">
                  <c:v>71.040000000000006</c:v>
                </c:pt>
                <c:pt idx="375">
                  <c:v>71.02</c:v>
                </c:pt>
                <c:pt idx="376">
                  <c:v>71.05</c:v>
                </c:pt>
                <c:pt idx="377">
                  <c:v>71.03</c:v>
                </c:pt>
                <c:pt idx="378">
                  <c:v>71.069999999999993</c:v>
                </c:pt>
                <c:pt idx="379">
                  <c:v>71.08</c:v>
                </c:pt>
                <c:pt idx="380">
                  <c:v>71.09</c:v>
                </c:pt>
                <c:pt idx="381">
                  <c:v>71.09</c:v>
                </c:pt>
                <c:pt idx="382">
                  <c:v>71.069999999999993</c:v>
                </c:pt>
                <c:pt idx="383">
                  <c:v>71.08</c:v>
                </c:pt>
                <c:pt idx="384">
                  <c:v>71.040000000000006</c:v>
                </c:pt>
                <c:pt idx="385">
                  <c:v>71.099999999999994</c:v>
                </c:pt>
                <c:pt idx="386">
                  <c:v>71.069999999999993</c:v>
                </c:pt>
                <c:pt idx="387">
                  <c:v>71.069999999999993</c:v>
                </c:pt>
                <c:pt idx="388">
                  <c:v>70.989999999999995</c:v>
                </c:pt>
                <c:pt idx="389">
                  <c:v>71.099999999999994</c:v>
                </c:pt>
                <c:pt idx="390">
                  <c:v>71.05</c:v>
                </c:pt>
                <c:pt idx="391">
                  <c:v>71.08</c:v>
                </c:pt>
                <c:pt idx="392">
                  <c:v>71.099999999999994</c:v>
                </c:pt>
                <c:pt idx="393">
                  <c:v>71.069999999999993</c:v>
                </c:pt>
                <c:pt idx="394">
                  <c:v>71.06</c:v>
                </c:pt>
                <c:pt idx="395">
                  <c:v>71.08</c:v>
                </c:pt>
                <c:pt idx="396">
                  <c:v>71.040000000000006</c:v>
                </c:pt>
                <c:pt idx="397">
                  <c:v>71.099999999999994</c:v>
                </c:pt>
                <c:pt idx="398">
                  <c:v>71.09</c:v>
                </c:pt>
                <c:pt idx="399">
                  <c:v>71.06</c:v>
                </c:pt>
                <c:pt idx="400">
                  <c:v>71.08</c:v>
                </c:pt>
                <c:pt idx="401">
                  <c:v>71.08</c:v>
                </c:pt>
                <c:pt idx="402">
                  <c:v>71.13</c:v>
                </c:pt>
                <c:pt idx="403">
                  <c:v>71.099999999999994</c:v>
                </c:pt>
                <c:pt idx="404">
                  <c:v>71.099999999999994</c:v>
                </c:pt>
                <c:pt idx="405">
                  <c:v>71.09</c:v>
                </c:pt>
                <c:pt idx="406">
                  <c:v>71.099999999999994</c:v>
                </c:pt>
                <c:pt idx="407">
                  <c:v>71.09</c:v>
                </c:pt>
                <c:pt idx="408">
                  <c:v>71.06</c:v>
                </c:pt>
                <c:pt idx="409">
                  <c:v>71.099999999999994</c:v>
                </c:pt>
                <c:pt idx="410">
                  <c:v>71.08</c:v>
                </c:pt>
                <c:pt idx="411">
                  <c:v>71.099999999999994</c:v>
                </c:pt>
                <c:pt idx="412">
                  <c:v>71.09</c:v>
                </c:pt>
                <c:pt idx="413">
                  <c:v>71.13</c:v>
                </c:pt>
                <c:pt idx="414">
                  <c:v>71.11</c:v>
                </c:pt>
                <c:pt idx="415">
                  <c:v>71.069999999999993</c:v>
                </c:pt>
                <c:pt idx="416">
                  <c:v>71.16</c:v>
                </c:pt>
                <c:pt idx="417">
                  <c:v>71.099999999999994</c:v>
                </c:pt>
                <c:pt idx="418">
                  <c:v>71.12</c:v>
                </c:pt>
                <c:pt idx="419">
                  <c:v>71.11</c:v>
                </c:pt>
                <c:pt idx="420">
                  <c:v>71.12</c:v>
                </c:pt>
                <c:pt idx="421">
                  <c:v>71.14</c:v>
                </c:pt>
                <c:pt idx="422">
                  <c:v>71.14</c:v>
                </c:pt>
                <c:pt idx="423">
                  <c:v>71.12</c:v>
                </c:pt>
                <c:pt idx="424">
                  <c:v>71.14</c:v>
                </c:pt>
                <c:pt idx="425">
                  <c:v>71.150000000000006</c:v>
                </c:pt>
                <c:pt idx="426">
                  <c:v>71.12</c:v>
                </c:pt>
                <c:pt idx="427">
                  <c:v>71.099999999999994</c:v>
                </c:pt>
                <c:pt idx="428">
                  <c:v>71.11</c:v>
                </c:pt>
                <c:pt idx="429">
                  <c:v>71.09</c:v>
                </c:pt>
                <c:pt idx="430">
                  <c:v>71.13</c:v>
                </c:pt>
                <c:pt idx="431">
                  <c:v>71.13</c:v>
                </c:pt>
                <c:pt idx="432">
                  <c:v>71.12</c:v>
                </c:pt>
                <c:pt idx="433">
                  <c:v>71.17</c:v>
                </c:pt>
                <c:pt idx="434">
                  <c:v>71.099999999999994</c:v>
                </c:pt>
                <c:pt idx="435">
                  <c:v>71.14</c:v>
                </c:pt>
                <c:pt idx="436">
                  <c:v>71.11</c:v>
                </c:pt>
                <c:pt idx="437">
                  <c:v>71.13</c:v>
                </c:pt>
                <c:pt idx="438">
                  <c:v>71.13</c:v>
                </c:pt>
                <c:pt idx="439">
                  <c:v>71.12</c:v>
                </c:pt>
                <c:pt idx="440">
                  <c:v>71.13</c:v>
                </c:pt>
                <c:pt idx="441">
                  <c:v>71.12</c:v>
                </c:pt>
                <c:pt idx="442">
                  <c:v>71.13</c:v>
                </c:pt>
                <c:pt idx="443">
                  <c:v>71.12</c:v>
                </c:pt>
                <c:pt idx="444">
                  <c:v>71.12</c:v>
                </c:pt>
                <c:pt idx="445">
                  <c:v>71.14</c:v>
                </c:pt>
                <c:pt idx="446">
                  <c:v>71.150000000000006</c:v>
                </c:pt>
                <c:pt idx="447">
                  <c:v>71.13</c:v>
                </c:pt>
                <c:pt idx="448">
                  <c:v>71.150000000000006</c:v>
                </c:pt>
                <c:pt idx="449">
                  <c:v>71.13</c:v>
                </c:pt>
                <c:pt idx="450">
                  <c:v>71.12</c:v>
                </c:pt>
                <c:pt idx="451">
                  <c:v>71.150000000000006</c:v>
                </c:pt>
                <c:pt idx="452">
                  <c:v>71.099999999999994</c:v>
                </c:pt>
                <c:pt idx="453">
                  <c:v>71.13</c:v>
                </c:pt>
                <c:pt idx="454">
                  <c:v>71.13</c:v>
                </c:pt>
                <c:pt idx="455">
                  <c:v>71.08</c:v>
                </c:pt>
                <c:pt idx="456">
                  <c:v>71.099999999999994</c:v>
                </c:pt>
                <c:pt idx="457">
                  <c:v>71.099999999999994</c:v>
                </c:pt>
                <c:pt idx="458">
                  <c:v>71.06</c:v>
                </c:pt>
                <c:pt idx="459">
                  <c:v>71.099999999999994</c:v>
                </c:pt>
                <c:pt idx="460">
                  <c:v>71.08</c:v>
                </c:pt>
                <c:pt idx="461">
                  <c:v>71.09</c:v>
                </c:pt>
                <c:pt idx="462">
                  <c:v>71.08</c:v>
                </c:pt>
                <c:pt idx="463">
                  <c:v>71.099999999999994</c:v>
                </c:pt>
                <c:pt idx="464">
                  <c:v>71.06</c:v>
                </c:pt>
                <c:pt idx="465">
                  <c:v>71.06</c:v>
                </c:pt>
                <c:pt idx="466">
                  <c:v>71.099999999999994</c:v>
                </c:pt>
                <c:pt idx="467">
                  <c:v>71.06</c:v>
                </c:pt>
                <c:pt idx="468">
                  <c:v>71.09</c:v>
                </c:pt>
                <c:pt idx="469">
                  <c:v>71.08</c:v>
                </c:pt>
                <c:pt idx="470">
                  <c:v>71.06</c:v>
                </c:pt>
                <c:pt idx="471">
                  <c:v>71.14</c:v>
                </c:pt>
                <c:pt idx="472">
                  <c:v>71.05</c:v>
                </c:pt>
                <c:pt idx="473">
                  <c:v>71.05</c:v>
                </c:pt>
                <c:pt idx="474">
                  <c:v>71.08</c:v>
                </c:pt>
                <c:pt idx="475">
                  <c:v>71.040000000000006</c:v>
                </c:pt>
                <c:pt idx="476">
                  <c:v>71.040000000000006</c:v>
                </c:pt>
                <c:pt idx="477">
                  <c:v>71.099999999999994</c:v>
                </c:pt>
                <c:pt idx="478">
                  <c:v>71.010000000000005</c:v>
                </c:pt>
                <c:pt idx="479">
                  <c:v>71.06</c:v>
                </c:pt>
                <c:pt idx="480">
                  <c:v>71.08</c:v>
                </c:pt>
                <c:pt idx="481">
                  <c:v>71.040000000000006</c:v>
                </c:pt>
                <c:pt idx="482">
                  <c:v>71.09</c:v>
                </c:pt>
                <c:pt idx="483">
                  <c:v>71.040000000000006</c:v>
                </c:pt>
                <c:pt idx="484">
                  <c:v>71</c:v>
                </c:pt>
                <c:pt idx="485">
                  <c:v>71.05</c:v>
                </c:pt>
                <c:pt idx="486">
                  <c:v>71.06</c:v>
                </c:pt>
                <c:pt idx="487">
                  <c:v>71.06</c:v>
                </c:pt>
                <c:pt idx="488">
                  <c:v>71.06</c:v>
                </c:pt>
                <c:pt idx="489">
                  <c:v>71.040000000000006</c:v>
                </c:pt>
                <c:pt idx="490">
                  <c:v>71.06</c:v>
                </c:pt>
                <c:pt idx="491">
                  <c:v>71.02</c:v>
                </c:pt>
                <c:pt idx="492">
                  <c:v>71.069999999999993</c:v>
                </c:pt>
                <c:pt idx="493">
                  <c:v>71.010000000000005</c:v>
                </c:pt>
                <c:pt idx="494">
                  <c:v>71.05</c:v>
                </c:pt>
                <c:pt idx="495">
                  <c:v>71.06</c:v>
                </c:pt>
                <c:pt idx="496">
                  <c:v>71.05</c:v>
                </c:pt>
                <c:pt idx="497">
                  <c:v>71.06</c:v>
                </c:pt>
                <c:pt idx="498">
                  <c:v>71.02</c:v>
                </c:pt>
                <c:pt idx="499">
                  <c:v>71.06</c:v>
                </c:pt>
                <c:pt idx="500">
                  <c:v>71.010000000000005</c:v>
                </c:pt>
                <c:pt idx="501">
                  <c:v>71.069999999999993</c:v>
                </c:pt>
                <c:pt idx="502">
                  <c:v>71.099999999999994</c:v>
                </c:pt>
                <c:pt idx="503">
                  <c:v>71.08</c:v>
                </c:pt>
                <c:pt idx="504">
                  <c:v>71.06</c:v>
                </c:pt>
                <c:pt idx="505">
                  <c:v>71.08</c:v>
                </c:pt>
                <c:pt idx="506">
                  <c:v>71.099999999999994</c:v>
                </c:pt>
                <c:pt idx="507">
                  <c:v>71.09</c:v>
                </c:pt>
                <c:pt idx="508">
                  <c:v>71.11</c:v>
                </c:pt>
                <c:pt idx="509">
                  <c:v>71.099999999999994</c:v>
                </c:pt>
                <c:pt idx="510">
                  <c:v>71.099999999999994</c:v>
                </c:pt>
                <c:pt idx="511">
                  <c:v>71.099999999999994</c:v>
                </c:pt>
                <c:pt idx="512">
                  <c:v>71.06</c:v>
                </c:pt>
                <c:pt idx="513">
                  <c:v>71.05</c:v>
                </c:pt>
                <c:pt idx="514">
                  <c:v>71.06</c:v>
                </c:pt>
                <c:pt idx="515">
                  <c:v>71.06</c:v>
                </c:pt>
                <c:pt idx="516">
                  <c:v>71.03</c:v>
                </c:pt>
                <c:pt idx="517">
                  <c:v>71.150000000000006</c:v>
                </c:pt>
                <c:pt idx="518">
                  <c:v>71.180000000000007</c:v>
                </c:pt>
                <c:pt idx="519">
                  <c:v>71.27</c:v>
                </c:pt>
                <c:pt idx="520">
                  <c:v>71.42</c:v>
                </c:pt>
                <c:pt idx="521">
                  <c:v>71.52</c:v>
                </c:pt>
                <c:pt idx="522">
                  <c:v>71.55</c:v>
                </c:pt>
                <c:pt idx="523">
                  <c:v>71.64</c:v>
                </c:pt>
                <c:pt idx="524">
                  <c:v>71.66</c:v>
                </c:pt>
                <c:pt idx="525">
                  <c:v>71.69</c:v>
                </c:pt>
                <c:pt idx="526">
                  <c:v>71.69</c:v>
                </c:pt>
                <c:pt idx="527">
                  <c:v>71.709999999999994</c:v>
                </c:pt>
                <c:pt idx="528">
                  <c:v>71.7</c:v>
                </c:pt>
                <c:pt idx="529">
                  <c:v>71.650000000000006</c:v>
                </c:pt>
                <c:pt idx="530">
                  <c:v>71.67</c:v>
                </c:pt>
                <c:pt idx="531">
                  <c:v>71.64</c:v>
                </c:pt>
                <c:pt idx="532">
                  <c:v>71.64</c:v>
                </c:pt>
                <c:pt idx="533">
                  <c:v>71.64</c:v>
                </c:pt>
                <c:pt idx="534">
                  <c:v>71.599999999999994</c:v>
                </c:pt>
                <c:pt idx="535">
                  <c:v>71.599999999999994</c:v>
                </c:pt>
                <c:pt idx="536">
                  <c:v>71.58</c:v>
                </c:pt>
                <c:pt idx="537">
                  <c:v>71.59</c:v>
                </c:pt>
                <c:pt idx="538">
                  <c:v>71.53</c:v>
                </c:pt>
                <c:pt idx="539">
                  <c:v>71.52</c:v>
                </c:pt>
                <c:pt idx="540">
                  <c:v>71.510000000000005</c:v>
                </c:pt>
                <c:pt idx="541">
                  <c:v>71.48</c:v>
                </c:pt>
                <c:pt idx="542">
                  <c:v>71.48</c:v>
                </c:pt>
                <c:pt idx="543">
                  <c:v>71.48</c:v>
                </c:pt>
                <c:pt idx="544">
                  <c:v>71.47</c:v>
                </c:pt>
                <c:pt idx="545">
                  <c:v>71.44</c:v>
                </c:pt>
                <c:pt idx="546">
                  <c:v>71.400000000000006</c:v>
                </c:pt>
                <c:pt idx="547">
                  <c:v>71.44</c:v>
                </c:pt>
                <c:pt idx="548">
                  <c:v>71.36</c:v>
                </c:pt>
                <c:pt idx="549">
                  <c:v>71.400000000000006</c:v>
                </c:pt>
                <c:pt idx="550">
                  <c:v>71.34</c:v>
                </c:pt>
                <c:pt idx="551">
                  <c:v>71.36</c:v>
                </c:pt>
                <c:pt idx="552">
                  <c:v>71.36</c:v>
                </c:pt>
                <c:pt idx="553">
                  <c:v>71.349999999999994</c:v>
                </c:pt>
                <c:pt idx="554">
                  <c:v>71.34</c:v>
                </c:pt>
                <c:pt idx="555">
                  <c:v>71.319999999999993</c:v>
                </c:pt>
                <c:pt idx="556">
                  <c:v>71.319999999999993</c:v>
                </c:pt>
                <c:pt idx="557">
                  <c:v>71.31</c:v>
                </c:pt>
                <c:pt idx="558">
                  <c:v>71.31</c:v>
                </c:pt>
                <c:pt idx="559">
                  <c:v>71.27</c:v>
                </c:pt>
                <c:pt idx="560">
                  <c:v>71.260000000000005</c:v>
                </c:pt>
                <c:pt idx="561">
                  <c:v>71.31</c:v>
                </c:pt>
                <c:pt idx="562">
                  <c:v>71.22</c:v>
                </c:pt>
                <c:pt idx="563">
                  <c:v>71.27</c:v>
                </c:pt>
                <c:pt idx="564">
                  <c:v>71.2</c:v>
                </c:pt>
                <c:pt idx="565">
                  <c:v>71.22</c:v>
                </c:pt>
                <c:pt idx="566">
                  <c:v>71.17</c:v>
                </c:pt>
                <c:pt idx="567">
                  <c:v>71.23</c:v>
                </c:pt>
                <c:pt idx="568">
                  <c:v>71.14</c:v>
                </c:pt>
                <c:pt idx="569">
                  <c:v>71.17</c:v>
                </c:pt>
                <c:pt idx="570">
                  <c:v>71.13</c:v>
                </c:pt>
                <c:pt idx="571">
                  <c:v>71.150000000000006</c:v>
                </c:pt>
                <c:pt idx="572">
                  <c:v>71.13</c:v>
                </c:pt>
                <c:pt idx="573">
                  <c:v>71.09</c:v>
                </c:pt>
                <c:pt idx="574">
                  <c:v>71.13</c:v>
                </c:pt>
                <c:pt idx="575">
                  <c:v>71.12</c:v>
                </c:pt>
                <c:pt idx="576">
                  <c:v>71.150000000000006</c:v>
                </c:pt>
                <c:pt idx="577">
                  <c:v>71.099999999999994</c:v>
                </c:pt>
                <c:pt idx="578">
                  <c:v>71.12</c:v>
                </c:pt>
                <c:pt idx="579">
                  <c:v>71.12</c:v>
                </c:pt>
                <c:pt idx="580">
                  <c:v>71.099999999999994</c:v>
                </c:pt>
                <c:pt idx="581">
                  <c:v>71.13</c:v>
                </c:pt>
                <c:pt idx="582">
                  <c:v>71.06</c:v>
                </c:pt>
                <c:pt idx="583">
                  <c:v>71.08</c:v>
                </c:pt>
                <c:pt idx="584">
                  <c:v>71.06</c:v>
                </c:pt>
                <c:pt idx="585">
                  <c:v>71.099999999999994</c:v>
                </c:pt>
                <c:pt idx="586">
                  <c:v>71.06</c:v>
                </c:pt>
                <c:pt idx="587">
                  <c:v>71.06</c:v>
                </c:pt>
                <c:pt idx="588">
                  <c:v>71.08</c:v>
                </c:pt>
                <c:pt idx="589">
                  <c:v>71.06</c:v>
                </c:pt>
                <c:pt idx="590">
                  <c:v>71.08</c:v>
                </c:pt>
                <c:pt idx="591">
                  <c:v>71.05</c:v>
                </c:pt>
                <c:pt idx="592">
                  <c:v>71.06</c:v>
                </c:pt>
                <c:pt idx="593">
                  <c:v>71.040000000000006</c:v>
                </c:pt>
                <c:pt idx="594">
                  <c:v>71.03</c:v>
                </c:pt>
                <c:pt idx="595">
                  <c:v>71.08</c:v>
                </c:pt>
                <c:pt idx="596">
                  <c:v>71.06</c:v>
                </c:pt>
                <c:pt idx="597">
                  <c:v>71.06</c:v>
                </c:pt>
                <c:pt idx="598">
                  <c:v>71.02</c:v>
                </c:pt>
                <c:pt idx="599">
                  <c:v>71.040000000000006</c:v>
                </c:pt>
                <c:pt idx="600">
                  <c:v>71.03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8D-4FAC-8E38-11AD6BA2A8B9}"/>
            </c:ext>
          </c:extLst>
        </c:ser>
        <c:ser>
          <c:idx val="1"/>
          <c:order val="1"/>
          <c:tx>
            <c:strRef>
              <c:f>'71'!$S$1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'71'!$Q$2:$Q$602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'71'!$S$2:$S$602</c:f>
              <c:numCache>
                <c:formatCode>General</c:formatCode>
                <c:ptCount val="601"/>
                <c:pt idx="0">
                  <c:v>71</c:v>
                </c:pt>
                <c:pt idx="1">
                  <c:v>71</c:v>
                </c:pt>
                <c:pt idx="2">
                  <c:v>71</c:v>
                </c:pt>
                <c:pt idx="3">
                  <c:v>71</c:v>
                </c:pt>
                <c:pt idx="4">
                  <c:v>71</c:v>
                </c:pt>
                <c:pt idx="5">
                  <c:v>71</c:v>
                </c:pt>
                <c:pt idx="6">
                  <c:v>71</c:v>
                </c:pt>
                <c:pt idx="7">
                  <c:v>71</c:v>
                </c:pt>
                <c:pt idx="8">
                  <c:v>71</c:v>
                </c:pt>
                <c:pt idx="9">
                  <c:v>71</c:v>
                </c:pt>
                <c:pt idx="10">
                  <c:v>71</c:v>
                </c:pt>
                <c:pt idx="11">
                  <c:v>71</c:v>
                </c:pt>
                <c:pt idx="12">
                  <c:v>71</c:v>
                </c:pt>
                <c:pt idx="13">
                  <c:v>71</c:v>
                </c:pt>
                <c:pt idx="14">
                  <c:v>71</c:v>
                </c:pt>
                <c:pt idx="15">
                  <c:v>71</c:v>
                </c:pt>
                <c:pt idx="16">
                  <c:v>71</c:v>
                </c:pt>
                <c:pt idx="17">
                  <c:v>71</c:v>
                </c:pt>
                <c:pt idx="18">
                  <c:v>71</c:v>
                </c:pt>
                <c:pt idx="19">
                  <c:v>71</c:v>
                </c:pt>
                <c:pt idx="20">
                  <c:v>71</c:v>
                </c:pt>
                <c:pt idx="21">
                  <c:v>71</c:v>
                </c:pt>
                <c:pt idx="22">
                  <c:v>71</c:v>
                </c:pt>
                <c:pt idx="23">
                  <c:v>71</c:v>
                </c:pt>
                <c:pt idx="24">
                  <c:v>71</c:v>
                </c:pt>
                <c:pt idx="25">
                  <c:v>71</c:v>
                </c:pt>
                <c:pt idx="26">
                  <c:v>71</c:v>
                </c:pt>
                <c:pt idx="27">
                  <c:v>71</c:v>
                </c:pt>
                <c:pt idx="28">
                  <c:v>71</c:v>
                </c:pt>
                <c:pt idx="29">
                  <c:v>71</c:v>
                </c:pt>
                <c:pt idx="30">
                  <c:v>71</c:v>
                </c:pt>
                <c:pt idx="31">
                  <c:v>71</c:v>
                </c:pt>
                <c:pt idx="32">
                  <c:v>71</c:v>
                </c:pt>
                <c:pt idx="33">
                  <c:v>71</c:v>
                </c:pt>
                <c:pt idx="34">
                  <c:v>71</c:v>
                </c:pt>
                <c:pt idx="35">
                  <c:v>71</c:v>
                </c:pt>
                <c:pt idx="36">
                  <c:v>71</c:v>
                </c:pt>
                <c:pt idx="37">
                  <c:v>71</c:v>
                </c:pt>
                <c:pt idx="38">
                  <c:v>71</c:v>
                </c:pt>
                <c:pt idx="39">
                  <c:v>71</c:v>
                </c:pt>
                <c:pt idx="40">
                  <c:v>71</c:v>
                </c:pt>
                <c:pt idx="41">
                  <c:v>71</c:v>
                </c:pt>
                <c:pt idx="42">
                  <c:v>71</c:v>
                </c:pt>
                <c:pt idx="43">
                  <c:v>71</c:v>
                </c:pt>
                <c:pt idx="44">
                  <c:v>71</c:v>
                </c:pt>
                <c:pt idx="45">
                  <c:v>71</c:v>
                </c:pt>
                <c:pt idx="46">
                  <c:v>71</c:v>
                </c:pt>
                <c:pt idx="47">
                  <c:v>71</c:v>
                </c:pt>
                <c:pt idx="48">
                  <c:v>71</c:v>
                </c:pt>
                <c:pt idx="49">
                  <c:v>71</c:v>
                </c:pt>
                <c:pt idx="50">
                  <c:v>71</c:v>
                </c:pt>
                <c:pt idx="51">
                  <c:v>71</c:v>
                </c:pt>
                <c:pt idx="52">
                  <c:v>71</c:v>
                </c:pt>
                <c:pt idx="53">
                  <c:v>71</c:v>
                </c:pt>
                <c:pt idx="54">
                  <c:v>71</c:v>
                </c:pt>
                <c:pt idx="55">
                  <c:v>71</c:v>
                </c:pt>
                <c:pt idx="56">
                  <c:v>71</c:v>
                </c:pt>
                <c:pt idx="57">
                  <c:v>71</c:v>
                </c:pt>
                <c:pt idx="58">
                  <c:v>71</c:v>
                </c:pt>
                <c:pt idx="59">
                  <c:v>71</c:v>
                </c:pt>
                <c:pt idx="60">
                  <c:v>71</c:v>
                </c:pt>
                <c:pt idx="61">
                  <c:v>71</c:v>
                </c:pt>
                <c:pt idx="62">
                  <c:v>71</c:v>
                </c:pt>
                <c:pt idx="63">
                  <c:v>71</c:v>
                </c:pt>
                <c:pt idx="64">
                  <c:v>71</c:v>
                </c:pt>
                <c:pt idx="65">
                  <c:v>71</c:v>
                </c:pt>
                <c:pt idx="66">
                  <c:v>71</c:v>
                </c:pt>
                <c:pt idx="67">
                  <c:v>71</c:v>
                </c:pt>
                <c:pt idx="68">
                  <c:v>71</c:v>
                </c:pt>
                <c:pt idx="69">
                  <c:v>71</c:v>
                </c:pt>
                <c:pt idx="70">
                  <c:v>71</c:v>
                </c:pt>
                <c:pt idx="71">
                  <c:v>71</c:v>
                </c:pt>
                <c:pt idx="72">
                  <c:v>71</c:v>
                </c:pt>
                <c:pt idx="73">
                  <c:v>71</c:v>
                </c:pt>
                <c:pt idx="74">
                  <c:v>71</c:v>
                </c:pt>
                <c:pt idx="75">
                  <c:v>71</c:v>
                </c:pt>
                <c:pt idx="76">
                  <c:v>71</c:v>
                </c:pt>
                <c:pt idx="77">
                  <c:v>71</c:v>
                </c:pt>
                <c:pt idx="78">
                  <c:v>71</c:v>
                </c:pt>
                <c:pt idx="79">
                  <c:v>71</c:v>
                </c:pt>
                <c:pt idx="80">
                  <c:v>71</c:v>
                </c:pt>
                <c:pt idx="81">
                  <c:v>71</c:v>
                </c:pt>
                <c:pt idx="82">
                  <c:v>71</c:v>
                </c:pt>
                <c:pt idx="83">
                  <c:v>71</c:v>
                </c:pt>
                <c:pt idx="84">
                  <c:v>71</c:v>
                </c:pt>
                <c:pt idx="85">
                  <c:v>71</c:v>
                </c:pt>
                <c:pt idx="86">
                  <c:v>71</c:v>
                </c:pt>
                <c:pt idx="87">
                  <c:v>71</c:v>
                </c:pt>
                <c:pt idx="88">
                  <c:v>71</c:v>
                </c:pt>
                <c:pt idx="89">
                  <c:v>71</c:v>
                </c:pt>
                <c:pt idx="90">
                  <c:v>71</c:v>
                </c:pt>
                <c:pt idx="91">
                  <c:v>71</c:v>
                </c:pt>
                <c:pt idx="92">
                  <c:v>71</c:v>
                </c:pt>
                <c:pt idx="93">
                  <c:v>71</c:v>
                </c:pt>
                <c:pt idx="94">
                  <c:v>71</c:v>
                </c:pt>
                <c:pt idx="95">
                  <c:v>71</c:v>
                </c:pt>
                <c:pt idx="96">
                  <c:v>71</c:v>
                </c:pt>
                <c:pt idx="97">
                  <c:v>71</c:v>
                </c:pt>
                <c:pt idx="98">
                  <c:v>71</c:v>
                </c:pt>
                <c:pt idx="99">
                  <c:v>71</c:v>
                </c:pt>
                <c:pt idx="100">
                  <c:v>71</c:v>
                </c:pt>
                <c:pt idx="101">
                  <c:v>71</c:v>
                </c:pt>
                <c:pt idx="102">
                  <c:v>71</c:v>
                </c:pt>
                <c:pt idx="103">
                  <c:v>71</c:v>
                </c:pt>
                <c:pt idx="104">
                  <c:v>71</c:v>
                </c:pt>
                <c:pt idx="105">
                  <c:v>71</c:v>
                </c:pt>
                <c:pt idx="106">
                  <c:v>71</c:v>
                </c:pt>
                <c:pt idx="107">
                  <c:v>71</c:v>
                </c:pt>
                <c:pt idx="108">
                  <c:v>71</c:v>
                </c:pt>
                <c:pt idx="109">
                  <c:v>71</c:v>
                </c:pt>
                <c:pt idx="110">
                  <c:v>71</c:v>
                </c:pt>
                <c:pt idx="111">
                  <c:v>71</c:v>
                </c:pt>
                <c:pt idx="112">
                  <c:v>71</c:v>
                </c:pt>
                <c:pt idx="113">
                  <c:v>71</c:v>
                </c:pt>
                <c:pt idx="114">
                  <c:v>71</c:v>
                </c:pt>
                <c:pt idx="115">
                  <c:v>71</c:v>
                </c:pt>
                <c:pt idx="116">
                  <c:v>71</c:v>
                </c:pt>
                <c:pt idx="117">
                  <c:v>71</c:v>
                </c:pt>
                <c:pt idx="118">
                  <c:v>71</c:v>
                </c:pt>
                <c:pt idx="119">
                  <c:v>71</c:v>
                </c:pt>
                <c:pt idx="120">
                  <c:v>71</c:v>
                </c:pt>
                <c:pt idx="121">
                  <c:v>71</c:v>
                </c:pt>
                <c:pt idx="122">
                  <c:v>71</c:v>
                </c:pt>
                <c:pt idx="123">
                  <c:v>71</c:v>
                </c:pt>
                <c:pt idx="124">
                  <c:v>71</c:v>
                </c:pt>
                <c:pt idx="125">
                  <c:v>71</c:v>
                </c:pt>
                <c:pt idx="126">
                  <c:v>71</c:v>
                </c:pt>
                <c:pt idx="127">
                  <c:v>71</c:v>
                </c:pt>
                <c:pt idx="128">
                  <c:v>71</c:v>
                </c:pt>
                <c:pt idx="129">
                  <c:v>71</c:v>
                </c:pt>
                <c:pt idx="130">
                  <c:v>71</c:v>
                </c:pt>
                <c:pt idx="131">
                  <c:v>71</c:v>
                </c:pt>
                <c:pt idx="132">
                  <c:v>71</c:v>
                </c:pt>
                <c:pt idx="133">
                  <c:v>71</c:v>
                </c:pt>
                <c:pt idx="134">
                  <c:v>71</c:v>
                </c:pt>
                <c:pt idx="135">
                  <c:v>71</c:v>
                </c:pt>
                <c:pt idx="136">
                  <c:v>71</c:v>
                </c:pt>
                <c:pt idx="137">
                  <c:v>71</c:v>
                </c:pt>
                <c:pt idx="138">
                  <c:v>71</c:v>
                </c:pt>
                <c:pt idx="139">
                  <c:v>71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71</c:v>
                </c:pt>
                <c:pt idx="144">
                  <c:v>71</c:v>
                </c:pt>
                <c:pt idx="145">
                  <c:v>71</c:v>
                </c:pt>
                <c:pt idx="146">
                  <c:v>71</c:v>
                </c:pt>
                <c:pt idx="147">
                  <c:v>71</c:v>
                </c:pt>
                <c:pt idx="148">
                  <c:v>71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71</c:v>
                </c:pt>
                <c:pt idx="153">
                  <c:v>71</c:v>
                </c:pt>
                <c:pt idx="154">
                  <c:v>71</c:v>
                </c:pt>
                <c:pt idx="155">
                  <c:v>71</c:v>
                </c:pt>
                <c:pt idx="156">
                  <c:v>71</c:v>
                </c:pt>
                <c:pt idx="157">
                  <c:v>71</c:v>
                </c:pt>
                <c:pt idx="158">
                  <c:v>71</c:v>
                </c:pt>
                <c:pt idx="159">
                  <c:v>71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71</c:v>
                </c:pt>
                <c:pt idx="166">
                  <c:v>71</c:v>
                </c:pt>
                <c:pt idx="167">
                  <c:v>71</c:v>
                </c:pt>
                <c:pt idx="168">
                  <c:v>71</c:v>
                </c:pt>
                <c:pt idx="169">
                  <c:v>71</c:v>
                </c:pt>
                <c:pt idx="170">
                  <c:v>71</c:v>
                </c:pt>
                <c:pt idx="171">
                  <c:v>71</c:v>
                </c:pt>
                <c:pt idx="172">
                  <c:v>71</c:v>
                </c:pt>
                <c:pt idx="173">
                  <c:v>71</c:v>
                </c:pt>
                <c:pt idx="174">
                  <c:v>71</c:v>
                </c:pt>
                <c:pt idx="175">
                  <c:v>71</c:v>
                </c:pt>
                <c:pt idx="176">
                  <c:v>71</c:v>
                </c:pt>
                <c:pt idx="177">
                  <c:v>71</c:v>
                </c:pt>
                <c:pt idx="178">
                  <c:v>71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</c:v>
                </c:pt>
                <c:pt idx="183">
                  <c:v>71</c:v>
                </c:pt>
                <c:pt idx="184">
                  <c:v>71</c:v>
                </c:pt>
                <c:pt idx="185">
                  <c:v>71</c:v>
                </c:pt>
                <c:pt idx="186">
                  <c:v>71</c:v>
                </c:pt>
                <c:pt idx="187">
                  <c:v>71</c:v>
                </c:pt>
                <c:pt idx="188">
                  <c:v>71</c:v>
                </c:pt>
                <c:pt idx="189">
                  <c:v>71</c:v>
                </c:pt>
                <c:pt idx="190">
                  <c:v>71</c:v>
                </c:pt>
                <c:pt idx="191">
                  <c:v>71</c:v>
                </c:pt>
                <c:pt idx="192">
                  <c:v>71</c:v>
                </c:pt>
                <c:pt idx="193">
                  <c:v>71</c:v>
                </c:pt>
                <c:pt idx="194">
                  <c:v>71</c:v>
                </c:pt>
                <c:pt idx="195">
                  <c:v>71</c:v>
                </c:pt>
                <c:pt idx="196">
                  <c:v>71</c:v>
                </c:pt>
                <c:pt idx="197">
                  <c:v>71</c:v>
                </c:pt>
                <c:pt idx="198">
                  <c:v>71</c:v>
                </c:pt>
                <c:pt idx="199">
                  <c:v>71</c:v>
                </c:pt>
                <c:pt idx="200">
                  <c:v>71</c:v>
                </c:pt>
                <c:pt idx="201">
                  <c:v>71</c:v>
                </c:pt>
                <c:pt idx="202">
                  <c:v>71</c:v>
                </c:pt>
                <c:pt idx="203">
                  <c:v>71</c:v>
                </c:pt>
                <c:pt idx="204">
                  <c:v>71</c:v>
                </c:pt>
                <c:pt idx="205">
                  <c:v>71</c:v>
                </c:pt>
                <c:pt idx="206">
                  <c:v>71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71</c:v>
                </c:pt>
                <c:pt idx="211">
                  <c:v>71</c:v>
                </c:pt>
                <c:pt idx="212">
                  <c:v>71</c:v>
                </c:pt>
                <c:pt idx="213">
                  <c:v>71</c:v>
                </c:pt>
                <c:pt idx="214">
                  <c:v>71</c:v>
                </c:pt>
                <c:pt idx="215">
                  <c:v>71</c:v>
                </c:pt>
                <c:pt idx="216">
                  <c:v>71</c:v>
                </c:pt>
                <c:pt idx="217">
                  <c:v>71</c:v>
                </c:pt>
                <c:pt idx="218">
                  <c:v>71</c:v>
                </c:pt>
                <c:pt idx="219">
                  <c:v>71</c:v>
                </c:pt>
                <c:pt idx="220">
                  <c:v>71</c:v>
                </c:pt>
                <c:pt idx="221">
                  <c:v>71</c:v>
                </c:pt>
                <c:pt idx="222">
                  <c:v>71</c:v>
                </c:pt>
                <c:pt idx="223">
                  <c:v>71</c:v>
                </c:pt>
                <c:pt idx="224">
                  <c:v>71</c:v>
                </c:pt>
                <c:pt idx="225">
                  <c:v>71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71</c:v>
                </c:pt>
                <c:pt idx="231">
                  <c:v>71</c:v>
                </c:pt>
                <c:pt idx="232">
                  <c:v>71</c:v>
                </c:pt>
                <c:pt idx="233">
                  <c:v>71</c:v>
                </c:pt>
                <c:pt idx="234">
                  <c:v>71</c:v>
                </c:pt>
                <c:pt idx="235">
                  <c:v>71</c:v>
                </c:pt>
                <c:pt idx="236">
                  <c:v>71</c:v>
                </c:pt>
                <c:pt idx="237">
                  <c:v>71</c:v>
                </c:pt>
                <c:pt idx="238">
                  <c:v>71</c:v>
                </c:pt>
                <c:pt idx="239">
                  <c:v>71</c:v>
                </c:pt>
                <c:pt idx="240">
                  <c:v>71</c:v>
                </c:pt>
                <c:pt idx="241">
                  <c:v>71</c:v>
                </c:pt>
                <c:pt idx="242">
                  <c:v>71</c:v>
                </c:pt>
                <c:pt idx="243">
                  <c:v>71</c:v>
                </c:pt>
                <c:pt idx="244">
                  <c:v>71</c:v>
                </c:pt>
                <c:pt idx="245">
                  <c:v>71</c:v>
                </c:pt>
                <c:pt idx="246">
                  <c:v>71</c:v>
                </c:pt>
                <c:pt idx="247">
                  <c:v>71</c:v>
                </c:pt>
                <c:pt idx="248">
                  <c:v>71</c:v>
                </c:pt>
                <c:pt idx="249">
                  <c:v>71</c:v>
                </c:pt>
                <c:pt idx="250">
                  <c:v>71</c:v>
                </c:pt>
                <c:pt idx="251">
                  <c:v>71</c:v>
                </c:pt>
                <c:pt idx="252">
                  <c:v>71</c:v>
                </c:pt>
                <c:pt idx="253">
                  <c:v>71</c:v>
                </c:pt>
                <c:pt idx="254">
                  <c:v>71</c:v>
                </c:pt>
                <c:pt idx="255">
                  <c:v>71</c:v>
                </c:pt>
                <c:pt idx="256">
                  <c:v>71</c:v>
                </c:pt>
                <c:pt idx="257">
                  <c:v>71</c:v>
                </c:pt>
                <c:pt idx="258">
                  <c:v>71</c:v>
                </c:pt>
                <c:pt idx="259">
                  <c:v>71</c:v>
                </c:pt>
                <c:pt idx="260">
                  <c:v>71</c:v>
                </c:pt>
                <c:pt idx="261">
                  <c:v>71</c:v>
                </c:pt>
                <c:pt idx="262">
                  <c:v>71</c:v>
                </c:pt>
                <c:pt idx="263">
                  <c:v>71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71</c:v>
                </c:pt>
                <c:pt idx="289">
                  <c:v>71</c:v>
                </c:pt>
                <c:pt idx="290">
                  <c:v>71</c:v>
                </c:pt>
                <c:pt idx="291">
                  <c:v>71</c:v>
                </c:pt>
                <c:pt idx="292">
                  <c:v>71</c:v>
                </c:pt>
                <c:pt idx="293">
                  <c:v>71</c:v>
                </c:pt>
                <c:pt idx="294">
                  <c:v>71</c:v>
                </c:pt>
                <c:pt idx="295">
                  <c:v>71</c:v>
                </c:pt>
                <c:pt idx="296">
                  <c:v>71</c:v>
                </c:pt>
                <c:pt idx="297">
                  <c:v>71</c:v>
                </c:pt>
                <c:pt idx="298">
                  <c:v>71</c:v>
                </c:pt>
                <c:pt idx="299">
                  <c:v>71</c:v>
                </c:pt>
                <c:pt idx="300">
                  <c:v>71</c:v>
                </c:pt>
                <c:pt idx="301">
                  <c:v>71</c:v>
                </c:pt>
                <c:pt idx="302">
                  <c:v>71</c:v>
                </c:pt>
                <c:pt idx="303">
                  <c:v>71</c:v>
                </c:pt>
                <c:pt idx="304">
                  <c:v>71</c:v>
                </c:pt>
                <c:pt idx="305">
                  <c:v>71</c:v>
                </c:pt>
                <c:pt idx="306">
                  <c:v>71</c:v>
                </c:pt>
                <c:pt idx="307">
                  <c:v>71</c:v>
                </c:pt>
                <c:pt idx="308">
                  <c:v>71</c:v>
                </c:pt>
                <c:pt idx="309">
                  <c:v>71</c:v>
                </c:pt>
                <c:pt idx="310">
                  <c:v>71</c:v>
                </c:pt>
                <c:pt idx="311">
                  <c:v>71</c:v>
                </c:pt>
                <c:pt idx="312">
                  <c:v>71</c:v>
                </c:pt>
                <c:pt idx="313">
                  <c:v>71</c:v>
                </c:pt>
                <c:pt idx="314">
                  <c:v>71</c:v>
                </c:pt>
                <c:pt idx="315">
                  <c:v>71</c:v>
                </c:pt>
                <c:pt idx="316">
                  <c:v>71</c:v>
                </c:pt>
                <c:pt idx="317">
                  <c:v>71</c:v>
                </c:pt>
                <c:pt idx="318">
                  <c:v>71</c:v>
                </c:pt>
                <c:pt idx="319">
                  <c:v>71</c:v>
                </c:pt>
                <c:pt idx="320">
                  <c:v>71</c:v>
                </c:pt>
                <c:pt idx="321">
                  <c:v>71</c:v>
                </c:pt>
                <c:pt idx="322">
                  <c:v>71</c:v>
                </c:pt>
                <c:pt idx="323">
                  <c:v>71</c:v>
                </c:pt>
                <c:pt idx="324">
                  <c:v>71</c:v>
                </c:pt>
                <c:pt idx="325">
                  <c:v>71</c:v>
                </c:pt>
                <c:pt idx="326">
                  <c:v>71</c:v>
                </c:pt>
                <c:pt idx="327">
                  <c:v>71</c:v>
                </c:pt>
                <c:pt idx="328">
                  <c:v>71</c:v>
                </c:pt>
                <c:pt idx="329">
                  <c:v>71</c:v>
                </c:pt>
                <c:pt idx="330">
                  <c:v>71</c:v>
                </c:pt>
                <c:pt idx="331">
                  <c:v>71</c:v>
                </c:pt>
                <c:pt idx="332">
                  <c:v>71</c:v>
                </c:pt>
                <c:pt idx="333">
                  <c:v>71</c:v>
                </c:pt>
                <c:pt idx="334">
                  <c:v>71</c:v>
                </c:pt>
                <c:pt idx="335">
                  <c:v>71</c:v>
                </c:pt>
                <c:pt idx="336">
                  <c:v>71</c:v>
                </c:pt>
                <c:pt idx="337">
                  <c:v>71</c:v>
                </c:pt>
                <c:pt idx="338">
                  <c:v>71</c:v>
                </c:pt>
                <c:pt idx="339">
                  <c:v>71</c:v>
                </c:pt>
                <c:pt idx="340">
                  <c:v>71</c:v>
                </c:pt>
                <c:pt idx="341">
                  <c:v>71</c:v>
                </c:pt>
                <c:pt idx="342">
                  <c:v>71</c:v>
                </c:pt>
                <c:pt idx="343">
                  <c:v>71</c:v>
                </c:pt>
                <c:pt idx="344">
                  <c:v>71</c:v>
                </c:pt>
                <c:pt idx="345">
                  <c:v>71</c:v>
                </c:pt>
                <c:pt idx="346">
                  <c:v>71</c:v>
                </c:pt>
                <c:pt idx="347">
                  <c:v>71</c:v>
                </c:pt>
                <c:pt idx="348">
                  <c:v>71</c:v>
                </c:pt>
                <c:pt idx="349">
                  <c:v>71</c:v>
                </c:pt>
                <c:pt idx="350">
                  <c:v>71</c:v>
                </c:pt>
                <c:pt idx="351">
                  <c:v>71</c:v>
                </c:pt>
                <c:pt idx="352">
                  <c:v>71</c:v>
                </c:pt>
                <c:pt idx="353">
                  <c:v>71</c:v>
                </c:pt>
                <c:pt idx="354">
                  <c:v>71</c:v>
                </c:pt>
                <c:pt idx="355">
                  <c:v>71</c:v>
                </c:pt>
                <c:pt idx="356">
                  <c:v>71</c:v>
                </c:pt>
                <c:pt idx="357">
                  <c:v>71</c:v>
                </c:pt>
                <c:pt idx="358">
                  <c:v>71</c:v>
                </c:pt>
                <c:pt idx="359">
                  <c:v>71</c:v>
                </c:pt>
                <c:pt idx="360">
                  <c:v>71</c:v>
                </c:pt>
                <c:pt idx="361">
                  <c:v>71</c:v>
                </c:pt>
                <c:pt idx="362">
                  <c:v>71</c:v>
                </c:pt>
                <c:pt idx="363">
                  <c:v>71</c:v>
                </c:pt>
                <c:pt idx="364">
                  <c:v>71</c:v>
                </c:pt>
                <c:pt idx="365">
                  <c:v>71</c:v>
                </c:pt>
                <c:pt idx="366">
                  <c:v>71</c:v>
                </c:pt>
                <c:pt idx="367">
                  <c:v>71</c:v>
                </c:pt>
                <c:pt idx="368">
                  <c:v>71</c:v>
                </c:pt>
                <c:pt idx="369">
                  <c:v>71</c:v>
                </c:pt>
                <c:pt idx="370">
                  <c:v>71</c:v>
                </c:pt>
                <c:pt idx="371">
                  <c:v>71</c:v>
                </c:pt>
                <c:pt idx="372">
                  <c:v>71</c:v>
                </c:pt>
                <c:pt idx="373">
                  <c:v>71</c:v>
                </c:pt>
                <c:pt idx="374">
                  <c:v>71</c:v>
                </c:pt>
                <c:pt idx="375">
                  <c:v>71</c:v>
                </c:pt>
                <c:pt idx="376">
                  <c:v>71</c:v>
                </c:pt>
                <c:pt idx="377">
                  <c:v>71</c:v>
                </c:pt>
                <c:pt idx="378">
                  <c:v>71</c:v>
                </c:pt>
                <c:pt idx="379">
                  <c:v>71</c:v>
                </c:pt>
                <c:pt idx="380">
                  <c:v>71</c:v>
                </c:pt>
                <c:pt idx="381">
                  <c:v>71</c:v>
                </c:pt>
                <c:pt idx="382">
                  <c:v>71</c:v>
                </c:pt>
                <c:pt idx="383">
                  <c:v>71</c:v>
                </c:pt>
                <c:pt idx="384">
                  <c:v>71</c:v>
                </c:pt>
                <c:pt idx="385">
                  <c:v>71</c:v>
                </c:pt>
                <c:pt idx="386">
                  <c:v>71</c:v>
                </c:pt>
                <c:pt idx="387">
                  <c:v>71</c:v>
                </c:pt>
                <c:pt idx="388">
                  <c:v>71</c:v>
                </c:pt>
                <c:pt idx="389">
                  <c:v>71</c:v>
                </c:pt>
                <c:pt idx="390">
                  <c:v>71</c:v>
                </c:pt>
                <c:pt idx="391">
                  <c:v>71</c:v>
                </c:pt>
                <c:pt idx="392">
                  <c:v>71</c:v>
                </c:pt>
                <c:pt idx="393">
                  <c:v>71</c:v>
                </c:pt>
                <c:pt idx="394">
                  <c:v>71</c:v>
                </c:pt>
                <c:pt idx="395">
                  <c:v>71</c:v>
                </c:pt>
                <c:pt idx="396">
                  <c:v>71</c:v>
                </c:pt>
                <c:pt idx="397">
                  <c:v>71</c:v>
                </c:pt>
                <c:pt idx="398">
                  <c:v>71</c:v>
                </c:pt>
                <c:pt idx="399">
                  <c:v>71</c:v>
                </c:pt>
                <c:pt idx="400">
                  <c:v>71</c:v>
                </c:pt>
                <c:pt idx="401">
                  <c:v>71</c:v>
                </c:pt>
                <c:pt idx="402">
                  <c:v>71</c:v>
                </c:pt>
                <c:pt idx="403">
                  <c:v>71</c:v>
                </c:pt>
                <c:pt idx="404">
                  <c:v>71</c:v>
                </c:pt>
                <c:pt idx="405">
                  <c:v>71</c:v>
                </c:pt>
                <c:pt idx="406">
                  <c:v>71</c:v>
                </c:pt>
                <c:pt idx="407">
                  <c:v>71</c:v>
                </c:pt>
                <c:pt idx="408">
                  <c:v>71</c:v>
                </c:pt>
                <c:pt idx="409">
                  <c:v>71</c:v>
                </c:pt>
                <c:pt idx="410">
                  <c:v>71</c:v>
                </c:pt>
                <c:pt idx="411">
                  <c:v>71</c:v>
                </c:pt>
                <c:pt idx="412">
                  <c:v>71</c:v>
                </c:pt>
                <c:pt idx="413">
                  <c:v>71</c:v>
                </c:pt>
                <c:pt idx="414">
                  <c:v>71</c:v>
                </c:pt>
                <c:pt idx="415">
                  <c:v>71</c:v>
                </c:pt>
                <c:pt idx="416">
                  <c:v>71</c:v>
                </c:pt>
                <c:pt idx="417">
                  <c:v>71</c:v>
                </c:pt>
                <c:pt idx="418">
                  <c:v>71</c:v>
                </c:pt>
                <c:pt idx="419">
                  <c:v>71</c:v>
                </c:pt>
                <c:pt idx="420">
                  <c:v>71</c:v>
                </c:pt>
                <c:pt idx="421">
                  <c:v>71</c:v>
                </c:pt>
                <c:pt idx="422">
                  <c:v>71</c:v>
                </c:pt>
                <c:pt idx="423">
                  <c:v>71</c:v>
                </c:pt>
                <c:pt idx="424">
                  <c:v>71</c:v>
                </c:pt>
                <c:pt idx="425">
                  <c:v>71</c:v>
                </c:pt>
                <c:pt idx="426">
                  <c:v>71</c:v>
                </c:pt>
                <c:pt idx="427">
                  <c:v>71</c:v>
                </c:pt>
                <c:pt idx="428">
                  <c:v>71</c:v>
                </c:pt>
                <c:pt idx="429">
                  <c:v>71</c:v>
                </c:pt>
                <c:pt idx="430">
                  <c:v>71</c:v>
                </c:pt>
                <c:pt idx="431">
                  <c:v>71</c:v>
                </c:pt>
                <c:pt idx="432">
                  <c:v>71</c:v>
                </c:pt>
                <c:pt idx="433">
                  <c:v>71</c:v>
                </c:pt>
                <c:pt idx="434">
                  <c:v>71</c:v>
                </c:pt>
                <c:pt idx="435">
                  <c:v>71</c:v>
                </c:pt>
                <c:pt idx="436">
                  <c:v>71</c:v>
                </c:pt>
                <c:pt idx="437">
                  <c:v>71</c:v>
                </c:pt>
                <c:pt idx="438">
                  <c:v>71</c:v>
                </c:pt>
                <c:pt idx="439">
                  <c:v>71</c:v>
                </c:pt>
                <c:pt idx="440">
                  <c:v>71</c:v>
                </c:pt>
                <c:pt idx="441">
                  <c:v>71</c:v>
                </c:pt>
                <c:pt idx="442">
                  <c:v>71</c:v>
                </c:pt>
                <c:pt idx="443">
                  <c:v>71.000119999999995</c:v>
                </c:pt>
                <c:pt idx="444">
                  <c:v>71</c:v>
                </c:pt>
                <c:pt idx="445">
                  <c:v>71</c:v>
                </c:pt>
                <c:pt idx="446">
                  <c:v>71</c:v>
                </c:pt>
                <c:pt idx="447">
                  <c:v>71</c:v>
                </c:pt>
                <c:pt idx="448">
                  <c:v>71</c:v>
                </c:pt>
                <c:pt idx="449">
                  <c:v>71</c:v>
                </c:pt>
                <c:pt idx="450">
                  <c:v>71</c:v>
                </c:pt>
                <c:pt idx="451">
                  <c:v>71</c:v>
                </c:pt>
                <c:pt idx="452">
                  <c:v>71</c:v>
                </c:pt>
                <c:pt idx="453">
                  <c:v>71</c:v>
                </c:pt>
                <c:pt idx="454">
                  <c:v>71</c:v>
                </c:pt>
                <c:pt idx="455">
                  <c:v>71</c:v>
                </c:pt>
                <c:pt idx="456">
                  <c:v>71</c:v>
                </c:pt>
                <c:pt idx="457">
                  <c:v>71</c:v>
                </c:pt>
                <c:pt idx="458">
                  <c:v>71</c:v>
                </c:pt>
                <c:pt idx="459">
                  <c:v>71</c:v>
                </c:pt>
                <c:pt idx="460">
                  <c:v>71</c:v>
                </c:pt>
                <c:pt idx="461">
                  <c:v>71</c:v>
                </c:pt>
                <c:pt idx="462">
                  <c:v>71</c:v>
                </c:pt>
                <c:pt idx="463">
                  <c:v>71</c:v>
                </c:pt>
                <c:pt idx="464">
                  <c:v>71</c:v>
                </c:pt>
                <c:pt idx="465">
                  <c:v>71</c:v>
                </c:pt>
                <c:pt idx="466">
                  <c:v>71</c:v>
                </c:pt>
                <c:pt idx="467">
                  <c:v>71</c:v>
                </c:pt>
                <c:pt idx="468">
                  <c:v>71</c:v>
                </c:pt>
                <c:pt idx="469">
                  <c:v>71</c:v>
                </c:pt>
                <c:pt idx="470">
                  <c:v>71</c:v>
                </c:pt>
                <c:pt idx="471">
                  <c:v>71</c:v>
                </c:pt>
                <c:pt idx="472">
                  <c:v>71</c:v>
                </c:pt>
                <c:pt idx="473">
                  <c:v>71</c:v>
                </c:pt>
                <c:pt idx="474">
                  <c:v>71</c:v>
                </c:pt>
                <c:pt idx="475">
                  <c:v>71</c:v>
                </c:pt>
                <c:pt idx="476">
                  <c:v>71</c:v>
                </c:pt>
                <c:pt idx="477">
                  <c:v>71</c:v>
                </c:pt>
                <c:pt idx="478">
                  <c:v>71</c:v>
                </c:pt>
                <c:pt idx="479">
                  <c:v>71</c:v>
                </c:pt>
                <c:pt idx="480">
                  <c:v>71</c:v>
                </c:pt>
                <c:pt idx="481">
                  <c:v>71</c:v>
                </c:pt>
                <c:pt idx="482">
                  <c:v>71</c:v>
                </c:pt>
                <c:pt idx="483">
                  <c:v>71</c:v>
                </c:pt>
                <c:pt idx="484">
                  <c:v>71</c:v>
                </c:pt>
                <c:pt idx="485">
                  <c:v>71</c:v>
                </c:pt>
                <c:pt idx="486">
                  <c:v>71</c:v>
                </c:pt>
                <c:pt idx="487">
                  <c:v>71</c:v>
                </c:pt>
                <c:pt idx="488">
                  <c:v>71</c:v>
                </c:pt>
                <c:pt idx="489">
                  <c:v>71</c:v>
                </c:pt>
                <c:pt idx="490">
                  <c:v>71</c:v>
                </c:pt>
                <c:pt idx="491">
                  <c:v>71</c:v>
                </c:pt>
                <c:pt idx="492">
                  <c:v>71</c:v>
                </c:pt>
                <c:pt idx="493">
                  <c:v>71</c:v>
                </c:pt>
                <c:pt idx="494">
                  <c:v>71</c:v>
                </c:pt>
                <c:pt idx="495">
                  <c:v>71</c:v>
                </c:pt>
                <c:pt idx="496">
                  <c:v>71</c:v>
                </c:pt>
                <c:pt idx="497">
                  <c:v>71</c:v>
                </c:pt>
                <c:pt idx="498">
                  <c:v>71</c:v>
                </c:pt>
                <c:pt idx="499">
                  <c:v>71</c:v>
                </c:pt>
                <c:pt idx="500">
                  <c:v>71</c:v>
                </c:pt>
                <c:pt idx="501">
                  <c:v>71</c:v>
                </c:pt>
                <c:pt idx="502">
                  <c:v>71</c:v>
                </c:pt>
                <c:pt idx="503">
                  <c:v>71</c:v>
                </c:pt>
                <c:pt idx="504">
                  <c:v>71</c:v>
                </c:pt>
                <c:pt idx="505">
                  <c:v>71</c:v>
                </c:pt>
                <c:pt idx="506">
                  <c:v>71</c:v>
                </c:pt>
                <c:pt idx="507">
                  <c:v>71</c:v>
                </c:pt>
                <c:pt idx="508">
                  <c:v>71</c:v>
                </c:pt>
                <c:pt idx="509">
                  <c:v>71</c:v>
                </c:pt>
                <c:pt idx="510">
                  <c:v>71</c:v>
                </c:pt>
                <c:pt idx="511">
                  <c:v>71</c:v>
                </c:pt>
                <c:pt idx="512">
                  <c:v>71</c:v>
                </c:pt>
                <c:pt idx="513">
                  <c:v>71</c:v>
                </c:pt>
                <c:pt idx="514">
                  <c:v>71</c:v>
                </c:pt>
                <c:pt idx="515">
                  <c:v>71</c:v>
                </c:pt>
                <c:pt idx="516">
                  <c:v>71</c:v>
                </c:pt>
                <c:pt idx="517">
                  <c:v>71</c:v>
                </c:pt>
                <c:pt idx="518">
                  <c:v>71</c:v>
                </c:pt>
                <c:pt idx="519">
                  <c:v>71</c:v>
                </c:pt>
                <c:pt idx="520">
                  <c:v>71</c:v>
                </c:pt>
                <c:pt idx="521">
                  <c:v>71</c:v>
                </c:pt>
                <c:pt idx="522">
                  <c:v>71</c:v>
                </c:pt>
                <c:pt idx="523">
                  <c:v>71</c:v>
                </c:pt>
                <c:pt idx="524">
                  <c:v>71</c:v>
                </c:pt>
                <c:pt idx="525">
                  <c:v>71</c:v>
                </c:pt>
                <c:pt idx="526">
                  <c:v>71</c:v>
                </c:pt>
                <c:pt idx="527">
                  <c:v>71</c:v>
                </c:pt>
                <c:pt idx="528">
                  <c:v>71</c:v>
                </c:pt>
                <c:pt idx="529">
                  <c:v>71</c:v>
                </c:pt>
                <c:pt idx="530">
                  <c:v>71</c:v>
                </c:pt>
                <c:pt idx="531">
                  <c:v>71</c:v>
                </c:pt>
                <c:pt idx="532">
                  <c:v>71</c:v>
                </c:pt>
                <c:pt idx="533">
                  <c:v>71</c:v>
                </c:pt>
                <c:pt idx="534">
                  <c:v>71</c:v>
                </c:pt>
                <c:pt idx="535">
                  <c:v>71</c:v>
                </c:pt>
                <c:pt idx="536">
                  <c:v>71</c:v>
                </c:pt>
                <c:pt idx="537">
                  <c:v>71</c:v>
                </c:pt>
                <c:pt idx="538">
                  <c:v>71</c:v>
                </c:pt>
                <c:pt idx="539">
                  <c:v>71</c:v>
                </c:pt>
                <c:pt idx="540">
                  <c:v>71</c:v>
                </c:pt>
                <c:pt idx="541">
                  <c:v>71</c:v>
                </c:pt>
                <c:pt idx="542">
                  <c:v>71</c:v>
                </c:pt>
                <c:pt idx="543">
                  <c:v>71</c:v>
                </c:pt>
                <c:pt idx="544">
                  <c:v>71</c:v>
                </c:pt>
                <c:pt idx="545">
                  <c:v>71</c:v>
                </c:pt>
                <c:pt idx="546">
                  <c:v>71</c:v>
                </c:pt>
                <c:pt idx="547">
                  <c:v>71</c:v>
                </c:pt>
                <c:pt idx="548">
                  <c:v>71</c:v>
                </c:pt>
                <c:pt idx="549">
                  <c:v>71</c:v>
                </c:pt>
                <c:pt idx="550">
                  <c:v>71</c:v>
                </c:pt>
                <c:pt idx="551">
                  <c:v>71</c:v>
                </c:pt>
                <c:pt idx="552">
                  <c:v>71</c:v>
                </c:pt>
                <c:pt idx="553">
                  <c:v>71</c:v>
                </c:pt>
                <c:pt idx="554">
                  <c:v>71</c:v>
                </c:pt>
                <c:pt idx="555">
                  <c:v>71</c:v>
                </c:pt>
                <c:pt idx="556">
                  <c:v>71</c:v>
                </c:pt>
                <c:pt idx="557">
                  <c:v>71</c:v>
                </c:pt>
                <c:pt idx="558">
                  <c:v>71</c:v>
                </c:pt>
                <c:pt idx="559">
                  <c:v>71</c:v>
                </c:pt>
                <c:pt idx="560">
                  <c:v>71</c:v>
                </c:pt>
                <c:pt idx="561">
                  <c:v>71</c:v>
                </c:pt>
                <c:pt idx="562">
                  <c:v>71</c:v>
                </c:pt>
                <c:pt idx="563">
                  <c:v>71</c:v>
                </c:pt>
                <c:pt idx="564">
                  <c:v>71</c:v>
                </c:pt>
                <c:pt idx="565">
                  <c:v>71</c:v>
                </c:pt>
                <c:pt idx="566">
                  <c:v>71</c:v>
                </c:pt>
                <c:pt idx="567">
                  <c:v>71</c:v>
                </c:pt>
                <c:pt idx="568">
                  <c:v>71</c:v>
                </c:pt>
                <c:pt idx="569">
                  <c:v>71</c:v>
                </c:pt>
                <c:pt idx="570">
                  <c:v>71</c:v>
                </c:pt>
                <c:pt idx="571">
                  <c:v>71</c:v>
                </c:pt>
                <c:pt idx="572">
                  <c:v>71</c:v>
                </c:pt>
                <c:pt idx="573">
                  <c:v>71</c:v>
                </c:pt>
                <c:pt idx="574">
                  <c:v>71</c:v>
                </c:pt>
                <c:pt idx="575">
                  <c:v>71</c:v>
                </c:pt>
                <c:pt idx="576">
                  <c:v>71</c:v>
                </c:pt>
                <c:pt idx="577">
                  <c:v>71</c:v>
                </c:pt>
                <c:pt idx="578">
                  <c:v>71</c:v>
                </c:pt>
                <c:pt idx="579">
                  <c:v>71</c:v>
                </c:pt>
                <c:pt idx="580">
                  <c:v>71</c:v>
                </c:pt>
                <c:pt idx="581">
                  <c:v>71</c:v>
                </c:pt>
                <c:pt idx="582">
                  <c:v>71</c:v>
                </c:pt>
                <c:pt idx="583">
                  <c:v>71</c:v>
                </c:pt>
                <c:pt idx="584">
                  <c:v>71</c:v>
                </c:pt>
                <c:pt idx="585">
                  <c:v>71</c:v>
                </c:pt>
                <c:pt idx="586">
                  <c:v>71</c:v>
                </c:pt>
                <c:pt idx="587">
                  <c:v>71</c:v>
                </c:pt>
                <c:pt idx="588">
                  <c:v>71</c:v>
                </c:pt>
                <c:pt idx="589">
                  <c:v>71</c:v>
                </c:pt>
                <c:pt idx="590">
                  <c:v>71</c:v>
                </c:pt>
                <c:pt idx="591">
                  <c:v>71</c:v>
                </c:pt>
                <c:pt idx="592">
                  <c:v>71</c:v>
                </c:pt>
                <c:pt idx="593">
                  <c:v>71</c:v>
                </c:pt>
                <c:pt idx="594">
                  <c:v>71</c:v>
                </c:pt>
                <c:pt idx="595">
                  <c:v>71</c:v>
                </c:pt>
                <c:pt idx="596">
                  <c:v>71</c:v>
                </c:pt>
                <c:pt idx="597">
                  <c:v>71</c:v>
                </c:pt>
                <c:pt idx="598">
                  <c:v>71</c:v>
                </c:pt>
                <c:pt idx="599">
                  <c:v>71</c:v>
                </c:pt>
                <c:pt idx="600">
                  <c:v>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8D-4FAC-8E38-11AD6BA2A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1531087"/>
        <c:axId val="1111543567"/>
      </c:scatterChart>
      <c:valAx>
        <c:axId val="1111531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43567"/>
        <c:crosses val="autoZero"/>
        <c:crossBetween val="midCat"/>
      </c:valAx>
      <c:valAx>
        <c:axId val="111154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531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'74'!$B$1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'74'!$A$2:$A$602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'74'!$B$2:$B$602</c:f>
              <c:numCache>
                <c:formatCode>General</c:formatCode>
                <c:ptCount val="601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  <c:pt idx="12">
                  <c:v>74</c:v>
                </c:pt>
                <c:pt idx="13">
                  <c:v>74</c:v>
                </c:pt>
                <c:pt idx="14">
                  <c:v>74</c:v>
                </c:pt>
                <c:pt idx="15">
                  <c:v>74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  <c:pt idx="19">
                  <c:v>74</c:v>
                </c:pt>
                <c:pt idx="20">
                  <c:v>74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74</c:v>
                </c:pt>
                <c:pt idx="29">
                  <c:v>74</c:v>
                </c:pt>
                <c:pt idx="30">
                  <c:v>74</c:v>
                </c:pt>
                <c:pt idx="31">
                  <c:v>74</c:v>
                </c:pt>
                <c:pt idx="32">
                  <c:v>74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  <c:pt idx="43">
                  <c:v>74</c:v>
                </c:pt>
                <c:pt idx="44">
                  <c:v>74</c:v>
                </c:pt>
                <c:pt idx="45">
                  <c:v>74</c:v>
                </c:pt>
                <c:pt idx="46">
                  <c:v>74</c:v>
                </c:pt>
                <c:pt idx="47">
                  <c:v>74</c:v>
                </c:pt>
                <c:pt idx="48">
                  <c:v>74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74</c:v>
                </c:pt>
                <c:pt idx="57">
                  <c:v>74</c:v>
                </c:pt>
                <c:pt idx="58">
                  <c:v>74</c:v>
                </c:pt>
                <c:pt idx="59">
                  <c:v>74</c:v>
                </c:pt>
                <c:pt idx="60">
                  <c:v>74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74</c:v>
                </c:pt>
                <c:pt idx="68">
                  <c:v>74</c:v>
                </c:pt>
                <c:pt idx="69">
                  <c:v>74</c:v>
                </c:pt>
                <c:pt idx="70">
                  <c:v>74</c:v>
                </c:pt>
                <c:pt idx="71">
                  <c:v>74</c:v>
                </c:pt>
                <c:pt idx="72">
                  <c:v>74</c:v>
                </c:pt>
                <c:pt idx="73">
                  <c:v>74</c:v>
                </c:pt>
                <c:pt idx="74">
                  <c:v>74</c:v>
                </c:pt>
                <c:pt idx="75">
                  <c:v>74</c:v>
                </c:pt>
                <c:pt idx="76">
                  <c:v>74</c:v>
                </c:pt>
                <c:pt idx="77">
                  <c:v>74</c:v>
                </c:pt>
                <c:pt idx="78">
                  <c:v>74</c:v>
                </c:pt>
                <c:pt idx="79">
                  <c:v>74</c:v>
                </c:pt>
                <c:pt idx="80">
                  <c:v>74</c:v>
                </c:pt>
                <c:pt idx="81">
                  <c:v>74</c:v>
                </c:pt>
                <c:pt idx="82">
                  <c:v>74</c:v>
                </c:pt>
                <c:pt idx="83">
                  <c:v>74</c:v>
                </c:pt>
                <c:pt idx="84">
                  <c:v>74</c:v>
                </c:pt>
                <c:pt idx="85">
                  <c:v>74</c:v>
                </c:pt>
                <c:pt idx="86">
                  <c:v>74</c:v>
                </c:pt>
                <c:pt idx="87">
                  <c:v>74</c:v>
                </c:pt>
                <c:pt idx="88">
                  <c:v>74</c:v>
                </c:pt>
                <c:pt idx="89">
                  <c:v>74</c:v>
                </c:pt>
                <c:pt idx="90">
                  <c:v>74</c:v>
                </c:pt>
                <c:pt idx="91">
                  <c:v>74</c:v>
                </c:pt>
                <c:pt idx="92">
                  <c:v>74</c:v>
                </c:pt>
                <c:pt idx="93">
                  <c:v>74</c:v>
                </c:pt>
                <c:pt idx="94">
                  <c:v>74</c:v>
                </c:pt>
                <c:pt idx="95">
                  <c:v>74</c:v>
                </c:pt>
                <c:pt idx="96">
                  <c:v>74</c:v>
                </c:pt>
                <c:pt idx="97">
                  <c:v>74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74</c:v>
                </c:pt>
                <c:pt idx="102">
                  <c:v>74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74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74</c:v>
                </c:pt>
                <c:pt idx="112">
                  <c:v>74</c:v>
                </c:pt>
                <c:pt idx="113">
                  <c:v>74</c:v>
                </c:pt>
                <c:pt idx="114">
                  <c:v>74</c:v>
                </c:pt>
                <c:pt idx="115">
                  <c:v>74</c:v>
                </c:pt>
                <c:pt idx="116">
                  <c:v>74</c:v>
                </c:pt>
                <c:pt idx="117">
                  <c:v>74</c:v>
                </c:pt>
                <c:pt idx="118">
                  <c:v>74</c:v>
                </c:pt>
                <c:pt idx="119">
                  <c:v>74</c:v>
                </c:pt>
                <c:pt idx="120">
                  <c:v>74</c:v>
                </c:pt>
                <c:pt idx="121">
                  <c:v>74</c:v>
                </c:pt>
                <c:pt idx="122">
                  <c:v>74</c:v>
                </c:pt>
                <c:pt idx="123">
                  <c:v>74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74</c:v>
                </c:pt>
                <c:pt idx="129">
                  <c:v>74</c:v>
                </c:pt>
                <c:pt idx="130">
                  <c:v>74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74</c:v>
                </c:pt>
                <c:pt idx="144">
                  <c:v>74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74</c:v>
                </c:pt>
                <c:pt idx="164">
                  <c:v>74</c:v>
                </c:pt>
                <c:pt idx="165">
                  <c:v>74</c:v>
                </c:pt>
                <c:pt idx="166">
                  <c:v>74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74</c:v>
                </c:pt>
                <c:pt idx="171">
                  <c:v>74</c:v>
                </c:pt>
                <c:pt idx="172">
                  <c:v>74</c:v>
                </c:pt>
                <c:pt idx="173">
                  <c:v>74</c:v>
                </c:pt>
                <c:pt idx="174">
                  <c:v>74</c:v>
                </c:pt>
                <c:pt idx="175">
                  <c:v>74</c:v>
                </c:pt>
                <c:pt idx="176">
                  <c:v>74</c:v>
                </c:pt>
                <c:pt idx="177">
                  <c:v>74</c:v>
                </c:pt>
                <c:pt idx="178">
                  <c:v>74</c:v>
                </c:pt>
                <c:pt idx="179">
                  <c:v>74</c:v>
                </c:pt>
                <c:pt idx="180">
                  <c:v>74</c:v>
                </c:pt>
                <c:pt idx="181">
                  <c:v>74</c:v>
                </c:pt>
                <c:pt idx="182">
                  <c:v>74</c:v>
                </c:pt>
                <c:pt idx="183">
                  <c:v>74</c:v>
                </c:pt>
                <c:pt idx="184">
                  <c:v>74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74</c:v>
                </c:pt>
                <c:pt idx="251">
                  <c:v>74</c:v>
                </c:pt>
                <c:pt idx="252">
                  <c:v>74</c:v>
                </c:pt>
                <c:pt idx="253">
                  <c:v>74</c:v>
                </c:pt>
                <c:pt idx="254">
                  <c:v>74</c:v>
                </c:pt>
                <c:pt idx="255">
                  <c:v>74</c:v>
                </c:pt>
                <c:pt idx="256">
                  <c:v>74</c:v>
                </c:pt>
                <c:pt idx="257">
                  <c:v>74</c:v>
                </c:pt>
                <c:pt idx="258">
                  <c:v>74</c:v>
                </c:pt>
                <c:pt idx="259">
                  <c:v>74</c:v>
                </c:pt>
                <c:pt idx="260">
                  <c:v>74</c:v>
                </c:pt>
                <c:pt idx="261">
                  <c:v>74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74</c:v>
                </c:pt>
                <c:pt idx="279">
                  <c:v>74</c:v>
                </c:pt>
                <c:pt idx="280">
                  <c:v>74</c:v>
                </c:pt>
                <c:pt idx="281">
                  <c:v>74</c:v>
                </c:pt>
                <c:pt idx="282">
                  <c:v>74</c:v>
                </c:pt>
                <c:pt idx="283">
                  <c:v>74</c:v>
                </c:pt>
                <c:pt idx="284">
                  <c:v>74</c:v>
                </c:pt>
                <c:pt idx="285">
                  <c:v>74</c:v>
                </c:pt>
                <c:pt idx="286">
                  <c:v>74</c:v>
                </c:pt>
                <c:pt idx="287">
                  <c:v>74</c:v>
                </c:pt>
                <c:pt idx="288">
                  <c:v>74</c:v>
                </c:pt>
                <c:pt idx="289">
                  <c:v>74</c:v>
                </c:pt>
                <c:pt idx="290">
                  <c:v>74</c:v>
                </c:pt>
                <c:pt idx="291">
                  <c:v>74</c:v>
                </c:pt>
                <c:pt idx="292">
                  <c:v>74</c:v>
                </c:pt>
                <c:pt idx="293">
                  <c:v>74</c:v>
                </c:pt>
                <c:pt idx="294">
                  <c:v>74</c:v>
                </c:pt>
                <c:pt idx="295">
                  <c:v>74</c:v>
                </c:pt>
                <c:pt idx="296">
                  <c:v>74</c:v>
                </c:pt>
                <c:pt idx="297">
                  <c:v>74</c:v>
                </c:pt>
                <c:pt idx="298">
                  <c:v>74</c:v>
                </c:pt>
                <c:pt idx="299">
                  <c:v>74</c:v>
                </c:pt>
                <c:pt idx="300">
                  <c:v>74</c:v>
                </c:pt>
                <c:pt idx="301">
                  <c:v>74</c:v>
                </c:pt>
                <c:pt idx="302">
                  <c:v>74</c:v>
                </c:pt>
                <c:pt idx="303">
                  <c:v>74</c:v>
                </c:pt>
                <c:pt idx="304">
                  <c:v>74</c:v>
                </c:pt>
                <c:pt idx="305">
                  <c:v>74</c:v>
                </c:pt>
                <c:pt idx="306">
                  <c:v>74</c:v>
                </c:pt>
                <c:pt idx="307">
                  <c:v>74</c:v>
                </c:pt>
                <c:pt idx="308">
                  <c:v>74</c:v>
                </c:pt>
                <c:pt idx="309">
                  <c:v>74</c:v>
                </c:pt>
                <c:pt idx="310">
                  <c:v>74</c:v>
                </c:pt>
                <c:pt idx="311">
                  <c:v>74</c:v>
                </c:pt>
                <c:pt idx="312">
                  <c:v>74</c:v>
                </c:pt>
                <c:pt idx="313">
                  <c:v>74</c:v>
                </c:pt>
                <c:pt idx="314">
                  <c:v>74</c:v>
                </c:pt>
                <c:pt idx="315">
                  <c:v>74</c:v>
                </c:pt>
                <c:pt idx="316">
                  <c:v>74</c:v>
                </c:pt>
                <c:pt idx="317">
                  <c:v>74</c:v>
                </c:pt>
                <c:pt idx="318">
                  <c:v>74</c:v>
                </c:pt>
                <c:pt idx="319">
                  <c:v>74</c:v>
                </c:pt>
                <c:pt idx="320">
                  <c:v>74</c:v>
                </c:pt>
                <c:pt idx="321">
                  <c:v>74</c:v>
                </c:pt>
                <c:pt idx="322">
                  <c:v>74</c:v>
                </c:pt>
                <c:pt idx="323">
                  <c:v>74</c:v>
                </c:pt>
                <c:pt idx="324">
                  <c:v>74</c:v>
                </c:pt>
                <c:pt idx="325">
                  <c:v>74</c:v>
                </c:pt>
                <c:pt idx="326">
                  <c:v>74</c:v>
                </c:pt>
                <c:pt idx="327">
                  <c:v>74</c:v>
                </c:pt>
                <c:pt idx="328">
                  <c:v>74</c:v>
                </c:pt>
                <c:pt idx="329">
                  <c:v>74</c:v>
                </c:pt>
                <c:pt idx="330">
                  <c:v>74</c:v>
                </c:pt>
                <c:pt idx="331">
                  <c:v>74</c:v>
                </c:pt>
                <c:pt idx="332">
                  <c:v>74</c:v>
                </c:pt>
                <c:pt idx="333">
                  <c:v>74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74</c:v>
                </c:pt>
                <c:pt idx="361">
                  <c:v>74</c:v>
                </c:pt>
                <c:pt idx="362">
                  <c:v>74</c:v>
                </c:pt>
                <c:pt idx="363">
                  <c:v>74</c:v>
                </c:pt>
                <c:pt idx="364">
                  <c:v>74</c:v>
                </c:pt>
                <c:pt idx="365">
                  <c:v>74</c:v>
                </c:pt>
                <c:pt idx="366">
                  <c:v>74</c:v>
                </c:pt>
                <c:pt idx="367">
                  <c:v>74</c:v>
                </c:pt>
                <c:pt idx="368">
                  <c:v>74</c:v>
                </c:pt>
                <c:pt idx="369">
                  <c:v>74</c:v>
                </c:pt>
                <c:pt idx="370">
                  <c:v>74</c:v>
                </c:pt>
                <c:pt idx="371">
                  <c:v>74</c:v>
                </c:pt>
                <c:pt idx="372">
                  <c:v>74</c:v>
                </c:pt>
                <c:pt idx="373">
                  <c:v>74</c:v>
                </c:pt>
                <c:pt idx="374">
                  <c:v>74</c:v>
                </c:pt>
                <c:pt idx="375">
                  <c:v>74</c:v>
                </c:pt>
                <c:pt idx="376">
                  <c:v>74</c:v>
                </c:pt>
                <c:pt idx="377">
                  <c:v>74</c:v>
                </c:pt>
                <c:pt idx="378">
                  <c:v>74</c:v>
                </c:pt>
                <c:pt idx="379">
                  <c:v>74</c:v>
                </c:pt>
                <c:pt idx="380">
                  <c:v>74</c:v>
                </c:pt>
                <c:pt idx="381">
                  <c:v>74</c:v>
                </c:pt>
                <c:pt idx="382">
                  <c:v>74</c:v>
                </c:pt>
                <c:pt idx="383">
                  <c:v>74</c:v>
                </c:pt>
                <c:pt idx="384">
                  <c:v>74</c:v>
                </c:pt>
                <c:pt idx="385">
                  <c:v>74</c:v>
                </c:pt>
                <c:pt idx="386">
                  <c:v>74</c:v>
                </c:pt>
                <c:pt idx="387">
                  <c:v>74</c:v>
                </c:pt>
                <c:pt idx="388">
                  <c:v>74</c:v>
                </c:pt>
                <c:pt idx="389">
                  <c:v>74</c:v>
                </c:pt>
                <c:pt idx="390">
                  <c:v>74</c:v>
                </c:pt>
                <c:pt idx="391">
                  <c:v>74</c:v>
                </c:pt>
                <c:pt idx="392">
                  <c:v>74</c:v>
                </c:pt>
                <c:pt idx="393">
                  <c:v>74</c:v>
                </c:pt>
                <c:pt idx="394">
                  <c:v>74</c:v>
                </c:pt>
                <c:pt idx="395">
                  <c:v>74</c:v>
                </c:pt>
                <c:pt idx="396">
                  <c:v>74</c:v>
                </c:pt>
                <c:pt idx="397">
                  <c:v>74</c:v>
                </c:pt>
                <c:pt idx="398">
                  <c:v>74</c:v>
                </c:pt>
                <c:pt idx="399">
                  <c:v>74</c:v>
                </c:pt>
                <c:pt idx="400">
                  <c:v>74</c:v>
                </c:pt>
                <c:pt idx="401">
                  <c:v>74</c:v>
                </c:pt>
                <c:pt idx="402">
                  <c:v>74</c:v>
                </c:pt>
                <c:pt idx="403">
                  <c:v>74</c:v>
                </c:pt>
                <c:pt idx="404">
                  <c:v>74</c:v>
                </c:pt>
                <c:pt idx="405">
                  <c:v>74</c:v>
                </c:pt>
                <c:pt idx="406">
                  <c:v>74</c:v>
                </c:pt>
                <c:pt idx="407">
                  <c:v>74</c:v>
                </c:pt>
                <c:pt idx="408">
                  <c:v>74</c:v>
                </c:pt>
                <c:pt idx="409">
                  <c:v>74</c:v>
                </c:pt>
                <c:pt idx="410">
                  <c:v>74</c:v>
                </c:pt>
                <c:pt idx="411">
                  <c:v>74</c:v>
                </c:pt>
                <c:pt idx="412">
                  <c:v>74</c:v>
                </c:pt>
                <c:pt idx="413">
                  <c:v>74</c:v>
                </c:pt>
                <c:pt idx="414">
                  <c:v>74</c:v>
                </c:pt>
                <c:pt idx="415">
                  <c:v>74</c:v>
                </c:pt>
                <c:pt idx="416">
                  <c:v>74</c:v>
                </c:pt>
                <c:pt idx="417">
                  <c:v>74</c:v>
                </c:pt>
                <c:pt idx="418">
                  <c:v>74</c:v>
                </c:pt>
                <c:pt idx="419">
                  <c:v>74</c:v>
                </c:pt>
                <c:pt idx="420">
                  <c:v>74</c:v>
                </c:pt>
                <c:pt idx="421">
                  <c:v>74</c:v>
                </c:pt>
                <c:pt idx="422">
                  <c:v>74</c:v>
                </c:pt>
                <c:pt idx="423">
                  <c:v>74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74</c:v>
                </c:pt>
                <c:pt idx="428">
                  <c:v>74</c:v>
                </c:pt>
                <c:pt idx="429">
                  <c:v>74</c:v>
                </c:pt>
                <c:pt idx="430">
                  <c:v>74</c:v>
                </c:pt>
                <c:pt idx="431">
                  <c:v>74</c:v>
                </c:pt>
                <c:pt idx="432">
                  <c:v>74</c:v>
                </c:pt>
                <c:pt idx="433">
                  <c:v>74</c:v>
                </c:pt>
                <c:pt idx="434">
                  <c:v>74</c:v>
                </c:pt>
                <c:pt idx="435">
                  <c:v>74</c:v>
                </c:pt>
                <c:pt idx="436">
                  <c:v>74</c:v>
                </c:pt>
                <c:pt idx="437">
                  <c:v>74</c:v>
                </c:pt>
                <c:pt idx="438">
                  <c:v>74</c:v>
                </c:pt>
                <c:pt idx="439">
                  <c:v>74</c:v>
                </c:pt>
                <c:pt idx="440">
                  <c:v>74</c:v>
                </c:pt>
                <c:pt idx="441">
                  <c:v>74</c:v>
                </c:pt>
                <c:pt idx="442">
                  <c:v>74</c:v>
                </c:pt>
                <c:pt idx="443">
                  <c:v>74</c:v>
                </c:pt>
                <c:pt idx="444">
                  <c:v>74</c:v>
                </c:pt>
                <c:pt idx="445">
                  <c:v>74</c:v>
                </c:pt>
                <c:pt idx="446">
                  <c:v>74</c:v>
                </c:pt>
                <c:pt idx="447">
                  <c:v>74</c:v>
                </c:pt>
                <c:pt idx="448">
                  <c:v>74</c:v>
                </c:pt>
                <c:pt idx="449">
                  <c:v>74</c:v>
                </c:pt>
                <c:pt idx="450">
                  <c:v>74</c:v>
                </c:pt>
                <c:pt idx="451">
                  <c:v>74</c:v>
                </c:pt>
                <c:pt idx="452">
                  <c:v>74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74</c:v>
                </c:pt>
                <c:pt idx="458">
                  <c:v>74</c:v>
                </c:pt>
                <c:pt idx="459">
                  <c:v>74</c:v>
                </c:pt>
                <c:pt idx="460">
                  <c:v>74</c:v>
                </c:pt>
                <c:pt idx="461">
                  <c:v>74</c:v>
                </c:pt>
                <c:pt idx="462">
                  <c:v>74</c:v>
                </c:pt>
                <c:pt idx="463">
                  <c:v>74</c:v>
                </c:pt>
                <c:pt idx="464">
                  <c:v>74</c:v>
                </c:pt>
                <c:pt idx="465">
                  <c:v>74</c:v>
                </c:pt>
                <c:pt idx="466">
                  <c:v>74</c:v>
                </c:pt>
                <c:pt idx="467">
                  <c:v>74</c:v>
                </c:pt>
                <c:pt idx="468">
                  <c:v>74</c:v>
                </c:pt>
                <c:pt idx="469">
                  <c:v>74</c:v>
                </c:pt>
                <c:pt idx="470">
                  <c:v>74</c:v>
                </c:pt>
                <c:pt idx="471">
                  <c:v>74</c:v>
                </c:pt>
                <c:pt idx="472">
                  <c:v>74</c:v>
                </c:pt>
                <c:pt idx="473">
                  <c:v>74</c:v>
                </c:pt>
                <c:pt idx="474">
                  <c:v>74</c:v>
                </c:pt>
                <c:pt idx="475">
                  <c:v>74</c:v>
                </c:pt>
                <c:pt idx="476">
                  <c:v>74</c:v>
                </c:pt>
                <c:pt idx="477">
                  <c:v>74</c:v>
                </c:pt>
                <c:pt idx="478">
                  <c:v>74</c:v>
                </c:pt>
                <c:pt idx="479">
                  <c:v>74</c:v>
                </c:pt>
                <c:pt idx="480">
                  <c:v>74</c:v>
                </c:pt>
                <c:pt idx="481">
                  <c:v>74</c:v>
                </c:pt>
                <c:pt idx="482">
                  <c:v>74</c:v>
                </c:pt>
                <c:pt idx="483">
                  <c:v>74</c:v>
                </c:pt>
                <c:pt idx="484">
                  <c:v>74</c:v>
                </c:pt>
                <c:pt idx="485">
                  <c:v>74</c:v>
                </c:pt>
                <c:pt idx="486">
                  <c:v>74</c:v>
                </c:pt>
                <c:pt idx="487">
                  <c:v>74</c:v>
                </c:pt>
                <c:pt idx="488">
                  <c:v>74</c:v>
                </c:pt>
                <c:pt idx="489">
                  <c:v>74</c:v>
                </c:pt>
                <c:pt idx="490">
                  <c:v>74</c:v>
                </c:pt>
                <c:pt idx="491">
                  <c:v>74</c:v>
                </c:pt>
                <c:pt idx="492">
                  <c:v>74</c:v>
                </c:pt>
                <c:pt idx="493">
                  <c:v>74</c:v>
                </c:pt>
                <c:pt idx="494">
                  <c:v>74</c:v>
                </c:pt>
                <c:pt idx="495">
                  <c:v>74</c:v>
                </c:pt>
                <c:pt idx="496">
                  <c:v>74</c:v>
                </c:pt>
                <c:pt idx="497">
                  <c:v>74</c:v>
                </c:pt>
                <c:pt idx="498">
                  <c:v>74</c:v>
                </c:pt>
                <c:pt idx="499">
                  <c:v>74</c:v>
                </c:pt>
                <c:pt idx="500">
                  <c:v>74</c:v>
                </c:pt>
                <c:pt idx="501">
                  <c:v>74</c:v>
                </c:pt>
                <c:pt idx="502">
                  <c:v>74</c:v>
                </c:pt>
                <c:pt idx="503">
                  <c:v>74</c:v>
                </c:pt>
                <c:pt idx="504">
                  <c:v>74</c:v>
                </c:pt>
                <c:pt idx="505">
                  <c:v>74</c:v>
                </c:pt>
                <c:pt idx="506">
                  <c:v>74</c:v>
                </c:pt>
                <c:pt idx="507">
                  <c:v>74</c:v>
                </c:pt>
                <c:pt idx="508">
                  <c:v>74</c:v>
                </c:pt>
                <c:pt idx="509">
                  <c:v>74</c:v>
                </c:pt>
                <c:pt idx="510">
                  <c:v>74</c:v>
                </c:pt>
                <c:pt idx="511">
                  <c:v>74</c:v>
                </c:pt>
                <c:pt idx="512">
                  <c:v>74</c:v>
                </c:pt>
                <c:pt idx="513">
                  <c:v>74</c:v>
                </c:pt>
                <c:pt idx="514">
                  <c:v>74</c:v>
                </c:pt>
                <c:pt idx="515">
                  <c:v>74</c:v>
                </c:pt>
                <c:pt idx="516">
                  <c:v>74</c:v>
                </c:pt>
                <c:pt idx="517">
                  <c:v>74</c:v>
                </c:pt>
                <c:pt idx="518">
                  <c:v>74</c:v>
                </c:pt>
                <c:pt idx="519">
                  <c:v>74</c:v>
                </c:pt>
                <c:pt idx="520">
                  <c:v>74</c:v>
                </c:pt>
                <c:pt idx="521">
                  <c:v>74</c:v>
                </c:pt>
                <c:pt idx="522">
                  <c:v>74</c:v>
                </c:pt>
                <c:pt idx="523">
                  <c:v>74</c:v>
                </c:pt>
                <c:pt idx="524">
                  <c:v>74</c:v>
                </c:pt>
                <c:pt idx="525">
                  <c:v>74</c:v>
                </c:pt>
                <c:pt idx="526">
                  <c:v>74</c:v>
                </c:pt>
                <c:pt idx="527">
                  <c:v>74</c:v>
                </c:pt>
                <c:pt idx="528">
                  <c:v>74</c:v>
                </c:pt>
                <c:pt idx="529">
                  <c:v>74</c:v>
                </c:pt>
                <c:pt idx="530">
                  <c:v>74</c:v>
                </c:pt>
                <c:pt idx="531">
                  <c:v>74</c:v>
                </c:pt>
                <c:pt idx="532">
                  <c:v>74</c:v>
                </c:pt>
                <c:pt idx="533">
                  <c:v>74</c:v>
                </c:pt>
                <c:pt idx="534">
                  <c:v>74</c:v>
                </c:pt>
                <c:pt idx="535">
                  <c:v>74</c:v>
                </c:pt>
                <c:pt idx="536">
                  <c:v>74</c:v>
                </c:pt>
                <c:pt idx="537">
                  <c:v>74</c:v>
                </c:pt>
                <c:pt idx="538">
                  <c:v>74</c:v>
                </c:pt>
                <c:pt idx="539">
                  <c:v>74</c:v>
                </c:pt>
                <c:pt idx="540">
                  <c:v>74</c:v>
                </c:pt>
                <c:pt idx="541">
                  <c:v>74</c:v>
                </c:pt>
                <c:pt idx="542">
                  <c:v>74</c:v>
                </c:pt>
                <c:pt idx="543">
                  <c:v>74</c:v>
                </c:pt>
                <c:pt idx="544">
                  <c:v>74</c:v>
                </c:pt>
                <c:pt idx="545">
                  <c:v>74</c:v>
                </c:pt>
                <c:pt idx="546">
                  <c:v>74</c:v>
                </c:pt>
                <c:pt idx="547">
                  <c:v>74</c:v>
                </c:pt>
                <c:pt idx="548">
                  <c:v>74</c:v>
                </c:pt>
                <c:pt idx="549">
                  <c:v>74</c:v>
                </c:pt>
                <c:pt idx="550">
                  <c:v>74</c:v>
                </c:pt>
                <c:pt idx="551">
                  <c:v>74</c:v>
                </c:pt>
                <c:pt idx="552">
                  <c:v>74</c:v>
                </c:pt>
                <c:pt idx="553">
                  <c:v>74</c:v>
                </c:pt>
                <c:pt idx="554">
                  <c:v>74</c:v>
                </c:pt>
                <c:pt idx="555">
                  <c:v>74</c:v>
                </c:pt>
                <c:pt idx="556">
                  <c:v>74</c:v>
                </c:pt>
                <c:pt idx="557">
                  <c:v>74</c:v>
                </c:pt>
                <c:pt idx="558">
                  <c:v>74</c:v>
                </c:pt>
                <c:pt idx="559">
                  <c:v>74</c:v>
                </c:pt>
                <c:pt idx="560">
                  <c:v>74</c:v>
                </c:pt>
                <c:pt idx="561">
                  <c:v>74</c:v>
                </c:pt>
                <c:pt idx="562">
                  <c:v>74</c:v>
                </c:pt>
                <c:pt idx="563">
                  <c:v>74</c:v>
                </c:pt>
                <c:pt idx="564">
                  <c:v>74</c:v>
                </c:pt>
                <c:pt idx="565">
                  <c:v>74</c:v>
                </c:pt>
                <c:pt idx="566">
                  <c:v>74</c:v>
                </c:pt>
                <c:pt idx="567">
                  <c:v>74</c:v>
                </c:pt>
                <c:pt idx="568">
                  <c:v>74</c:v>
                </c:pt>
                <c:pt idx="569">
                  <c:v>74</c:v>
                </c:pt>
                <c:pt idx="570">
                  <c:v>74</c:v>
                </c:pt>
                <c:pt idx="571">
                  <c:v>74</c:v>
                </c:pt>
                <c:pt idx="572">
                  <c:v>74</c:v>
                </c:pt>
                <c:pt idx="573">
                  <c:v>74</c:v>
                </c:pt>
                <c:pt idx="574">
                  <c:v>74</c:v>
                </c:pt>
                <c:pt idx="575">
                  <c:v>74</c:v>
                </c:pt>
                <c:pt idx="576">
                  <c:v>74</c:v>
                </c:pt>
                <c:pt idx="577">
                  <c:v>74</c:v>
                </c:pt>
                <c:pt idx="578">
                  <c:v>74</c:v>
                </c:pt>
                <c:pt idx="579">
                  <c:v>74</c:v>
                </c:pt>
                <c:pt idx="580">
                  <c:v>74</c:v>
                </c:pt>
                <c:pt idx="581">
                  <c:v>74</c:v>
                </c:pt>
                <c:pt idx="582">
                  <c:v>74</c:v>
                </c:pt>
                <c:pt idx="583">
                  <c:v>74</c:v>
                </c:pt>
                <c:pt idx="584">
                  <c:v>74</c:v>
                </c:pt>
                <c:pt idx="585">
                  <c:v>74</c:v>
                </c:pt>
                <c:pt idx="586">
                  <c:v>74</c:v>
                </c:pt>
                <c:pt idx="587">
                  <c:v>74</c:v>
                </c:pt>
                <c:pt idx="588">
                  <c:v>74</c:v>
                </c:pt>
                <c:pt idx="589">
                  <c:v>74</c:v>
                </c:pt>
                <c:pt idx="590">
                  <c:v>74</c:v>
                </c:pt>
                <c:pt idx="591">
                  <c:v>74</c:v>
                </c:pt>
                <c:pt idx="592">
                  <c:v>74</c:v>
                </c:pt>
                <c:pt idx="593">
                  <c:v>74</c:v>
                </c:pt>
                <c:pt idx="594">
                  <c:v>74</c:v>
                </c:pt>
                <c:pt idx="595">
                  <c:v>74</c:v>
                </c:pt>
                <c:pt idx="596">
                  <c:v>74</c:v>
                </c:pt>
                <c:pt idx="597">
                  <c:v>74</c:v>
                </c:pt>
                <c:pt idx="598">
                  <c:v>74</c:v>
                </c:pt>
                <c:pt idx="599">
                  <c:v>74</c:v>
                </c:pt>
                <c:pt idx="600">
                  <c:v>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BD-4CED-AF07-2743CFC44F8F}"/>
            </c:ext>
          </c:extLst>
        </c:ser>
        <c:ser>
          <c:idx val="1"/>
          <c:order val="1"/>
          <c:tx>
            <c:strRef>
              <c:f>'74'!$C$1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'74'!$A$2:$A$602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'74'!$C$2:$C$602</c:f>
              <c:numCache>
                <c:formatCode>General</c:formatCode>
                <c:ptCount val="601"/>
                <c:pt idx="0">
                  <c:v>28.8</c:v>
                </c:pt>
                <c:pt idx="1">
                  <c:v>28.95</c:v>
                </c:pt>
                <c:pt idx="2">
                  <c:v>28.95</c:v>
                </c:pt>
                <c:pt idx="3">
                  <c:v>28.97</c:v>
                </c:pt>
                <c:pt idx="4">
                  <c:v>29.02</c:v>
                </c:pt>
                <c:pt idx="5">
                  <c:v>29.08</c:v>
                </c:pt>
                <c:pt idx="6">
                  <c:v>29.3</c:v>
                </c:pt>
                <c:pt idx="7">
                  <c:v>29.47</c:v>
                </c:pt>
                <c:pt idx="8">
                  <c:v>29.76</c:v>
                </c:pt>
                <c:pt idx="9">
                  <c:v>30.13</c:v>
                </c:pt>
                <c:pt idx="10">
                  <c:v>30.52</c:v>
                </c:pt>
                <c:pt idx="11">
                  <c:v>30.94</c:v>
                </c:pt>
                <c:pt idx="12">
                  <c:v>31.39</c:v>
                </c:pt>
                <c:pt idx="13">
                  <c:v>31.79</c:v>
                </c:pt>
                <c:pt idx="14">
                  <c:v>32.32</c:v>
                </c:pt>
                <c:pt idx="15">
                  <c:v>32.840000000000003</c:v>
                </c:pt>
                <c:pt idx="16">
                  <c:v>33.270000000000003</c:v>
                </c:pt>
                <c:pt idx="17">
                  <c:v>33.81</c:v>
                </c:pt>
                <c:pt idx="18">
                  <c:v>34.28</c:v>
                </c:pt>
                <c:pt idx="19">
                  <c:v>34.78</c:v>
                </c:pt>
                <c:pt idx="20">
                  <c:v>35.25</c:v>
                </c:pt>
                <c:pt idx="21">
                  <c:v>35.72</c:v>
                </c:pt>
                <c:pt idx="22">
                  <c:v>36.17</c:v>
                </c:pt>
                <c:pt idx="23">
                  <c:v>36.61</c:v>
                </c:pt>
                <c:pt idx="24">
                  <c:v>37.04</c:v>
                </c:pt>
                <c:pt idx="25">
                  <c:v>37.49</c:v>
                </c:pt>
                <c:pt idx="26">
                  <c:v>37.94</c:v>
                </c:pt>
                <c:pt idx="27">
                  <c:v>38.36</c:v>
                </c:pt>
                <c:pt idx="28">
                  <c:v>38.75</c:v>
                </c:pt>
                <c:pt idx="29">
                  <c:v>39.17</c:v>
                </c:pt>
                <c:pt idx="30">
                  <c:v>39.64</c:v>
                </c:pt>
                <c:pt idx="31">
                  <c:v>40.03</c:v>
                </c:pt>
                <c:pt idx="32">
                  <c:v>40.47</c:v>
                </c:pt>
                <c:pt idx="33">
                  <c:v>40.86</c:v>
                </c:pt>
                <c:pt idx="34">
                  <c:v>41.27</c:v>
                </c:pt>
                <c:pt idx="35">
                  <c:v>41.69</c:v>
                </c:pt>
                <c:pt idx="36">
                  <c:v>42.05</c:v>
                </c:pt>
                <c:pt idx="37">
                  <c:v>42.5</c:v>
                </c:pt>
                <c:pt idx="38">
                  <c:v>42.91</c:v>
                </c:pt>
                <c:pt idx="39">
                  <c:v>43.3</c:v>
                </c:pt>
                <c:pt idx="40">
                  <c:v>43.63</c:v>
                </c:pt>
                <c:pt idx="41">
                  <c:v>44.06</c:v>
                </c:pt>
                <c:pt idx="42">
                  <c:v>44.47</c:v>
                </c:pt>
                <c:pt idx="43">
                  <c:v>44.81</c:v>
                </c:pt>
                <c:pt idx="44">
                  <c:v>45.24</c:v>
                </c:pt>
                <c:pt idx="45">
                  <c:v>45.61</c:v>
                </c:pt>
                <c:pt idx="46">
                  <c:v>45.99</c:v>
                </c:pt>
                <c:pt idx="47">
                  <c:v>46.38</c:v>
                </c:pt>
                <c:pt idx="48">
                  <c:v>46.77</c:v>
                </c:pt>
                <c:pt idx="49">
                  <c:v>47.12</c:v>
                </c:pt>
                <c:pt idx="50">
                  <c:v>47.49</c:v>
                </c:pt>
                <c:pt idx="51">
                  <c:v>47.94</c:v>
                </c:pt>
                <c:pt idx="52">
                  <c:v>48.26</c:v>
                </c:pt>
                <c:pt idx="53">
                  <c:v>48.67</c:v>
                </c:pt>
                <c:pt idx="54">
                  <c:v>49.04</c:v>
                </c:pt>
                <c:pt idx="55">
                  <c:v>49.37</c:v>
                </c:pt>
                <c:pt idx="56">
                  <c:v>49.75</c:v>
                </c:pt>
                <c:pt idx="57">
                  <c:v>50.1</c:v>
                </c:pt>
                <c:pt idx="58">
                  <c:v>50.46</c:v>
                </c:pt>
                <c:pt idx="59">
                  <c:v>50.75</c:v>
                </c:pt>
                <c:pt idx="60">
                  <c:v>51.15</c:v>
                </c:pt>
                <c:pt idx="61">
                  <c:v>51.45</c:v>
                </c:pt>
                <c:pt idx="62">
                  <c:v>51.87</c:v>
                </c:pt>
                <c:pt idx="63">
                  <c:v>52.18</c:v>
                </c:pt>
                <c:pt idx="64">
                  <c:v>52.54</c:v>
                </c:pt>
                <c:pt idx="65">
                  <c:v>52.86</c:v>
                </c:pt>
                <c:pt idx="66">
                  <c:v>53.23</c:v>
                </c:pt>
                <c:pt idx="67">
                  <c:v>53.54</c:v>
                </c:pt>
                <c:pt idx="68">
                  <c:v>53.92</c:v>
                </c:pt>
                <c:pt idx="69">
                  <c:v>54.23</c:v>
                </c:pt>
                <c:pt idx="70">
                  <c:v>54.56</c:v>
                </c:pt>
                <c:pt idx="71">
                  <c:v>54.56</c:v>
                </c:pt>
                <c:pt idx="72">
                  <c:v>55.23</c:v>
                </c:pt>
                <c:pt idx="73">
                  <c:v>55.62</c:v>
                </c:pt>
                <c:pt idx="74">
                  <c:v>55.92</c:v>
                </c:pt>
                <c:pt idx="75">
                  <c:v>56.22</c:v>
                </c:pt>
                <c:pt idx="76">
                  <c:v>56.56</c:v>
                </c:pt>
                <c:pt idx="77">
                  <c:v>56.89</c:v>
                </c:pt>
                <c:pt idx="78">
                  <c:v>57.15</c:v>
                </c:pt>
                <c:pt idx="79">
                  <c:v>57.51</c:v>
                </c:pt>
                <c:pt idx="80">
                  <c:v>57.82</c:v>
                </c:pt>
                <c:pt idx="81">
                  <c:v>58.13</c:v>
                </c:pt>
                <c:pt idx="82">
                  <c:v>58.4</c:v>
                </c:pt>
                <c:pt idx="83">
                  <c:v>58.75</c:v>
                </c:pt>
                <c:pt idx="84">
                  <c:v>59.05</c:v>
                </c:pt>
                <c:pt idx="85">
                  <c:v>59.33</c:v>
                </c:pt>
                <c:pt idx="86">
                  <c:v>59.65</c:v>
                </c:pt>
                <c:pt idx="87">
                  <c:v>59.9</c:v>
                </c:pt>
                <c:pt idx="88">
                  <c:v>60.21</c:v>
                </c:pt>
                <c:pt idx="89">
                  <c:v>60.57</c:v>
                </c:pt>
                <c:pt idx="90">
                  <c:v>60.84</c:v>
                </c:pt>
                <c:pt idx="91">
                  <c:v>61.18</c:v>
                </c:pt>
                <c:pt idx="92">
                  <c:v>61.45</c:v>
                </c:pt>
                <c:pt idx="93">
                  <c:v>61.74</c:v>
                </c:pt>
                <c:pt idx="94">
                  <c:v>61.98</c:v>
                </c:pt>
                <c:pt idx="95">
                  <c:v>62.29</c:v>
                </c:pt>
                <c:pt idx="96">
                  <c:v>62.59</c:v>
                </c:pt>
                <c:pt idx="97">
                  <c:v>62.85</c:v>
                </c:pt>
                <c:pt idx="98">
                  <c:v>63.07</c:v>
                </c:pt>
                <c:pt idx="99">
                  <c:v>63.36</c:v>
                </c:pt>
                <c:pt idx="100">
                  <c:v>63.57</c:v>
                </c:pt>
                <c:pt idx="101">
                  <c:v>63.8</c:v>
                </c:pt>
                <c:pt idx="102">
                  <c:v>64.09</c:v>
                </c:pt>
                <c:pt idx="103">
                  <c:v>64.34</c:v>
                </c:pt>
                <c:pt idx="104">
                  <c:v>64.540000000000006</c:v>
                </c:pt>
                <c:pt idx="105">
                  <c:v>64.790000000000006</c:v>
                </c:pt>
                <c:pt idx="106">
                  <c:v>64.959999999999994</c:v>
                </c:pt>
                <c:pt idx="107">
                  <c:v>65.16</c:v>
                </c:pt>
                <c:pt idx="108">
                  <c:v>65.39</c:v>
                </c:pt>
                <c:pt idx="109">
                  <c:v>65.56</c:v>
                </c:pt>
                <c:pt idx="110">
                  <c:v>65.78</c:v>
                </c:pt>
                <c:pt idx="111">
                  <c:v>65.989999999999995</c:v>
                </c:pt>
                <c:pt idx="112">
                  <c:v>66.11</c:v>
                </c:pt>
                <c:pt idx="113">
                  <c:v>66.319999999999993</c:v>
                </c:pt>
                <c:pt idx="114">
                  <c:v>66.44</c:v>
                </c:pt>
                <c:pt idx="115">
                  <c:v>66.64</c:v>
                </c:pt>
                <c:pt idx="116">
                  <c:v>66.83</c:v>
                </c:pt>
                <c:pt idx="117">
                  <c:v>66.97</c:v>
                </c:pt>
                <c:pt idx="118">
                  <c:v>67.12</c:v>
                </c:pt>
                <c:pt idx="119">
                  <c:v>67.239999999999995</c:v>
                </c:pt>
                <c:pt idx="120">
                  <c:v>67.37</c:v>
                </c:pt>
                <c:pt idx="121">
                  <c:v>67.47</c:v>
                </c:pt>
                <c:pt idx="122">
                  <c:v>67.64</c:v>
                </c:pt>
                <c:pt idx="123">
                  <c:v>67.760000000000005</c:v>
                </c:pt>
                <c:pt idx="124">
                  <c:v>67.900000000000006</c:v>
                </c:pt>
                <c:pt idx="125">
                  <c:v>68.03</c:v>
                </c:pt>
                <c:pt idx="126">
                  <c:v>68.11</c:v>
                </c:pt>
                <c:pt idx="127">
                  <c:v>68.22</c:v>
                </c:pt>
                <c:pt idx="128">
                  <c:v>68.400000000000006</c:v>
                </c:pt>
                <c:pt idx="129">
                  <c:v>68.53</c:v>
                </c:pt>
                <c:pt idx="130">
                  <c:v>68.63</c:v>
                </c:pt>
                <c:pt idx="131">
                  <c:v>68.7</c:v>
                </c:pt>
                <c:pt idx="132">
                  <c:v>68.88</c:v>
                </c:pt>
                <c:pt idx="133">
                  <c:v>69.02</c:v>
                </c:pt>
                <c:pt idx="134">
                  <c:v>69.13</c:v>
                </c:pt>
                <c:pt idx="135">
                  <c:v>69.28</c:v>
                </c:pt>
                <c:pt idx="136">
                  <c:v>69.38</c:v>
                </c:pt>
                <c:pt idx="137">
                  <c:v>69.489999999999995</c:v>
                </c:pt>
                <c:pt idx="138">
                  <c:v>69.53</c:v>
                </c:pt>
                <c:pt idx="139">
                  <c:v>69.67</c:v>
                </c:pt>
                <c:pt idx="140">
                  <c:v>69.849999999999994</c:v>
                </c:pt>
                <c:pt idx="141">
                  <c:v>69.91</c:v>
                </c:pt>
                <c:pt idx="142">
                  <c:v>70.069999999999993</c:v>
                </c:pt>
                <c:pt idx="143">
                  <c:v>70.150000000000006</c:v>
                </c:pt>
                <c:pt idx="144">
                  <c:v>70.25</c:v>
                </c:pt>
                <c:pt idx="145">
                  <c:v>70.400000000000006</c:v>
                </c:pt>
                <c:pt idx="146">
                  <c:v>70.53</c:v>
                </c:pt>
                <c:pt idx="147">
                  <c:v>70.59</c:v>
                </c:pt>
                <c:pt idx="148">
                  <c:v>70.73</c:v>
                </c:pt>
                <c:pt idx="149">
                  <c:v>70.86</c:v>
                </c:pt>
                <c:pt idx="150">
                  <c:v>70.930000000000007</c:v>
                </c:pt>
                <c:pt idx="151">
                  <c:v>71.08</c:v>
                </c:pt>
                <c:pt idx="152">
                  <c:v>71.150000000000006</c:v>
                </c:pt>
                <c:pt idx="153">
                  <c:v>71.25</c:v>
                </c:pt>
                <c:pt idx="154">
                  <c:v>71.349999999999994</c:v>
                </c:pt>
                <c:pt idx="155">
                  <c:v>71.489999999999995</c:v>
                </c:pt>
                <c:pt idx="156">
                  <c:v>71.61</c:v>
                </c:pt>
                <c:pt idx="157">
                  <c:v>71.67</c:v>
                </c:pt>
                <c:pt idx="158">
                  <c:v>71.819999999999993</c:v>
                </c:pt>
                <c:pt idx="159">
                  <c:v>71.89</c:v>
                </c:pt>
                <c:pt idx="160">
                  <c:v>72.05</c:v>
                </c:pt>
                <c:pt idx="161">
                  <c:v>72.12</c:v>
                </c:pt>
                <c:pt idx="162">
                  <c:v>72.27</c:v>
                </c:pt>
                <c:pt idx="163">
                  <c:v>72.36</c:v>
                </c:pt>
                <c:pt idx="164">
                  <c:v>72.5</c:v>
                </c:pt>
                <c:pt idx="165">
                  <c:v>72.62</c:v>
                </c:pt>
                <c:pt idx="166">
                  <c:v>72.760000000000005</c:v>
                </c:pt>
                <c:pt idx="167">
                  <c:v>72.91</c:v>
                </c:pt>
                <c:pt idx="168">
                  <c:v>72.989999999999995</c:v>
                </c:pt>
                <c:pt idx="169">
                  <c:v>73.14</c:v>
                </c:pt>
                <c:pt idx="170">
                  <c:v>73.3</c:v>
                </c:pt>
                <c:pt idx="171">
                  <c:v>73.430000000000007</c:v>
                </c:pt>
                <c:pt idx="172">
                  <c:v>73.489999999999995</c:v>
                </c:pt>
                <c:pt idx="173">
                  <c:v>73.680000000000007</c:v>
                </c:pt>
                <c:pt idx="174">
                  <c:v>73.819999999999993</c:v>
                </c:pt>
                <c:pt idx="175">
                  <c:v>73.91</c:v>
                </c:pt>
                <c:pt idx="176">
                  <c:v>74.09</c:v>
                </c:pt>
                <c:pt idx="177">
                  <c:v>74.180000000000007</c:v>
                </c:pt>
                <c:pt idx="178">
                  <c:v>74.36</c:v>
                </c:pt>
                <c:pt idx="179">
                  <c:v>74.47</c:v>
                </c:pt>
                <c:pt idx="180">
                  <c:v>74.48</c:v>
                </c:pt>
                <c:pt idx="181">
                  <c:v>74.69</c:v>
                </c:pt>
                <c:pt idx="182">
                  <c:v>74.5</c:v>
                </c:pt>
                <c:pt idx="183">
                  <c:v>74.819999999999993</c:v>
                </c:pt>
                <c:pt idx="184">
                  <c:v>74.63</c:v>
                </c:pt>
                <c:pt idx="185">
                  <c:v>74.680000000000007</c:v>
                </c:pt>
                <c:pt idx="186">
                  <c:v>74.650000000000006</c:v>
                </c:pt>
                <c:pt idx="187">
                  <c:v>74.650000000000006</c:v>
                </c:pt>
                <c:pt idx="188">
                  <c:v>74.61</c:v>
                </c:pt>
                <c:pt idx="189">
                  <c:v>74.599999999999994</c:v>
                </c:pt>
                <c:pt idx="190">
                  <c:v>74.52</c:v>
                </c:pt>
                <c:pt idx="191">
                  <c:v>74.459999999999994</c:v>
                </c:pt>
                <c:pt idx="192">
                  <c:v>74.489999999999995</c:v>
                </c:pt>
                <c:pt idx="193">
                  <c:v>74.3</c:v>
                </c:pt>
                <c:pt idx="194">
                  <c:v>74.39</c:v>
                </c:pt>
                <c:pt idx="195">
                  <c:v>74.28</c:v>
                </c:pt>
                <c:pt idx="196">
                  <c:v>74.3</c:v>
                </c:pt>
                <c:pt idx="197">
                  <c:v>74.23</c:v>
                </c:pt>
                <c:pt idx="198">
                  <c:v>74.180000000000007</c:v>
                </c:pt>
                <c:pt idx="199">
                  <c:v>74.13</c:v>
                </c:pt>
                <c:pt idx="200">
                  <c:v>74.14</c:v>
                </c:pt>
                <c:pt idx="201">
                  <c:v>74.099999999999994</c:v>
                </c:pt>
                <c:pt idx="202">
                  <c:v>74.03</c:v>
                </c:pt>
                <c:pt idx="203">
                  <c:v>74.05</c:v>
                </c:pt>
                <c:pt idx="204">
                  <c:v>74.040000000000006</c:v>
                </c:pt>
                <c:pt idx="205">
                  <c:v>74.05</c:v>
                </c:pt>
                <c:pt idx="206">
                  <c:v>74.08</c:v>
                </c:pt>
                <c:pt idx="207">
                  <c:v>74.11</c:v>
                </c:pt>
                <c:pt idx="208">
                  <c:v>74.11</c:v>
                </c:pt>
                <c:pt idx="209">
                  <c:v>74.2</c:v>
                </c:pt>
                <c:pt idx="210">
                  <c:v>74.23</c:v>
                </c:pt>
                <c:pt idx="211">
                  <c:v>74.25</c:v>
                </c:pt>
                <c:pt idx="212">
                  <c:v>74.28</c:v>
                </c:pt>
                <c:pt idx="213">
                  <c:v>74.38</c:v>
                </c:pt>
                <c:pt idx="214">
                  <c:v>74.209999999999994</c:v>
                </c:pt>
                <c:pt idx="215">
                  <c:v>74.42</c:v>
                </c:pt>
                <c:pt idx="216">
                  <c:v>74.33</c:v>
                </c:pt>
                <c:pt idx="217">
                  <c:v>74.44</c:v>
                </c:pt>
                <c:pt idx="218">
                  <c:v>74.36</c:v>
                </c:pt>
                <c:pt idx="219">
                  <c:v>74.459999999999994</c:v>
                </c:pt>
                <c:pt idx="220">
                  <c:v>74.45</c:v>
                </c:pt>
                <c:pt idx="221">
                  <c:v>74.41</c:v>
                </c:pt>
                <c:pt idx="222">
                  <c:v>74.47</c:v>
                </c:pt>
                <c:pt idx="223">
                  <c:v>74.489999999999995</c:v>
                </c:pt>
                <c:pt idx="224">
                  <c:v>74.47</c:v>
                </c:pt>
                <c:pt idx="225">
                  <c:v>74.459999999999994</c:v>
                </c:pt>
                <c:pt idx="226">
                  <c:v>74.489999999999995</c:v>
                </c:pt>
                <c:pt idx="227">
                  <c:v>74.430000000000007</c:v>
                </c:pt>
                <c:pt idx="228">
                  <c:v>74.47</c:v>
                </c:pt>
                <c:pt idx="229">
                  <c:v>74.459999999999994</c:v>
                </c:pt>
                <c:pt idx="230">
                  <c:v>74.42</c:v>
                </c:pt>
                <c:pt idx="231">
                  <c:v>74.37</c:v>
                </c:pt>
                <c:pt idx="232">
                  <c:v>74.38</c:v>
                </c:pt>
                <c:pt idx="233">
                  <c:v>74.33</c:v>
                </c:pt>
                <c:pt idx="234">
                  <c:v>74.3</c:v>
                </c:pt>
                <c:pt idx="235">
                  <c:v>74.3</c:v>
                </c:pt>
                <c:pt idx="236">
                  <c:v>74.3</c:v>
                </c:pt>
                <c:pt idx="237">
                  <c:v>74.27</c:v>
                </c:pt>
                <c:pt idx="238">
                  <c:v>74.27</c:v>
                </c:pt>
                <c:pt idx="239">
                  <c:v>74.25</c:v>
                </c:pt>
                <c:pt idx="240">
                  <c:v>74.239999999999995</c:v>
                </c:pt>
                <c:pt idx="241">
                  <c:v>74.27</c:v>
                </c:pt>
                <c:pt idx="242">
                  <c:v>74.239999999999995</c:v>
                </c:pt>
                <c:pt idx="243">
                  <c:v>74.28</c:v>
                </c:pt>
                <c:pt idx="244">
                  <c:v>74.28</c:v>
                </c:pt>
                <c:pt idx="245">
                  <c:v>74.31</c:v>
                </c:pt>
                <c:pt idx="246">
                  <c:v>74.33</c:v>
                </c:pt>
                <c:pt idx="247">
                  <c:v>74.349999999999994</c:v>
                </c:pt>
                <c:pt idx="248">
                  <c:v>74.37</c:v>
                </c:pt>
                <c:pt idx="249">
                  <c:v>74.400000000000006</c:v>
                </c:pt>
                <c:pt idx="250">
                  <c:v>74.42</c:v>
                </c:pt>
                <c:pt idx="251">
                  <c:v>74.36</c:v>
                </c:pt>
                <c:pt idx="252">
                  <c:v>74.39</c:v>
                </c:pt>
                <c:pt idx="253">
                  <c:v>74.45</c:v>
                </c:pt>
                <c:pt idx="254">
                  <c:v>74.42</c:v>
                </c:pt>
                <c:pt idx="255">
                  <c:v>74.41</c:v>
                </c:pt>
                <c:pt idx="256">
                  <c:v>74.39</c:v>
                </c:pt>
                <c:pt idx="257">
                  <c:v>74.45</c:v>
                </c:pt>
                <c:pt idx="258">
                  <c:v>74.45</c:v>
                </c:pt>
                <c:pt idx="259">
                  <c:v>74.38</c:v>
                </c:pt>
                <c:pt idx="260">
                  <c:v>74.41</c:v>
                </c:pt>
                <c:pt idx="261">
                  <c:v>74.38</c:v>
                </c:pt>
                <c:pt idx="262">
                  <c:v>74.37</c:v>
                </c:pt>
                <c:pt idx="263">
                  <c:v>74.400000000000006</c:v>
                </c:pt>
                <c:pt idx="264">
                  <c:v>74.400000000000006</c:v>
                </c:pt>
                <c:pt idx="265">
                  <c:v>74.34</c:v>
                </c:pt>
                <c:pt idx="266">
                  <c:v>74.39</c:v>
                </c:pt>
                <c:pt idx="267">
                  <c:v>74.34</c:v>
                </c:pt>
                <c:pt idx="268">
                  <c:v>74.33</c:v>
                </c:pt>
                <c:pt idx="269">
                  <c:v>74.39</c:v>
                </c:pt>
                <c:pt idx="270">
                  <c:v>74.3</c:v>
                </c:pt>
                <c:pt idx="271">
                  <c:v>74.36</c:v>
                </c:pt>
                <c:pt idx="272">
                  <c:v>74.3</c:v>
                </c:pt>
                <c:pt idx="273">
                  <c:v>74.349999999999994</c:v>
                </c:pt>
                <c:pt idx="274">
                  <c:v>74.27</c:v>
                </c:pt>
                <c:pt idx="275">
                  <c:v>74.319999999999993</c:v>
                </c:pt>
                <c:pt idx="276">
                  <c:v>74.3</c:v>
                </c:pt>
                <c:pt idx="277">
                  <c:v>74.28</c:v>
                </c:pt>
                <c:pt idx="278">
                  <c:v>74.34</c:v>
                </c:pt>
                <c:pt idx="279">
                  <c:v>74.28</c:v>
                </c:pt>
                <c:pt idx="280">
                  <c:v>74.36</c:v>
                </c:pt>
                <c:pt idx="281">
                  <c:v>74.34</c:v>
                </c:pt>
                <c:pt idx="282">
                  <c:v>74.31</c:v>
                </c:pt>
                <c:pt idx="283">
                  <c:v>74.36</c:v>
                </c:pt>
                <c:pt idx="284">
                  <c:v>74.34</c:v>
                </c:pt>
                <c:pt idx="285">
                  <c:v>74.319999999999993</c:v>
                </c:pt>
                <c:pt idx="286">
                  <c:v>74.34</c:v>
                </c:pt>
                <c:pt idx="287">
                  <c:v>74.34</c:v>
                </c:pt>
                <c:pt idx="288">
                  <c:v>74.34</c:v>
                </c:pt>
                <c:pt idx="289">
                  <c:v>74.38</c:v>
                </c:pt>
                <c:pt idx="290">
                  <c:v>74.39</c:v>
                </c:pt>
                <c:pt idx="291">
                  <c:v>74.39</c:v>
                </c:pt>
                <c:pt idx="292">
                  <c:v>74.400000000000006</c:v>
                </c:pt>
                <c:pt idx="293">
                  <c:v>74.400000000000006</c:v>
                </c:pt>
                <c:pt idx="294">
                  <c:v>74.45</c:v>
                </c:pt>
                <c:pt idx="295">
                  <c:v>74.400000000000006</c:v>
                </c:pt>
                <c:pt idx="296">
                  <c:v>74.45</c:v>
                </c:pt>
                <c:pt idx="297">
                  <c:v>74.42</c:v>
                </c:pt>
                <c:pt idx="298">
                  <c:v>74.430000000000007</c:v>
                </c:pt>
                <c:pt idx="299">
                  <c:v>74.45</c:v>
                </c:pt>
                <c:pt idx="300">
                  <c:v>74.41</c:v>
                </c:pt>
                <c:pt idx="301">
                  <c:v>74.44</c:v>
                </c:pt>
                <c:pt idx="302">
                  <c:v>74.400000000000006</c:v>
                </c:pt>
                <c:pt idx="303">
                  <c:v>74.42</c:v>
                </c:pt>
                <c:pt idx="304">
                  <c:v>74.41</c:v>
                </c:pt>
                <c:pt idx="305">
                  <c:v>74.41</c:v>
                </c:pt>
                <c:pt idx="306">
                  <c:v>74.400000000000006</c:v>
                </c:pt>
                <c:pt idx="307">
                  <c:v>74.39</c:v>
                </c:pt>
                <c:pt idx="308">
                  <c:v>74.39</c:v>
                </c:pt>
                <c:pt idx="309">
                  <c:v>74.36</c:v>
                </c:pt>
                <c:pt idx="310">
                  <c:v>74.34</c:v>
                </c:pt>
                <c:pt idx="311">
                  <c:v>74.38</c:v>
                </c:pt>
                <c:pt idx="312">
                  <c:v>74.319999999999993</c:v>
                </c:pt>
                <c:pt idx="313">
                  <c:v>74.34</c:v>
                </c:pt>
                <c:pt idx="314">
                  <c:v>74.33</c:v>
                </c:pt>
                <c:pt idx="315">
                  <c:v>74.36</c:v>
                </c:pt>
                <c:pt idx="316">
                  <c:v>74.39</c:v>
                </c:pt>
                <c:pt idx="317">
                  <c:v>74.38</c:v>
                </c:pt>
                <c:pt idx="318">
                  <c:v>74.38</c:v>
                </c:pt>
                <c:pt idx="319">
                  <c:v>74.400000000000006</c:v>
                </c:pt>
                <c:pt idx="320">
                  <c:v>74.41</c:v>
                </c:pt>
                <c:pt idx="321">
                  <c:v>74.36</c:v>
                </c:pt>
                <c:pt idx="322">
                  <c:v>74.37</c:v>
                </c:pt>
                <c:pt idx="323">
                  <c:v>74.36</c:v>
                </c:pt>
                <c:pt idx="324">
                  <c:v>74.349999999999994</c:v>
                </c:pt>
                <c:pt idx="325">
                  <c:v>74.400000000000006</c:v>
                </c:pt>
                <c:pt idx="326">
                  <c:v>74.38</c:v>
                </c:pt>
                <c:pt idx="327">
                  <c:v>74.430000000000007</c:v>
                </c:pt>
                <c:pt idx="328">
                  <c:v>74.42</c:v>
                </c:pt>
                <c:pt idx="329">
                  <c:v>74.42</c:v>
                </c:pt>
                <c:pt idx="330">
                  <c:v>74.41</c:v>
                </c:pt>
                <c:pt idx="331">
                  <c:v>74.400000000000006</c:v>
                </c:pt>
                <c:pt idx="332">
                  <c:v>74.430000000000007</c:v>
                </c:pt>
                <c:pt idx="333">
                  <c:v>74.39</c:v>
                </c:pt>
                <c:pt idx="334">
                  <c:v>74.38</c:v>
                </c:pt>
                <c:pt idx="335">
                  <c:v>74.400000000000006</c:v>
                </c:pt>
                <c:pt idx="336">
                  <c:v>74.37</c:v>
                </c:pt>
                <c:pt idx="337">
                  <c:v>74.400000000000006</c:v>
                </c:pt>
                <c:pt idx="338">
                  <c:v>74.42</c:v>
                </c:pt>
                <c:pt idx="339">
                  <c:v>74.38</c:v>
                </c:pt>
                <c:pt idx="340">
                  <c:v>74.38</c:v>
                </c:pt>
                <c:pt idx="341">
                  <c:v>74.41</c:v>
                </c:pt>
                <c:pt idx="342">
                  <c:v>74.34</c:v>
                </c:pt>
                <c:pt idx="343">
                  <c:v>74.36</c:v>
                </c:pt>
                <c:pt idx="344">
                  <c:v>74.41</c:v>
                </c:pt>
                <c:pt idx="345">
                  <c:v>74.41</c:v>
                </c:pt>
                <c:pt idx="346">
                  <c:v>74.400000000000006</c:v>
                </c:pt>
                <c:pt idx="347">
                  <c:v>74.39</c:v>
                </c:pt>
                <c:pt idx="348">
                  <c:v>74.400000000000006</c:v>
                </c:pt>
                <c:pt idx="349">
                  <c:v>74.400000000000006</c:v>
                </c:pt>
                <c:pt idx="350">
                  <c:v>74.400000000000006</c:v>
                </c:pt>
                <c:pt idx="351">
                  <c:v>74.39</c:v>
                </c:pt>
                <c:pt idx="352">
                  <c:v>74.38</c:v>
                </c:pt>
                <c:pt idx="353">
                  <c:v>74.33</c:v>
                </c:pt>
                <c:pt idx="354">
                  <c:v>74.349999999999994</c:v>
                </c:pt>
                <c:pt idx="355">
                  <c:v>74.34</c:v>
                </c:pt>
                <c:pt idx="356">
                  <c:v>74.36</c:v>
                </c:pt>
                <c:pt idx="357">
                  <c:v>74.37</c:v>
                </c:pt>
                <c:pt idx="358">
                  <c:v>74.38</c:v>
                </c:pt>
                <c:pt idx="359">
                  <c:v>74.400000000000006</c:v>
                </c:pt>
                <c:pt idx="360">
                  <c:v>74.34</c:v>
                </c:pt>
                <c:pt idx="361">
                  <c:v>74.349999999999994</c:v>
                </c:pt>
                <c:pt idx="362">
                  <c:v>74.38</c:v>
                </c:pt>
                <c:pt idx="363">
                  <c:v>74.39</c:v>
                </c:pt>
                <c:pt idx="364">
                  <c:v>74.400000000000006</c:v>
                </c:pt>
                <c:pt idx="365">
                  <c:v>74.42</c:v>
                </c:pt>
                <c:pt idx="366">
                  <c:v>74.44</c:v>
                </c:pt>
                <c:pt idx="367">
                  <c:v>74.45</c:v>
                </c:pt>
                <c:pt idx="368">
                  <c:v>74.42</c:v>
                </c:pt>
                <c:pt idx="369">
                  <c:v>74.45</c:v>
                </c:pt>
                <c:pt idx="370">
                  <c:v>74.430000000000007</c:v>
                </c:pt>
                <c:pt idx="371">
                  <c:v>74.47</c:v>
                </c:pt>
                <c:pt idx="372">
                  <c:v>74.42</c:v>
                </c:pt>
                <c:pt idx="373">
                  <c:v>74.400000000000006</c:v>
                </c:pt>
                <c:pt idx="374">
                  <c:v>74.42</c:v>
                </c:pt>
                <c:pt idx="375">
                  <c:v>74.45</c:v>
                </c:pt>
                <c:pt idx="376">
                  <c:v>74.42</c:v>
                </c:pt>
                <c:pt idx="377">
                  <c:v>74.42</c:v>
                </c:pt>
                <c:pt idx="378">
                  <c:v>74.36</c:v>
                </c:pt>
                <c:pt idx="379">
                  <c:v>74.400000000000006</c:v>
                </c:pt>
                <c:pt idx="380">
                  <c:v>74.34</c:v>
                </c:pt>
                <c:pt idx="381">
                  <c:v>74.38</c:v>
                </c:pt>
                <c:pt idx="382">
                  <c:v>74.34</c:v>
                </c:pt>
                <c:pt idx="383">
                  <c:v>74.36</c:v>
                </c:pt>
                <c:pt idx="384">
                  <c:v>74.349999999999994</c:v>
                </c:pt>
                <c:pt idx="385">
                  <c:v>74.34</c:v>
                </c:pt>
                <c:pt idx="386">
                  <c:v>74.34</c:v>
                </c:pt>
                <c:pt idx="387">
                  <c:v>74.31</c:v>
                </c:pt>
                <c:pt idx="388">
                  <c:v>74.36</c:v>
                </c:pt>
                <c:pt idx="389">
                  <c:v>74.3</c:v>
                </c:pt>
                <c:pt idx="390">
                  <c:v>74.36</c:v>
                </c:pt>
                <c:pt idx="391">
                  <c:v>74.36</c:v>
                </c:pt>
                <c:pt idx="392">
                  <c:v>74.38</c:v>
                </c:pt>
                <c:pt idx="393">
                  <c:v>74.38</c:v>
                </c:pt>
                <c:pt idx="394">
                  <c:v>74.400000000000006</c:v>
                </c:pt>
                <c:pt idx="395">
                  <c:v>74.400000000000006</c:v>
                </c:pt>
                <c:pt idx="396">
                  <c:v>74.37</c:v>
                </c:pt>
                <c:pt idx="397">
                  <c:v>74.36</c:v>
                </c:pt>
                <c:pt idx="398">
                  <c:v>74.42</c:v>
                </c:pt>
                <c:pt idx="399">
                  <c:v>74.41</c:v>
                </c:pt>
                <c:pt idx="400">
                  <c:v>74.41</c:v>
                </c:pt>
                <c:pt idx="401">
                  <c:v>74.430000000000007</c:v>
                </c:pt>
                <c:pt idx="402">
                  <c:v>74.39</c:v>
                </c:pt>
                <c:pt idx="403">
                  <c:v>74.39</c:v>
                </c:pt>
                <c:pt idx="404">
                  <c:v>74.400000000000006</c:v>
                </c:pt>
                <c:pt idx="405">
                  <c:v>74.430000000000007</c:v>
                </c:pt>
                <c:pt idx="406">
                  <c:v>74.42</c:v>
                </c:pt>
                <c:pt idx="407">
                  <c:v>74.39</c:v>
                </c:pt>
                <c:pt idx="408">
                  <c:v>74.44</c:v>
                </c:pt>
                <c:pt idx="409">
                  <c:v>74.38</c:v>
                </c:pt>
                <c:pt idx="410">
                  <c:v>74.430000000000007</c:v>
                </c:pt>
                <c:pt idx="411">
                  <c:v>74.400000000000006</c:v>
                </c:pt>
                <c:pt idx="412">
                  <c:v>74.42</c:v>
                </c:pt>
                <c:pt idx="413">
                  <c:v>74.430000000000007</c:v>
                </c:pt>
                <c:pt idx="414">
                  <c:v>74.400000000000006</c:v>
                </c:pt>
                <c:pt idx="415">
                  <c:v>74.34</c:v>
                </c:pt>
                <c:pt idx="416">
                  <c:v>74.42</c:v>
                </c:pt>
                <c:pt idx="417">
                  <c:v>74.38</c:v>
                </c:pt>
                <c:pt idx="418">
                  <c:v>74.37</c:v>
                </c:pt>
                <c:pt idx="419">
                  <c:v>74.400000000000006</c:v>
                </c:pt>
                <c:pt idx="420">
                  <c:v>74.41</c:v>
                </c:pt>
                <c:pt idx="421">
                  <c:v>74.400000000000006</c:v>
                </c:pt>
                <c:pt idx="422">
                  <c:v>74.34</c:v>
                </c:pt>
                <c:pt idx="423">
                  <c:v>74.37</c:v>
                </c:pt>
                <c:pt idx="424">
                  <c:v>74.33</c:v>
                </c:pt>
                <c:pt idx="425">
                  <c:v>74.36</c:v>
                </c:pt>
                <c:pt idx="426">
                  <c:v>74.39</c:v>
                </c:pt>
                <c:pt idx="427">
                  <c:v>74.349999999999994</c:v>
                </c:pt>
                <c:pt idx="428">
                  <c:v>74.349999999999994</c:v>
                </c:pt>
                <c:pt idx="429">
                  <c:v>74.34</c:v>
                </c:pt>
                <c:pt idx="430">
                  <c:v>74.400000000000006</c:v>
                </c:pt>
                <c:pt idx="431">
                  <c:v>74.39</c:v>
                </c:pt>
                <c:pt idx="432">
                  <c:v>74.41</c:v>
                </c:pt>
                <c:pt idx="433">
                  <c:v>74.349999999999994</c:v>
                </c:pt>
                <c:pt idx="434">
                  <c:v>74.41</c:v>
                </c:pt>
                <c:pt idx="435">
                  <c:v>74.38</c:v>
                </c:pt>
                <c:pt idx="436">
                  <c:v>74.400000000000006</c:v>
                </c:pt>
                <c:pt idx="437">
                  <c:v>74.430000000000007</c:v>
                </c:pt>
                <c:pt idx="438">
                  <c:v>74.44</c:v>
                </c:pt>
                <c:pt idx="439">
                  <c:v>74.44</c:v>
                </c:pt>
                <c:pt idx="440">
                  <c:v>74.47</c:v>
                </c:pt>
                <c:pt idx="441">
                  <c:v>74.400000000000006</c:v>
                </c:pt>
                <c:pt idx="442">
                  <c:v>74.459999999999994</c:v>
                </c:pt>
                <c:pt idx="443">
                  <c:v>74.45</c:v>
                </c:pt>
                <c:pt idx="444">
                  <c:v>74.45</c:v>
                </c:pt>
                <c:pt idx="445">
                  <c:v>74.44</c:v>
                </c:pt>
                <c:pt idx="446">
                  <c:v>74.44</c:v>
                </c:pt>
                <c:pt idx="447">
                  <c:v>74.430000000000007</c:v>
                </c:pt>
                <c:pt idx="448">
                  <c:v>74.38</c:v>
                </c:pt>
                <c:pt idx="449">
                  <c:v>74.37</c:v>
                </c:pt>
                <c:pt idx="450">
                  <c:v>74.400000000000006</c:v>
                </c:pt>
                <c:pt idx="451">
                  <c:v>74.349999999999994</c:v>
                </c:pt>
                <c:pt idx="452">
                  <c:v>74.36</c:v>
                </c:pt>
                <c:pt idx="453">
                  <c:v>74.349999999999994</c:v>
                </c:pt>
                <c:pt idx="454">
                  <c:v>74.41</c:v>
                </c:pt>
                <c:pt idx="455">
                  <c:v>74.400000000000006</c:v>
                </c:pt>
                <c:pt idx="456">
                  <c:v>74.44</c:v>
                </c:pt>
                <c:pt idx="457">
                  <c:v>74.45</c:v>
                </c:pt>
                <c:pt idx="458">
                  <c:v>74.42</c:v>
                </c:pt>
                <c:pt idx="459">
                  <c:v>74.44</c:v>
                </c:pt>
                <c:pt idx="460">
                  <c:v>74.5</c:v>
                </c:pt>
                <c:pt idx="461">
                  <c:v>74.489999999999995</c:v>
                </c:pt>
                <c:pt idx="462">
                  <c:v>74.5</c:v>
                </c:pt>
                <c:pt idx="463">
                  <c:v>74.47</c:v>
                </c:pt>
                <c:pt idx="464">
                  <c:v>74.55</c:v>
                </c:pt>
                <c:pt idx="465">
                  <c:v>74.55</c:v>
                </c:pt>
                <c:pt idx="466">
                  <c:v>74.510000000000005</c:v>
                </c:pt>
                <c:pt idx="467">
                  <c:v>74.510000000000005</c:v>
                </c:pt>
                <c:pt idx="468">
                  <c:v>74.569999999999993</c:v>
                </c:pt>
                <c:pt idx="469">
                  <c:v>74.55</c:v>
                </c:pt>
                <c:pt idx="470">
                  <c:v>74.459999999999994</c:v>
                </c:pt>
                <c:pt idx="471">
                  <c:v>74.489999999999995</c:v>
                </c:pt>
                <c:pt idx="472">
                  <c:v>74.400000000000006</c:v>
                </c:pt>
                <c:pt idx="473">
                  <c:v>74.38</c:v>
                </c:pt>
                <c:pt idx="474">
                  <c:v>74.400000000000006</c:v>
                </c:pt>
                <c:pt idx="475">
                  <c:v>74.34</c:v>
                </c:pt>
                <c:pt idx="476">
                  <c:v>74.319999999999993</c:v>
                </c:pt>
                <c:pt idx="477">
                  <c:v>74.34</c:v>
                </c:pt>
                <c:pt idx="478">
                  <c:v>74.349999999999994</c:v>
                </c:pt>
                <c:pt idx="479">
                  <c:v>74.319999999999993</c:v>
                </c:pt>
                <c:pt idx="480">
                  <c:v>74.27</c:v>
                </c:pt>
                <c:pt idx="481">
                  <c:v>74.319999999999993</c:v>
                </c:pt>
                <c:pt idx="482">
                  <c:v>74.3</c:v>
                </c:pt>
                <c:pt idx="483">
                  <c:v>74.319999999999993</c:v>
                </c:pt>
                <c:pt idx="484">
                  <c:v>74.319999999999993</c:v>
                </c:pt>
                <c:pt idx="485">
                  <c:v>74.34</c:v>
                </c:pt>
                <c:pt idx="486">
                  <c:v>74.31</c:v>
                </c:pt>
                <c:pt idx="487">
                  <c:v>74.349999999999994</c:v>
                </c:pt>
                <c:pt idx="488">
                  <c:v>74.33</c:v>
                </c:pt>
                <c:pt idx="489">
                  <c:v>74.400000000000006</c:v>
                </c:pt>
                <c:pt idx="490">
                  <c:v>74.430000000000007</c:v>
                </c:pt>
                <c:pt idx="491">
                  <c:v>74.44</c:v>
                </c:pt>
                <c:pt idx="492">
                  <c:v>74.400000000000006</c:v>
                </c:pt>
                <c:pt idx="493">
                  <c:v>74.44</c:v>
                </c:pt>
                <c:pt idx="494">
                  <c:v>74.48</c:v>
                </c:pt>
                <c:pt idx="495">
                  <c:v>74.48</c:v>
                </c:pt>
                <c:pt idx="496">
                  <c:v>74.510000000000005</c:v>
                </c:pt>
                <c:pt idx="497">
                  <c:v>74.47</c:v>
                </c:pt>
                <c:pt idx="498">
                  <c:v>74.5</c:v>
                </c:pt>
                <c:pt idx="499">
                  <c:v>74.510000000000005</c:v>
                </c:pt>
                <c:pt idx="500">
                  <c:v>74.48</c:v>
                </c:pt>
                <c:pt idx="501">
                  <c:v>74.52</c:v>
                </c:pt>
                <c:pt idx="502">
                  <c:v>74.510000000000005</c:v>
                </c:pt>
                <c:pt idx="503">
                  <c:v>74.48</c:v>
                </c:pt>
                <c:pt idx="504">
                  <c:v>74.45</c:v>
                </c:pt>
                <c:pt idx="505">
                  <c:v>74.42</c:v>
                </c:pt>
                <c:pt idx="506">
                  <c:v>74.42</c:v>
                </c:pt>
                <c:pt idx="507">
                  <c:v>74.459999999999994</c:v>
                </c:pt>
                <c:pt idx="508">
                  <c:v>74.44</c:v>
                </c:pt>
                <c:pt idx="509">
                  <c:v>74.430000000000007</c:v>
                </c:pt>
                <c:pt idx="510">
                  <c:v>74.33</c:v>
                </c:pt>
                <c:pt idx="511">
                  <c:v>74.36</c:v>
                </c:pt>
                <c:pt idx="512">
                  <c:v>74.41</c:v>
                </c:pt>
                <c:pt idx="513">
                  <c:v>74.34</c:v>
                </c:pt>
                <c:pt idx="514">
                  <c:v>74.349999999999994</c:v>
                </c:pt>
                <c:pt idx="515">
                  <c:v>74.36</c:v>
                </c:pt>
                <c:pt idx="516">
                  <c:v>74.400000000000006</c:v>
                </c:pt>
                <c:pt idx="517">
                  <c:v>74.34</c:v>
                </c:pt>
                <c:pt idx="518">
                  <c:v>74.38</c:v>
                </c:pt>
                <c:pt idx="519">
                  <c:v>74.34</c:v>
                </c:pt>
                <c:pt idx="520">
                  <c:v>74.430000000000007</c:v>
                </c:pt>
                <c:pt idx="521">
                  <c:v>74.38</c:v>
                </c:pt>
                <c:pt idx="522">
                  <c:v>74.41</c:v>
                </c:pt>
                <c:pt idx="523">
                  <c:v>74.45</c:v>
                </c:pt>
                <c:pt idx="524">
                  <c:v>74.44</c:v>
                </c:pt>
                <c:pt idx="525">
                  <c:v>74.400000000000006</c:v>
                </c:pt>
                <c:pt idx="526">
                  <c:v>74.459999999999994</c:v>
                </c:pt>
                <c:pt idx="527">
                  <c:v>74.44</c:v>
                </c:pt>
                <c:pt idx="528">
                  <c:v>74.41</c:v>
                </c:pt>
                <c:pt idx="529">
                  <c:v>74.39</c:v>
                </c:pt>
                <c:pt idx="530">
                  <c:v>74.42</c:v>
                </c:pt>
                <c:pt idx="531">
                  <c:v>74.45</c:v>
                </c:pt>
                <c:pt idx="532">
                  <c:v>74.39</c:v>
                </c:pt>
                <c:pt idx="533">
                  <c:v>74.400000000000006</c:v>
                </c:pt>
                <c:pt idx="534">
                  <c:v>74.44</c:v>
                </c:pt>
                <c:pt idx="535">
                  <c:v>74.42</c:v>
                </c:pt>
                <c:pt idx="536">
                  <c:v>74.45</c:v>
                </c:pt>
                <c:pt idx="537">
                  <c:v>74.42</c:v>
                </c:pt>
                <c:pt idx="538">
                  <c:v>74.45</c:v>
                </c:pt>
                <c:pt idx="539">
                  <c:v>74.39</c:v>
                </c:pt>
                <c:pt idx="540">
                  <c:v>74.44</c:v>
                </c:pt>
                <c:pt idx="541">
                  <c:v>74.38</c:v>
                </c:pt>
                <c:pt idx="542">
                  <c:v>74.430000000000007</c:v>
                </c:pt>
                <c:pt idx="543">
                  <c:v>74.38</c:v>
                </c:pt>
                <c:pt idx="544">
                  <c:v>74.36</c:v>
                </c:pt>
                <c:pt idx="545">
                  <c:v>74.41</c:v>
                </c:pt>
                <c:pt idx="546">
                  <c:v>74.349999999999994</c:v>
                </c:pt>
                <c:pt idx="547">
                  <c:v>74.319999999999993</c:v>
                </c:pt>
                <c:pt idx="548">
                  <c:v>74.34</c:v>
                </c:pt>
                <c:pt idx="549">
                  <c:v>74.38</c:v>
                </c:pt>
                <c:pt idx="550">
                  <c:v>74.41</c:v>
                </c:pt>
                <c:pt idx="551">
                  <c:v>74.349999999999994</c:v>
                </c:pt>
                <c:pt idx="552">
                  <c:v>74.349999999999994</c:v>
                </c:pt>
                <c:pt idx="553">
                  <c:v>74.400000000000006</c:v>
                </c:pt>
                <c:pt idx="554">
                  <c:v>74.44</c:v>
                </c:pt>
                <c:pt idx="555">
                  <c:v>74.37</c:v>
                </c:pt>
                <c:pt idx="556">
                  <c:v>74.349999999999994</c:v>
                </c:pt>
                <c:pt idx="557">
                  <c:v>74.39</c:v>
                </c:pt>
                <c:pt idx="558">
                  <c:v>74.38</c:v>
                </c:pt>
                <c:pt idx="559">
                  <c:v>74.39</c:v>
                </c:pt>
                <c:pt idx="560">
                  <c:v>74.33</c:v>
                </c:pt>
                <c:pt idx="561">
                  <c:v>74.37</c:v>
                </c:pt>
                <c:pt idx="562">
                  <c:v>74.44</c:v>
                </c:pt>
                <c:pt idx="563">
                  <c:v>74.42</c:v>
                </c:pt>
                <c:pt idx="564">
                  <c:v>74.430000000000007</c:v>
                </c:pt>
                <c:pt idx="565">
                  <c:v>74.510000000000005</c:v>
                </c:pt>
                <c:pt idx="566">
                  <c:v>74.459999999999994</c:v>
                </c:pt>
                <c:pt idx="567">
                  <c:v>74.510000000000005</c:v>
                </c:pt>
                <c:pt idx="568">
                  <c:v>74.52</c:v>
                </c:pt>
                <c:pt idx="569">
                  <c:v>74.489999999999995</c:v>
                </c:pt>
                <c:pt idx="570">
                  <c:v>74.45</c:v>
                </c:pt>
                <c:pt idx="571">
                  <c:v>74.459999999999994</c:v>
                </c:pt>
                <c:pt idx="572">
                  <c:v>74.510000000000005</c:v>
                </c:pt>
                <c:pt idx="573">
                  <c:v>74.45</c:v>
                </c:pt>
                <c:pt idx="574">
                  <c:v>74.42</c:v>
                </c:pt>
                <c:pt idx="575">
                  <c:v>74.42</c:v>
                </c:pt>
                <c:pt idx="576">
                  <c:v>74.47</c:v>
                </c:pt>
                <c:pt idx="577">
                  <c:v>74.45</c:v>
                </c:pt>
                <c:pt idx="578">
                  <c:v>74.349999999999994</c:v>
                </c:pt>
                <c:pt idx="579">
                  <c:v>74.42</c:v>
                </c:pt>
                <c:pt idx="580">
                  <c:v>74.400000000000006</c:v>
                </c:pt>
                <c:pt idx="581">
                  <c:v>74.400000000000006</c:v>
                </c:pt>
                <c:pt idx="582">
                  <c:v>74.39</c:v>
                </c:pt>
                <c:pt idx="583">
                  <c:v>74.38</c:v>
                </c:pt>
                <c:pt idx="584">
                  <c:v>74.400000000000006</c:v>
                </c:pt>
                <c:pt idx="585">
                  <c:v>74.319999999999993</c:v>
                </c:pt>
                <c:pt idx="586">
                  <c:v>74.38</c:v>
                </c:pt>
                <c:pt idx="587">
                  <c:v>74.38</c:v>
                </c:pt>
                <c:pt idx="588">
                  <c:v>74.38</c:v>
                </c:pt>
                <c:pt idx="589">
                  <c:v>74.36</c:v>
                </c:pt>
                <c:pt idx="590">
                  <c:v>74.34</c:v>
                </c:pt>
                <c:pt idx="591">
                  <c:v>74.34</c:v>
                </c:pt>
                <c:pt idx="592">
                  <c:v>74.42</c:v>
                </c:pt>
                <c:pt idx="593">
                  <c:v>74.38</c:v>
                </c:pt>
                <c:pt idx="594">
                  <c:v>74.44</c:v>
                </c:pt>
                <c:pt idx="595">
                  <c:v>74.42</c:v>
                </c:pt>
                <c:pt idx="596">
                  <c:v>74.430000000000007</c:v>
                </c:pt>
                <c:pt idx="597">
                  <c:v>74.430000000000007</c:v>
                </c:pt>
                <c:pt idx="598">
                  <c:v>74.44</c:v>
                </c:pt>
                <c:pt idx="599">
                  <c:v>74.489999999999995</c:v>
                </c:pt>
                <c:pt idx="600">
                  <c:v>74.53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BD-4CED-AF07-2743CFC44F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50831"/>
        <c:axId val="1410052271"/>
      </c:scatterChart>
      <c:valAx>
        <c:axId val="1410050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2271"/>
        <c:crosses val="autoZero"/>
        <c:crossBetween val="midCat"/>
      </c:valAx>
      <c:valAx>
        <c:axId val="1410052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08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'74'!$R$1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'74'!$Q$2:$Q$602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'74'!$R$2:$R$602</c:f>
              <c:numCache>
                <c:formatCode>General</c:formatCode>
                <c:ptCount val="601"/>
                <c:pt idx="0">
                  <c:v>33.58</c:v>
                </c:pt>
                <c:pt idx="1">
                  <c:v>34.299999999999997</c:v>
                </c:pt>
                <c:pt idx="2">
                  <c:v>34.39</c:v>
                </c:pt>
                <c:pt idx="3">
                  <c:v>34.53</c:v>
                </c:pt>
                <c:pt idx="4">
                  <c:v>34.64</c:v>
                </c:pt>
                <c:pt idx="5">
                  <c:v>34.869999999999997</c:v>
                </c:pt>
                <c:pt idx="6">
                  <c:v>35.17</c:v>
                </c:pt>
                <c:pt idx="7">
                  <c:v>35.53</c:v>
                </c:pt>
                <c:pt idx="8">
                  <c:v>35.99</c:v>
                </c:pt>
                <c:pt idx="9">
                  <c:v>36.479999999999997</c:v>
                </c:pt>
                <c:pt idx="10">
                  <c:v>37.04</c:v>
                </c:pt>
                <c:pt idx="11">
                  <c:v>37.659999999999997</c:v>
                </c:pt>
                <c:pt idx="12">
                  <c:v>38.270000000000003</c:v>
                </c:pt>
                <c:pt idx="13">
                  <c:v>39.020000000000003</c:v>
                </c:pt>
                <c:pt idx="14">
                  <c:v>39.71</c:v>
                </c:pt>
                <c:pt idx="15">
                  <c:v>40.43</c:v>
                </c:pt>
                <c:pt idx="16">
                  <c:v>41.22</c:v>
                </c:pt>
                <c:pt idx="17">
                  <c:v>41.9</c:v>
                </c:pt>
                <c:pt idx="18">
                  <c:v>42.59</c:v>
                </c:pt>
                <c:pt idx="19">
                  <c:v>43.31</c:v>
                </c:pt>
                <c:pt idx="20">
                  <c:v>44.05</c:v>
                </c:pt>
                <c:pt idx="21">
                  <c:v>44.79</c:v>
                </c:pt>
                <c:pt idx="22">
                  <c:v>45.51</c:v>
                </c:pt>
                <c:pt idx="23">
                  <c:v>46.24</c:v>
                </c:pt>
                <c:pt idx="24">
                  <c:v>46.96</c:v>
                </c:pt>
                <c:pt idx="25">
                  <c:v>47.72</c:v>
                </c:pt>
                <c:pt idx="26">
                  <c:v>48.37</c:v>
                </c:pt>
                <c:pt idx="27">
                  <c:v>49.13</c:v>
                </c:pt>
                <c:pt idx="28">
                  <c:v>49.88</c:v>
                </c:pt>
                <c:pt idx="29">
                  <c:v>50.51</c:v>
                </c:pt>
                <c:pt idx="30">
                  <c:v>51.17</c:v>
                </c:pt>
                <c:pt idx="31">
                  <c:v>51.79</c:v>
                </c:pt>
                <c:pt idx="32">
                  <c:v>52.58</c:v>
                </c:pt>
                <c:pt idx="33">
                  <c:v>53.23</c:v>
                </c:pt>
                <c:pt idx="34">
                  <c:v>53.87</c:v>
                </c:pt>
                <c:pt idx="35">
                  <c:v>54.47</c:v>
                </c:pt>
                <c:pt idx="36">
                  <c:v>55.08</c:v>
                </c:pt>
                <c:pt idx="37">
                  <c:v>55.7</c:v>
                </c:pt>
                <c:pt idx="38">
                  <c:v>56.32</c:v>
                </c:pt>
                <c:pt idx="39">
                  <c:v>56.87</c:v>
                </c:pt>
                <c:pt idx="40">
                  <c:v>57.47</c:v>
                </c:pt>
                <c:pt idx="41">
                  <c:v>57.92</c:v>
                </c:pt>
                <c:pt idx="42">
                  <c:v>58.49</c:v>
                </c:pt>
                <c:pt idx="43">
                  <c:v>59.02</c:v>
                </c:pt>
                <c:pt idx="44">
                  <c:v>59.49</c:v>
                </c:pt>
                <c:pt idx="45">
                  <c:v>59.95</c:v>
                </c:pt>
                <c:pt idx="46">
                  <c:v>60.43</c:v>
                </c:pt>
                <c:pt idx="47">
                  <c:v>60.9</c:v>
                </c:pt>
                <c:pt idx="48">
                  <c:v>61.34</c:v>
                </c:pt>
                <c:pt idx="49">
                  <c:v>61.72</c:v>
                </c:pt>
                <c:pt idx="50">
                  <c:v>62.15</c:v>
                </c:pt>
                <c:pt idx="51">
                  <c:v>62.55</c:v>
                </c:pt>
                <c:pt idx="52">
                  <c:v>62.94</c:v>
                </c:pt>
                <c:pt idx="53">
                  <c:v>63.3</c:v>
                </c:pt>
                <c:pt idx="54">
                  <c:v>63.7</c:v>
                </c:pt>
                <c:pt idx="55">
                  <c:v>64.099999999999994</c:v>
                </c:pt>
                <c:pt idx="56">
                  <c:v>64.349999999999994</c:v>
                </c:pt>
                <c:pt idx="57">
                  <c:v>64.64</c:v>
                </c:pt>
                <c:pt idx="58">
                  <c:v>65.069999999999993</c:v>
                </c:pt>
                <c:pt idx="59">
                  <c:v>65.3</c:v>
                </c:pt>
                <c:pt idx="60">
                  <c:v>65.58</c:v>
                </c:pt>
                <c:pt idx="61">
                  <c:v>65.92</c:v>
                </c:pt>
                <c:pt idx="62">
                  <c:v>66.23</c:v>
                </c:pt>
                <c:pt idx="63">
                  <c:v>66.5</c:v>
                </c:pt>
                <c:pt idx="64">
                  <c:v>66.84</c:v>
                </c:pt>
                <c:pt idx="65">
                  <c:v>66.92</c:v>
                </c:pt>
                <c:pt idx="66">
                  <c:v>67.239999999999995</c:v>
                </c:pt>
                <c:pt idx="67">
                  <c:v>67.489999999999995</c:v>
                </c:pt>
                <c:pt idx="68">
                  <c:v>67.739999999999995</c:v>
                </c:pt>
                <c:pt idx="69">
                  <c:v>67.91</c:v>
                </c:pt>
                <c:pt idx="70">
                  <c:v>68.180000000000007</c:v>
                </c:pt>
                <c:pt idx="71">
                  <c:v>68.400000000000006</c:v>
                </c:pt>
                <c:pt idx="72">
                  <c:v>68.59</c:v>
                </c:pt>
                <c:pt idx="73">
                  <c:v>68.78</c:v>
                </c:pt>
                <c:pt idx="74">
                  <c:v>68.97</c:v>
                </c:pt>
                <c:pt idx="75">
                  <c:v>69.150000000000006</c:v>
                </c:pt>
                <c:pt idx="76">
                  <c:v>69.349999999999994</c:v>
                </c:pt>
                <c:pt idx="77">
                  <c:v>69.55</c:v>
                </c:pt>
                <c:pt idx="78">
                  <c:v>69.7</c:v>
                </c:pt>
                <c:pt idx="79">
                  <c:v>69.84</c:v>
                </c:pt>
                <c:pt idx="80">
                  <c:v>70.010000000000005</c:v>
                </c:pt>
                <c:pt idx="81">
                  <c:v>70.150000000000006</c:v>
                </c:pt>
                <c:pt idx="82">
                  <c:v>70.34</c:v>
                </c:pt>
                <c:pt idx="83">
                  <c:v>70.44</c:v>
                </c:pt>
                <c:pt idx="84">
                  <c:v>70.62</c:v>
                </c:pt>
                <c:pt idx="85">
                  <c:v>70.77</c:v>
                </c:pt>
                <c:pt idx="86">
                  <c:v>70.900000000000006</c:v>
                </c:pt>
                <c:pt idx="87">
                  <c:v>71.010000000000005</c:v>
                </c:pt>
                <c:pt idx="88">
                  <c:v>71.099999999999994</c:v>
                </c:pt>
                <c:pt idx="89">
                  <c:v>71.290000000000006</c:v>
                </c:pt>
                <c:pt idx="90">
                  <c:v>71.36</c:v>
                </c:pt>
                <c:pt idx="91">
                  <c:v>71.44</c:v>
                </c:pt>
                <c:pt idx="92">
                  <c:v>71.510000000000005</c:v>
                </c:pt>
                <c:pt idx="93">
                  <c:v>71.64</c:v>
                </c:pt>
                <c:pt idx="94">
                  <c:v>71.73</c:v>
                </c:pt>
                <c:pt idx="95">
                  <c:v>71.8</c:v>
                </c:pt>
                <c:pt idx="96">
                  <c:v>71.81</c:v>
                </c:pt>
                <c:pt idx="97">
                  <c:v>71.97</c:v>
                </c:pt>
                <c:pt idx="98">
                  <c:v>72.06</c:v>
                </c:pt>
                <c:pt idx="99">
                  <c:v>72.11</c:v>
                </c:pt>
                <c:pt idx="100">
                  <c:v>72.150000000000006</c:v>
                </c:pt>
                <c:pt idx="101">
                  <c:v>72.290000000000006</c:v>
                </c:pt>
                <c:pt idx="102">
                  <c:v>72.33</c:v>
                </c:pt>
                <c:pt idx="103">
                  <c:v>72.39</c:v>
                </c:pt>
                <c:pt idx="104">
                  <c:v>72.47</c:v>
                </c:pt>
                <c:pt idx="105">
                  <c:v>72.52</c:v>
                </c:pt>
                <c:pt idx="106">
                  <c:v>72.569999999999993</c:v>
                </c:pt>
                <c:pt idx="107">
                  <c:v>72.63</c:v>
                </c:pt>
                <c:pt idx="108">
                  <c:v>72.67</c:v>
                </c:pt>
                <c:pt idx="109">
                  <c:v>72.69</c:v>
                </c:pt>
                <c:pt idx="110">
                  <c:v>72.84</c:v>
                </c:pt>
                <c:pt idx="111">
                  <c:v>72.849999999999994</c:v>
                </c:pt>
                <c:pt idx="112">
                  <c:v>72.84</c:v>
                </c:pt>
                <c:pt idx="113">
                  <c:v>72.89</c:v>
                </c:pt>
                <c:pt idx="114">
                  <c:v>72.930000000000007</c:v>
                </c:pt>
                <c:pt idx="115">
                  <c:v>72.989999999999995</c:v>
                </c:pt>
                <c:pt idx="116">
                  <c:v>73.03</c:v>
                </c:pt>
                <c:pt idx="117">
                  <c:v>73.02</c:v>
                </c:pt>
                <c:pt idx="118">
                  <c:v>73.05</c:v>
                </c:pt>
                <c:pt idx="119">
                  <c:v>73.12</c:v>
                </c:pt>
                <c:pt idx="120">
                  <c:v>73.180000000000007</c:v>
                </c:pt>
                <c:pt idx="121">
                  <c:v>73.150000000000006</c:v>
                </c:pt>
                <c:pt idx="122">
                  <c:v>73.22</c:v>
                </c:pt>
                <c:pt idx="123">
                  <c:v>73.260000000000005</c:v>
                </c:pt>
                <c:pt idx="124">
                  <c:v>73.28</c:v>
                </c:pt>
                <c:pt idx="125">
                  <c:v>73.31</c:v>
                </c:pt>
                <c:pt idx="126">
                  <c:v>73.349999999999994</c:v>
                </c:pt>
                <c:pt idx="127">
                  <c:v>73.38</c:v>
                </c:pt>
                <c:pt idx="128">
                  <c:v>73.430000000000007</c:v>
                </c:pt>
                <c:pt idx="129">
                  <c:v>73.47</c:v>
                </c:pt>
                <c:pt idx="130">
                  <c:v>73.48</c:v>
                </c:pt>
                <c:pt idx="131">
                  <c:v>73.45</c:v>
                </c:pt>
                <c:pt idx="132">
                  <c:v>73.5</c:v>
                </c:pt>
                <c:pt idx="133">
                  <c:v>73.53</c:v>
                </c:pt>
                <c:pt idx="134">
                  <c:v>73.55</c:v>
                </c:pt>
                <c:pt idx="135">
                  <c:v>73.55</c:v>
                </c:pt>
                <c:pt idx="136">
                  <c:v>73.510000000000005</c:v>
                </c:pt>
                <c:pt idx="137">
                  <c:v>73.569999999999993</c:v>
                </c:pt>
                <c:pt idx="138">
                  <c:v>73.599999999999994</c:v>
                </c:pt>
                <c:pt idx="139">
                  <c:v>73.64</c:v>
                </c:pt>
                <c:pt idx="140">
                  <c:v>73.64</c:v>
                </c:pt>
                <c:pt idx="141">
                  <c:v>73.61</c:v>
                </c:pt>
                <c:pt idx="142">
                  <c:v>73.680000000000007</c:v>
                </c:pt>
                <c:pt idx="143">
                  <c:v>73.709999999999994</c:v>
                </c:pt>
                <c:pt idx="144">
                  <c:v>73.739999999999995</c:v>
                </c:pt>
                <c:pt idx="145">
                  <c:v>73.64</c:v>
                </c:pt>
                <c:pt idx="146">
                  <c:v>73.73</c:v>
                </c:pt>
                <c:pt idx="147">
                  <c:v>73.72</c:v>
                </c:pt>
                <c:pt idx="148">
                  <c:v>73.73</c:v>
                </c:pt>
                <c:pt idx="149">
                  <c:v>73.77</c:v>
                </c:pt>
                <c:pt idx="150">
                  <c:v>73.75</c:v>
                </c:pt>
                <c:pt idx="151">
                  <c:v>73.709999999999994</c:v>
                </c:pt>
                <c:pt idx="152">
                  <c:v>73.86</c:v>
                </c:pt>
                <c:pt idx="153">
                  <c:v>73.790000000000006</c:v>
                </c:pt>
                <c:pt idx="154">
                  <c:v>73.8</c:v>
                </c:pt>
                <c:pt idx="155">
                  <c:v>73.8</c:v>
                </c:pt>
                <c:pt idx="156">
                  <c:v>73.87</c:v>
                </c:pt>
                <c:pt idx="157">
                  <c:v>73.88</c:v>
                </c:pt>
                <c:pt idx="158">
                  <c:v>73.84</c:v>
                </c:pt>
                <c:pt idx="159">
                  <c:v>73.87</c:v>
                </c:pt>
                <c:pt idx="160">
                  <c:v>73.81</c:v>
                </c:pt>
                <c:pt idx="161">
                  <c:v>73.88</c:v>
                </c:pt>
                <c:pt idx="162">
                  <c:v>73.900000000000006</c:v>
                </c:pt>
                <c:pt idx="163">
                  <c:v>73.88</c:v>
                </c:pt>
                <c:pt idx="164">
                  <c:v>73.87</c:v>
                </c:pt>
                <c:pt idx="165">
                  <c:v>73.92</c:v>
                </c:pt>
                <c:pt idx="166">
                  <c:v>73.900000000000006</c:v>
                </c:pt>
                <c:pt idx="167">
                  <c:v>73.88</c:v>
                </c:pt>
                <c:pt idx="168">
                  <c:v>73.900000000000006</c:v>
                </c:pt>
                <c:pt idx="169">
                  <c:v>73.88</c:v>
                </c:pt>
                <c:pt idx="170">
                  <c:v>73.88</c:v>
                </c:pt>
                <c:pt idx="171">
                  <c:v>73.91</c:v>
                </c:pt>
                <c:pt idx="172">
                  <c:v>73.91</c:v>
                </c:pt>
                <c:pt idx="173">
                  <c:v>73.92</c:v>
                </c:pt>
                <c:pt idx="174">
                  <c:v>73.95</c:v>
                </c:pt>
                <c:pt idx="175">
                  <c:v>73.930000000000007</c:v>
                </c:pt>
                <c:pt idx="176">
                  <c:v>73.94</c:v>
                </c:pt>
                <c:pt idx="177">
                  <c:v>73.930000000000007</c:v>
                </c:pt>
                <c:pt idx="178">
                  <c:v>73.88</c:v>
                </c:pt>
                <c:pt idx="179">
                  <c:v>73.94</c:v>
                </c:pt>
                <c:pt idx="180">
                  <c:v>73.95</c:v>
                </c:pt>
                <c:pt idx="181">
                  <c:v>73.900000000000006</c:v>
                </c:pt>
                <c:pt idx="182">
                  <c:v>73.92</c:v>
                </c:pt>
                <c:pt idx="183">
                  <c:v>73.930000000000007</c:v>
                </c:pt>
                <c:pt idx="184">
                  <c:v>73.900000000000006</c:v>
                </c:pt>
                <c:pt idx="185">
                  <c:v>73.900000000000006</c:v>
                </c:pt>
                <c:pt idx="186">
                  <c:v>73.87</c:v>
                </c:pt>
                <c:pt idx="187">
                  <c:v>73.900000000000006</c:v>
                </c:pt>
                <c:pt idx="188">
                  <c:v>73.900000000000006</c:v>
                </c:pt>
                <c:pt idx="189">
                  <c:v>73.86</c:v>
                </c:pt>
                <c:pt idx="190">
                  <c:v>73.88</c:v>
                </c:pt>
                <c:pt idx="191">
                  <c:v>73.91</c:v>
                </c:pt>
                <c:pt idx="192">
                  <c:v>73.88</c:v>
                </c:pt>
                <c:pt idx="193">
                  <c:v>73.86</c:v>
                </c:pt>
                <c:pt idx="194">
                  <c:v>73.87</c:v>
                </c:pt>
                <c:pt idx="195">
                  <c:v>73.88</c:v>
                </c:pt>
                <c:pt idx="196">
                  <c:v>73.88</c:v>
                </c:pt>
                <c:pt idx="197">
                  <c:v>73.86</c:v>
                </c:pt>
                <c:pt idx="198">
                  <c:v>73.88</c:v>
                </c:pt>
                <c:pt idx="199">
                  <c:v>73.91</c:v>
                </c:pt>
                <c:pt idx="200">
                  <c:v>73.91</c:v>
                </c:pt>
                <c:pt idx="201">
                  <c:v>73.89</c:v>
                </c:pt>
                <c:pt idx="202">
                  <c:v>73.92</c:v>
                </c:pt>
                <c:pt idx="203">
                  <c:v>73.89</c:v>
                </c:pt>
                <c:pt idx="204">
                  <c:v>73.88</c:v>
                </c:pt>
                <c:pt idx="205">
                  <c:v>73.87</c:v>
                </c:pt>
                <c:pt idx="206">
                  <c:v>73.88</c:v>
                </c:pt>
                <c:pt idx="207">
                  <c:v>73.930000000000007</c:v>
                </c:pt>
                <c:pt idx="208">
                  <c:v>73.89</c:v>
                </c:pt>
                <c:pt idx="209">
                  <c:v>73.86</c:v>
                </c:pt>
                <c:pt idx="210">
                  <c:v>73.8</c:v>
                </c:pt>
                <c:pt idx="211">
                  <c:v>73.87</c:v>
                </c:pt>
                <c:pt idx="212">
                  <c:v>73.84</c:v>
                </c:pt>
                <c:pt idx="213">
                  <c:v>73.88</c:v>
                </c:pt>
                <c:pt idx="214">
                  <c:v>73.89</c:v>
                </c:pt>
                <c:pt idx="215">
                  <c:v>73.930000000000007</c:v>
                </c:pt>
                <c:pt idx="216">
                  <c:v>73.930000000000007</c:v>
                </c:pt>
                <c:pt idx="217">
                  <c:v>73.88</c:v>
                </c:pt>
                <c:pt idx="218">
                  <c:v>73.88</c:v>
                </c:pt>
                <c:pt idx="219">
                  <c:v>73.86</c:v>
                </c:pt>
                <c:pt idx="220">
                  <c:v>73.88</c:v>
                </c:pt>
                <c:pt idx="221">
                  <c:v>73.819999999999993</c:v>
                </c:pt>
                <c:pt idx="222">
                  <c:v>73.84</c:v>
                </c:pt>
                <c:pt idx="223">
                  <c:v>73.84</c:v>
                </c:pt>
                <c:pt idx="224">
                  <c:v>73.87</c:v>
                </c:pt>
                <c:pt idx="225">
                  <c:v>73.84</c:v>
                </c:pt>
                <c:pt idx="226">
                  <c:v>73.84</c:v>
                </c:pt>
                <c:pt idx="227">
                  <c:v>73.86</c:v>
                </c:pt>
                <c:pt idx="228">
                  <c:v>73.88</c:v>
                </c:pt>
                <c:pt idx="229">
                  <c:v>73.97</c:v>
                </c:pt>
                <c:pt idx="230">
                  <c:v>73.87</c:v>
                </c:pt>
                <c:pt idx="231">
                  <c:v>73.819999999999993</c:v>
                </c:pt>
                <c:pt idx="232">
                  <c:v>73.87</c:v>
                </c:pt>
                <c:pt idx="233">
                  <c:v>73.89</c:v>
                </c:pt>
                <c:pt idx="234">
                  <c:v>73.88</c:v>
                </c:pt>
                <c:pt idx="235">
                  <c:v>73.84</c:v>
                </c:pt>
                <c:pt idx="236">
                  <c:v>73.86</c:v>
                </c:pt>
                <c:pt idx="237">
                  <c:v>73.849999999999994</c:v>
                </c:pt>
                <c:pt idx="238">
                  <c:v>73.86</c:v>
                </c:pt>
                <c:pt idx="239">
                  <c:v>73.930000000000007</c:v>
                </c:pt>
                <c:pt idx="240">
                  <c:v>73.38</c:v>
                </c:pt>
                <c:pt idx="241">
                  <c:v>73.88</c:v>
                </c:pt>
                <c:pt idx="242">
                  <c:v>73.13</c:v>
                </c:pt>
                <c:pt idx="243">
                  <c:v>73.84</c:v>
                </c:pt>
                <c:pt idx="244">
                  <c:v>73.099999999999994</c:v>
                </c:pt>
                <c:pt idx="245">
                  <c:v>73.91</c:v>
                </c:pt>
                <c:pt idx="246">
                  <c:v>73.09</c:v>
                </c:pt>
                <c:pt idx="247">
                  <c:v>73.94</c:v>
                </c:pt>
                <c:pt idx="248">
                  <c:v>73.14</c:v>
                </c:pt>
                <c:pt idx="249">
                  <c:v>73.97</c:v>
                </c:pt>
                <c:pt idx="250">
                  <c:v>73.209999999999994</c:v>
                </c:pt>
                <c:pt idx="251">
                  <c:v>73.989999999999995</c:v>
                </c:pt>
                <c:pt idx="252">
                  <c:v>73.260000000000005</c:v>
                </c:pt>
                <c:pt idx="253">
                  <c:v>74.02</c:v>
                </c:pt>
                <c:pt idx="254">
                  <c:v>73.28</c:v>
                </c:pt>
                <c:pt idx="255">
                  <c:v>74.02</c:v>
                </c:pt>
                <c:pt idx="256">
                  <c:v>73.290000000000006</c:v>
                </c:pt>
                <c:pt idx="257">
                  <c:v>74.09</c:v>
                </c:pt>
                <c:pt idx="258">
                  <c:v>73.27</c:v>
                </c:pt>
                <c:pt idx="259">
                  <c:v>74.08</c:v>
                </c:pt>
                <c:pt idx="260">
                  <c:v>73.319999999999993</c:v>
                </c:pt>
                <c:pt idx="261">
                  <c:v>74.11</c:v>
                </c:pt>
                <c:pt idx="262">
                  <c:v>73.349999999999994</c:v>
                </c:pt>
                <c:pt idx="263">
                  <c:v>74.150000000000006</c:v>
                </c:pt>
                <c:pt idx="264">
                  <c:v>73.33</c:v>
                </c:pt>
                <c:pt idx="265">
                  <c:v>74.13</c:v>
                </c:pt>
                <c:pt idx="266">
                  <c:v>73.37</c:v>
                </c:pt>
                <c:pt idx="267">
                  <c:v>74.19</c:v>
                </c:pt>
                <c:pt idx="268">
                  <c:v>73.38</c:v>
                </c:pt>
                <c:pt idx="269">
                  <c:v>74.180000000000007</c:v>
                </c:pt>
                <c:pt idx="270">
                  <c:v>73.42</c:v>
                </c:pt>
                <c:pt idx="271">
                  <c:v>74.22</c:v>
                </c:pt>
                <c:pt idx="272">
                  <c:v>73.39</c:v>
                </c:pt>
                <c:pt idx="273">
                  <c:v>74.22</c:v>
                </c:pt>
                <c:pt idx="274">
                  <c:v>73.39</c:v>
                </c:pt>
                <c:pt idx="275">
                  <c:v>74.23</c:v>
                </c:pt>
                <c:pt idx="276">
                  <c:v>73.510000000000005</c:v>
                </c:pt>
                <c:pt idx="277">
                  <c:v>74.209999999999994</c:v>
                </c:pt>
                <c:pt idx="278">
                  <c:v>73.42</c:v>
                </c:pt>
                <c:pt idx="279">
                  <c:v>74.22</c:v>
                </c:pt>
                <c:pt idx="280">
                  <c:v>73.459999999999994</c:v>
                </c:pt>
                <c:pt idx="281">
                  <c:v>74.260000000000005</c:v>
                </c:pt>
                <c:pt idx="282">
                  <c:v>73.47</c:v>
                </c:pt>
                <c:pt idx="283">
                  <c:v>74.260000000000005</c:v>
                </c:pt>
                <c:pt idx="284">
                  <c:v>73.459999999999994</c:v>
                </c:pt>
                <c:pt idx="285">
                  <c:v>74.22</c:v>
                </c:pt>
                <c:pt idx="286">
                  <c:v>73.47</c:v>
                </c:pt>
                <c:pt idx="287">
                  <c:v>74.260000000000005</c:v>
                </c:pt>
                <c:pt idx="288">
                  <c:v>73.459999999999994</c:v>
                </c:pt>
                <c:pt idx="289">
                  <c:v>74.239999999999995</c:v>
                </c:pt>
                <c:pt idx="290">
                  <c:v>73.510000000000005</c:v>
                </c:pt>
                <c:pt idx="291">
                  <c:v>74.3</c:v>
                </c:pt>
                <c:pt idx="292">
                  <c:v>73.510000000000005</c:v>
                </c:pt>
                <c:pt idx="293">
                  <c:v>74.38</c:v>
                </c:pt>
                <c:pt idx="294">
                  <c:v>73.55</c:v>
                </c:pt>
                <c:pt idx="295">
                  <c:v>74.319999999999993</c:v>
                </c:pt>
                <c:pt idx="296">
                  <c:v>73.569999999999993</c:v>
                </c:pt>
                <c:pt idx="297">
                  <c:v>74.36</c:v>
                </c:pt>
                <c:pt idx="298">
                  <c:v>73.53</c:v>
                </c:pt>
                <c:pt idx="299">
                  <c:v>74.33</c:v>
                </c:pt>
                <c:pt idx="300">
                  <c:v>73.55</c:v>
                </c:pt>
                <c:pt idx="301">
                  <c:v>74.34</c:v>
                </c:pt>
                <c:pt idx="302">
                  <c:v>73.599999999999994</c:v>
                </c:pt>
                <c:pt idx="303">
                  <c:v>74.34</c:v>
                </c:pt>
                <c:pt idx="304">
                  <c:v>73.48</c:v>
                </c:pt>
                <c:pt idx="305">
                  <c:v>74.34</c:v>
                </c:pt>
                <c:pt idx="306">
                  <c:v>73.569999999999993</c:v>
                </c:pt>
                <c:pt idx="307">
                  <c:v>74.349999999999994</c:v>
                </c:pt>
                <c:pt idx="308">
                  <c:v>73.55</c:v>
                </c:pt>
                <c:pt idx="309">
                  <c:v>74.37</c:v>
                </c:pt>
                <c:pt idx="310">
                  <c:v>73.58</c:v>
                </c:pt>
                <c:pt idx="311">
                  <c:v>74.38</c:v>
                </c:pt>
                <c:pt idx="312">
                  <c:v>73.59</c:v>
                </c:pt>
                <c:pt idx="313">
                  <c:v>74.38</c:v>
                </c:pt>
                <c:pt idx="314">
                  <c:v>73.59</c:v>
                </c:pt>
                <c:pt idx="315">
                  <c:v>74.349999999999994</c:v>
                </c:pt>
                <c:pt idx="316">
                  <c:v>73.61</c:v>
                </c:pt>
                <c:pt idx="317">
                  <c:v>74.41</c:v>
                </c:pt>
                <c:pt idx="318">
                  <c:v>73.650000000000006</c:v>
                </c:pt>
                <c:pt idx="319">
                  <c:v>74.37</c:v>
                </c:pt>
                <c:pt idx="320">
                  <c:v>73.64</c:v>
                </c:pt>
                <c:pt idx="321">
                  <c:v>74.38</c:v>
                </c:pt>
                <c:pt idx="322">
                  <c:v>73.599999999999994</c:v>
                </c:pt>
                <c:pt idx="323">
                  <c:v>74.430000000000007</c:v>
                </c:pt>
                <c:pt idx="324">
                  <c:v>73.540000000000006</c:v>
                </c:pt>
                <c:pt idx="325">
                  <c:v>74.42</c:v>
                </c:pt>
                <c:pt idx="326">
                  <c:v>73.62</c:v>
                </c:pt>
                <c:pt idx="327">
                  <c:v>74.400000000000006</c:v>
                </c:pt>
                <c:pt idx="328">
                  <c:v>73.569999999999993</c:v>
                </c:pt>
                <c:pt idx="329">
                  <c:v>74.41</c:v>
                </c:pt>
                <c:pt idx="330">
                  <c:v>73.63</c:v>
                </c:pt>
                <c:pt idx="331">
                  <c:v>74.41</c:v>
                </c:pt>
                <c:pt idx="332">
                  <c:v>73.63</c:v>
                </c:pt>
                <c:pt idx="333">
                  <c:v>74.319999999999993</c:v>
                </c:pt>
                <c:pt idx="334">
                  <c:v>73.64</c:v>
                </c:pt>
                <c:pt idx="335">
                  <c:v>73.790000000000006</c:v>
                </c:pt>
                <c:pt idx="336">
                  <c:v>73.680000000000007</c:v>
                </c:pt>
                <c:pt idx="337">
                  <c:v>73.64</c:v>
                </c:pt>
                <c:pt idx="338">
                  <c:v>73.67</c:v>
                </c:pt>
                <c:pt idx="339">
                  <c:v>73.7</c:v>
                </c:pt>
                <c:pt idx="340">
                  <c:v>73.680000000000007</c:v>
                </c:pt>
                <c:pt idx="341">
                  <c:v>73.72</c:v>
                </c:pt>
                <c:pt idx="342">
                  <c:v>73.709999999999994</c:v>
                </c:pt>
                <c:pt idx="343">
                  <c:v>73.69</c:v>
                </c:pt>
                <c:pt idx="344">
                  <c:v>73.72</c:v>
                </c:pt>
                <c:pt idx="345">
                  <c:v>73.7</c:v>
                </c:pt>
                <c:pt idx="346">
                  <c:v>73.760000000000005</c:v>
                </c:pt>
                <c:pt idx="347">
                  <c:v>73.760000000000005</c:v>
                </c:pt>
                <c:pt idx="348">
                  <c:v>73.78</c:v>
                </c:pt>
                <c:pt idx="349">
                  <c:v>73.84</c:v>
                </c:pt>
                <c:pt idx="350">
                  <c:v>73.81</c:v>
                </c:pt>
                <c:pt idx="351">
                  <c:v>73.83</c:v>
                </c:pt>
                <c:pt idx="352">
                  <c:v>73.84</c:v>
                </c:pt>
                <c:pt idx="353">
                  <c:v>73.84</c:v>
                </c:pt>
                <c:pt idx="354">
                  <c:v>73.86</c:v>
                </c:pt>
                <c:pt idx="355">
                  <c:v>73.88</c:v>
                </c:pt>
                <c:pt idx="356">
                  <c:v>73.86</c:v>
                </c:pt>
                <c:pt idx="357">
                  <c:v>73.84</c:v>
                </c:pt>
                <c:pt idx="358">
                  <c:v>73.89</c:v>
                </c:pt>
                <c:pt idx="359">
                  <c:v>73.900000000000006</c:v>
                </c:pt>
                <c:pt idx="360">
                  <c:v>73.84</c:v>
                </c:pt>
                <c:pt idx="361">
                  <c:v>73.89</c:v>
                </c:pt>
                <c:pt idx="362">
                  <c:v>73.92</c:v>
                </c:pt>
                <c:pt idx="363">
                  <c:v>73.91</c:v>
                </c:pt>
                <c:pt idx="364">
                  <c:v>73.930000000000007</c:v>
                </c:pt>
                <c:pt idx="365">
                  <c:v>73.97</c:v>
                </c:pt>
                <c:pt idx="366">
                  <c:v>73.930000000000007</c:v>
                </c:pt>
                <c:pt idx="367">
                  <c:v>73.959999999999994</c:v>
                </c:pt>
                <c:pt idx="368">
                  <c:v>73.98</c:v>
                </c:pt>
                <c:pt idx="369">
                  <c:v>73.989999999999995</c:v>
                </c:pt>
                <c:pt idx="370">
                  <c:v>73.98</c:v>
                </c:pt>
                <c:pt idx="371">
                  <c:v>73.959999999999994</c:v>
                </c:pt>
                <c:pt idx="372">
                  <c:v>73.98</c:v>
                </c:pt>
                <c:pt idx="373">
                  <c:v>73.98</c:v>
                </c:pt>
                <c:pt idx="374">
                  <c:v>74.010000000000005</c:v>
                </c:pt>
                <c:pt idx="375">
                  <c:v>74</c:v>
                </c:pt>
                <c:pt idx="376">
                  <c:v>74.03</c:v>
                </c:pt>
                <c:pt idx="377">
                  <c:v>74.02</c:v>
                </c:pt>
                <c:pt idx="378">
                  <c:v>74.010000000000005</c:v>
                </c:pt>
                <c:pt idx="379">
                  <c:v>74.040000000000006</c:v>
                </c:pt>
                <c:pt idx="380">
                  <c:v>74</c:v>
                </c:pt>
                <c:pt idx="381">
                  <c:v>74.05</c:v>
                </c:pt>
                <c:pt idx="382">
                  <c:v>73.989999999999995</c:v>
                </c:pt>
                <c:pt idx="383">
                  <c:v>74.02</c:v>
                </c:pt>
                <c:pt idx="384">
                  <c:v>74.02</c:v>
                </c:pt>
                <c:pt idx="385">
                  <c:v>74.010000000000005</c:v>
                </c:pt>
                <c:pt idx="386">
                  <c:v>73.989999999999995</c:v>
                </c:pt>
                <c:pt idx="387">
                  <c:v>74.02</c:v>
                </c:pt>
                <c:pt idx="388">
                  <c:v>74.010000000000005</c:v>
                </c:pt>
                <c:pt idx="389">
                  <c:v>74.010000000000005</c:v>
                </c:pt>
                <c:pt idx="390">
                  <c:v>74.010000000000005</c:v>
                </c:pt>
                <c:pt idx="391">
                  <c:v>73.989999999999995</c:v>
                </c:pt>
                <c:pt idx="392">
                  <c:v>74.05</c:v>
                </c:pt>
                <c:pt idx="393">
                  <c:v>74.08</c:v>
                </c:pt>
                <c:pt idx="394">
                  <c:v>73.98</c:v>
                </c:pt>
                <c:pt idx="395">
                  <c:v>74.05</c:v>
                </c:pt>
                <c:pt idx="396">
                  <c:v>74.02</c:v>
                </c:pt>
                <c:pt idx="397">
                  <c:v>74.08</c:v>
                </c:pt>
                <c:pt idx="398">
                  <c:v>74.12</c:v>
                </c:pt>
                <c:pt idx="399">
                  <c:v>74.06</c:v>
                </c:pt>
                <c:pt idx="400">
                  <c:v>74.099999999999994</c:v>
                </c:pt>
                <c:pt idx="401">
                  <c:v>74.12</c:v>
                </c:pt>
                <c:pt idx="402">
                  <c:v>74.010000000000005</c:v>
                </c:pt>
                <c:pt idx="403">
                  <c:v>74.13</c:v>
                </c:pt>
                <c:pt idx="404">
                  <c:v>74.099999999999994</c:v>
                </c:pt>
                <c:pt idx="405">
                  <c:v>74.11</c:v>
                </c:pt>
                <c:pt idx="406">
                  <c:v>74.13</c:v>
                </c:pt>
                <c:pt idx="407">
                  <c:v>74.099999999999994</c:v>
                </c:pt>
                <c:pt idx="408">
                  <c:v>74.13</c:v>
                </c:pt>
                <c:pt idx="409">
                  <c:v>74.069999999999993</c:v>
                </c:pt>
                <c:pt idx="410">
                  <c:v>74.22</c:v>
                </c:pt>
                <c:pt idx="411">
                  <c:v>74.14</c:v>
                </c:pt>
                <c:pt idx="412">
                  <c:v>74.209999999999994</c:v>
                </c:pt>
                <c:pt idx="413">
                  <c:v>74.14</c:v>
                </c:pt>
                <c:pt idx="414">
                  <c:v>74.12</c:v>
                </c:pt>
                <c:pt idx="415">
                  <c:v>74.180000000000007</c:v>
                </c:pt>
                <c:pt idx="416">
                  <c:v>74.16</c:v>
                </c:pt>
                <c:pt idx="417">
                  <c:v>74.19</c:v>
                </c:pt>
                <c:pt idx="418">
                  <c:v>74.17</c:v>
                </c:pt>
                <c:pt idx="419">
                  <c:v>74.12</c:v>
                </c:pt>
                <c:pt idx="420">
                  <c:v>74.17</c:v>
                </c:pt>
                <c:pt idx="421">
                  <c:v>74.180000000000007</c:v>
                </c:pt>
                <c:pt idx="422">
                  <c:v>74.13</c:v>
                </c:pt>
                <c:pt idx="423">
                  <c:v>74.209999999999994</c:v>
                </c:pt>
                <c:pt idx="424">
                  <c:v>74.150000000000006</c:v>
                </c:pt>
                <c:pt idx="425">
                  <c:v>74.180000000000007</c:v>
                </c:pt>
                <c:pt idx="426">
                  <c:v>74.180000000000007</c:v>
                </c:pt>
                <c:pt idx="427">
                  <c:v>74.180000000000007</c:v>
                </c:pt>
                <c:pt idx="428">
                  <c:v>74.12</c:v>
                </c:pt>
                <c:pt idx="429">
                  <c:v>74.13</c:v>
                </c:pt>
                <c:pt idx="430">
                  <c:v>74.17</c:v>
                </c:pt>
                <c:pt idx="431">
                  <c:v>74.16</c:v>
                </c:pt>
                <c:pt idx="432">
                  <c:v>74.2</c:v>
                </c:pt>
                <c:pt idx="433">
                  <c:v>74.12</c:v>
                </c:pt>
                <c:pt idx="434">
                  <c:v>74.150000000000006</c:v>
                </c:pt>
                <c:pt idx="435">
                  <c:v>74.14</c:v>
                </c:pt>
                <c:pt idx="436">
                  <c:v>74.11</c:v>
                </c:pt>
                <c:pt idx="437">
                  <c:v>74.09</c:v>
                </c:pt>
                <c:pt idx="438">
                  <c:v>74.069999999999993</c:v>
                </c:pt>
                <c:pt idx="439">
                  <c:v>74.17</c:v>
                </c:pt>
                <c:pt idx="440">
                  <c:v>74.06</c:v>
                </c:pt>
                <c:pt idx="441">
                  <c:v>74.09</c:v>
                </c:pt>
                <c:pt idx="442">
                  <c:v>74.09</c:v>
                </c:pt>
                <c:pt idx="443">
                  <c:v>74.069999999999993</c:v>
                </c:pt>
                <c:pt idx="444">
                  <c:v>74.08</c:v>
                </c:pt>
                <c:pt idx="445">
                  <c:v>74.12</c:v>
                </c:pt>
                <c:pt idx="446">
                  <c:v>74.069999999999993</c:v>
                </c:pt>
                <c:pt idx="447">
                  <c:v>74.11</c:v>
                </c:pt>
                <c:pt idx="448">
                  <c:v>74.06</c:v>
                </c:pt>
                <c:pt idx="449">
                  <c:v>74.11</c:v>
                </c:pt>
                <c:pt idx="450">
                  <c:v>74.05</c:v>
                </c:pt>
                <c:pt idx="451">
                  <c:v>74.180000000000007</c:v>
                </c:pt>
                <c:pt idx="452">
                  <c:v>74.05</c:v>
                </c:pt>
                <c:pt idx="453">
                  <c:v>74.13</c:v>
                </c:pt>
                <c:pt idx="454">
                  <c:v>74.09</c:v>
                </c:pt>
                <c:pt idx="455">
                  <c:v>74.14</c:v>
                </c:pt>
                <c:pt idx="456">
                  <c:v>74.099999999999994</c:v>
                </c:pt>
                <c:pt idx="457">
                  <c:v>74.13</c:v>
                </c:pt>
                <c:pt idx="458">
                  <c:v>74.06</c:v>
                </c:pt>
                <c:pt idx="459">
                  <c:v>74.14</c:v>
                </c:pt>
                <c:pt idx="460">
                  <c:v>74.099999999999994</c:v>
                </c:pt>
                <c:pt idx="461">
                  <c:v>74.13</c:v>
                </c:pt>
                <c:pt idx="462">
                  <c:v>74.14</c:v>
                </c:pt>
                <c:pt idx="463">
                  <c:v>74.150000000000006</c:v>
                </c:pt>
                <c:pt idx="464">
                  <c:v>74.12</c:v>
                </c:pt>
                <c:pt idx="465">
                  <c:v>74.11</c:v>
                </c:pt>
                <c:pt idx="466">
                  <c:v>74.180000000000007</c:v>
                </c:pt>
                <c:pt idx="467">
                  <c:v>74.14</c:v>
                </c:pt>
                <c:pt idx="468">
                  <c:v>74.16</c:v>
                </c:pt>
                <c:pt idx="469">
                  <c:v>74.180000000000007</c:v>
                </c:pt>
                <c:pt idx="470">
                  <c:v>74.17</c:v>
                </c:pt>
                <c:pt idx="471">
                  <c:v>74.22</c:v>
                </c:pt>
                <c:pt idx="472">
                  <c:v>74.17</c:v>
                </c:pt>
                <c:pt idx="473">
                  <c:v>74.180000000000007</c:v>
                </c:pt>
                <c:pt idx="474">
                  <c:v>74.23</c:v>
                </c:pt>
                <c:pt idx="475">
                  <c:v>74.17</c:v>
                </c:pt>
                <c:pt idx="476">
                  <c:v>74.17</c:v>
                </c:pt>
                <c:pt idx="477">
                  <c:v>74.180000000000007</c:v>
                </c:pt>
                <c:pt idx="478">
                  <c:v>74.150000000000006</c:v>
                </c:pt>
                <c:pt idx="479">
                  <c:v>74.150000000000006</c:v>
                </c:pt>
                <c:pt idx="480">
                  <c:v>74.13</c:v>
                </c:pt>
                <c:pt idx="481">
                  <c:v>74.12</c:v>
                </c:pt>
                <c:pt idx="482">
                  <c:v>74.09</c:v>
                </c:pt>
                <c:pt idx="483">
                  <c:v>74.180000000000007</c:v>
                </c:pt>
                <c:pt idx="484">
                  <c:v>74.12</c:v>
                </c:pt>
                <c:pt idx="485">
                  <c:v>74.16</c:v>
                </c:pt>
                <c:pt idx="486">
                  <c:v>74.150000000000006</c:v>
                </c:pt>
                <c:pt idx="487">
                  <c:v>74.09</c:v>
                </c:pt>
                <c:pt idx="488">
                  <c:v>74.09</c:v>
                </c:pt>
                <c:pt idx="489">
                  <c:v>74.09</c:v>
                </c:pt>
                <c:pt idx="490">
                  <c:v>74.05</c:v>
                </c:pt>
                <c:pt idx="491">
                  <c:v>74.09</c:v>
                </c:pt>
                <c:pt idx="492">
                  <c:v>74.06</c:v>
                </c:pt>
                <c:pt idx="493">
                  <c:v>74.06</c:v>
                </c:pt>
                <c:pt idx="494">
                  <c:v>74.03</c:v>
                </c:pt>
                <c:pt idx="495">
                  <c:v>73.959999999999994</c:v>
                </c:pt>
                <c:pt idx="496">
                  <c:v>74.069999999999993</c:v>
                </c:pt>
                <c:pt idx="497">
                  <c:v>74.08</c:v>
                </c:pt>
                <c:pt idx="498">
                  <c:v>74.05</c:v>
                </c:pt>
                <c:pt idx="499">
                  <c:v>74.08</c:v>
                </c:pt>
                <c:pt idx="500">
                  <c:v>74.06</c:v>
                </c:pt>
                <c:pt idx="501">
                  <c:v>74.06</c:v>
                </c:pt>
                <c:pt idx="502">
                  <c:v>74.08</c:v>
                </c:pt>
                <c:pt idx="503">
                  <c:v>74.06</c:v>
                </c:pt>
                <c:pt idx="504">
                  <c:v>74.069999999999993</c:v>
                </c:pt>
                <c:pt idx="505">
                  <c:v>74.14</c:v>
                </c:pt>
                <c:pt idx="506">
                  <c:v>74.02</c:v>
                </c:pt>
                <c:pt idx="507">
                  <c:v>74.09</c:v>
                </c:pt>
                <c:pt idx="508">
                  <c:v>74.069999999999993</c:v>
                </c:pt>
                <c:pt idx="509">
                  <c:v>74.069999999999993</c:v>
                </c:pt>
                <c:pt idx="510">
                  <c:v>74.14</c:v>
                </c:pt>
                <c:pt idx="511">
                  <c:v>74.03</c:v>
                </c:pt>
                <c:pt idx="512">
                  <c:v>74.08</c:v>
                </c:pt>
                <c:pt idx="513">
                  <c:v>73.98</c:v>
                </c:pt>
                <c:pt idx="514">
                  <c:v>74.05</c:v>
                </c:pt>
                <c:pt idx="515">
                  <c:v>74.040000000000006</c:v>
                </c:pt>
                <c:pt idx="516">
                  <c:v>74.069999999999993</c:v>
                </c:pt>
                <c:pt idx="517">
                  <c:v>74.13</c:v>
                </c:pt>
                <c:pt idx="518">
                  <c:v>74.16</c:v>
                </c:pt>
                <c:pt idx="519">
                  <c:v>74.23</c:v>
                </c:pt>
                <c:pt idx="520">
                  <c:v>74.34</c:v>
                </c:pt>
                <c:pt idx="521">
                  <c:v>74.48</c:v>
                </c:pt>
                <c:pt idx="522">
                  <c:v>74.5</c:v>
                </c:pt>
                <c:pt idx="523">
                  <c:v>74.55</c:v>
                </c:pt>
                <c:pt idx="524">
                  <c:v>74.599999999999994</c:v>
                </c:pt>
                <c:pt idx="525">
                  <c:v>74.59</c:v>
                </c:pt>
                <c:pt idx="526">
                  <c:v>74.59</c:v>
                </c:pt>
                <c:pt idx="527">
                  <c:v>74.56</c:v>
                </c:pt>
                <c:pt idx="528">
                  <c:v>74.53</c:v>
                </c:pt>
                <c:pt idx="529">
                  <c:v>74.53</c:v>
                </c:pt>
                <c:pt idx="530">
                  <c:v>74.540000000000006</c:v>
                </c:pt>
                <c:pt idx="531">
                  <c:v>74.55</c:v>
                </c:pt>
                <c:pt idx="532">
                  <c:v>74.459999999999994</c:v>
                </c:pt>
                <c:pt idx="533">
                  <c:v>74.510000000000005</c:v>
                </c:pt>
                <c:pt idx="534">
                  <c:v>74.48</c:v>
                </c:pt>
                <c:pt idx="535">
                  <c:v>74.44</c:v>
                </c:pt>
                <c:pt idx="536">
                  <c:v>74.47</c:v>
                </c:pt>
                <c:pt idx="537">
                  <c:v>74.42</c:v>
                </c:pt>
                <c:pt idx="538">
                  <c:v>74.42</c:v>
                </c:pt>
                <c:pt idx="539">
                  <c:v>74.349999999999994</c:v>
                </c:pt>
                <c:pt idx="540">
                  <c:v>74.47</c:v>
                </c:pt>
                <c:pt idx="541">
                  <c:v>74.38</c:v>
                </c:pt>
                <c:pt idx="542">
                  <c:v>74.33</c:v>
                </c:pt>
                <c:pt idx="543">
                  <c:v>74.39</c:v>
                </c:pt>
                <c:pt idx="544">
                  <c:v>74.36</c:v>
                </c:pt>
                <c:pt idx="545">
                  <c:v>74.349999999999994</c:v>
                </c:pt>
                <c:pt idx="546">
                  <c:v>74.349999999999994</c:v>
                </c:pt>
                <c:pt idx="547">
                  <c:v>74.38</c:v>
                </c:pt>
                <c:pt idx="548">
                  <c:v>74.3</c:v>
                </c:pt>
                <c:pt idx="549">
                  <c:v>74.319999999999993</c:v>
                </c:pt>
                <c:pt idx="550">
                  <c:v>74.34</c:v>
                </c:pt>
                <c:pt idx="551">
                  <c:v>74.260000000000005</c:v>
                </c:pt>
                <c:pt idx="552">
                  <c:v>74.27</c:v>
                </c:pt>
                <c:pt idx="553">
                  <c:v>74.180000000000007</c:v>
                </c:pt>
                <c:pt idx="554">
                  <c:v>74.34</c:v>
                </c:pt>
                <c:pt idx="555">
                  <c:v>74.23</c:v>
                </c:pt>
                <c:pt idx="556">
                  <c:v>74.260000000000005</c:v>
                </c:pt>
                <c:pt idx="557">
                  <c:v>74.22</c:v>
                </c:pt>
                <c:pt idx="558">
                  <c:v>74.22</c:v>
                </c:pt>
                <c:pt idx="559">
                  <c:v>74.23</c:v>
                </c:pt>
                <c:pt idx="560">
                  <c:v>74.19</c:v>
                </c:pt>
                <c:pt idx="561">
                  <c:v>74.209999999999994</c:v>
                </c:pt>
                <c:pt idx="562">
                  <c:v>74.22</c:v>
                </c:pt>
                <c:pt idx="563">
                  <c:v>74.180000000000007</c:v>
                </c:pt>
                <c:pt idx="564">
                  <c:v>74.13</c:v>
                </c:pt>
                <c:pt idx="565">
                  <c:v>74.17</c:v>
                </c:pt>
                <c:pt idx="566">
                  <c:v>74.09</c:v>
                </c:pt>
                <c:pt idx="567">
                  <c:v>74.12</c:v>
                </c:pt>
                <c:pt idx="568">
                  <c:v>74.05</c:v>
                </c:pt>
                <c:pt idx="569">
                  <c:v>74.16</c:v>
                </c:pt>
                <c:pt idx="570">
                  <c:v>74.13</c:v>
                </c:pt>
                <c:pt idx="571">
                  <c:v>74.13</c:v>
                </c:pt>
                <c:pt idx="572">
                  <c:v>74.11</c:v>
                </c:pt>
                <c:pt idx="573">
                  <c:v>74.13</c:v>
                </c:pt>
                <c:pt idx="574">
                  <c:v>74.040000000000006</c:v>
                </c:pt>
                <c:pt idx="575">
                  <c:v>74.040000000000006</c:v>
                </c:pt>
                <c:pt idx="576">
                  <c:v>74.12</c:v>
                </c:pt>
                <c:pt idx="577">
                  <c:v>74.13</c:v>
                </c:pt>
                <c:pt idx="578">
                  <c:v>74.05</c:v>
                </c:pt>
                <c:pt idx="579">
                  <c:v>74.05</c:v>
                </c:pt>
                <c:pt idx="580">
                  <c:v>74.05</c:v>
                </c:pt>
                <c:pt idx="581">
                  <c:v>74.02</c:v>
                </c:pt>
                <c:pt idx="582">
                  <c:v>74.05</c:v>
                </c:pt>
                <c:pt idx="583">
                  <c:v>73.959999999999994</c:v>
                </c:pt>
                <c:pt idx="584">
                  <c:v>74.02</c:v>
                </c:pt>
                <c:pt idx="585">
                  <c:v>73.97</c:v>
                </c:pt>
                <c:pt idx="586">
                  <c:v>73.94</c:v>
                </c:pt>
                <c:pt idx="587">
                  <c:v>73.989999999999995</c:v>
                </c:pt>
                <c:pt idx="588">
                  <c:v>73.97</c:v>
                </c:pt>
                <c:pt idx="589">
                  <c:v>73.98</c:v>
                </c:pt>
                <c:pt idx="590">
                  <c:v>73.959999999999994</c:v>
                </c:pt>
                <c:pt idx="591">
                  <c:v>73.959999999999994</c:v>
                </c:pt>
                <c:pt idx="592">
                  <c:v>73.98</c:v>
                </c:pt>
                <c:pt idx="593">
                  <c:v>73.959999999999994</c:v>
                </c:pt>
                <c:pt idx="594">
                  <c:v>73.930000000000007</c:v>
                </c:pt>
                <c:pt idx="595">
                  <c:v>73.97</c:v>
                </c:pt>
                <c:pt idx="596">
                  <c:v>74.040000000000006</c:v>
                </c:pt>
                <c:pt idx="597">
                  <c:v>73.930000000000007</c:v>
                </c:pt>
                <c:pt idx="598">
                  <c:v>73.92</c:v>
                </c:pt>
                <c:pt idx="599">
                  <c:v>73.92</c:v>
                </c:pt>
                <c:pt idx="600">
                  <c:v>73.88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D9-4406-8EF5-287246538208}"/>
            </c:ext>
          </c:extLst>
        </c:ser>
        <c:ser>
          <c:idx val="1"/>
          <c:order val="1"/>
          <c:tx>
            <c:strRef>
              <c:f>'74'!$S$1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'74'!$Q$2:$Q$602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'74'!$S$2:$S$602</c:f>
              <c:numCache>
                <c:formatCode>General</c:formatCode>
                <c:ptCount val="601"/>
                <c:pt idx="0">
                  <c:v>74</c:v>
                </c:pt>
                <c:pt idx="1">
                  <c:v>74</c:v>
                </c:pt>
                <c:pt idx="2">
                  <c:v>74</c:v>
                </c:pt>
                <c:pt idx="3">
                  <c:v>74</c:v>
                </c:pt>
                <c:pt idx="4">
                  <c:v>74</c:v>
                </c:pt>
                <c:pt idx="5">
                  <c:v>74</c:v>
                </c:pt>
                <c:pt idx="6">
                  <c:v>74</c:v>
                </c:pt>
                <c:pt idx="7">
                  <c:v>74</c:v>
                </c:pt>
                <c:pt idx="8">
                  <c:v>74</c:v>
                </c:pt>
                <c:pt idx="9">
                  <c:v>74</c:v>
                </c:pt>
                <c:pt idx="10">
                  <c:v>74</c:v>
                </c:pt>
                <c:pt idx="11">
                  <c:v>74</c:v>
                </c:pt>
                <c:pt idx="12">
                  <c:v>74</c:v>
                </c:pt>
                <c:pt idx="13">
                  <c:v>74</c:v>
                </c:pt>
                <c:pt idx="14">
                  <c:v>74</c:v>
                </c:pt>
                <c:pt idx="15">
                  <c:v>74</c:v>
                </c:pt>
                <c:pt idx="16">
                  <c:v>74</c:v>
                </c:pt>
                <c:pt idx="17">
                  <c:v>74</c:v>
                </c:pt>
                <c:pt idx="18">
                  <c:v>74</c:v>
                </c:pt>
                <c:pt idx="19">
                  <c:v>74</c:v>
                </c:pt>
                <c:pt idx="20">
                  <c:v>74</c:v>
                </c:pt>
                <c:pt idx="21">
                  <c:v>74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74</c:v>
                </c:pt>
                <c:pt idx="28">
                  <c:v>74</c:v>
                </c:pt>
                <c:pt idx="29">
                  <c:v>74</c:v>
                </c:pt>
                <c:pt idx="30">
                  <c:v>74</c:v>
                </c:pt>
                <c:pt idx="31">
                  <c:v>74</c:v>
                </c:pt>
                <c:pt idx="32">
                  <c:v>74</c:v>
                </c:pt>
                <c:pt idx="33">
                  <c:v>74</c:v>
                </c:pt>
                <c:pt idx="34">
                  <c:v>74</c:v>
                </c:pt>
                <c:pt idx="35">
                  <c:v>74</c:v>
                </c:pt>
                <c:pt idx="36">
                  <c:v>74</c:v>
                </c:pt>
                <c:pt idx="37">
                  <c:v>74</c:v>
                </c:pt>
                <c:pt idx="38">
                  <c:v>74</c:v>
                </c:pt>
                <c:pt idx="39">
                  <c:v>74</c:v>
                </c:pt>
                <c:pt idx="40">
                  <c:v>74</c:v>
                </c:pt>
                <c:pt idx="41">
                  <c:v>74</c:v>
                </c:pt>
                <c:pt idx="42">
                  <c:v>74</c:v>
                </c:pt>
                <c:pt idx="43">
                  <c:v>74</c:v>
                </c:pt>
                <c:pt idx="44">
                  <c:v>74</c:v>
                </c:pt>
                <c:pt idx="45">
                  <c:v>74</c:v>
                </c:pt>
                <c:pt idx="46">
                  <c:v>74</c:v>
                </c:pt>
                <c:pt idx="47">
                  <c:v>74</c:v>
                </c:pt>
                <c:pt idx="48">
                  <c:v>74</c:v>
                </c:pt>
                <c:pt idx="49">
                  <c:v>74</c:v>
                </c:pt>
                <c:pt idx="50">
                  <c:v>74</c:v>
                </c:pt>
                <c:pt idx="51">
                  <c:v>74</c:v>
                </c:pt>
                <c:pt idx="52">
                  <c:v>74</c:v>
                </c:pt>
                <c:pt idx="53">
                  <c:v>74</c:v>
                </c:pt>
                <c:pt idx="54">
                  <c:v>74</c:v>
                </c:pt>
                <c:pt idx="55">
                  <c:v>74</c:v>
                </c:pt>
                <c:pt idx="56">
                  <c:v>74</c:v>
                </c:pt>
                <c:pt idx="57">
                  <c:v>74</c:v>
                </c:pt>
                <c:pt idx="58">
                  <c:v>74</c:v>
                </c:pt>
                <c:pt idx="59">
                  <c:v>74</c:v>
                </c:pt>
                <c:pt idx="60">
                  <c:v>74</c:v>
                </c:pt>
                <c:pt idx="61">
                  <c:v>74</c:v>
                </c:pt>
                <c:pt idx="62">
                  <c:v>74</c:v>
                </c:pt>
                <c:pt idx="63">
                  <c:v>74</c:v>
                </c:pt>
                <c:pt idx="64">
                  <c:v>74</c:v>
                </c:pt>
                <c:pt idx="65">
                  <c:v>74</c:v>
                </c:pt>
                <c:pt idx="66">
                  <c:v>74</c:v>
                </c:pt>
                <c:pt idx="67">
                  <c:v>74</c:v>
                </c:pt>
                <c:pt idx="68">
                  <c:v>74</c:v>
                </c:pt>
                <c:pt idx="69">
                  <c:v>74</c:v>
                </c:pt>
                <c:pt idx="70">
                  <c:v>74</c:v>
                </c:pt>
                <c:pt idx="71">
                  <c:v>74</c:v>
                </c:pt>
                <c:pt idx="72">
                  <c:v>74</c:v>
                </c:pt>
                <c:pt idx="73">
                  <c:v>74</c:v>
                </c:pt>
                <c:pt idx="74">
                  <c:v>74</c:v>
                </c:pt>
                <c:pt idx="75">
                  <c:v>74</c:v>
                </c:pt>
                <c:pt idx="76">
                  <c:v>74</c:v>
                </c:pt>
                <c:pt idx="77">
                  <c:v>74</c:v>
                </c:pt>
                <c:pt idx="78">
                  <c:v>74</c:v>
                </c:pt>
                <c:pt idx="79">
                  <c:v>74</c:v>
                </c:pt>
                <c:pt idx="80">
                  <c:v>74</c:v>
                </c:pt>
                <c:pt idx="81">
                  <c:v>74</c:v>
                </c:pt>
                <c:pt idx="82">
                  <c:v>74</c:v>
                </c:pt>
                <c:pt idx="83">
                  <c:v>74</c:v>
                </c:pt>
                <c:pt idx="84">
                  <c:v>74</c:v>
                </c:pt>
                <c:pt idx="85">
                  <c:v>74</c:v>
                </c:pt>
                <c:pt idx="86">
                  <c:v>74</c:v>
                </c:pt>
                <c:pt idx="87">
                  <c:v>74</c:v>
                </c:pt>
                <c:pt idx="88">
                  <c:v>74</c:v>
                </c:pt>
                <c:pt idx="89">
                  <c:v>74</c:v>
                </c:pt>
                <c:pt idx="90">
                  <c:v>74</c:v>
                </c:pt>
                <c:pt idx="91">
                  <c:v>74</c:v>
                </c:pt>
                <c:pt idx="92">
                  <c:v>74</c:v>
                </c:pt>
                <c:pt idx="93">
                  <c:v>74</c:v>
                </c:pt>
                <c:pt idx="94">
                  <c:v>74</c:v>
                </c:pt>
                <c:pt idx="95">
                  <c:v>74</c:v>
                </c:pt>
                <c:pt idx="96">
                  <c:v>74</c:v>
                </c:pt>
                <c:pt idx="97">
                  <c:v>74</c:v>
                </c:pt>
                <c:pt idx="98">
                  <c:v>74</c:v>
                </c:pt>
                <c:pt idx="99">
                  <c:v>74</c:v>
                </c:pt>
                <c:pt idx="100">
                  <c:v>74</c:v>
                </c:pt>
                <c:pt idx="101">
                  <c:v>74</c:v>
                </c:pt>
                <c:pt idx="102">
                  <c:v>74</c:v>
                </c:pt>
                <c:pt idx="103">
                  <c:v>74</c:v>
                </c:pt>
                <c:pt idx="104">
                  <c:v>74</c:v>
                </c:pt>
                <c:pt idx="105">
                  <c:v>74</c:v>
                </c:pt>
                <c:pt idx="106">
                  <c:v>74</c:v>
                </c:pt>
                <c:pt idx="107">
                  <c:v>74</c:v>
                </c:pt>
                <c:pt idx="108">
                  <c:v>74</c:v>
                </c:pt>
                <c:pt idx="109">
                  <c:v>74</c:v>
                </c:pt>
                <c:pt idx="110">
                  <c:v>74</c:v>
                </c:pt>
                <c:pt idx="111">
                  <c:v>74</c:v>
                </c:pt>
                <c:pt idx="112">
                  <c:v>74</c:v>
                </c:pt>
                <c:pt idx="113">
                  <c:v>74</c:v>
                </c:pt>
                <c:pt idx="114">
                  <c:v>74</c:v>
                </c:pt>
                <c:pt idx="115">
                  <c:v>74</c:v>
                </c:pt>
                <c:pt idx="116">
                  <c:v>74</c:v>
                </c:pt>
                <c:pt idx="117">
                  <c:v>74</c:v>
                </c:pt>
                <c:pt idx="118">
                  <c:v>74</c:v>
                </c:pt>
                <c:pt idx="119">
                  <c:v>74</c:v>
                </c:pt>
                <c:pt idx="120">
                  <c:v>74</c:v>
                </c:pt>
                <c:pt idx="121">
                  <c:v>74</c:v>
                </c:pt>
                <c:pt idx="122">
                  <c:v>74</c:v>
                </c:pt>
                <c:pt idx="123">
                  <c:v>74</c:v>
                </c:pt>
                <c:pt idx="124">
                  <c:v>74</c:v>
                </c:pt>
                <c:pt idx="125">
                  <c:v>74</c:v>
                </c:pt>
                <c:pt idx="126">
                  <c:v>74</c:v>
                </c:pt>
                <c:pt idx="127">
                  <c:v>74</c:v>
                </c:pt>
                <c:pt idx="128">
                  <c:v>74</c:v>
                </c:pt>
                <c:pt idx="129">
                  <c:v>74</c:v>
                </c:pt>
                <c:pt idx="130">
                  <c:v>74</c:v>
                </c:pt>
                <c:pt idx="131">
                  <c:v>74</c:v>
                </c:pt>
                <c:pt idx="132">
                  <c:v>74</c:v>
                </c:pt>
                <c:pt idx="133">
                  <c:v>74</c:v>
                </c:pt>
                <c:pt idx="134">
                  <c:v>74</c:v>
                </c:pt>
                <c:pt idx="135">
                  <c:v>74</c:v>
                </c:pt>
                <c:pt idx="136">
                  <c:v>74</c:v>
                </c:pt>
                <c:pt idx="137">
                  <c:v>74</c:v>
                </c:pt>
                <c:pt idx="138">
                  <c:v>74</c:v>
                </c:pt>
                <c:pt idx="139">
                  <c:v>74</c:v>
                </c:pt>
                <c:pt idx="140">
                  <c:v>74</c:v>
                </c:pt>
                <c:pt idx="141">
                  <c:v>74</c:v>
                </c:pt>
                <c:pt idx="142">
                  <c:v>74</c:v>
                </c:pt>
                <c:pt idx="143">
                  <c:v>74</c:v>
                </c:pt>
                <c:pt idx="144">
                  <c:v>74</c:v>
                </c:pt>
                <c:pt idx="145">
                  <c:v>74</c:v>
                </c:pt>
                <c:pt idx="146">
                  <c:v>74</c:v>
                </c:pt>
                <c:pt idx="147">
                  <c:v>74</c:v>
                </c:pt>
                <c:pt idx="148">
                  <c:v>74</c:v>
                </c:pt>
                <c:pt idx="149">
                  <c:v>74</c:v>
                </c:pt>
                <c:pt idx="150">
                  <c:v>74</c:v>
                </c:pt>
                <c:pt idx="151">
                  <c:v>74</c:v>
                </c:pt>
                <c:pt idx="152">
                  <c:v>74</c:v>
                </c:pt>
                <c:pt idx="153">
                  <c:v>74</c:v>
                </c:pt>
                <c:pt idx="154">
                  <c:v>74</c:v>
                </c:pt>
                <c:pt idx="155">
                  <c:v>74</c:v>
                </c:pt>
                <c:pt idx="156">
                  <c:v>74</c:v>
                </c:pt>
                <c:pt idx="157">
                  <c:v>74</c:v>
                </c:pt>
                <c:pt idx="158">
                  <c:v>74</c:v>
                </c:pt>
                <c:pt idx="159">
                  <c:v>74</c:v>
                </c:pt>
                <c:pt idx="160">
                  <c:v>74</c:v>
                </c:pt>
                <c:pt idx="161">
                  <c:v>74</c:v>
                </c:pt>
                <c:pt idx="162">
                  <c:v>74</c:v>
                </c:pt>
                <c:pt idx="163">
                  <c:v>74</c:v>
                </c:pt>
                <c:pt idx="164">
                  <c:v>74</c:v>
                </c:pt>
                <c:pt idx="165">
                  <c:v>74</c:v>
                </c:pt>
                <c:pt idx="166">
                  <c:v>74</c:v>
                </c:pt>
                <c:pt idx="167">
                  <c:v>74</c:v>
                </c:pt>
                <c:pt idx="168">
                  <c:v>74</c:v>
                </c:pt>
                <c:pt idx="169">
                  <c:v>74</c:v>
                </c:pt>
                <c:pt idx="170">
                  <c:v>74</c:v>
                </c:pt>
                <c:pt idx="171">
                  <c:v>74</c:v>
                </c:pt>
                <c:pt idx="172">
                  <c:v>74</c:v>
                </c:pt>
                <c:pt idx="173">
                  <c:v>74</c:v>
                </c:pt>
                <c:pt idx="174">
                  <c:v>74</c:v>
                </c:pt>
                <c:pt idx="175">
                  <c:v>74</c:v>
                </c:pt>
                <c:pt idx="176">
                  <c:v>74</c:v>
                </c:pt>
                <c:pt idx="177">
                  <c:v>74</c:v>
                </c:pt>
                <c:pt idx="178">
                  <c:v>74</c:v>
                </c:pt>
                <c:pt idx="179">
                  <c:v>74</c:v>
                </c:pt>
                <c:pt idx="180">
                  <c:v>74</c:v>
                </c:pt>
                <c:pt idx="181">
                  <c:v>74</c:v>
                </c:pt>
                <c:pt idx="182">
                  <c:v>74</c:v>
                </c:pt>
                <c:pt idx="183">
                  <c:v>74</c:v>
                </c:pt>
                <c:pt idx="184">
                  <c:v>74</c:v>
                </c:pt>
                <c:pt idx="185">
                  <c:v>74</c:v>
                </c:pt>
                <c:pt idx="186">
                  <c:v>74</c:v>
                </c:pt>
                <c:pt idx="187">
                  <c:v>74</c:v>
                </c:pt>
                <c:pt idx="188">
                  <c:v>74</c:v>
                </c:pt>
                <c:pt idx="189">
                  <c:v>74</c:v>
                </c:pt>
                <c:pt idx="190">
                  <c:v>74</c:v>
                </c:pt>
                <c:pt idx="191">
                  <c:v>74</c:v>
                </c:pt>
                <c:pt idx="192">
                  <c:v>74</c:v>
                </c:pt>
                <c:pt idx="193">
                  <c:v>74</c:v>
                </c:pt>
                <c:pt idx="194">
                  <c:v>74</c:v>
                </c:pt>
                <c:pt idx="195">
                  <c:v>74</c:v>
                </c:pt>
                <c:pt idx="196">
                  <c:v>74</c:v>
                </c:pt>
                <c:pt idx="197">
                  <c:v>74</c:v>
                </c:pt>
                <c:pt idx="198">
                  <c:v>74</c:v>
                </c:pt>
                <c:pt idx="199">
                  <c:v>74</c:v>
                </c:pt>
                <c:pt idx="200">
                  <c:v>74</c:v>
                </c:pt>
                <c:pt idx="201">
                  <c:v>74</c:v>
                </c:pt>
                <c:pt idx="202">
                  <c:v>74</c:v>
                </c:pt>
                <c:pt idx="203">
                  <c:v>74</c:v>
                </c:pt>
                <c:pt idx="204">
                  <c:v>74</c:v>
                </c:pt>
                <c:pt idx="205">
                  <c:v>74</c:v>
                </c:pt>
                <c:pt idx="206">
                  <c:v>74</c:v>
                </c:pt>
                <c:pt idx="207">
                  <c:v>74</c:v>
                </c:pt>
                <c:pt idx="208">
                  <c:v>74</c:v>
                </c:pt>
                <c:pt idx="209">
                  <c:v>74</c:v>
                </c:pt>
                <c:pt idx="210">
                  <c:v>74</c:v>
                </c:pt>
                <c:pt idx="211">
                  <c:v>74</c:v>
                </c:pt>
                <c:pt idx="212">
                  <c:v>74</c:v>
                </c:pt>
                <c:pt idx="213">
                  <c:v>74</c:v>
                </c:pt>
                <c:pt idx="214">
                  <c:v>74</c:v>
                </c:pt>
                <c:pt idx="215">
                  <c:v>74</c:v>
                </c:pt>
                <c:pt idx="216">
                  <c:v>74</c:v>
                </c:pt>
                <c:pt idx="217">
                  <c:v>74</c:v>
                </c:pt>
                <c:pt idx="218">
                  <c:v>74</c:v>
                </c:pt>
                <c:pt idx="219">
                  <c:v>74</c:v>
                </c:pt>
                <c:pt idx="220">
                  <c:v>74</c:v>
                </c:pt>
                <c:pt idx="221">
                  <c:v>74</c:v>
                </c:pt>
                <c:pt idx="222">
                  <c:v>74</c:v>
                </c:pt>
                <c:pt idx="223">
                  <c:v>74</c:v>
                </c:pt>
                <c:pt idx="224">
                  <c:v>74</c:v>
                </c:pt>
                <c:pt idx="225">
                  <c:v>74</c:v>
                </c:pt>
                <c:pt idx="226">
                  <c:v>74</c:v>
                </c:pt>
                <c:pt idx="227">
                  <c:v>74</c:v>
                </c:pt>
                <c:pt idx="228">
                  <c:v>74</c:v>
                </c:pt>
                <c:pt idx="229">
                  <c:v>74</c:v>
                </c:pt>
                <c:pt idx="230">
                  <c:v>74</c:v>
                </c:pt>
                <c:pt idx="231">
                  <c:v>74</c:v>
                </c:pt>
                <c:pt idx="232">
                  <c:v>74</c:v>
                </c:pt>
                <c:pt idx="233">
                  <c:v>74</c:v>
                </c:pt>
                <c:pt idx="234">
                  <c:v>74</c:v>
                </c:pt>
                <c:pt idx="235">
                  <c:v>74</c:v>
                </c:pt>
                <c:pt idx="236">
                  <c:v>74</c:v>
                </c:pt>
                <c:pt idx="237">
                  <c:v>74</c:v>
                </c:pt>
                <c:pt idx="238">
                  <c:v>74</c:v>
                </c:pt>
                <c:pt idx="239">
                  <c:v>74</c:v>
                </c:pt>
                <c:pt idx="240">
                  <c:v>74</c:v>
                </c:pt>
                <c:pt idx="241">
                  <c:v>74</c:v>
                </c:pt>
                <c:pt idx="242">
                  <c:v>74</c:v>
                </c:pt>
                <c:pt idx="243">
                  <c:v>74</c:v>
                </c:pt>
                <c:pt idx="244">
                  <c:v>74</c:v>
                </c:pt>
                <c:pt idx="245">
                  <c:v>74</c:v>
                </c:pt>
                <c:pt idx="246">
                  <c:v>74</c:v>
                </c:pt>
                <c:pt idx="247">
                  <c:v>74</c:v>
                </c:pt>
                <c:pt idx="248">
                  <c:v>74</c:v>
                </c:pt>
                <c:pt idx="249">
                  <c:v>74</c:v>
                </c:pt>
                <c:pt idx="250">
                  <c:v>74</c:v>
                </c:pt>
                <c:pt idx="251">
                  <c:v>74</c:v>
                </c:pt>
                <c:pt idx="252">
                  <c:v>74</c:v>
                </c:pt>
                <c:pt idx="253">
                  <c:v>74</c:v>
                </c:pt>
                <c:pt idx="254">
                  <c:v>74</c:v>
                </c:pt>
                <c:pt idx="255">
                  <c:v>74</c:v>
                </c:pt>
                <c:pt idx="256">
                  <c:v>74</c:v>
                </c:pt>
                <c:pt idx="257">
                  <c:v>74</c:v>
                </c:pt>
                <c:pt idx="258">
                  <c:v>74</c:v>
                </c:pt>
                <c:pt idx="259">
                  <c:v>74</c:v>
                </c:pt>
                <c:pt idx="260">
                  <c:v>74</c:v>
                </c:pt>
                <c:pt idx="261">
                  <c:v>74</c:v>
                </c:pt>
                <c:pt idx="262">
                  <c:v>74</c:v>
                </c:pt>
                <c:pt idx="263">
                  <c:v>74</c:v>
                </c:pt>
                <c:pt idx="264">
                  <c:v>74</c:v>
                </c:pt>
                <c:pt idx="265">
                  <c:v>74</c:v>
                </c:pt>
                <c:pt idx="266">
                  <c:v>74</c:v>
                </c:pt>
                <c:pt idx="267">
                  <c:v>74</c:v>
                </c:pt>
                <c:pt idx="268">
                  <c:v>74</c:v>
                </c:pt>
                <c:pt idx="269">
                  <c:v>74</c:v>
                </c:pt>
                <c:pt idx="270">
                  <c:v>74</c:v>
                </c:pt>
                <c:pt idx="271">
                  <c:v>74</c:v>
                </c:pt>
                <c:pt idx="272">
                  <c:v>74</c:v>
                </c:pt>
                <c:pt idx="273">
                  <c:v>74</c:v>
                </c:pt>
                <c:pt idx="274">
                  <c:v>74</c:v>
                </c:pt>
                <c:pt idx="275">
                  <c:v>74</c:v>
                </c:pt>
                <c:pt idx="276">
                  <c:v>74</c:v>
                </c:pt>
                <c:pt idx="277">
                  <c:v>74</c:v>
                </c:pt>
                <c:pt idx="278">
                  <c:v>74</c:v>
                </c:pt>
                <c:pt idx="279">
                  <c:v>74</c:v>
                </c:pt>
                <c:pt idx="280">
                  <c:v>74</c:v>
                </c:pt>
                <c:pt idx="281">
                  <c:v>74</c:v>
                </c:pt>
                <c:pt idx="282">
                  <c:v>74</c:v>
                </c:pt>
                <c:pt idx="283">
                  <c:v>74</c:v>
                </c:pt>
                <c:pt idx="284">
                  <c:v>74</c:v>
                </c:pt>
                <c:pt idx="285">
                  <c:v>74</c:v>
                </c:pt>
                <c:pt idx="286">
                  <c:v>74</c:v>
                </c:pt>
                <c:pt idx="287">
                  <c:v>74</c:v>
                </c:pt>
                <c:pt idx="288">
                  <c:v>74</c:v>
                </c:pt>
                <c:pt idx="289">
                  <c:v>74</c:v>
                </c:pt>
                <c:pt idx="290">
                  <c:v>74</c:v>
                </c:pt>
                <c:pt idx="291">
                  <c:v>74</c:v>
                </c:pt>
                <c:pt idx="292">
                  <c:v>74</c:v>
                </c:pt>
                <c:pt idx="293">
                  <c:v>74</c:v>
                </c:pt>
                <c:pt idx="294">
                  <c:v>74</c:v>
                </c:pt>
                <c:pt idx="295">
                  <c:v>74</c:v>
                </c:pt>
                <c:pt idx="296">
                  <c:v>74</c:v>
                </c:pt>
                <c:pt idx="297">
                  <c:v>74</c:v>
                </c:pt>
                <c:pt idx="298">
                  <c:v>74</c:v>
                </c:pt>
                <c:pt idx="299">
                  <c:v>74</c:v>
                </c:pt>
                <c:pt idx="300">
                  <c:v>74</c:v>
                </c:pt>
                <c:pt idx="301">
                  <c:v>74</c:v>
                </c:pt>
                <c:pt idx="302">
                  <c:v>74</c:v>
                </c:pt>
                <c:pt idx="303">
                  <c:v>74</c:v>
                </c:pt>
                <c:pt idx="304">
                  <c:v>74</c:v>
                </c:pt>
                <c:pt idx="305">
                  <c:v>74</c:v>
                </c:pt>
                <c:pt idx="306">
                  <c:v>74</c:v>
                </c:pt>
                <c:pt idx="307">
                  <c:v>74</c:v>
                </c:pt>
                <c:pt idx="308">
                  <c:v>74</c:v>
                </c:pt>
                <c:pt idx="309">
                  <c:v>74</c:v>
                </c:pt>
                <c:pt idx="310">
                  <c:v>74</c:v>
                </c:pt>
                <c:pt idx="311">
                  <c:v>74</c:v>
                </c:pt>
                <c:pt idx="312">
                  <c:v>74</c:v>
                </c:pt>
                <c:pt idx="313">
                  <c:v>74</c:v>
                </c:pt>
                <c:pt idx="314">
                  <c:v>74</c:v>
                </c:pt>
                <c:pt idx="315">
                  <c:v>74</c:v>
                </c:pt>
                <c:pt idx="316">
                  <c:v>74</c:v>
                </c:pt>
                <c:pt idx="317">
                  <c:v>74</c:v>
                </c:pt>
                <c:pt idx="318">
                  <c:v>74</c:v>
                </c:pt>
                <c:pt idx="319">
                  <c:v>74</c:v>
                </c:pt>
                <c:pt idx="320">
                  <c:v>74</c:v>
                </c:pt>
                <c:pt idx="321">
                  <c:v>74</c:v>
                </c:pt>
                <c:pt idx="322">
                  <c:v>74</c:v>
                </c:pt>
                <c:pt idx="323">
                  <c:v>74</c:v>
                </c:pt>
                <c:pt idx="324">
                  <c:v>74</c:v>
                </c:pt>
                <c:pt idx="325">
                  <c:v>74</c:v>
                </c:pt>
                <c:pt idx="326">
                  <c:v>74</c:v>
                </c:pt>
                <c:pt idx="327">
                  <c:v>74</c:v>
                </c:pt>
                <c:pt idx="328">
                  <c:v>74</c:v>
                </c:pt>
                <c:pt idx="329">
                  <c:v>74</c:v>
                </c:pt>
                <c:pt idx="330">
                  <c:v>74</c:v>
                </c:pt>
                <c:pt idx="331">
                  <c:v>74</c:v>
                </c:pt>
                <c:pt idx="332">
                  <c:v>74</c:v>
                </c:pt>
                <c:pt idx="333">
                  <c:v>74</c:v>
                </c:pt>
                <c:pt idx="334">
                  <c:v>74</c:v>
                </c:pt>
                <c:pt idx="335">
                  <c:v>74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74</c:v>
                </c:pt>
                <c:pt idx="361">
                  <c:v>74</c:v>
                </c:pt>
                <c:pt idx="362">
                  <c:v>74</c:v>
                </c:pt>
                <c:pt idx="363">
                  <c:v>74</c:v>
                </c:pt>
                <c:pt idx="364">
                  <c:v>74</c:v>
                </c:pt>
                <c:pt idx="365">
                  <c:v>74</c:v>
                </c:pt>
                <c:pt idx="366">
                  <c:v>74</c:v>
                </c:pt>
                <c:pt idx="367">
                  <c:v>74</c:v>
                </c:pt>
                <c:pt idx="368">
                  <c:v>74</c:v>
                </c:pt>
                <c:pt idx="369">
                  <c:v>74</c:v>
                </c:pt>
                <c:pt idx="370">
                  <c:v>74</c:v>
                </c:pt>
                <c:pt idx="371">
                  <c:v>74</c:v>
                </c:pt>
                <c:pt idx="372">
                  <c:v>74</c:v>
                </c:pt>
                <c:pt idx="373">
                  <c:v>74</c:v>
                </c:pt>
                <c:pt idx="374">
                  <c:v>74</c:v>
                </c:pt>
                <c:pt idx="375">
                  <c:v>74</c:v>
                </c:pt>
                <c:pt idx="376">
                  <c:v>74</c:v>
                </c:pt>
                <c:pt idx="377">
                  <c:v>74</c:v>
                </c:pt>
                <c:pt idx="378">
                  <c:v>74</c:v>
                </c:pt>
                <c:pt idx="379">
                  <c:v>74</c:v>
                </c:pt>
                <c:pt idx="380">
                  <c:v>74</c:v>
                </c:pt>
                <c:pt idx="381">
                  <c:v>74</c:v>
                </c:pt>
                <c:pt idx="382">
                  <c:v>74</c:v>
                </c:pt>
                <c:pt idx="383">
                  <c:v>74</c:v>
                </c:pt>
                <c:pt idx="384">
                  <c:v>74</c:v>
                </c:pt>
                <c:pt idx="385">
                  <c:v>74</c:v>
                </c:pt>
                <c:pt idx="386">
                  <c:v>74</c:v>
                </c:pt>
                <c:pt idx="387">
                  <c:v>74</c:v>
                </c:pt>
                <c:pt idx="388">
                  <c:v>74</c:v>
                </c:pt>
                <c:pt idx="389">
                  <c:v>74</c:v>
                </c:pt>
                <c:pt idx="390">
                  <c:v>74</c:v>
                </c:pt>
                <c:pt idx="391">
                  <c:v>74</c:v>
                </c:pt>
                <c:pt idx="392">
                  <c:v>74</c:v>
                </c:pt>
                <c:pt idx="393">
                  <c:v>74</c:v>
                </c:pt>
                <c:pt idx="394">
                  <c:v>74</c:v>
                </c:pt>
                <c:pt idx="395">
                  <c:v>74</c:v>
                </c:pt>
                <c:pt idx="396">
                  <c:v>74</c:v>
                </c:pt>
                <c:pt idx="397">
                  <c:v>74</c:v>
                </c:pt>
                <c:pt idx="398">
                  <c:v>74</c:v>
                </c:pt>
                <c:pt idx="399">
                  <c:v>74</c:v>
                </c:pt>
                <c:pt idx="400">
                  <c:v>74</c:v>
                </c:pt>
                <c:pt idx="401">
                  <c:v>74</c:v>
                </c:pt>
                <c:pt idx="402">
                  <c:v>74</c:v>
                </c:pt>
                <c:pt idx="403">
                  <c:v>74</c:v>
                </c:pt>
                <c:pt idx="404">
                  <c:v>74</c:v>
                </c:pt>
                <c:pt idx="405">
                  <c:v>74</c:v>
                </c:pt>
                <c:pt idx="406">
                  <c:v>74</c:v>
                </c:pt>
                <c:pt idx="407">
                  <c:v>74</c:v>
                </c:pt>
                <c:pt idx="408">
                  <c:v>74</c:v>
                </c:pt>
                <c:pt idx="409">
                  <c:v>74</c:v>
                </c:pt>
                <c:pt idx="410">
                  <c:v>74</c:v>
                </c:pt>
                <c:pt idx="411">
                  <c:v>74</c:v>
                </c:pt>
                <c:pt idx="412">
                  <c:v>74</c:v>
                </c:pt>
                <c:pt idx="413">
                  <c:v>74</c:v>
                </c:pt>
                <c:pt idx="414">
                  <c:v>74</c:v>
                </c:pt>
                <c:pt idx="415">
                  <c:v>74</c:v>
                </c:pt>
                <c:pt idx="416">
                  <c:v>74</c:v>
                </c:pt>
                <c:pt idx="417">
                  <c:v>74</c:v>
                </c:pt>
                <c:pt idx="418">
                  <c:v>74</c:v>
                </c:pt>
                <c:pt idx="419">
                  <c:v>74</c:v>
                </c:pt>
                <c:pt idx="420">
                  <c:v>74</c:v>
                </c:pt>
                <c:pt idx="421">
                  <c:v>74</c:v>
                </c:pt>
                <c:pt idx="422">
                  <c:v>74</c:v>
                </c:pt>
                <c:pt idx="423">
                  <c:v>74</c:v>
                </c:pt>
                <c:pt idx="424">
                  <c:v>74</c:v>
                </c:pt>
                <c:pt idx="425">
                  <c:v>74</c:v>
                </c:pt>
                <c:pt idx="426">
                  <c:v>74</c:v>
                </c:pt>
                <c:pt idx="427">
                  <c:v>74</c:v>
                </c:pt>
                <c:pt idx="428">
                  <c:v>74</c:v>
                </c:pt>
                <c:pt idx="429">
                  <c:v>74</c:v>
                </c:pt>
                <c:pt idx="430">
                  <c:v>74</c:v>
                </c:pt>
                <c:pt idx="431">
                  <c:v>74</c:v>
                </c:pt>
                <c:pt idx="432">
                  <c:v>74</c:v>
                </c:pt>
                <c:pt idx="433">
                  <c:v>74</c:v>
                </c:pt>
                <c:pt idx="434">
                  <c:v>74</c:v>
                </c:pt>
                <c:pt idx="435">
                  <c:v>74</c:v>
                </c:pt>
                <c:pt idx="436">
                  <c:v>74</c:v>
                </c:pt>
                <c:pt idx="437">
                  <c:v>74</c:v>
                </c:pt>
                <c:pt idx="438">
                  <c:v>74</c:v>
                </c:pt>
                <c:pt idx="439">
                  <c:v>74</c:v>
                </c:pt>
                <c:pt idx="440">
                  <c:v>74</c:v>
                </c:pt>
                <c:pt idx="441">
                  <c:v>74</c:v>
                </c:pt>
                <c:pt idx="442">
                  <c:v>74</c:v>
                </c:pt>
                <c:pt idx="443">
                  <c:v>74</c:v>
                </c:pt>
                <c:pt idx="444">
                  <c:v>74</c:v>
                </c:pt>
                <c:pt idx="445">
                  <c:v>74</c:v>
                </c:pt>
                <c:pt idx="446">
                  <c:v>74</c:v>
                </c:pt>
                <c:pt idx="447">
                  <c:v>74</c:v>
                </c:pt>
                <c:pt idx="448">
                  <c:v>74</c:v>
                </c:pt>
                <c:pt idx="449">
                  <c:v>74</c:v>
                </c:pt>
                <c:pt idx="450">
                  <c:v>74</c:v>
                </c:pt>
                <c:pt idx="451">
                  <c:v>74</c:v>
                </c:pt>
                <c:pt idx="452">
                  <c:v>74</c:v>
                </c:pt>
                <c:pt idx="453">
                  <c:v>74</c:v>
                </c:pt>
                <c:pt idx="454">
                  <c:v>74</c:v>
                </c:pt>
                <c:pt idx="455">
                  <c:v>74</c:v>
                </c:pt>
                <c:pt idx="456">
                  <c:v>74</c:v>
                </c:pt>
                <c:pt idx="457">
                  <c:v>74</c:v>
                </c:pt>
                <c:pt idx="458">
                  <c:v>74</c:v>
                </c:pt>
                <c:pt idx="459">
                  <c:v>74</c:v>
                </c:pt>
                <c:pt idx="460">
                  <c:v>74</c:v>
                </c:pt>
                <c:pt idx="461">
                  <c:v>74</c:v>
                </c:pt>
                <c:pt idx="462">
                  <c:v>74</c:v>
                </c:pt>
                <c:pt idx="463">
                  <c:v>74</c:v>
                </c:pt>
                <c:pt idx="464">
                  <c:v>74</c:v>
                </c:pt>
                <c:pt idx="465">
                  <c:v>74</c:v>
                </c:pt>
                <c:pt idx="466">
                  <c:v>74</c:v>
                </c:pt>
                <c:pt idx="467">
                  <c:v>74</c:v>
                </c:pt>
                <c:pt idx="468">
                  <c:v>74</c:v>
                </c:pt>
                <c:pt idx="469">
                  <c:v>74</c:v>
                </c:pt>
                <c:pt idx="470">
                  <c:v>74</c:v>
                </c:pt>
                <c:pt idx="471">
                  <c:v>74</c:v>
                </c:pt>
                <c:pt idx="472">
                  <c:v>74</c:v>
                </c:pt>
                <c:pt idx="473">
                  <c:v>74</c:v>
                </c:pt>
                <c:pt idx="474">
                  <c:v>74</c:v>
                </c:pt>
                <c:pt idx="475">
                  <c:v>74</c:v>
                </c:pt>
                <c:pt idx="476">
                  <c:v>74</c:v>
                </c:pt>
                <c:pt idx="477">
                  <c:v>74</c:v>
                </c:pt>
                <c:pt idx="478">
                  <c:v>74</c:v>
                </c:pt>
                <c:pt idx="479">
                  <c:v>74</c:v>
                </c:pt>
                <c:pt idx="480">
                  <c:v>74</c:v>
                </c:pt>
                <c:pt idx="481">
                  <c:v>74</c:v>
                </c:pt>
                <c:pt idx="482">
                  <c:v>74</c:v>
                </c:pt>
                <c:pt idx="483">
                  <c:v>74</c:v>
                </c:pt>
                <c:pt idx="484">
                  <c:v>74</c:v>
                </c:pt>
                <c:pt idx="485">
                  <c:v>74</c:v>
                </c:pt>
                <c:pt idx="486">
                  <c:v>74</c:v>
                </c:pt>
                <c:pt idx="487">
                  <c:v>74</c:v>
                </c:pt>
                <c:pt idx="488">
                  <c:v>74</c:v>
                </c:pt>
                <c:pt idx="489">
                  <c:v>74</c:v>
                </c:pt>
                <c:pt idx="490">
                  <c:v>74</c:v>
                </c:pt>
                <c:pt idx="491">
                  <c:v>74</c:v>
                </c:pt>
                <c:pt idx="492">
                  <c:v>74</c:v>
                </c:pt>
                <c:pt idx="493">
                  <c:v>74</c:v>
                </c:pt>
                <c:pt idx="494">
                  <c:v>74</c:v>
                </c:pt>
                <c:pt idx="495">
                  <c:v>74</c:v>
                </c:pt>
                <c:pt idx="496">
                  <c:v>74</c:v>
                </c:pt>
                <c:pt idx="497">
                  <c:v>74</c:v>
                </c:pt>
                <c:pt idx="498">
                  <c:v>74</c:v>
                </c:pt>
                <c:pt idx="499">
                  <c:v>74</c:v>
                </c:pt>
                <c:pt idx="500">
                  <c:v>74</c:v>
                </c:pt>
                <c:pt idx="501">
                  <c:v>74</c:v>
                </c:pt>
                <c:pt idx="502">
                  <c:v>74</c:v>
                </c:pt>
                <c:pt idx="503">
                  <c:v>74</c:v>
                </c:pt>
                <c:pt idx="504">
                  <c:v>74</c:v>
                </c:pt>
                <c:pt idx="505">
                  <c:v>74</c:v>
                </c:pt>
                <c:pt idx="506">
                  <c:v>74</c:v>
                </c:pt>
                <c:pt idx="507">
                  <c:v>74</c:v>
                </c:pt>
                <c:pt idx="508">
                  <c:v>74</c:v>
                </c:pt>
                <c:pt idx="509">
                  <c:v>74</c:v>
                </c:pt>
                <c:pt idx="510">
                  <c:v>74</c:v>
                </c:pt>
                <c:pt idx="511">
                  <c:v>74</c:v>
                </c:pt>
                <c:pt idx="512">
                  <c:v>74</c:v>
                </c:pt>
                <c:pt idx="513">
                  <c:v>74</c:v>
                </c:pt>
                <c:pt idx="514">
                  <c:v>74</c:v>
                </c:pt>
                <c:pt idx="515">
                  <c:v>74</c:v>
                </c:pt>
                <c:pt idx="516">
                  <c:v>74</c:v>
                </c:pt>
                <c:pt idx="517">
                  <c:v>74</c:v>
                </c:pt>
                <c:pt idx="518">
                  <c:v>74</c:v>
                </c:pt>
                <c:pt idx="519">
                  <c:v>74</c:v>
                </c:pt>
                <c:pt idx="520">
                  <c:v>74</c:v>
                </c:pt>
                <c:pt idx="521">
                  <c:v>74</c:v>
                </c:pt>
                <c:pt idx="522">
                  <c:v>74</c:v>
                </c:pt>
                <c:pt idx="523">
                  <c:v>74</c:v>
                </c:pt>
                <c:pt idx="524">
                  <c:v>74</c:v>
                </c:pt>
                <c:pt idx="525">
                  <c:v>74</c:v>
                </c:pt>
                <c:pt idx="526">
                  <c:v>74</c:v>
                </c:pt>
                <c:pt idx="527">
                  <c:v>74</c:v>
                </c:pt>
                <c:pt idx="528">
                  <c:v>74</c:v>
                </c:pt>
                <c:pt idx="529">
                  <c:v>74</c:v>
                </c:pt>
                <c:pt idx="530">
                  <c:v>74</c:v>
                </c:pt>
                <c:pt idx="531">
                  <c:v>74</c:v>
                </c:pt>
                <c:pt idx="532">
                  <c:v>74</c:v>
                </c:pt>
                <c:pt idx="533">
                  <c:v>74</c:v>
                </c:pt>
                <c:pt idx="534">
                  <c:v>74</c:v>
                </c:pt>
                <c:pt idx="535">
                  <c:v>74</c:v>
                </c:pt>
                <c:pt idx="536">
                  <c:v>74</c:v>
                </c:pt>
                <c:pt idx="537">
                  <c:v>74</c:v>
                </c:pt>
                <c:pt idx="538">
                  <c:v>74</c:v>
                </c:pt>
                <c:pt idx="539">
                  <c:v>74</c:v>
                </c:pt>
                <c:pt idx="540">
                  <c:v>74</c:v>
                </c:pt>
                <c:pt idx="541">
                  <c:v>74</c:v>
                </c:pt>
                <c:pt idx="542">
                  <c:v>74</c:v>
                </c:pt>
                <c:pt idx="543">
                  <c:v>74</c:v>
                </c:pt>
                <c:pt idx="544">
                  <c:v>74</c:v>
                </c:pt>
                <c:pt idx="545">
                  <c:v>74</c:v>
                </c:pt>
                <c:pt idx="546">
                  <c:v>74</c:v>
                </c:pt>
                <c:pt idx="547">
                  <c:v>74</c:v>
                </c:pt>
                <c:pt idx="548">
                  <c:v>74</c:v>
                </c:pt>
                <c:pt idx="549">
                  <c:v>74</c:v>
                </c:pt>
                <c:pt idx="550">
                  <c:v>74</c:v>
                </c:pt>
                <c:pt idx="551">
                  <c:v>74</c:v>
                </c:pt>
                <c:pt idx="552">
                  <c:v>74</c:v>
                </c:pt>
                <c:pt idx="553">
                  <c:v>74</c:v>
                </c:pt>
                <c:pt idx="554">
                  <c:v>74</c:v>
                </c:pt>
                <c:pt idx="555">
                  <c:v>74</c:v>
                </c:pt>
                <c:pt idx="556">
                  <c:v>74</c:v>
                </c:pt>
                <c:pt idx="557">
                  <c:v>74</c:v>
                </c:pt>
                <c:pt idx="558">
                  <c:v>74</c:v>
                </c:pt>
                <c:pt idx="559">
                  <c:v>74</c:v>
                </c:pt>
                <c:pt idx="560">
                  <c:v>74</c:v>
                </c:pt>
                <c:pt idx="561">
                  <c:v>74</c:v>
                </c:pt>
                <c:pt idx="562">
                  <c:v>74</c:v>
                </c:pt>
                <c:pt idx="563">
                  <c:v>74</c:v>
                </c:pt>
                <c:pt idx="564">
                  <c:v>74</c:v>
                </c:pt>
                <c:pt idx="565">
                  <c:v>74</c:v>
                </c:pt>
                <c:pt idx="566">
                  <c:v>74</c:v>
                </c:pt>
                <c:pt idx="567">
                  <c:v>74</c:v>
                </c:pt>
                <c:pt idx="568">
                  <c:v>74</c:v>
                </c:pt>
                <c:pt idx="569">
                  <c:v>74</c:v>
                </c:pt>
                <c:pt idx="570">
                  <c:v>74</c:v>
                </c:pt>
                <c:pt idx="571">
                  <c:v>74</c:v>
                </c:pt>
                <c:pt idx="572">
                  <c:v>74</c:v>
                </c:pt>
                <c:pt idx="573">
                  <c:v>74</c:v>
                </c:pt>
                <c:pt idx="574">
                  <c:v>74</c:v>
                </c:pt>
                <c:pt idx="575">
                  <c:v>74</c:v>
                </c:pt>
                <c:pt idx="576">
                  <c:v>74</c:v>
                </c:pt>
                <c:pt idx="577">
                  <c:v>74</c:v>
                </c:pt>
                <c:pt idx="578">
                  <c:v>74</c:v>
                </c:pt>
                <c:pt idx="579">
                  <c:v>74</c:v>
                </c:pt>
                <c:pt idx="580">
                  <c:v>74</c:v>
                </c:pt>
                <c:pt idx="581">
                  <c:v>74</c:v>
                </c:pt>
                <c:pt idx="582">
                  <c:v>74</c:v>
                </c:pt>
                <c:pt idx="583">
                  <c:v>74</c:v>
                </c:pt>
                <c:pt idx="584">
                  <c:v>74</c:v>
                </c:pt>
                <c:pt idx="585">
                  <c:v>74</c:v>
                </c:pt>
                <c:pt idx="586">
                  <c:v>74</c:v>
                </c:pt>
                <c:pt idx="587">
                  <c:v>74</c:v>
                </c:pt>
                <c:pt idx="588">
                  <c:v>74</c:v>
                </c:pt>
                <c:pt idx="589">
                  <c:v>74</c:v>
                </c:pt>
                <c:pt idx="590">
                  <c:v>74</c:v>
                </c:pt>
                <c:pt idx="591">
                  <c:v>74</c:v>
                </c:pt>
                <c:pt idx="592">
                  <c:v>74</c:v>
                </c:pt>
                <c:pt idx="593">
                  <c:v>74</c:v>
                </c:pt>
                <c:pt idx="594">
                  <c:v>74</c:v>
                </c:pt>
                <c:pt idx="595">
                  <c:v>74</c:v>
                </c:pt>
                <c:pt idx="596">
                  <c:v>74</c:v>
                </c:pt>
                <c:pt idx="597">
                  <c:v>74</c:v>
                </c:pt>
                <c:pt idx="598">
                  <c:v>74</c:v>
                </c:pt>
                <c:pt idx="599">
                  <c:v>74</c:v>
                </c:pt>
                <c:pt idx="600">
                  <c:v>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D9-4406-8EF5-287246538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38351"/>
        <c:axId val="1410055151"/>
      </c:scatterChart>
      <c:valAx>
        <c:axId val="141003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5151"/>
        <c:crosses val="autoZero"/>
        <c:crossBetween val="midCat"/>
      </c:valAx>
      <c:valAx>
        <c:axId val="141005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3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'77'!$B$1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'77'!$A$2:$A$602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'77'!$B$2:$B$602</c:f>
              <c:numCache>
                <c:formatCode>General</c:formatCode>
                <c:ptCount val="601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77</c:v>
                </c:pt>
                <c:pt idx="34">
                  <c:v>77</c:v>
                </c:pt>
                <c:pt idx="35">
                  <c:v>77</c:v>
                </c:pt>
                <c:pt idx="36">
                  <c:v>77</c:v>
                </c:pt>
                <c:pt idx="37">
                  <c:v>77</c:v>
                </c:pt>
                <c:pt idx="38">
                  <c:v>77</c:v>
                </c:pt>
                <c:pt idx="39">
                  <c:v>77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77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77</c:v>
                </c:pt>
                <c:pt idx="49">
                  <c:v>77</c:v>
                </c:pt>
                <c:pt idx="50">
                  <c:v>77</c:v>
                </c:pt>
                <c:pt idx="51">
                  <c:v>77</c:v>
                </c:pt>
                <c:pt idx="52">
                  <c:v>77</c:v>
                </c:pt>
                <c:pt idx="53">
                  <c:v>77</c:v>
                </c:pt>
                <c:pt idx="54">
                  <c:v>77</c:v>
                </c:pt>
                <c:pt idx="55">
                  <c:v>77</c:v>
                </c:pt>
                <c:pt idx="56">
                  <c:v>77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77</c:v>
                </c:pt>
                <c:pt idx="63">
                  <c:v>77</c:v>
                </c:pt>
                <c:pt idx="64">
                  <c:v>77</c:v>
                </c:pt>
                <c:pt idx="65">
                  <c:v>77</c:v>
                </c:pt>
                <c:pt idx="66">
                  <c:v>77</c:v>
                </c:pt>
                <c:pt idx="67">
                  <c:v>77</c:v>
                </c:pt>
                <c:pt idx="68">
                  <c:v>77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77</c:v>
                </c:pt>
                <c:pt idx="87">
                  <c:v>77</c:v>
                </c:pt>
                <c:pt idx="88">
                  <c:v>77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77</c:v>
                </c:pt>
                <c:pt idx="93">
                  <c:v>77</c:v>
                </c:pt>
                <c:pt idx="94">
                  <c:v>77</c:v>
                </c:pt>
                <c:pt idx="95">
                  <c:v>77</c:v>
                </c:pt>
                <c:pt idx="96">
                  <c:v>77</c:v>
                </c:pt>
                <c:pt idx="97">
                  <c:v>77</c:v>
                </c:pt>
                <c:pt idx="98">
                  <c:v>77</c:v>
                </c:pt>
                <c:pt idx="99">
                  <c:v>77</c:v>
                </c:pt>
                <c:pt idx="100">
                  <c:v>77</c:v>
                </c:pt>
                <c:pt idx="101">
                  <c:v>77</c:v>
                </c:pt>
                <c:pt idx="102">
                  <c:v>77</c:v>
                </c:pt>
                <c:pt idx="103">
                  <c:v>77</c:v>
                </c:pt>
                <c:pt idx="104">
                  <c:v>77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  <c:pt idx="109">
                  <c:v>77</c:v>
                </c:pt>
                <c:pt idx="110">
                  <c:v>77</c:v>
                </c:pt>
                <c:pt idx="111">
                  <c:v>77</c:v>
                </c:pt>
                <c:pt idx="112">
                  <c:v>77</c:v>
                </c:pt>
                <c:pt idx="113">
                  <c:v>77</c:v>
                </c:pt>
                <c:pt idx="114">
                  <c:v>77</c:v>
                </c:pt>
                <c:pt idx="115">
                  <c:v>77</c:v>
                </c:pt>
                <c:pt idx="116">
                  <c:v>77</c:v>
                </c:pt>
                <c:pt idx="117">
                  <c:v>77</c:v>
                </c:pt>
                <c:pt idx="118">
                  <c:v>77</c:v>
                </c:pt>
                <c:pt idx="119">
                  <c:v>77</c:v>
                </c:pt>
                <c:pt idx="120">
                  <c:v>77</c:v>
                </c:pt>
                <c:pt idx="121">
                  <c:v>77</c:v>
                </c:pt>
                <c:pt idx="122">
                  <c:v>77</c:v>
                </c:pt>
                <c:pt idx="123">
                  <c:v>77</c:v>
                </c:pt>
                <c:pt idx="124">
                  <c:v>77</c:v>
                </c:pt>
                <c:pt idx="125">
                  <c:v>77</c:v>
                </c:pt>
                <c:pt idx="126">
                  <c:v>77</c:v>
                </c:pt>
                <c:pt idx="127">
                  <c:v>77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77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77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77</c:v>
                </c:pt>
                <c:pt idx="182">
                  <c:v>77</c:v>
                </c:pt>
                <c:pt idx="183">
                  <c:v>77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77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77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77</c:v>
                </c:pt>
                <c:pt idx="230">
                  <c:v>77</c:v>
                </c:pt>
                <c:pt idx="231">
                  <c:v>77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77</c:v>
                </c:pt>
                <c:pt idx="240">
                  <c:v>77</c:v>
                </c:pt>
                <c:pt idx="241">
                  <c:v>77</c:v>
                </c:pt>
                <c:pt idx="242">
                  <c:v>77</c:v>
                </c:pt>
                <c:pt idx="243">
                  <c:v>77</c:v>
                </c:pt>
                <c:pt idx="244">
                  <c:v>77</c:v>
                </c:pt>
                <c:pt idx="245">
                  <c:v>77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77</c:v>
                </c:pt>
                <c:pt idx="263">
                  <c:v>77</c:v>
                </c:pt>
                <c:pt idx="264">
                  <c:v>77</c:v>
                </c:pt>
                <c:pt idx="265">
                  <c:v>77</c:v>
                </c:pt>
                <c:pt idx="266">
                  <c:v>77</c:v>
                </c:pt>
                <c:pt idx="267">
                  <c:v>77</c:v>
                </c:pt>
                <c:pt idx="268">
                  <c:v>77</c:v>
                </c:pt>
                <c:pt idx="269">
                  <c:v>77</c:v>
                </c:pt>
                <c:pt idx="270">
                  <c:v>77</c:v>
                </c:pt>
                <c:pt idx="271">
                  <c:v>77</c:v>
                </c:pt>
                <c:pt idx="272">
                  <c:v>77</c:v>
                </c:pt>
                <c:pt idx="273">
                  <c:v>77</c:v>
                </c:pt>
                <c:pt idx="274">
                  <c:v>77</c:v>
                </c:pt>
                <c:pt idx="275">
                  <c:v>77</c:v>
                </c:pt>
                <c:pt idx="276">
                  <c:v>77</c:v>
                </c:pt>
                <c:pt idx="277">
                  <c:v>77</c:v>
                </c:pt>
                <c:pt idx="278">
                  <c:v>77</c:v>
                </c:pt>
                <c:pt idx="279">
                  <c:v>77</c:v>
                </c:pt>
                <c:pt idx="280">
                  <c:v>77</c:v>
                </c:pt>
                <c:pt idx="281">
                  <c:v>77</c:v>
                </c:pt>
                <c:pt idx="282">
                  <c:v>77</c:v>
                </c:pt>
                <c:pt idx="283">
                  <c:v>77</c:v>
                </c:pt>
                <c:pt idx="284">
                  <c:v>77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77</c:v>
                </c:pt>
                <c:pt idx="290">
                  <c:v>77</c:v>
                </c:pt>
                <c:pt idx="291">
                  <c:v>77</c:v>
                </c:pt>
                <c:pt idx="292">
                  <c:v>77</c:v>
                </c:pt>
                <c:pt idx="293">
                  <c:v>77</c:v>
                </c:pt>
                <c:pt idx="294">
                  <c:v>77</c:v>
                </c:pt>
                <c:pt idx="295">
                  <c:v>77</c:v>
                </c:pt>
                <c:pt idx="296">
                  <c:v>77</c:v>
                </c:pt>
                <c:pt idx="297">
                  <c:v>77</c:v>
                </c:pt>
                <c:pt idx="298">
                  <c:v>77</c:v>
                </c:pt>
                <c:pt idx="299">
                  <c:v>77</c:v>
                </c:pt>
                <c:pt idx="300">
                  <c:v>77</c:v>
                </c:pt>
                <c:pt idx="301">
                  <c:v>77</c:v>
                </c:pt>
                <c:pt idx="302">
                  <c:v>77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77</c:v>
                </c:pt>
                <c:pt idx="339">
                  <c:v>77</c:v>
                </c:pt>
                <c:pt idx="340">
                  <c:v>77</c:v>
                </c:pt>
                <c:pt idx="341">
                  <c:v>77</c:v>
                </c:pt>
                <c:pt idx="342">
                  <c:v>77</c:v>
                </c:pt>
                <c:pt idx="343">
                  <c:v>77</c:v>
                </c:pt>
                <c:pt idx="344">
                  <c:v>77</c:v>
                </c:pt>
                <c:pt idx="345">
                  <c:v>77</c:v>
                </c:pt>
                <c:pt idx="346">
                  <c:v>77</c:v>
                </c:pt>
                <c:pt idx="347">
                  <c:v>77</c:v>
                </c:pt>
                <c:pt idx="348">
                  <c:v>77</c:v>
                </c:pt>
                <c:pt idx="349">
                  <c:v>77</c:v>
                </c:pt>
                <c:pt idx="350">
                  <c:v>77</c:v>
                </c:pt>
                <c:pt idx="351">
                  <c:v>77</c:v>
                </c:pt>
                <c:pt idx="352">
                  <c:v>77</c:v>
                </c:pt>
                <c:pt idx="353">
                  <c:v>77</c:v>
                </c:pt>
                <c:pt idx="354">
                  <c:v>77</c:v>
                </c:pt>
                <c:pt idx="355">
                  <c:v>77</c:v>
                </c:pt>
                <c:pt idx="356">
                  <c:v>77</c:v>
                </c:pt>
                <c:pt idx="357">
                  <c:v>77</c:v>
                </c:pt>
                <c:pt idx="358">
                  <c:v>77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77</c:v>
                </c:pt>
                <c:pt idx="363">
                  <c:v>77</c:v>
                </c:pt>
                <c:pt idx="364">
                  <c:v>77</c:v>
                </c:pt>
                <c:pt idx="365">
                  <c:v>77</c:v>
                </c:pt>
                <c:pt idx="366">
                  <c:v>77</c:v>
                </c:pt>
                <c:pt idx="367">
                  <c:v>77</c:v>
                </c:pt>
                <c:pt idx="368">
                  <c:v>77</c:v>
                </c:pt>
                <c:pt idx="369">
                  <c:v>77</c:v>
                </c:pt>
                <c:pt idx="370">
                  <c:v>77</c:v>
                </c:pt>
                <c:pt idx="371">
                  <c:v>77</c:v>
                </c:pt>
                <c:pt idx="372">
                  <c:v>77</c:v>
                </c:pt>
                <c:pt idx="373">
                  <c:v>77</c:v>
                </c:pt>
                <c:pt idx="374">
                  <c:v>77</c:v>
                </c:pt>
                <c:pt idx="375">
                  <c:v>77</c:v>
                </c:pt>
                <c:pt idx="376">
                  <c:v>77</c:v>
                </c:pt>
                <c:pt idx="377">
                  <c:v>77</c:v>
                </c:pt>
                <c:pt idx="378">
                  <c:v>77</c:v>
                </c:pt>
                <c:pt idx="379">
                  <c:v>77</c:v>
                </c:pt>
                <c:pt idx="380">
                  <c:v>77</c:v>
                </c:pt>
                <c:pt idx="381">
                  <c:v>77</c:v>
                </c:pt>
                <c:pt idx="382">
                  <c:v>77</c:v>
                </c:pt>
                <c:pt idx="383">
                  <c:v>77</c:v>
                </c:pt>
                <c:pt idx="384">
                  <c:v>77</c:v>
                </c:pt>
                <c:pt idx="385">
                  <c:v>77</c:v>
                </c:pt>
                <c:pt idx="386">
                  <c:v>77</c:v>
                </c:pt>
                <c:pt idx="387">
                  <c:v>77</c:v>
                </c:pt>
                <c:pt idx="388">
                  <c:v>77</c:v>
                </c:pt>
                <c:pt idx="389">
                  <c:v>77</c:v>
                </c:pt>
                <c:pt idx="390">
                  <c:v>77</c:v>
                </c:pt>
                <c:pt idx="391">
                  <c:v>77</c:v>
                </c:pt>
                <c:pt idx="392">
                  <c:v>77</c:v>
                </c:pt>
                <c:pt idx="393">
                  <c:v>77</c:v>
                </c:pt>
                <c:pt idx="394">
                  <c:v>77</c:v>
                </c:pt>
                <c:pt idx="395">
                  <c:v>77</c:v>
                </c:pt>
                <c:pt idx="396">
                  <c:v>77</c:v>
                </c:pt>
                <c:pt idx="397">
                  <c:v>77</c:v>
                </c:pt>
                <c:pt idx="398">
                  <c:v>77</c:v>
                </c:pt>
                <c:pt idx="399">
                  <c:v>77</c:v>
                </c:pt>
                <c:pt idx="400">
                  <c:v>77</c:v>
                </c:pt>
                <c:pt idx="401">
                  <c:v>77</c:v>
                </c:pt>
                <c:pt idx="402">
                  <c:v>77</c:v>
                </c:pt>
                <c:pt idx="403">
                  <c:v>77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77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77</c:v>
                </c:pt>
                <c:pt idx="433">
                  <c:v>77</c:v>
                </c:pt>
                <c:pt idx="434">
                  <c:v>77</c:v>
                </c:pt>
                <c:pt idx="435">
                  <c:v>77</c:v>
                </c:pt>
                <c:pt idx="436">
                  <c:v>77</c:v>
                </c:pt>
                <c:pt idx="437">
                  <c:v>77</c:v>
                </c:pt>
                <c:pt idx="438">
                  <c:v>77</c:v>
                </c:pt>
                <c:pt idx="439">
                  <c:v>77</c:v>
                </c:pt>
                <c:pt idx="440">
                  <c:v>77</c:v>
                </c:pt>
                <c:pt idx="441">
                  <c:v>77</c:v>
                </c:pt>
                <c:pt idx="442">
                  <c:v>77</c:v>
                </c:pt>
                <c:pt idx="443">
                  <c:v>77</c:v>
                </c:pt>
                <c:pt idx="444">
                  <c:v>77</c:v>
                </c:pt>
                <c:pt idx="445">
                  <c:v>77</c:v>
                </c:pt>
                <c:pt idx="446">
                  <c:v>77</c:v>
                </c:pt>
                <c:pt idx="447">
                  <c:v>77</c:v>
                </c:pt>
                <c:pt idx="448">
                  <c:v>77</c:v>
                </c:pt>
                <c:pt idx="449">
                  <c:v>77</c:v>
                </c:pt>
                <c:pt idx="450">
                  <c:v>77</c:v>
                </c:pt>
                <c:pt idx="451">
                  <c:v>77</c:v>
                </c:pt>
                <c:pt idx="452">
                  <c:v>77</c:v>
                </c:pt>
                <c:pt idx="453">
                  <c:v>77</c:v>
                </c:pt>
                <c:pt idx="454">
                  <c:v>77</c:v>
                </c:pt>
                <c:pt idx="455">
                  <c:v>77</c:v>
                </c:pt>
                <c:pt idx="456">
                  <c:v>77</c:v>
                </c:pt>
                <c:pt idx="457">
                  <c:v>77</c:v>
                </c:pt>
                <c:pt idx="458">
                  <c:v>77</c:v>
                </c:pt>
                <c:pt idx="459">
                  <c:v>77</c:v>
                </c:pt>
                <c:pt idx="460">
                  <c:v>77</c:v>
                </c:pt>
                <c:pt idx="461">
                  <c:v>77</c:v>
                </c:pt>
                <c:pt idx="462">
                  <c:v>77</c:v>
                </c:pt>
                <c:pt idx="463">
                  <c:v>77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77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77</c:v>
                </c:pt>
                <c:pt idx="476">
                  <c:v>77</c:v>
                </c:pt>
                <c:pt idx="477">
                  <c:v>77</c:v>
                </c:pt>
                <c:pt idx="478">
                  <c:v>77</c:v>
                </c:pt>
                <c:pt idx="479">
                  <c:v>77</c:v>
                </c:pt>
                <c:pt idx="480">
                  <c:v>77</c:v>
                </c:pt>
                <c:pt idx="481">
                  <c:v>77</c:v>
                </c:pt>
                <c:pt idx="482">
                  <c:v>77</c:v>
                </c:pt>
                <c:pt idx="483">
                  <c:v>77</c:v>
                </c:pt>
                <c:pt idx="484">
                  <c:v>77</c:v>
                </c:pt>
                <c:pt idx="485">
                  <c:v>77</c:v>
                </c:pt>
                <c:pt idx="486">
                  <c:v>77</c:v>
                </c:pt>
                <c:pt idx="487">
                  <c:v>77</c:v>
                </c:pt>
                <c:pt idx="488">
                  <c:v>77</c:v>
                </c:pt>
                <c:pt idx="489">
                  <c:v>77</c:v>
                </c:pt>
                <c:pt idx="490">
                  <c:v>77</c:v>
                </c:pt>
                <c:pt idx="491">
                  <c:v>77</c:v>
                </c:pt>
                <c:pt idx="492">
                  <c:v>77</c:v>
                </c:pt>
                <c:pt idx="493">
                  <c:v>77</c:v>
                </c:pt>
                <c:pt idx="494">
                  <c:v>77</c:v>
                </c:pt>
                <c:pt idx="495">
                  <c:v>77</c:v>
                </c:pt>
                <c:pt idx="496">
                  <c:v>77</c:v>
                </c:pt>
                <c:pt idx="497">
                  <c:v>77</c:v>
                </c:pt>
                <c:pt idx="498">
                  <c:v>77</c:v>
                </c:pt>
                <c:pt idx="499">
                  <c:v>77</c:v>
                </c:pt>
                <c:pt idx="500">
                  <c:v>77</c:v>
                </c:pt>
                <c:pt idx="501">
                  <c:v>77</c:v>
                </c:pt>
                <c:pt idx="502">
                  <c:v>77</c:v>
                </c:pt>
                <c:pt idx="503">
                  <c:v>77</c:v>
                </c:pt>
                <c:pt idx="504">
                  <c:v>77</c:v>
                </c:pt>
                <c:pt idx="505">
                  <c:v>77</c:v>
                </c:pt>
                <c:pt idx="506">
                  <c:v>77</c:v>
                </c:pt>
                <c:pt idx="507">
                  <c:v>77</c:v>
                </c:pt>
                <c:pt idx="508">
                  <c:v>77</c:v>
                </c:pt>
                <c:pt idx="509">
                  <c:v>77</c:v>
                </c:pt>
                <c:pt idx="510">
                  <c:v>77</c:v>
                </c:pt>
                <c:pt idx="511">
                  <c:v>77</c:v>
                </c:pt>
                <c:pt idx="512">
                  <c:v>77</c:v>
                </c:pt>
                <c:pt idx="513">
                  <c:v>77</c:v>
                </c:pt>
                <c:pt idx="514">
                  <c:v>77</c:v>
                </c:pt>
                <c:pt idx="515">
                  <c:v>77</c:v>
                </c:pt>
                <c:pt idx="516">
                  <c:v>77</c:v>
                </c:pt>
                <c:pt idx="517">
                  <c:v>77</c:v>
                </c:pt>
                <c:pt idx="518">
                  <c:v>77</c:v>
                </c:pt>
                <c:pt idx="519">
                  <c:v>77</c:v>
                </c:pt>
                <c:pt idx="520">
                  <c:v>77</c:v>
                </c:pt>
                <c:pt idx="521">
                  <c:v>77</c:v>
                </c:pt>
                <c:pt idx="522">
                  <c:v>77</c:v>
                </c:pt>
                <c:pt idx="523">
                  <c:v>77</c:v>
                </c:pt>
                <c:pt idx="524">
                  <c:v>77</c:v>
                </c:pt>
                <c:pt idx="525">
                  <c:v>77</c:v>
                </c:pt>
                <c:pt idx="526">
                  <c:v>77</c:v>
                </c:pt>
                <c:pt idx="527">
                  <c:v>77</c:v>
                </c:pt>
                <c:pt idx="528">
                  <c:v>77</c:v>
                </c:pt>
                <c:pt idx="529">
                  <c:v>77</c:v>
                </c:pt>
                <c:pt idx="530">
                  <c:v>77</c:v>
                </c:pt>
                <c:pt idx="531">
                  <c:v>77</c:v>
                </c:pt>
                <c:pt idx="532">
                  <c:v>77</c:v>
                </c:pt>
                <c:pt idx="533">
                  <c:v>77</c:v>
                </c:pt>
                <c:pt idx="534">
                  <c:v>77</c:v>
                </c:pt>
                <c:pt idx="535">
                  <c:v>77</c:v>
                </c:pt>
                <c:pt idx="536">
                  <c:v>77</c:v>
                </c:pt>
                <c:pt idx="537">
                  <c:v>77</c:v>
                </c:pt>
                <c:pt idx="538">
                  <c:v>77</c:v>
                </c:pt>
                <c:pt idx="539">
                  <c:v>77</c:v>
                </c:pt>
                <c:pt idx="540">
                  <c:v>77</c:v>
                </c:pt>
                <c:pt idx="541">
                  <c:v>77</c:v>
                </c:pt>
                <c:pt idx="542">
                  <c:v>77</c:v>
                </c:pt>
                <c:pt idx="543">
                  <c:v>77</c:v>
                </c:pt>
                <c:pt idx="544">
                  <c:v>77</c:v>
                </c:pt>
                <c:pt idx="545">
                  <c:v>77</c:v>
                </c:pt>
                <c:pt idx="546">
                  <c:v>77</c:v>
                </c:pt>
                <c:pt idx="547">
                  <c:v>77</c:v>
                </c:pt>
                <c:pt idx="548">
                  <c:v>77</c:v>
                </c:pt>
                <c:pt idx="549">
                  <c:v>77</c:v>
                </c:pt>
                <c:pt idx="550">
                  <c:v>77</c:v>
                </c:pt>
                <c:pt idx="551">
                  <c:v>77</c:v>
                </c:pt>
                <c:pt idx="552">
                  <c:v>77</c:v>
                </c:pt>
                <c:pt idx="553">
                  <c:v>77</c:v>
                </c:pt>
                <c:pt idx="554">
                  <c:v>77</c:v>
                </c:pt>
                <c:pt idx="555">
                  <c:v>77</c:v>
                </c:pt>
                <c:pt idx="556">
                  <c:v>77</c:v>
                </c:pt>
                <c:pt idx="557">
                  <c:v>77</c:v>
                </c:pt>
                <c:pt idx="558">
                  <c:v>77</c:v>
                </c:pt>
                <c:pt idx="559">
                  <c:v>77</c:v>
                </c:pt>
                <c:pt idx="560">
                  <c:v>77</c:v>
                </c:pt>
                <c:pt idx="561">
                  <c:v>77</c:v>
                </c:pt>
                <c:pt idx="562">
                  <c:v>77</c:v>
                </c:pt>
                <c:pt idx="563">
                  <c:v>77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77</c:v>
                </c:pt>
                <c:pt idx="568">
                  <c:v>77</c:v>
                </c:pt>
                <c:pt idx="569">
                  <c:v>77</c:v>
                </c:pt>
                <c:pt idx="570">
                  <c:v>77</c:v>
                </c:pt>
                <c:pt idx="571">
                  <c:v>77</c:v>
                </c:pt>
                <c:pt idx="572">
                  <c:v>77</c:v>
                </c:pt>
                <c:pt idx="573">
                  <c:v>77</c:v>
                </c:pt>
                <c:pt idx="574">
                  <c:v>77</c:v>
                </c:pt>
                <c:pt idx="575">
                  <c:v>77</c:v>
                </c:pt>
                <c:pt idx="576">
                  <c:v>77</c:v>
                </c:pt>
                <c:pt idx="577">
                  <c:v>77</c:v>
                </c:pt>
                <c:pt idx="578">
                  <c:v>77</c:v>
                </c:pt>
                <c:pt idx="579">
                  <c:v>77</c:v>
                </c:pt>
                <c:pt idx="580">
                  <c:v>77</c:v>
                </c:pt>
                <c:pt idx="581">
                  <c:v>77</c:v>
                </c:pt>
                <c:pt idx="582">
                  <c:v>77</c:v>
                </c:pt>
                <c:pt idx="583">
                  <c:v>77</c:v>
                </c:pt>
                <c:pt idx="584">
                  <c:v>77</c:v>
                </c:pt>
                <c:pt idx="585">
                  <c:v>77</c:v>
                </c:pt>
                <c:pt idx="586">
                  <c:v>77</c:v>
                </c:pt>
                <c:pt idx="587">
                  <c:v>77</c:v>
                </c:pt>
                <c:pt idx="588">
                  <c:v>77</c:v>
                </c:pt>
                <c:pt idx="589">
                  <c:v>77</c:v>
                </c:pt>
                <c:pt idx="590">
                  <c:v>77</c:v>
                </c:pt>
                <c:pt idx="591">
                  <c:v>77</c:v>
                </c:pt>
                <c:pt idx="592">
                  <c:v>77</c:v>
                </c:pt>
                <c:pt idx="593">
                  <c:v>77</c:v>
                </c:pt>
                <c:pt idx="594">
                  <c:v>77</c:v>
                </c:pt>
                <c:pt idx="595">
                  <c:v>77</c:v>
                </c:pt>
                <c:pt idx="596">
                  <c:v>77</c:v>
                </c:pt>
                <c:pt idx="597">
                  <c:v>77</c:v>
                </c:pt>
                <c:pt idx="598">
                  <c:v>77</c:v>
                </c:pt>
                <c:pt idx="599">
                  <c:v>77</c:v>
                </c:pt>
                <c:pt idx="600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2-431B-B878-5583E9064B29}"/>
            </c:ext>
          </c:extLst>
        </c:ser>
        <c:ser>
          <c:idx val="1"/>
          <c:order val="1"/>
          <c:tx>
            <c:strRef>
              <c:f>'77'!$C$1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'77'!$A$2:$A$602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'77'!$C$2:$C$602</c:f>
              <c:numCache>
                <c:formatCode>General</c:formatCode>
                <c:ptCount val="601"/>
                <c:pt idx="0">
                  <c:v>30.33</c:v>
                </c:pt>
                <c:pt idx="1">
                  <c:v>30.35</c:v>
                </c:pt>
                <c:pt idx="2">
                  <c:v>30.48</c:v>
                </c:pt>
                <c:pt idx="3">
                  <c:v>30.5</c:v>
                </c:pt>
                <c:pt idx="4">
                  <c:v>30.5</c:v>
                </c:pt>
                <c:pt idx="5">
                  <c:v>30.62</c:v>
                </c:pt>
                <c:pt idx="6">
                  <c:v>30.75</c:v>
                </c:pt>
                <c:pt idx="7">
                  <c:v>30.98</c:v>
                </c:pt>
                <c:pt idx="8">
                  <c:v>31.23</c:v>
                </c:pt>
                <c:pt idx="9">
                  <c:v>31.5</c:v>
                </c:pt>
                <c:pt idx="10">
                  <c:v>31.82</c:v>
                </c:pt>
                <c:pt idx="11">
                  <c:v>32.19</c:v>
                </c:pt>
                <c:pt idx="12">
                  <c:v>32.65</c:v>
                </c:pt>
                <c:pt idx="13">
                  <c:v>33.119999999999997</c:v>
                </c:pt>
                <c:pt idx="14">
                  <c:v>33.590000000000003</c:v>
                </c:pt>
                <c:pt idx="15">
                  <c:v>34.07</c:v>
                </c:pt>
                <c:pt idx="16">
                  <c:v>34.549999999999997</c:v>
                </c:pt>
                <c:pt idx="17">
                  <c:v>35.04</c:v>
                </c:pt>
                <c:pt idx="18">
                  <c:v>35.479999999999997</c:v>
                </c:pt>
                <c:pt idx="19">
                  <c:v>35.97</c:v>
                </c:pt>
                <c:pt idx="20">
                  <c:v>36.450000000000003</c:v>
                </c:pt>
                <c:pt idx="21">
                  <c:v>36.909999999999997</c:v>
                </c:pt>
                <c:pt idx="22">
                  <c:v>37.36</c:v>
                </c:pt>
                <c:pt idx="23">
                  <c:v>37.81</c:v>
                </c:pt>
                <c:pt idx="24">
                  <c:v>38.270000000000003</c:v>
                </c:pt>
                <c:pt idx="25">
                  <c:v>38.69</c:v>
                </c:pt>
                <c:pt idx="26">
                  <c:v>39.11</c:v>
                </c:pt>
                <c:pt idx="27">
                  <c:v>39.56</c:v>
                </c:pt>
                <c:pt idx="28">
                  <c:v>39.96</c:v>
                </c:pt>
                <c:pt idx="29">
                  <c:v>40.39</c:v>
                </c:pt>
                <c:pt idx="30">
                  <c:v>40.770000000000003</c:v>
                </c:pt>
                <c:pt idx="31">
                  <c:v>41.22</c:v>
                </c:pt>
                <c:pt idx="32">
                  <c:v>41.64</c:v>
                </c:pt>
                <c:pt idx="33">
                  <c:v>42.04</c:v>
                </c:pt>
                <c:pt idx="34">
                  <c:v>42.45</c:v>
                </c:pt>
                <c:pt idx="35">
                  <c:v>42.87</c:v>
                </c:pt>
                <c:pt idx="36">
                  <c:v>43.25</c:v>
                </c:pt>
                <c:pt idx="37">
                  <c:v>43.69</c:v>
                </c:pt>
                <c:pt idx="38">
                  <c:v>44.08</c:v>
                </c:pt>
                <c:pt idx="39">
                  <c:v>44.44</c:v>
                </c:pt>
                <c:pt idx="40">
                  <c:v>44.87</c:v>
                </c:pt>
                <c:pt idx="41">
                  <c:v>45.24</c:v>
                </c:pt>
                <c:pt idx="42">
                  <c:v>45.63</c:v>
                </c:pt>
                <c:pt idx="43">
                  <c:v>46.06</c:v>
                </c:pt>
                <c:pt idx="44">
                  <c:v>46.45</c:v>
                </c:pt>
                <c:pt idx="45">
                  <c:v>46.79</c:v>
                </c:pt>
                <c:pt idx="46">
                  <c:v>47.22</c:v>
                </c:pt>
                <c:pt idx="47">
                  <c:v>47.55</c:v>
                </c:pt>
                <c:pt idx="48">
                  <c:v>48.01</c:v>
                </c:pt>
                <c:pt idx="49">
                  <c:v>48.37</c:v>
                </c:pt>
                <c:pt idx="50">
                  <c:v>48.73</c:v>
                </c:pt>
                <c:pt idx="51">
                  <c:v>49.1</c:v>
                </c:pt>
                <c:pt idx="52">
                  <c:v>49.47</c:v>
                </c:pt>
                <c:pt idx="53">
                  <c:v>49.83</c:v>
                </c:pt>
                <c:pt idx="54">
                  <c:v>50.16</c:v>
                </c:pt>
                <c:pt idx="55">
                  <c:v>50.54</c:v>
                </c:pt>
                <c:pt idx="56">
                  <c:v>50.94</c:v>
                </c:pt>
                <c:pt idx="57">
                  <c:v>51.29</c:v>
                </c:pt>
                <c:pt idx="58">
                  <c:v>51.67</c:v>
                </c:pt>
                <c:pt idx="59">
                  <c:v>51.98</c:v>
                </c:pt>
                <c:pt idx="60">
                  <c:v>52.38</c:v>
                </c:pt>
                <c:pt idx="61">
                  <c:v>52.69</c:v>
                </c:pt>
                <c:pt idx="62">
                  <c:v>53.1</c:v>
                </c:pt>
                <c:pt idx="63">
                  <c:v>53.46</c:v>
                </c:pt>
                <c:pt idx="64">
                  <c:v>53.79</c:v>
                </c:pt>
                <c:pt idx="65">
                  <c:v>54.11</c:v>
                </c:pt>
                <c:pt idx="66">
                  <c:v>54.45</c:v>
                </c:pt>
                <c:pt idx="67">
                  <c:v>54.79</c:v>
                </c:pt>
                <c:pt idx="68">
                  <c:v>55.14</c:v>
                </c:pt>
                <c:pt idx="69">
                  <c:v>55.45</c:v>
                </c:pt>
                <c:pt idx="70">
                  <c:v>55.81</c:v>
                </c:pt>
                <c:pt idx="71">
                  <c:v>56.15</c:v>
                </c:pt>
                <c:pt idx="72">
                  <c:v>56.43</c:v>
                </c:pt>
                <c:pt idx="73">
                  <c:v>56.74</c:v>
                </c:pt>
                <c:pt idx="74">
                  <c:v>57.12</c:v>
                </c:pt>
                <c:pt idx="75">
                  <c:v>57.46</c:v>
                </c:pt>
                <c:pt idx="76">
                  <c:v>57.75</c:v>
                </c:pt>
                <c:pt idx="77">
                  <c:v>58.06</c:v>
                </c:pt>
                <c:pt idx="78">
                  <c:v>58.37</c:v>
                </c:pt>
                <c:pt idx="79">
                  <c:v>58.7</c:v>
                </c:pt>
                <c:pt idx="80">
                  <c:v>59.03</c:v>
                </c:pt>
                <c:pt idx="81">
                  <c:v>59.36</c:v>
                </c:pt>
                <c:pt idx="82">
                  <c:v>59.7</c:v>
                </c:pt>
                <c:pt idx="83">
                  <c:v>60.01</c:v>
                </c:pt>
                <c:pt idx="84">
                  <c:v>60.35</c:v>
                </c:pt>
                <c:pt idx="85">
                  <c:v>60.61</c:v>
                </c:pt>
                <c:pt idx="86">
                  <c:v>60.95</c:v>
                </c:pt>
                <c:pt idx="87">
                  <c:v>61.23</c:v>
                </c:pt>
                <c:pt idx="88">
                  <c:v>61.58</c:v>
                </c:pt>
                <c:pt idx="89">
                  <c:v>61.82</c:v>
                </c:pt>
                <c:pt idx="90">
                  <c:v>62.13</c:v>
                </c:pt>
                <c:pt idx="91">
                  <c:v>62.44</c:v>
                </c:pt>
                <c:pt idx="92">
                  <c:v>62.73</c:v>
                </c:pt>
                <c:pt idx="93">
                  <c:v>63.01</c:v>
                </c:pt>
                <c:pt idx="94">
                  <c:v>63.3</c:v>
                </c:pt>
                <c:pt idx="95">
                  <c:v>63.57</c:v>
                </c:pt>
                <c:pt idx="96">
                  <c:v>63.82</c:v>
                </c:pt>
                <c:pt idx="97">
                  <c:v>64.150000000000006</c:v>
                </c:pt>
                <c:pt idx="98">
                  <c:v>64.41</c:v>
                </c:pt>
                <c:pt idx="99">
                  <c:v>64.709999999999994</c:v>
                </c:pt>
                <c:pt idx="100">
                  <c:v>64.959999999999994</c:v>
                </c:pt>
                <c:pt idx="101">
                  <c:v>65.180000000000007</c:v>
                </c:pt>
                <c:pt idx="102">
                  <c:v>65.45</c:v>
                </c:pt>
                <c:pt idx="103">
                  <c:v>65.739999999999995</c:v>
                </c:pt>
                <c:pt idx="104">
                  <c:v>66</c:v>
                </c:pt>
                <c:pt idx="105">
                  <c:v>66.25</c:v>
                </c:pt>
                <c:pt idx="106">
                  <c:v>66.489999999999995</c:v>
                </c:pt>
                <c:pt idx="107">
                  <c:v>66.680000000000007</c:v>
                </c:pt>
                <c:pt idx="108">
                  <c:v>66.91</c:v>
                </c:pt>
                <c:pt idx="109">
                  <c:v>67.19</c:v>
                </c:pt>
                <c:pt idx="110">
                  <c:v>67.38</c:v>
                </c:pt>
                <c:pt idx="111">
                  <c:v>67.58</c:v>
                </c:pt>
                <c:pt idx="112">
                  <c:v>67.8</c:v>
                </c:pt>
                <c:pt idx="113">
                  <c:v>67.95</c:v>
                </c:pt>
                <c:pt idx="114">
                  <c:v>68.180000000000007</c:v>
                </c:pt>
                <c:pt idx="115">
                  <c:v>68.349999999999994</c:v>
                </c:pt>
                <c:pt idx="116">
                  <c:v>68.540000000000006</c:v>
                </c:pt>
                <c:pt idx="117">
                  <c:v>68.69</c:v>
                </c:pt>
                <c:pt idx="118">
                  <c:v>68.88</c:v>
                </c:pt>
                <c:pt idx="119">
                  <c:v>69.010000000000005</c:v>
                </c:pt>
                <c:pt idx="120">
                  <c:v>69.099999999999994</c:v>
                </c:pt>
                <c:pt idx="121">
                  <c:v>69.260000000000005</c:v>
                </c:pt>
                <c:pt idx="122">
                  <c:v>69.45</c:v>
                </c:pt>
                <c:pt idx="123">
                  <c:v>69.61</c:v>
                </c:pt>
                <c:pt idx="124">
                  <c:v>69.72</c:v>
                </c:pt>
                <c:pt idx="125">
                  <c:v>69.86</c:v>
                </c:pt>
                <c:pt idx="126">
                  <c:v>70.010000000000005</c:v>
                </c:pt>
                <c:pt idx="127">
                  <c:v>70.2</c:v>
                </c:pt>
                <c:pt idx="128">
                  <c:v>70.33</c:v>
                </c:pt>
                <c:pt idx="129">
                  <c:v>70.42</c:v>
                </c:pt>
                <c:pt idx="130">
                  <c:v>70.599999999999994</c:v>
                </c:pt>
                <c:pt idx="131">
                  <c:v>70.7</c:v>
                </c:pt>
                <c:pt idx="132">
                  <c:v>70.81</c:v>
                </c:pt>
                <c:pt idx="133">
                  <c:v>70.989999999999995</c:v>
                </c:pt>
                <c:pt idx="134">
                  <c:v>71.099999999999994</c:v>
                </c:pt>
                <c:pt idx="135">
                  <c:v>71.209999999999994</c:v>
                </c:pt>
                <c:pt idx="136">
                  <c:v>71.31</c:v>
                </c:pt>
                <c:pt idx="137">
                  <c:v>71.45</c:v>
                </c:pt>
                <c:pt idx="138">
                  <c:v>71.58</c:v>
                </c:pt>
                <c:pt idx="139">
                  <c:v>71.67</c:v>
                </c:pt>
                <c:pt idx="140">
                  <c:v>71.77</c:v>
                </c:pt>
                <c:pt idx="141">
                  <c:v>71.900000000000006</c:v>
                </c:pt>
                <c:pt idx="142">
                  <c:v>72.040000000000006</c:v>
                </c:pt>
                <c:pt idx="143">
                  <c:v>72.11</c:v>
                </c:pt>
                <c:pt idx="144">
                  <c:v>72.16</c:v>
                </c:pt>
                <c:pt idx="145">
                  <c:v>72.290000000000006</c:v>
                </c:pt>
                <c:pt idx="146">
                  <c:v>72.430000000000007</c:v>
                </c:pt>
                <c:pt idx="147">
                  <c:v>72.53</c:v>
                </c:pt>
                <c:pt idx="148">
                  <c:v>72.569999999999993</c:v>
                </c:pt>
                <c:pt idx="149">
                  <c:v>72.73</c:v>
                </c:pt>
                <c:pt idx="150">
                  <c:v>72.790000000000006</c:v>
                </c:pt>
                <c:pt idx="151">
                  <c:v>72.95</c:v>
                </c:pt>
                <c:pt idx="152">
                  <c:v>73.040000000000006</c:v>
                </c:pt>
                <c:pt idx="153">
                  <c:v>73.099999999999994</c:v>
                </c:pt>
                <c:pt idx="154">
                  <c:v>73.22</c:v>
                </c:pt>
                <c:pt idx="155">
                  <c:v>73.34</c:v>
                </c:pt>
                <c:pt idx="156">
                  <c:v>73.400000000000006</c:v>
                </c:pt>
                <c:pt idx="157">
                  <c:v>73.489999999999995</c:v>
                </c:pt>
                <c:pt idx="158">
                  <c:v>73.680000000000007</c:v>
                </c:pt>
                <c:pt idx="159">
                  <c:v>73.739999999999995</c:v>
                </c:pt>
                <c:pt idx="160">
                  <c:v>73.86</c:v>
                </c:pt>
                <c:pt idx="161">
                  <c:v>73.97</c:v>
                </c:pt>
                <c:pt idx="162">
                  <c:v>74.069999999999993</c:v>
                </c:pt>
                <c:pt idx="163">
                  <c:v>74.22</c:v>
                </c:pt>
                <c:pt idx="164">
                  <c:v>74.28</c:v>
                </c:pt>
                <c:pt idx="165">
                  <c:v>74.349999999999994</c:v>
                </c:pt>
                <c:pt idx="166">
                  <c:v>74.44</c:v>
                </c:pt>
                <c:pt idx="167">
                  <c:v>74.52</c:v>
                </c:pt>
                <c:pt idx="168">
                  <c:v>74.67</c:v>
                </c:pt>
                <c:pt idx="169">
                  <c:v>74.72</c:v>
                </c:pt>
                <c:pt idx="170">
                  <c:v>74.83</c:v>
                </c:pt>
                <c:pt idx="171">
                  <c:v>74.930000000000007</c:v>
                </c:pt>
                <c:pt idx="172">
                  <c:v>75.02</c:v>
                </c:pt>
                <c:pt idx="173">
                  <c:v>75.150000000000006</c:v>
                </c:pt>
                <c:pt idx="174">
                  <c:v>75.239999999999995</c:v>
                </c:pt>
                <c:pt idx="175">
                  <c:v>75.34</c:v>
                </c:pt>
                <c:pt idx="176">
                  <c:v>75.48</c:v>
                </c:pt>
                <c:pt idx="177">
                  <c:v>75.599999999999994</c:v>
                </c:pt>
                <c:pt idx="178">
                  <c:v>75.69</c:v>
                </c:pt>
                <c:pt idx="179">
                  <c:v>75.83</c:v>
                </c:pt>
                <c:pt idx="180">
                  <c:v>75.98</c:v>
                </c:pt>
                <c:pt idx="181">
                  <c:v>76.08</c:v>
                </c:pt>
                <c:pt idx="182">
                  <c:v>76.150000000000006</c:v>
                </c:pt>
                <c:pt idx="183">
                  <c:v>76.260000000000005</c:v>
                </c:pt>
                <c:pt idx="184">
                  <c:v>76.430000000000007</c:v>
                </c:pt>
                <c:pt idx="185">
                  <c:v>76.55</c:v>
                </c:pt>
                <c:pt idx="186">
                  <c:v>76.59</c:v>
                </c:pt>
                <c:pt idx="187">
                  <c:v>76.75</c:v>
                </c:pt>
                <c:pt idx="188">
                  <c:v>76.8</c:v>
                </c:pt>
                <c:pt idx="189">
                  <c:v>76.92</c:v>
                </c:pt>
                <c:pt idx="190">
                  <c:v>77.069999999999993</c:v>
                </c:pt>
                <c:pt idx="191">
                  <c:v>77.16</c:v>
                </c:pt>
                <c:pt idx="192">
                  <c:v>77.260000000000005</c:v>
                </c:pt>
                <c:pt idx="193">
                  <c:v>77.33</c:v>
                </c:pt>
                <c:pt idx="194">
                  <c:v>77.44</c:v>
                </c:pt>
                <c:pt idx="195">
                  <c:v>77.52</c:v>
                </c:pt>
                <c:pt idx="196">
                  <c:v>77.569999999999993</c:v>
                </c:pt>
                <c:pt idx="197">
                  <c:v>77.66</c:v>
                </c:pt>
                <c:pt idx="198">
                  <c:v>77.66</c:v>
                </c:pt>
                <c:pt idx="199">
                  <c:v>77.73</c:v>
                </c:pt>
                <c:pt idx="200">
                  <c:v>77.73</c:v>
                </c:pt>
                <c:pt idx="201">
                  <c:v>77.75</c:v>
                </c:pt>
                <c:pt idx="202">
                  <c:v>77.650000000000006</c:v>
                </c:pt>
                <c:pt idx="203">
                  <c:v>77.680000000000007</c:v>
                </c:pt>
                <c:pt idx="204">
                  <c:v>77.540000000000006</c:v>
                </c:pt>
                <c:pt idx="205">
                  <c:v>77.489999999999995</c:v>
                </c:pt>
                <c:pt idx="206">
                  <c:v>77.41</c:v>
                </c:pt>
                <c:pt idx="207">
                  <c:v>77.31</c:v>
                </c:pt>
                <c:pt idx="208">
                  <c:v>77.16</c:v>
                </c:pt>
                <c:pt idx="209">
                  <c:v>77.099999999999994</c:v>
                </c:pt>
                <c:pt idx="210">
                  <c:v>76.989999999999995</c:v>
                </c:pt>
                <c:pt idx="211">
                  <c:v>76.88</c:v>
                </c:pt>
                <c:pt idx="212">
                  <c:v>76.790000000000006</c:v>
                </c:pt>
                <c:pt idx="213">
                  <c:v>76.790000000000006</c:v>
                </c:pt>
                <c:pt idx="214">
                  <c:v>76.7</c:v>
                </c:pt>
                <c:pt idx="215">
                  <c:v>76.66</c:v>
                </c:pt>
                <c:pt idx="216">
                  <c:v>76.69</c:v>
                </c:pt>
                <c:pt idx="217">
                  <c:v>76.69</c:v>
                </c:pt>
                <c:pt idx="218">
                  <c:v>76.680000000000007</c:v>
                </c:pt>
                <c:pt idx="219">
                  <c:v>76.69</c:v>
                </c:pt>
                <c:pt idx="220">
                  <c:v>76.78</c:v>
                </c:pt>
                <c:pt idx="221">
                  <c:v>76.790000000000006</c:v>
                </c:pt>
                <c:pt idx="222">
                  <c:v>76.84</c:v>
                </c:pt>
                <c:pt idx="223">
                  <c:v>76.92</c:v>
                </c:pt>
                <c:pt idx="224">
                  <c:v>76.959999999999994</c:v>
                </c:pt>
                <c:pt idx="225">
                  <c:v>77</c:v>
                </c:pt>
                <c:pt idx="226">
                  <c:v>77.09</c:v>
                </c:pt>
                <c:pt idx="227">
                  <c:v>77.2</c:v>
                </c:pt>
                <c:pt idx="228">
                  <c:v>77.19</c:v>
                </c:pt>
                <c:pt idx="229">
                  <c:v>77.31</c:v>
                </c:pt>
                <c:pt idx="230">
                  <c:v>77.319999999999993</c:v>
                </c:pt>
                <c:pt idx="231">
                  <c:v>77.459999999999994</c:v>
                </c:pt>
                <c:pt idx="232">
                  <c:v>77.430000000000007</c:v>
                </c:pt>
                <c:pt idx="233">
                  <c:v>77.55</c:v>
                </c:pt>
                <c:pt idx="234">
                  <c:v>77.62</c:v>
                </c:pt>
                <c:pt idx="235">
                  <c:v>77.58</c:v>
                </c:pt>
                <c:pt idx="236">
                  <c:v>77.62</c:v>
                </c:pt>
                <c:pt idx="237">
                  <c:v>77.66</c:v>
                </c:pt>
                <c:pt idx="238">
                  <c:v>77.62</c:v>
                </c:pt>
                <c:pt idx="239">
                  <c:v>77.650000000000006</c:v>
                </c:pt>
                <c:pt idx="240">
                  <c:v>77.599999999999994</c:v>
                </c:pt>
                <c:pt idx="241">
                  <c:v>77.52</c:v>
                </c:pt>
                <c:pt idx="242">
                  <c:v>77.47</c:v>
                </c:pt>
                <c:pt idx="243">
                  <c:v>77.45</c:v>
                </c:pt>
                <c:pt idx="244">
                  <c:v>77.41</c:v>
                </c:pt>
                <c:pt idx="245">
                  <c:v>77.34</c:v>
                </c:pt>
                <c:pt idx="246">
                  <c:v>77.290000000000006</c:v>
                </c:pt>
                <c:pt idx="247">
                  <c:v>77.180000000000007</c:v>
                </c:pt>
                <c:pt idx="248">
                  <c:v>77.14</c:v>
                </c:pt>
                <c:pt idx="249">
                  <c:v>77.12</c:v>
                </c:pt>
                <c:pt idx="250">
                  <c:v>77.09</c:v>
                </c:pt>
                <c:pt idx="251">
                  <c:v>76.97</c:v>
                </c:pt>
                <c:pt idx="252">
                  <c:v>77.06</c:v>
                </c:pt>
                <c:pt idx="253">
                  <c:v>76.97</c:v>
                </c:pt>
                <c:pt idx="254">
                  <c:v>77.010000000000005</c:v>
                </c:pt>
                <c:pt idx="255">
                  <c:v>76.95</c:v>
                </c:pt>
                <c:pt idx="256">
                  <c:v>77</c:v>
                </c:pt>
                <c:pt idx="257">
                  <c:v>77.02</c:v>
                </c:pt>
                <c:pt idx="258">
                  <c:v>77.040000000000006</c:v>
                </c:pt>
                <c:pt idx="259">
                  <c:v>77.06</c:v>
                </c:pt>
                <c:pt idx="260">
                  <c:v>77.099999999999994</c:v>
                </c:pt>
                <c:pt idx="261">
                  <c:v>77.08</c:v>
                </c:pt>
                <c:pt idx="262">
                  <c:v>77.17</c:v>
                </c:pt>
                <c:pt idx="263">
                  <c:v>77.150000000000006</c:v>
                </c:pt>
                <c:pt idx="264">
                  <c:v>77.17</c:v>
                </c:pt>
                <c:pt idx="265">
                  <c:v>77.22</c:v>
                </c:pt>
                <c:pt idx="266">
                  <c:v>77.33</c:v>
                </c:pt>
                <c:pt idx="267">
                  <c:v>77.37</c:v>
                </c:pt>
                <c:pt idx="268">
                  <c:v>77.41</c:v>
                </c:pt>
                <c:pt idx="269">
                  <c:v>77.430000000000007</c:v>
                </c:pt>
                <c:pt idx="270">
                  <c:v>77.430000000000007</c:v>
                </c:pt>
                <c:pt idx="271">
                  <c:v>77.47</c:v>
                </c:pt>
                <c:pt idx="272">
                  <c:v>77.48</c:v>
                </c:pt>
                <c:pt idx="273">
                  <c:v>77.489999999999995</c:v>
                </c:pt>
                <c:pt idx="274">
                  <c:v>77.430000000000007</c:v>
                </c:pt>
                <c:pt idx="275">
                  <c:v>77.459999999999994</c:v>
                </c:pt>
                <c:pt idx="276">
                  <c:v>77.510000000000005</c:v>
                </c:pt>
                <c:pt idx="277">
                  <c:v>77.459999999999994</c:v>
                </c:pt>
                <c:pt idx="278">
                  <c:v>77.48</c:v>
                </c:pt>
                <c:pt idx="279">
                  <c:v>77.41</c:v>
                </c:pt>
                <c:pt idx="280">
                  <c:v>77.400000000000006</c:v>
                </c:pt>
                <c:pt idx="281">
                  <c:v>77.400000000000006</c:v>
                </c:pt>
                <c:pt idx="282">
                  <c:v>77.36</c:v>
                </c:pt>
                <c:pt idx="283">
                  <c:v>77.290000000000006</c:v>
                </c:pt>
                <c:pt idx="284">
                  <c:v>77.319999999999993</c:v>
                </c:pt>
                <c:pt idx="285">
                  <c:v>77.3</c:v>
                </c:pt>
                <c:pt idx="286">
                  <c:v>77.22</c:v>
                </c:pt>
                <c:pt idx="287">
                  <c:v>77.239999999999995</c:v>
                </c:pt>
                <c:pt idx="288">
                  <c:v>77.16</c:v>
                </c:pt>
                <c:pt idx="289">
                  <c:v>77.19</c:v>
                </c:pt>
                <c:pt idx="290">
                  <c:v>77.150000000000006</c:v>
                </c:pt>
                <c:pt idx="291">
                  <c:v>77.19</c:v>
                </c:pt>
                <c:pt idx="292">
                  <c:v>77.14</c:v>
                </c:pt>
                <c:pt idx="293">
                  <c:v>77.19</c:v>
                </c:pt>
                <c:pt idx="294">
                  <c:v>77.19</c:v>
                </c:pt>
                <c:pt idx="295">
                  <c:v>77.180000000000007</c:v>
                </c:pt>
                <c:pt idx="296">
                  <c:v>77.22</c:v>
                </c:pt>
                <c:pt idx="297">
                  <c:v>77.14</c:v>
                </c:pt>
                <c:pt idx="298">
                  <c:v>77.239999999999995</c:v>
                </c:pt>
                <c:pt idx="299">
                  <c:v>77.23</c:v>
                </c:pt>
                <c:pt idx="300">
                  <c:v>77.25</c:v>
                </c:pt>
                <c:pt idx="301">
                  <c:v>77.290000000000006</c:v>
                </c:pt>
                <c:pt idx="302">
                  <c:v>77.27</c:v>
                </c:pt>
                <c:pt idx="303">
                  <c:v>77.33</c:v>
                </c:pt>
                <c:pt idx="304">
                  <c:v>77.31</c:v>
                </c:pt>
                <c:pt idx="305">
                  <c:v>77.290000000000006</c:v>
                </c:pt>
                <c:pt idx="306">
                  <c:v>77.36</c:v>
                </c:pt>
                <c:pt idx="307">
                  <c:v>77.39</c:v>
                </c:pt>
                <c:pt idx="308">
                  <c:v>77.33</c:v>
                </c:pt>
                <c:pt idx="309">
                  <c:v>77.33</c:v>
                </c:pt>
                <c:pt idx="310">
                  <c:v>77.39</c:v>
                </c:pt>
                <c:pt idx="311">
                  <c:v>77.36</c:v>
                </c:pt>
                <c:pt idx="312">
                  <c:v>77.39</c:v>
                </c:pt>
                <c:pt idx="313">
                  <c:v>77.34</c:v>
                </c:pt>
                <c:pt idx="314">
                  <c:v>77.33</c:v>
                </c:pt>
                <c:pt idx="315">
                  <c:v>77.37</c:v>
                </c:pt>
                <c:pt idx="316">
                  <c:v>77.36</c:v>
                </c:pt>
                <c:pt idx="317">
                  <c:v>77.31</c:v>
                </c:pt>
                <c:pt idx="318">
                  <c:v>77.349999999999994</c:v>
                </c:pt>
                <c:pt idx="319">
                  <c:v>77.33</c:v>
                </c:pt>
                <c:pt idx="320">
                  <c:v>77.25</c:v>
                </c:pt>
                <c:pt idx="321">
                  <c:v>77.260000000000005</c:v>
                </c:pt>
                <c:pt idx="322">
                  <c:v>77.260000000000005</c:v>
                </c:pt>
                <c:pt idx="323">
                  <c:v>77.28</c:v>
                </c:pt>
                <c:pt idx="324">
                  <c:v>77.239999999999995</c:v>
                </c:pt>
                <c:pt idx="325">
                  <c:v>77.239999999999995</c:v>
                </c:pt>
                <c:pt idx="326">
                  <c:v>77.209999999999994</c:v>
                </c:pt>
                <c:pt idx="327">
                  <c:v>77.23</c:v>
                </c:pt>
                <c:pt idx="328">
                  <c:v>77.209999999999994</c:v>
                </c:pt>
                <c:pt idx="329">
                  <c:v>77.22</c:v>
                </c:pt>
                <c:pt idx="330">
                  <c:v>77.31</c:v>
                </c:pt>
                <c:pt idx="331">
                  <c:v>77.23</c:v>
                </c:pt>
                <c:pt idx="332">
                  <c:v>77.290000000000006</c:v>
                </c:pt>
                <c:pt idx="333">
                  <c:v>77.239999999999995</c:v>
                </c:pt>
                <c:pt idx="334">
                  <c:v>77.31</c:v>
                </c:pt>
                <c:pt idx="335">
                  <c:v>77.31</c:v>
                </c:pt>
                <c:pt idx="336">
                  <c:v>77.33</c:v>
                </c:pt>
                <c:pt idx="337">
                  <c:v>77.33</c:v>
                </c:pt>
                <c:pt idx="338">
                  <c:v>77.33</c:v>
                </c:pt>
                <c:pt idx="339">
                  <c:v>77.34</c:v>
                </c:pt>
                <c:pt idx="340">
                  <c:v>77.27</c:v>
                </c:pt>
                <c:pt idx="341">
                  <c:v>77.319999999999993</c:v>
                </c:pt>
                <c:pt idx="342">
                  <c:v>77.3</c:v>
                </c:pt>
                <c:pt idx="343">
                  <c:v>77.33</c:v>
                </c:pt>
                <c:pt idx="344">
                  <c:v>77.33</c:v>
                </c:pt>
                <c:pt idx="345">
                  <c:v>77.349999999999994</c:v>
                </c:pt>
                <c:pt idx="346">
                  <c:v>77.28</c:v>
                </c:pt>
                <c:pt idx="347">
                  <c:v>77.28</c:v>
                </c:pt>
                <c:pt idx="348">
                  <c:v>77.31</c:v>
                </c:pt>
                <c:pt idx="349">
                  <c:v>77.33</c:v>
                </c:pt>
                <c:pt idx="350">
                  <c:v>77.31</c:v>
                </c:pt>
                <c:pt idx="351">
                  <c:v>77.31</c:v>
                </c:pt>
                <c:pt idx="352">
                  <c:v>77.25</c:v>
                </c:pt>
                <c:pt idx="353">
                  <c:v>77.260000000000005</c:v>
                </c:pt>
                <c:pt idx="354">
                  <c:v>77.28</c:v>
                </c:pt>
                <c:pt idx="355">
                  <c:v>77.27</c:v>
                </c:pt>
                <c:pt idx="356">
                  <c:v>77.27</c:v>
                </c:pt>
                <c:pt idx="357">
                  <c:v>77.260000000000005</c:v>
                </c:pt>
                <c:pt idx="358">
                  <c:v>77.260000000000005</c:v>
                </c:pt>
                <c:pt idx="359">
                  <c:v>77.25</c:v>
                </c:pt>
                <c:pt idx="360">
                  <c:v>77.31</c:v>
                </c:pt>
                <c:pt idx="361">
                  <c:v>77.25</c:v>
                </c:pt>
                <c:pt idx="362">
                  <c:v>77.209999999999994</c:v>
                </c:pt>
                <c:pt idx="363">
                  <c:v>77.23</c:v>
                </c:pt>
                <c:pt idx="364">
                  <c:v>77.23</c:v>
                </c:pt>
                <c:pt idx="365">
                  <c:v>77.290000000000006</c:v>
                </c:pt>
                <c:pt idx="366">
                  <c:v>77.25</c:v>
                </c:pt>
                <c:pt idx="367">
                  <c:v>77.319999999999993</c:v>
                </c:pt>
                <c:pt idx="368">
                  <c:v>77.28</c:v>
                </c:pt>
                <c:pt idx="369">
                  <c:v>77.319999999999993</c:v>
                </c:pt>
                <c:pt idx="370">
                  <c:v>77.290000000000006</c:v>
                </c:pt>
                <c:pt idx="371">
                  <c:v>77.319999999999993</c:v>
                </c:pt>
                <c:pt idx="372">
                  <c:v>77.31</c:v>
                </c:pt>
                <c:pt idx="373">
                  <c:v>77.31</c:v>
                </c:pt>
                <c:pt idx="374">
                  <c:v>77.39</c:v>
                </c:pt>
                <c:pt idx="375">
                  <c:v>77.38</c:v>
                </c:pt>
                <c:pt idx="376">
                  <c:v>77.34</c:v>
                </c:pt>
                <c:pt idx="377">
                  <c:v>77.38</c:v>
                </c:pt>
                <c:pt idx="378">
                  <c:v>77.41</c:v>
                </c:pt>
                <c:pt idx="379">
                  <c:v>77.39</c:v>
                </c:pt>
                <c:pt idx="380">
                  <c:v>77.38</c:v>
                </c:pt>
                <c:pt idx="381">
                  <c:v>77.349999999999994</c:v>
                </c:pt>
                <c:pt idx="382">
                  <c:v>77.34</c:v>
                </c:pt>
                <c:pt idx="383">
                  <c:v>77.33</c:v>
                </c:pt>
                <c:pt idx="384">
                  <c:v>77.36</c:v>
                </c:pt>
                <c:pt idx="385">
                  <c:v>77.349999999999994</c:v>
                </c:pt>
                <c:pt idx="386">
                  <c:v>77.34</c:v>
                </c:pt>
                <c:pt idx="387">
                  <c:v>77.27</c:v>
                </c:pt>
                <c:pt idx="388">
                  <c:v>77.34</c:v>
                </c:pt>
                <c:pt idx="389">
                  <c:v>77.260000000000005</c:v>
                </c:pt>
                <c:pt idx="390">
                  <c:v>77.25</c:v>
                </c:pt>
                <c:pt idx="391">
                  <c:v>77.27</c:v>
                </c:pt>
                <c:pt idx="392">
                  <c:v>77.22</c:v>
                </c:pt>
                <c:pt idx="393">
                  <c:v>77.22</c:v>
                </c:pt>
                <c:pt idx="394">
                  <c:v>77.27</c:v>
                </c:pt>
                <c:pt idx="395">
                  <c:v>77.27</c:v>
                </c:pt>
                <c:pt idx="396">
                  <c:v>77.2</c:v>
                </c:pt>
                <c:pt idx="397">
                  <c:v>77.239999999999995</c:v>
                </c:pt>
                <c:pt idx="398">
                  <c:v>77.23</c:v>
                </c:pt>
                <c:pt idx="399">
                  <c:v>77.239999999999995</c:v>
                </c:pt>
                <c:pt idx="400">
                  <c:v>77.25</c:v>
                </c:pt>
                <c:pt idx="401">
                  <c:v>77.23</c:v>
                </c:pt>
                <c:pt idx="402">
                  <c:v>77.19</c:v>
                </c:pt>
                <c:pt idx="403">
                  <c:v>77.23</c:v>
                </c:pt>
                <c:pt idx="404">
                  <c:v>77.23</c:v>
                </c:pt>
                <c:pt idx="405">
                  <c:v>77.28</c:v>
                </c:pt>
                <c:pt idx="406">
                  <c:v>77.239999999999995</c:v>
                </c:pt>
                <c:pt idx="407">
                  <c:v>77.290000000000006</c:v>
                </c:pt>
                <c:pt idx="408">
                  <c:v>77.180000000000007</c:v>
                </c:pt>
                <c:pt idx="409">
                  <c:v>77.33</c:v>
                </c:pt>
                <c:pt idx="410">
                  <c:v>77.14</c:v>
                </c:pt>
                <c:pt idx="411">
                  <c:v>77.34</c:v>
                </c:pt>
                <c:pt idx="412">
                  <c:v>77.099999999999994</c:v>
                </c:pt>
                <c:pt idx="413">
                  <c:v>77.349999999999994</c:v>
                </c:pt>
                <c:pt idx="414">
                  <c:v>77.11</c:v>
                </c:pt>
                <c:pt idx="415">
                  <c:v>77.349999999999994</c:v>
                </c:pt>
                <c:pt idx="416">
                  <c:v>77.12</c:v>
                </c:pt>
                <c:pt idx="417">
                  <c:v>77.34</c:v>
                </c:pt>
                <c:pt idx="418">
                  <c:v>77.16</c:v>
                </c:pt>
                <c:pt idx="419">
                  <c:v>77.349999999999994</c:v>
                </c:pt>
                <c:pt idx="420">
                  <c:v>77.150000000000006</c:v>
                </c:pt>
                <c:pt idx="421">
                  <c:v>77.349999999999994</c:v>
                </c:pt>
                <c:pt idx="422">
                  <c:v>77.12</c:v>
                </c:pt>
                <c:pt idx="423">
                  <c:v>77.290000000000006</c:v>
                </c:pt>
                <c:pt idx="424">
                  <c:v>77.13</c:v>
                </c:pt>
                <c:pt idx="425">
                  <c:v>77.290000000000006</c:v>
                </c:pt>
                <c:pt idx="426">
                  <c:v>77.08</c:v>
                </c:pt>
                <c:pt idx="427">
                  <c:v>77.349999999999994</c:v>
                </c:pt>
                <c:pt idx="428">
                  <c:v>77.13</c:v>
                </c:pt>
                <c:pt idx="429">
                  <c:v>77.27</c:v>
                </c:pt>
                <c:pt idx="430">
                  <c:v>77.09</c:v>
                </c:pt>
                <c:pt idx="431">
                  <c:v>77.319999999999993</c:v>
                </c:pt>
                <c:pt idx="432">
                  <c:v>77.13</c:v>
                </c:pt>
                <c:pt idx="433">
                  <c:v>77.23</c:v>
                </c:pt>
                <c:pt idx="434">
                  <c:v>77.09</c:v>
                </c:pt>
                <c:pt idx="435">
                  <c:v>77.33</c:v>
                </c:pt>
                <c:pt idx="436">
                  <c:v>77.08</c:v>
                </c:pt>
                <c:pt idx="437">
                  <c:v>77.290000000000006</c:v>
                </c:pt>
                <c:pt idx="438">
                  <c:v>77.13</c:v>
                </c:pt>
                <c:pt idx="439">
                  <c:v>77.17</c:v>
                </c:pt>
                <c:pt idx="440">
                  <c:v>77.11</c:v>
                </c:pt>
                <c:pt idx="441">
                  <c:v>77.22</c:v>
                </c:pt>
                <c:pt idx="442">
                  <c:v>77.180000000000007</c:v>
                </c:pt>
                <c:pt idx="443">
                  <c:v>77.180000000000007</c:v>
                </c:pt>
                <c:pt idx="444">
                  <c:v>77.19</c:v>
                </c:pt>
                <c:pt idx="445">
                  <c:v>77.14</c:v>
                </c:pt>
                <c:pt idx="446">
                  <c:v>77.209999999999994</c:v>
                </c:pt>
                <c:pt idx="447">
                  <c:v>77.180000000000007</c:v>
                </c:pt>
                <c:pt idx="448">
                  <c:v>77.19</c:v>
                </c:pt>
                <c:pt idx="449">
                  <c:v>77.23</c:v>
                </c:pt>
                <c:pt idx="450">
                  <c:v>77.23</c:v>
                </c:pt>
                <c:pt idx="451">
                  <c:v>77.25</c:v>
                </c:pt>
                <c:pt idx="452">
                  <c:v>77.23</c:v>
                </c:pt>
                <c:pt idx="453">
                  <c:v>77.33</c:v>
                </c:pt>
                <c:pt idx="454">
                  <c:v>77.28</c:v>
                </c:pt>
                <c:pt idx="455">
                  <c:v>77.31</c:v>
                </c:pt>
                <c:pt idx="456">
                  <c:v>77.31</c:v>
                </c:pt>
                <c:pt idx="457">
                  <c:v>77.33</c:v>
                </c:pt>
                <c:pt idx="458">
                  <c:v>77.38</c:v>
                </c:pt>
                <c:pt idx="459">
                  <c:v>77.33</c:v>
                </c:pt>
                <c:pt idx="460">
                  <c:v>77.349999999999994</c:v>
                </c:pt>
                <c:pt idx="461">
                  <c:v>77.39</c:v>
                </c:pt>
                <c:pt idx="462">
                  <c:v>77.33</c:v>
                </c:pt>
                <c:pt idx="463">
                  <c:v>77.39</c:v>
                </c:pt>
                <c:pt idx="464">
                  <c:v>77.39</c:v>
                </c:pt>
                <c:pt idx="465">
                  <c:v>77.400000000000006</c:v>
                </c:pt>
                <c:pt idx="466">
                  <c:v>77.38</c:v>
                </c:pt>
                <c:pt idx="467">
                  <c:v>77.38</c:v>
                </c:pt>
                <c:pt idx="468">
                  <c:v>77.37</c:v>
                </c:pt>
                <c:pt idx="469">
                  <c:v>77.41</c:v>
                </c:pt>
                <c:pt idx="470">
                  <c:v>77.400000000000006</c:v>
                </c:pt>
                <c:pt idx="471">
                  <c:v>77.37</c:v>
                </c:pt>
                <c:pt idx="472">
                  <c:v>77.349999999999994</c:v>
                </c:pt>
                <c:pt idx="473">
                  <c:v>77.349999999999994</c:v>
                </c:pt>
                <c:pt idx="474">
                  <c:v>77.3</c:v>
                </c:pt>
                <c:pt idx="475">
                  <c:v>77.31</c:v>
                </c:pt>
                <c:pt idx="476">
                  <c:v>77.290000000000006</c:v>
                </c:pt>
                <c:pt idx="477">
                  <c:v>77.28</c:v>
                </c:pt>
                <c:pt idx="478">
                  <c:v>77.31</c:v>
                </c:pt>
                <c:pt idx="479">
                  <c:v>77.319999999999993</c:v>
                </c:pt>
                <c:pt idx="480">
                  <c:v>77.31</c:v>
                </c:pt>
                <c:pt idx="481">
                  <c:v>77.290000000000006</c:v>
                </c:pt>
                <c:pt idx="482">
                  <c:v>77.25</c:v>
                </c:pt>
                <c:pt idx="483">
                  <c:v>77.290000000000006</c:v>
                </c:pt>
                <c:pt idx="484">
                  <c:v>77.290000000000006</c:v>
                </c:pt>
                <c:pt idx="485">
                  <c:v>77.27</c:v>
                </c:pt>
                <c:pt idx="486">
                  <c:v>77.319999999999993</c:v>
                </c:pt>
                <c:pt idx="487">
                  <c:v>77.28</c:v>
                </c:pt>
                <c:pt idx="488">
                  <c:v>77.290000000000006</c:v>
                </c:pt>
                <c:pt idx="489">
                  <c:v>77.290000000000006</c:v>
                </c:pt>
                <c:pt idx="490">
                  <c:v>77.34</c:v>
                </c:pt>
                <c:pt idx="491">
                  <c:v>77.28</c:v>
                </c:pt>
                <c:pt idx="492">
                  <c:v>77.31</c:v>
                </c:pt>
                <c:pt idx="493">
                  <c:v>77.33</c:v>
                </c:pt>
                <c:pt idx="494">
                  <c:v>77.33</c:v>
                </c:pt>
                <c:pt idx="495">
                  <c:v>77.319999999999993</c:v>
                </c:pt>
                <c:pt idx="496">
                  <c:v>77.33</c:v>
                </c:pt>
                <c:pt idx="497">
                  <c:v>77.319999999999993</c:v>
                </c:pt>
                <c:pt idx="498">
                  <c:v>77.34</c:v>
                </c:pt>
                <c:pt idx="499">
                  <c:v>77.27</c:v>
                </c:pt>
                <c:pt idx="500">
                  <c:v>77.290000000000006</c:v>
                </c:pt>
                <c:pt idx="501">
                  <c:v>77.33</c:v>
                </c:pt>
                <c:pt idx="502">
                  <c:v>77.28</c:v>
                </c:pt>
                <c:pt idx="503">
                  <c:v>77.31</c:v>
                </c:pt>
                <c:pt idx="504">
                  <c:v>77.25</c:v>
                </c:pt>
                <c:pt idx="505">
                  <c:v>77.31</c:v>
                </c:pt>
                <c:pt idx="506">
                  <c:v>77.25</c:v>
                </c:pt>
                <c:pt idx="507">
                  <c:v>77.31</c:v>
                </c:pt>
                <c:pt idx="508">
                  <c:v>77.27</c:v>
                </c:pt>
                <c:pt idx="509">
                  <c:v>77.290000000000006</c:v>
                </c:pt>
                <c:pt idx="510">
                  <c:v>77.319999999999993</c:v>
                </c:pt>
                <c:pt idx="511">
                  <c:v>77.3</c:v>
                </c:pt>
                <c:pt idx="512">
                  <c:v>77.31</c:v>
                </c:pt>
                <c:pt idx="513">
                  <c:v>77.27</c:v>
                </c:pt>
                <c:pt idx="514">
                  <c:v>77.33</c:v>
                </c:pt>
                <c:pt idx="515">
                  <c:v>77.33</c:v>
                </c:pt>
                <c:pt idx="516">
                  <c:v>77.27</c:v>
                </c:pt>
                <c:pt idx="517">
                  <c:v>77.319999999999993</c:v>
                </c:pt>
                <c:pt idx="518">
                  <c:v>77.290000000000006</c:v>
                </c:pt>
                <c:pt idx="519">
                  <c:v>77.349999999999994</c:v>
                </c:pt>
                <c:pt idx="520">
                  <c:v>77.33</c:v>
                </c:pt>
                <c:pt idx="521">
                  <c:v>77.33</c:v>
                </c:pt>
                <c:pt idx="522">
                  <c:v>77.36</c:v>
                </c:pt>
                <c:pt idx="523">
                  <c:v>77.319999999999993</c:v>
                </c:pt>
                <c:pt idx="524">
                  <c:v>77.349999999999994</c:v>
                </c:pt>
                <c:pt idx="525">
                  <c:v>77.319999999999993</c:v>
                </c:pt>
                <c:pt idx="526">
                  <c:v>77.31</c:v>
                </c:pt>
                <c:pt idx="527">
                  <c:v>77.37</c:v>
                </c:pt>
                <c:pt idx="528">
                  <c:v>77.38</c:v>
                </c:pt>
                <c:pt idx="529">
                  <c:v>77.34</c:v>
                </c:pt>
                <c:pt idx="530">
                  <c:v>77.34</c:v>
                </c:pt>
                <c:pt idx="531">
                  <c:v>77.37</c:v>
                </c:pt>
                <c:pt idx="532">
                  <c:v>77.34</c:v>
                </c:pt>
                <c:pt idx="533">
                  <c:v>77.36</c:v>
                </c:pt>
                <c:pt idx="534">
                  <c:v>77.319999999999993</c:v>
                </c:pt>
                <c:pt idx="535">
                  <c:v>77.349999999999994</c:v>
                </c:pt>
                <c:pt idx="536">
                  <c:v>77.31</c:v>
                </c:pt>
                <c:pt idx="537">
                  <c:v>77.3</c:v>
                </c:pt>
                <c:pt idx="538">
                  <c:v>77.319999999999993</c:v>
                </c:pt>
                <c:pt idx="539">
                  <c:v>77.34</c:v>
                </c:pt>
                <c:pt idx="540">
                  <c:v>77.3</c:v>
                </c:pt>
                <c:pt idx="541">
                  <c:v>77.3</c:v>
                </c:pt>
                <c:pt idx="542">
                  <c:v>77.33</c:v>
                </c:pt>
                <c:pt idx="543">
                  <c:v>77.31</c:v>
                </c:pt>
                <c:pt idx="544">
                  <c:v>77.31</c:v>
                </c:pt>
                <c:pt idx="545">
                  <c:v>77.27</c:v>
                </c:pt>
                <c:pt idx="546">
                  <c:v>77.31</c:v>
                </c:pt>
                <c:pt idx="547">
                  <c:v>77.319999999999993</c:v>
                </c:pt>
                <c:pt idx="548">
                  <c:v>77.31</c:v>
                </c:pt>
                <c:pt idx="549">
                  <c:v>77.31</c:v>
                </c:pt>
                <c:pt idx="550">
                  <c:v>77.27</c:v>
                </c:pt>
                <c:pt idx="551">
                  <c:v>77.28</c:v>
                </c:pt>
                <c:pt idx="552">
                  <c:v>77.319999999999993</c:v>
                </c:pt>
                <c:pt idx="553">
                  <c:v>77.28</c:v>
                </c:pt>
                <c:pt idx="554">
                  <c:v>77.290000000000006</c:v>
                </c:pt>
                <c:pt idx="555">
                  <c:v>77.290000000000006</c:v>
                </c:pt>
                <c:pt idx="556">
                  <c:v>77.27</c:v>
                </c:pt>
                <c:pt idx="557">
                  <c:v>77.22</c:v>
                </c:pt>
                <c:pt idx="558">
                  <c:v>77.27</c:v>
                </c:pt>
                <c:pt idx="559">
                  <c:v>77.23</c:v>
                </c:pt>
                <c:pt idx="560">
                  <c:v>77.25</c:v>
                </c:pt>
                <c:pt idx="561">
                  <c:v>77.22</c:v>
                </c:pt>
                <c:pt idx="562">
                  <c:v>77.23</c:v>
                </c:pt>
                <c:pt idx="563">
                  <c:v>77.27</c:v>
                </c:pt>
                <c:pt idx="564">
                  <c:v>77.239999999999995</c:v>
                </c:pt>
                <c:pt idx="565">
                  <c:v>77.3</c:v>
                </c:pt>
                <c:pt idx="566">
                  <c:v>77.27</c:v>
                </c:pt>
                <c:pt idx="567">
                  <c:v>77.349999999999994</c:v>
                </c:pt>
                <c:pt idx="568">
                  <c:v>77.349999999999994</c:v>
                </c:pt>
                <c:pt idx="569">
                  <c:v>77.33</c:v>
                </c:pt>
                <c:pt idx="570">
                  <c:v>77.37</c:v>
                </c:pt>
                <c:pt idx="571">
                  <c:v>77.349999999999994</c:v>
                </c:pt>
                <c:pt idx="572">
                  <c:v>77.33</c:v>
                </c:pt>
                <c:pt idx="573">
                  <c:v>77.37</c:v>
                </c:pt>
                <c:pt idx="574">
                  <c:v>77.349999999999994</c:v>
                </c:pt>
                <c:pt idx="575">
                  <c:v>77.39</c:v>
                </c:pt>
                <c:pt idx="576">
                  <c:v>77.39</c:v>
                </c:pt>
                <c:pt idx="577">
                  <c:v>77.36</c:v>
                </c:pt>
                <c:pt idx="578">
                  <c:v>77.33</c:v>
                </c:pt>
                <c:pt idx="579">
                  <c:v>77.38</c:v>
                </c:pt>
                <c:pt idx="580">
                  <c:v>77.37</c:v>
                </c:pt>
                <c:pt idx="581">
                  <c:v>77.33</c:v>
                </c:pt>
                <c:pt idx="582">
                  <c:v>77.37</c:v>
                </c:pt>
                <c:pt idx="583">
                  <c:v>77.37</c:v>
                </c:pt>
                <c:pt idx="584">
                  <c:v>77.33</c:v>
                </c:pt>
                <c:pt idx="585">
                  <c:v>77.349999999999994</c:v>
                </c:pt>
                <c:pt idx="586">
                  <c:v>77.319999999999993</c:v>
                </c:pt>
                <c:pt idx="587">
                  <c:v>77.33</c:v>
                </c:pt>
                <c:pt idx="588">
                  <c:v>77.33</c:v>
                </c:pt>
                <c:pt idx="589">
                  <c:v>77.349999999999994</c:v>
                </c:pt>
                <c:pt idx="590">
                  <c:v>77.349999999999994</c:v>
                </c:pt>
                <c:pt idx="591">
                  <c:v>77.34</c:v>
                </c:pt>
                <c:pt idx="592">
                  <c:v>77.349999999999994</c:v>
                </c:pt>
                <c:pt idx="593">
                  <c:v>77.349999999999994</c:v>
                </c:pt>
                <c:pt idx="594">
                  <c:v>77.28</c:v>
                </c:pt>
                <c:pt idx="595">
                  <c:v>77.34</c:v>
                </c:pt>
                <c:pt idx="596">
                  <c:v>77.349999999999994</c:v>
                </c:pt>
                <c:pt idx="597">
                  <c:v>77.290000000000006</c:v>
                </c:pt>
                <c:pt idx="598">
                  <c:v>77.349999999999994</c:v>
                </c:pt>
                <c:pt idx="599">
                  <c:v>77.290000000000006</c:v>
                </c:pt>
                <c:pt idx="600">
                  <c:v>77.349999999999994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3C2-431B-B878-5583E9064B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58031"/>
        <c:axId val="1410058511"/>
      </c:scatterChart>
      <c:valAx>
        <c:axId val="1410058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8511"/>
        <c:crosses val="autoZero"/>
        <c:crossBetween val="midCat"/>
      </c:valAx>
      <c:valAx>
        <c:axId val="141005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8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'77'!$R$1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'77'!$Q$2:$Q$602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'77'!$R$2:$R$602</c:f>
              <c:numCache>
                <c:formatCode>General</c:formatCode>
                <c:ptCount val="601"/>
                <c:pt idx="0">
                  <c:v>33.25</c:v>
                </c:pt>
                <c:pt idx="1">
                  <c:v>33.979999999999997</c:v>
                </c:pt>
                <c:pt idx="2">
                  <c:v>33.950000000000003</c:v>
                </c:pt>
                <c:pt idx="3">
                  <c:v>34.020000000000003</c:v>
                </c:pt>
                <c:pt idx="4">
                  <c:v>34.119999999999997</c:v>
                </c:pt>
                <c:pt idx="5">
                  <c:v>34.4</c:v>
                </c:pt>
                <c:pt idx="6">
                  <c:v>34.72</c:v>
                </c:pt>
                <c:pt idx="7">
                  <c:v>35.08</c:v>
                </c:pt>
                <c:pt idx="8">
                  <c:v>35.520000000000003</c:v>
                </c:pt>
                <c:pt idx="9">
                  <c:v>36</c:v>
                </c:pt>
                <c:pt idx="10">
                  <c:v>36.57</c:v>
                </c:pt>
                <c:pt idx="11">
                  <c:v>37.200000000000003</c:v>
                </c:pt>
                <c:pt idx="12">
                  <c:v>37.86</c:v>
                </c:pt>
                <c:pt idx="13">
                  <c:v>38.479999999999997</c:v>
                </c:pt>
                <c:pt idx="14">
                  <c:v>39.18</c:v>
                </c:pt>
                <c:pt idx="15">
                  <c:v>39.82</c:v>
                </c:pt>
                <c:pt idx="16">
                  <c:v>40.57</c:v>
                </c:pt>
                <c:pt idx="17">
                  <c:v>41.35</c:v>
                </c:pt>
                <c:pt idx="18">
                  <c:v>42.07</c:v>
                </c:pt>
                <c:pt idx="19">
                  <c:v>42.84</c:v>
                </c:pt>
                <c:pt idx="20">
                  <c:v>43.53</c:v>
                </c:pt>
                <c:pt idx="21">
                  <c:v>44.29</c:v>
                </c:pt>
                <c:pt idx="22">
                  <c:v>45.04</c:v>
                </c:pt>
                <c:pt idx="23">
                  <c:v>45.78</c:v>
                </c:pt>
                <c:pt idx="24">
                  <c:v>46.48</c:v>
                </c:pt>
                <c:pt idx="25">
                  <c:v>47.17</c:v>
                </c:pt>
                <c:pt idx="26">
                  <c:v>47.95</c:v>
                </c:pt>
                <c:pt idx="27">
                  <c:v>48.61</c:v>
                </c:pt>
                <c:pt idx="28">
                  <c:v>49.31</c:v>
                </c:pt>
                <c:pt idx="29">
                  <c:v>50.03</c:v>
                </c:pt>
                <c:pt idx="30">
                  <c:v>50.72</c:v>
                </c:pt>
                <c:pt idx="31">
                  <c:v>51.48</c:v>
                </c:pt>
                <c:pt idx="32">
                  <c:v>52.08</c:v>
                </c:pt>
                <c:pt idx="33">
                  <c:v>52.8</c:v>
                </c:pt>
                <c:pt idx="34">
                  <c:v>53.42</c:v>
                </c:pt>
                <c:pt idx="35">
                  <c:v>54.06</c:v>
                </c:pt>
                <c:pt idx="36">
                  <c:v>54.75</c:v>
                </c:pt>
                <c:pt idx="37">
                  <c:v>55.34</c:v>
                </c:pt>
                <c:pt idx="38">
                  <c:v>56</c:v>
                </c:pt>
                <c:pt idx="39">
                  <c:v>56.61</c:v>
                </c:pt>
                <c:pt idx="40">
                  <c:v>57.22</c:v>
                </c:pt>
                <c:pt idx="41">
                  <c:v>57.82</c:v>
                </c:pt>
                <c:pt idx="42">
                  <c:v>58.37</c:v>
                </c:pt>
                <c:pt idx="43">
                  <c:v>58.92</c:v>
                </c:pt>
                <c:pt idx="44">
                  <c:v>59.51</c:v>
                </c:pt>
                <c:pt idx="45">
                  <c:v>59.98</c:v>
                </c:pt>
                <c:pt idx="46">
                  <c:v>60.51</c:v>
                </c:pt>
                <c:pt idx="47">
                  <c:v>61.06</c:v>
                </c:pt>
                <c:pt idx="48">
                  <c:v>61.55</c:v>
                </c:pt>
                <c:pt idx="49">
                  <c:v>62.08</c:v>
                </c:pt>
                <c:pt idx="50">
                  <c:v>62.55</c:v>
                </c:pt>
                <c:pt idx="51">
                  <c:v>62.96</c:v>
                </c:pt>
                <c:pt idx="52">
                  <c:v>63.42</c:v>
                </c:pt>
                <c:pt idx="53">
                  <c:v>63.89</c:v>
                </c:pt>
                <c:pt idx="54">
                  <c:v>64.349999999999994</c:v>
                </c:pt>
                <c:pt idx="55">
                  <c:v>64.67</c:v>
                </c:pt>
                <c:pt idx="56">
                  <c:v>65.13</c:v>
                </c:pt>
                <c:pt idx="57">
                  <c:v>65.55</c:v>
                </c:pt>
                <c:pt idx="58">
                  <c:v>65.91</c:v>
                </c:pt>
                <c:pt idx="59">
                  <c:v>66.27</c:v>
                </c:pt>
                <c:pt idx="60">
                  <c:v>66.64</c:v>
                </c:pt>
                <c:pt idx="61">
                  <c:v>67.02</c:v>
                </c:pt>
                <c:pt idx="62">
                  <c:v>67.28</c:v>
                </c:pt>
                <c:pt idx="63">
                  <c:v>67.7</c:v>
                </c:pt>
                <c:pt idx="64">
                  <c:v>68.03</c:v>
                </c:pt>
                <c:pt idx="65">
                  <c:v>68.36</c:v>
                </c:pt>
                <c:pt idx="66">
                  <c:v>68.66</c:v>
                </c:pt>
                <c:pt idx="67">
                  <c:v>68.959999999999994</c:v>
                </c:pt>
                <c:pt idx="68">
                  <c:v>69.2</c:v>
                </c:pt>
                <c:pt idx="69">
                  <c:v>69.510000000000005</c:v>
                </c:pt>
                <c:pt idx="70">
                  <c:v>69.81</c:v>
                </c:pt>
                <c:pt idx="71">
                  <c:v>70.08</c:v>
                </c:pt>
                <c:pt idx="72">
                  <c:v>70.33</c:v>
                </c:pt>
                <c:pt idx="73">
                  <c:v>70.59</c:v>
                </c:pt>
                <c:pt idx="74">
                  <c:v>70.86</c:v>
                </c:pt>
                <c:pt idx="75">
                  <c:v>71.09</c:v>
                </c:pt>
                <c:pt idx="76">
                  <c:v>71.31</c:v>
                </c:pt>
                <c:pt idx="77">
                  <c:v>71.540000000000006</c:v>
                </c:pt>
                <c:pt idx="78">
                  <c:v>71.760000000000005</c:v>
                </c:pt>
                <c:pt idx="79">
                  <c:v>71.959999999999994</c:v>
                </c:pt>
                <c:pt idx="80">
                  <c:v>72.12</c:v>
                </c:pt>
                <c:pt idx="81">
                  <c:v>72.3</c:v>
                </c:pt>
                <c:pt idx="82">
                  <c:v>72.52</c:v>
                </c:pt>
                <c:pt idx="83">
                  <c:v>72.739999999999995</c:v>
                </c:pt>
                <c:pt idx="84">
                  <c:v>72.87</c:v>
                </c:pt>
                <c:pt idx="85">
                  <c:v>73.069999999999993</c:v>
                </c:pt>
                <c:pt idx="86">
                  <c:v>73.209999999999994</c:v>
                </c:pt>
                <c:pt idx="87">
                  <c:v>73.33</c:v>
                </c:pt>
                <c:pt idx="88">
                  <c:v>73.55</c:v>
                </c:pt>
                <c:pt idx="89">
                  <c:v>73.72</c:v>
                </c:pt>
                <c:pt idx="90">
                  <c:v>73.819999999999993</c:v>
                </c:pt>
                <c:pt idx="91">
                  <c:v>73.97</c:v>
                </c:pt>
                <c:pt idx="92">
                  <c:v>74.13</c:v>
                </c:pt>
                <c:pt idx="93">
                  <c:v>74.27</c:v>
                </c:pt>
                <c:pt idx="94">
                  <c:v>74.319999999999993</c:v>
                </c:pt>
                <c:pt idx="95">
                  <c:v>74.510000000000005</c:v>
                </c:pt>
                <c:pt idx="96">
                  <c:v>74.650000000000006</c:v>
                </c:pt>
                <c:pt idx="97">
                  <c:v>74.78</c:v>
                </c:pt>
                <c:pt idx="98">
                  <c:v>74.91</c:v>
                </c:pt>
                <c:pt idx="99">
                  <c:v>74.989999999999995</c:v>
                </c:pt>
                <c:pt idx="100">
                  <c:v>75.08</c:v>
                </c:pt>
                <c:pt idx="101">
                  <c:v>75.17</c:v>
                </c:pt>
                <c:pt idx="102">
                  <c:v>75.290000000000006</c:v>
                </c:pt>
                <c:pt idx="103">
                  <c:v>75.36</c:v>
                </c:pt>
                <c:pt idx="104">
                  <c:v>75.5</c:v>
                </c:pt>
                <c:pt idx="105">
                  <c:v>75.599999999999994</c:v>
                </c:pt>
                <c:pt idx="106">
                  <c:v>75.62</c:v>
                </c:pt>
                <c:pt idx="107">
                  <c:v>75.709999999999994</c:v>
                </c:pt>
                <c:pt idx="108">
                  <c:v>75.819999999999993</c:v>
                </c:pt>
                <c:pt idx="109">
                  <c:v>75.900000000000006</c:v>
                </c:pt>
                <c:pt idx="110">
                  <c:v>75.97</c:v>
                </c:pt>
                <c:pt idx="111">
                  <c:v>76.069999999999993</c:v>
                </c:pt>
                <c:pt idx="112">
                  <c:v>76.05</c:v>
                </c:pt>
                <c:pt idx="113">
                  <c:v>76.14</c:v>
                </c:pt>
                <c:pt idx="114">
                  <c:v>76.22</c:v>
                </c:pt>
                <c:pt idx="115">
                  <c:v>76.290000000000006</c:v>
                </c:pt>
                <c:pt idx="116">
                  <c:v>76.36</c:v>
                </c:pt>
                <c:pt idx="117">
                  <c:v>76.400000000000006</c:v>
                </c:pt>
                <c:pt idx="118">
                  <c:v>76.459999999999994</c:v>
                </c:pt>
                <c:pt idx="119">
                  <c:v>76.5</c:v>
                </c:pt>
                <c:pt idx="120">
                  <c:v>76.58</c:v>
                </c:pt>
                <c:pt idx="121">
                  <c:v>76.599999999999994</c:v>
                </c:pt>
                <c:pt idx="122">
                  <c:v>76.67</c:v>
                </c:pt>
                <c:pt idx="123">
                  <c:v>76.680000000000007</c:v>
                </c:pt>
                <c:pt idx="124">
                  <c:v>76.739999999999995</c:v>
                </c:pt>
                <c:pt idx="125">
                  <c:v>76.78</c:v>
                </c:pt>
                <c:pt idx="126">
                  <c:v>76.790000000000006</c:v>
                </c:pt>
                <c:pt idx="127">
                  <c:v>76.83</c:v>
                </c:pt>
                <c:pt idx="128">
                  <c:v>76.89</c:v>
                </c:pt>
                <c:pt idx="129">
                  <c:v>76.89</c:v>
                </c:pt>
                <c:pt idx="130">
                  <c:v>76.91</c:v>
                </c:pt>
                <c:pt idx="131">
                  <c:v>76.92</c:v>
                </c:pt>
                <c:pt idx="132">
                  <c:v>77</c:v>
                </c:pt>
                <c:pt idx="133">
                  <c:v>77.010000000000005</c:v>
                </c:pt>
                <c:pt idx="134">
                  <c:v>77.040000000000006</c:v>
                </c:pt>
                <c:pt idx="135">
                  <c:v>77.02</c:v>
                </c:pt>
                <c:pt idx="136">
                  <c:v>77.02</c:v>
                </c:pt>
                <c:pt idx="137">
                  <c:v>77.08</c:v>
                </c:pt>
                <c:pt idx="138">
                  <c:v>77.069999999999993</c:v>
                </c:pt>
                <c:pt idx="139">
                  <c:v>77.2</c:v>
                </c:pt>
                <c:pt idx="140">
                  <c:v>77.14</c:v>
                </c:pt>
                <c:pt idx="141">
                  <c:v>77.19</c:v>
                </c:pt>
                <c:pt idx="142">
                  <c:v>77.2</c:v>
                </c:pt>
                <c:pt idx="143">
                  <c:v>77.209999999999994</c:v>
                </c:pt>
                <c:pt idx="144">
                  <c:v>77.23</c:v>
                </c:pt>
                <c:pt idx="145">
                  <c:v>77.27</c:v>
                </c:pt>
                <c:pt idx="146">
                  <c:v>77.25</c:v>
                </c:pt>
                <c:pt idx="147">
                  <c:v>77.239999999999995</c:v>
                </c:pt>
                <c:pt idx="148">
                  <c:v>77.25</c:v>
                </c:pt>
                <c:pt idx="149">
                  <c:v>77.290000000000006</c:v>
                </c:pt>
                <c:pt idx="150">
                  <c:v>77.23</c:v>
                </c:pt>
                <c:pt idx="151">
                  <c:v>77.28</c:v>
                </c:pt>
                <c:pt idx="152">
                  <c:v>77.33</c:v>
                </c:pt>
                <c:pt idx="153">
                  <c:v>77.319999999999993</c:v>
                </c:pt>
                <c:pt idx="154">
                  <c:v>77.36</c:v>
                </c:pt>
                <c:pt idx="155">
                  <c:v>77.290000000000006</c:v>
                </c:pt>
                <c:pt idx="156">
                  <c:v>77.38</c:v>
                </c:pt>
                <c:pt idx="157">
                  <c:v>77.400000000000006</c:v>
                </c:pt>
                <c:pt idx="158">
                  <c:v>77.459999999999994</c:v>
                </c:pt>
                <c:pt idx="159">
                  <c:v>77.39</c:v>
                </c:pt>
                <c:pt idx="160">
                  <c:v>77.41</c:v>
                </c:pt>
                <c:pt idx="161">
                  <c:v>77.400000000000006</c:v>
                </c:pt>
                <c:pt idx="162">
                  <c:v>77.38</c:v>
                </c:pt>
                <c:pt idx="163">
                  <c:v>77.45</c:v>
                </c:pt>
                <c:pt idx="164">
                  <c:v>77.44</c:v>
                </c:pt>
                <c:pt idx="165">
                  <c:v>77.47</c:v>
                </c:pt>
                <c:pt idx="166">
                  <c:v>77.39</c:v>
                </c:pt>
                <c:pt idx="167">
                  <c:v>77.37</c:v>
                </c:pt>
                <c:pt idx="168">
                  <c:v>77.31</c:v>
                </c:pt>
                <c:pt idx="169">
                  <c:v>77.42</c:v>
                </c:pt>
                <c:pt idx="170">
                  <c:v>77.430000000000007</c:v>
                </c:pt>
                <c:pt idx="171">
                  <c:v>77.400000000000006</c:v>
                </c:pt>
                <c:pt idx="172">
                  <c:v>77.38</c:v>
                </c:pt>
                <c:pt idx="173">
                  <c:v>77.37</c:v>
                </c:pt>
                <c:pt idx="174">
                  <c:v>77.36</c:v>
                </c:pt>
                <c:pt idx="175">
                  <c:v>77.41</c:v>
                </c:pt>
                <c:pt idx="176">
                  <c:v>77.349999999999994</c:v>
                </c:pt>
                <c:pt idx="177">
                  <c:v>77.349999999999994</c:v>
                </c:pt>
                <c:pt idx="178">
                  <c:v>77.33</c:v>
                </c:pt>
                <c:pt idx="179">
                  <c:v>77.42</c:v>
                </c:pt>
                <c:pt idx="180">
                  <c:v>77.34</c:v>
                </c:pt>
                <c:pt idx="181">
                  <c:v>77.37</c:v>
                </c:pt>
                <c:pt idx="182">
                  <c:v>77.36</c:v>
                </c:pt>
                <c:pt idx="183">
                  <c:v>77.319999999999993</c:v>
                </c:pt>
                <c:pt idx="184">
                  <c:v>77.239999999999995</c:v>
                </c:pt>
                <c:pt idx="185">
                  <c:v>77.3</c:v>
                </c:pt>
                <c:pt idx="186">
                  <c:v>77.319999999999993</c:v>
                </c:pt>
                <c:pt idx="187">
                  <c:v>77.25</c:v>
                </c:pt>
                <c:pt idx="188">
                  <c:v>77.25</c:v>
                </c:pt>
                <c:pt idx="189">
                  <c:v>77.25</c:v>
                </c:pt>
                <c:pt idx="190">
                  <c:v>77.19</c:v>
                </c:pt>
                <c:pt idx="191">
                  <c:v>77.260000000000005</c:v>
                </c:pt>
                <c:pt idx="192">
                  <c:v>77.209999999999994</c:v>
                </c:pt>
                <c:pt idx="193">
                  <c:v>77.22</c:v>
                </c:pt>
                <c:pt idx="194">
                  <c:v>77.239999999999995</c:v>
                </c:pt>
                <c:pt idx="195">
                  <c:v>77.25</c:v>
                </c:pt>
                <c:pt idx="196">
                  <c:v>77.260000000000005</c:v>
                </c:pt>
                <c:pt idx="197">
                  <c:v>77.290000000000006</c:v>
                </c:pt>
                <c:pt idx="198">
                  <c:v>77.23</c:v>
                </c:pt>
                <c:pt idx="199">
                  <c:v>77.25</c:v>
                </c:pt>
                <c:pt idx="200">
                  <c:v>77.17</c:v>
                </c:pt>
                <c:pt idx="201">
                  <c:v>77.25</c:v>
                </c:pt>
                <c:pt idx="202">
                  <c:v>77.22</c:v>
                </c:pt>
                <c:pt idx="203">
                  <c:v>77.25</c:v>
                </c:pt>
                <c:pt idx="204">
                  <c:v>77.260000000000005</c:v>
                </c:pt>
                <c:pt idx="205">
                  <c:v>77.239999999999995</c:v>
                </c:pt>
                <c:pt idx="206">
                  <c:v>77.23</c:v>
                </c:pt>
                <c:pt idx="207">
                  <c:v>77.16</c:v>
                </c:pt>
                <c:pt idx="208">
                  <c:v>77.180000000000007</c:v>
                </c:pt>
                <c:pt idx="209">
                  <c:v>77.17</c:v>
                </c:pt>
                <c:pt idx="210">
                  <c:v>77.180000000000007</c:v>
                </c:pt>
                <c:pt idx="211">
                  <c:v>77.16</c:v>
                </c:pt>
                <c:pt idx="212">
                  <c:v>77.2</c:v>
                </c:pt>
                <c:pt idx="213">
                  <c:v>77.17</c:v>
                </c:pt>
                <c:pt idx="214">
                  <c:v>77.180000000000007</c:v>
                </c:pt>
                <c:pt idx="215">
                  <c:v>77.13</c:v>
                </c:pt>
                <c:pt idx="216">
                  <c:v>77.150000000000006</c:v>
                </c:pt>
                <c:pt idx="217">
                  <c:v>77.180000000000007</c:v>
                </c:pt>
                <c:pt idx="218">
                  <c:v>77.08</c:v>
                </c:pt>
                <c:pt idx="219">
                  <c:v>77.12</c:v>
                </c:pt>
                <c:pt idx="220">
                  <c:v>77.03</c:v>
                </c:pt>
                <c:pt idx="221">
                  <c:v>77.09</c:v>
                </c:pt>
                <c:pt idx="222">
                  <c:v>77.11</c:v>
                </c:pt>
                <c:pt idx="223">
                  <c:v>77.05</c:v>
                </c:pt>
                <c:pt idx="224">
                  <c:v>77.14</c:v>
                </c:pt>
                <c:pt idx="225">
                  <c:v>77.12</c:v>
                </c:pt>
                <c:pt idx="226">
                  <c:v>77.09</c:v>
                </c:pt>
                <c:pt idx="227">
                  <c:v>77.14</c:v>
                </c:pt>
                <c:pt idx="228">
                  <c:v>77.03</c:v>
                </c:pt>
                <c:pt idx="229">
                  <c:v>77.06</c:v>
                </c:pt>
                <c:pt idx="230">
                  <c:v>77.06</c:v>
                </c:pt>
                <c:pt idx="231">
                  <c:v>77.08</c:v>
                </c:pt>
                <c:pt idx="232">
                  <c:v>77.02</c:v>
                </c:pt>
                <c:pt idx="233">
                  <c:v>77.069999999999993</c:v>
                </c:pt>
                <c:pt idx="234">
                  <c:v>77.03</c:v>
                </c:pt>
                <c:pt idx="235">
                  <c:v>77.06</c:v>
                </c:pt>
                <c:pt idx="236">
                  <c:v>77.040000000000006</c:v>
                </c:pt>
                <c:pt idx="237">
                  <c:v>77.040000000000006</c:v>
                </c:pt>
                <c:pt idx="238">
                  <c:v>77.069999999999993</c:v>
                </c:pt>
                <c:pt idx="239">
                  <c:v>77.040000000000006</c:v>
                </c:pt>
                <c:pt idx="240">
                  <c:v>77.09</c:v>
                </c:pt>
                <c:pt idx="241">
                  <c:v>76.989999999999995</c:v>
                </c:pt>
                <c:pt idx="242">
                  <c:v>77.02</c:v>
                </c:pt>
                <c:pt idx="243">
                  <c:v>76.989999999999995</c:v>
                </c:pt>
                <c:pt idx="244">
                  <c:v>76.95</c:v>
                </c:pt>
                <c:pt idx="245">
                  <c:v>77.05</c:v>
                </c:pt>
                <c:pt idx="246">
                  <c:v>76.98</c:v>
                </c:pt>
                <c:pt idx="247">
                  <c:v>77.03</c:v>
                </c:pt>
                <c:pt idx="248">
                  <c:v>76.989999999999995</c:v>
                </c:pt>
                <c:pt idx="249">
                  <c:v>77.040000000000006</c:v>
                </c:pt>
                <c:pt idx="250">
                  <c:v>77.03</c:v>
                </c:pt>
                <c:pt idx="251">
                  <c:v>77.010000000000005</c:v>
                </c:pt>
                <c:pt idx="252">
                  <c:v>77.05</c:v>
                </c:pt>
                <c:pt idx="253">
                  <c:v>77</c:v>
                </c:pt>
                <c:pt idx="254">
                  <c:v>77.010000000000005</c:v>
                </c:pt>
                <c:pt idx="255">
                  <c:v>76.95</c:v>
                </c:pt>
                <c:pt idx="256">
                  <c:v>76.97</c:v>
                </c:pt>
                <c:pt idx="257">
                  <c:v>77.040000000000006</c:v>
                </c:pt>
                <c:pt idx="258">
                  <c:v>76.510000000000005</c:v>
                </c:pt>
                <c:pt idx="259">
                  <c:v>76.930000000000007</c:v>
                </c:pt>
                <c:pt idx="260">
                  <c:v>76.290000000000006</c:v>
                </c:pt>
                <c:pt idx="261">
                  <c:v>77</c:v>
                </c:pt>
                <c:pt idx="262">
                  <c:v>76.33</c:v>
                </c:pt>
                <c:pt idx="263">
                  <c:v>77.040000000000006</c:v>
                </c:pt>
                <c:pt idx="264">
                  <c:v>76.36</c:v>
                </c:pt>
                <c:pt idx="265">
                  <c:v>77.05</c:v>
                </c:pt>
                <c:pt idx="266">
                  <c:v>76.319999999999993</c:v>
                </c:pt>
                <c:pt idx="267">
                  <c:v>77.13</c:v>
                </c:pt>
                <c:pt idx="268">
                  <c:v>76.34</c:v>
                </c:pt>
                <c:pt idx="269">
                  <c:v>77.05</c:v>
                </c:pt>
                <c:pt idx="270">
                  <c:v>76.400000000000006</c:v>
                </c:pt>
                <c:pt idx="271">
                  <c:v>77.14</c:v>
                </c:pt>
                <c:pt idx="272">
                  <c:v>76.42</c:v>
                </c:pt>
                <c:pt idx="273">
                  <c:v>77.14</c:v>
                </c:pt>
                <c:pt idx="274">
                  <c:v>76.400000000000006</c:v>
                </c:pt>
                <c:pt idx="275">
                  <c:v>77.209999999999994</c:v>
                </c:pt>
                <c:pt idx="276">
                  <c:v>76.41</c:v>
                </c:pt>
                <c:pt idx="277">
                  <c:v>77.16</c:v>
                </c:pt>
                <c:pt idx="278">
                  <c:v>76.44</c:v>
                </c:pt>
                <c:pt idx="279">
                  <c:v>77.209999999999994</c:v>
                </c:pt>
                <c:pt idx="280">
                  <c:v>76.5</c:v>
                </c:pt>
                <c:pt idx="281">
                  <c:v>77.19</c:v>
                </c:pt>
                <c:pt idx="282">
                  <c:v>76.430000000000007</c:v>
                </c:pt>
                <c:pt idx="283">
                  <c:v>77.260000000000005</c:v>
                </c:pt>
                <c:pt idx="284">
                  <c:v>76.510000000000005</c:v>
                </c:pt>
                <c:pt idx="285">
                  <c:v>77.260000000000005</c:v>
                </c:pt>
                <c:pt idx="286">
                  <c:v>76.510000000000005</c:v>
                </c:pt>
                <c:pt idx="287">
                  <c:v>77.23</c:v>
                </c:pt>
                <c:pt idx="288">
                  <c:v>76.5</c:v>
                </c:pt>
                <c:pt idx="289">
                  <c:v>77.260000000000005</c:v>
                </c:pt>
                <c:pt idx="290">
                  <c:v>76.52</c:v>
                </c:pt>
                <c:pt idx="291">
                  <c:v>77.239999999999995</c:v>
                </c:pt>
                <c:pt idx="292">
                  <c:v>76.52</c:v>
                </c:pt>
                <c:pt idx="293">
                  <c:v>77.23</c:v>
                </c:pt>
                <c:pt idx="294">
                  <c:v>76.53</c:v>
                </c:pt>
                <c:pt idx="295">
                  <c:v>77.260000000000005</c:v>
                </c:pt>
                <c:pt idx="296">
                  <c:v>76.52</c:v>
                </c:pt>
                <c:pt idx="297">
                  <c:v>77.239999999999995</c:v>
                </c:pt>
                <c:pt idx="298">
                  <c:v>76.489999999999995</c:v>
                </c:pt>
                <c:pt idx="299">
                  <c:v>77.31</c:v>
                </c:pt>
                <c:pt idx="300">
                  <c:v>76.58</c:v>
                </c:pt>
                <c:pt idx="301">
                  <c:v>77.34</c:v>
                </c:pt>
                <c:pt idx="302">
                  <c:v>76.62</c:v>
                </c:pt>
                <c:pt idx="303">
                  <c:v>77.33</c:v>
                </c:pt>
                <c:pt idx="304">
                  <c:v>76.66</c:v>
                </c:pt>
                <c:pt idx="305">
                  <c:v>77.37</c:v>
                </c:pt>
                <c:pt idx="306">
                  <c:v>76.59</c:v>
                </c:pt>
                <c:pt idx="307">
                  <c:v>77.33</c:v>
                </c:pt>
                <c:pt idx="308">
                  <c:v>76.61</c:v>
                </c:pt>
                <c:pt idx="309">
                  <c:v>77.39</c:v>
                </c:pt>
                <c:pt idx="310">
                  <c:v>76.599999999999994</c:v>
                </c:pt>
                <c:pt idx="311">
                  <c:v>77.37</c:v>
                </c:pt>
                <c:pt idx="312">
                  <c:v>76.569999999999993</c:v>
                </c:pt>
                <c:pt idx="313">
                  <c:v>77.34</c:v>
                </c:pt>
                <c:pt idx="314">
                  <c:v>76.58</c:v>
                </c:pt>
                <c:pt idx="315">
                  <c:v>77.36</c:v>
                </c:pt>
                <c:pt idx="316">
                  <c:v>76.66</c:v>
                </c:pt>
                <c:pt idx="317">
                  <c:v>77.37</c:v>
                </c:pt>
                <c:pt idx="318">
                  <c:v>76.59</c:v>
                </c:pt>
                <c:pt idx="319">
                  <c:v>77.39</c:v>
                </c:pt>
                <c:pt idx="320">
                  <c:v>76.62</c:v>
                </c:pt>
                <c:pt idx="321">
                  <c:v>77.37</c:v>
                </c:pt>
                <c:pt idx="322">
                  <c:v>76.62</c:v>
                </c:pt>
                <c:pt idx="323">
                  <c:v>77.37</c:v>
                </c:pt>
                <c:pt idx="324">
                  <c:v>76.64</c:v>
                </c:pt>
                <c:pt idx="325">
                  <c:v>77.38</c:v>
                </c:pt>
                <c:pt idx="326">
                  <c:v>76.64</c:v>
                </c:pt>
                <c:pt idx="327">
                  <c:v>77.430000000000007</c:v>
                </c:pt>
                <c:pt idx="328">
                  <c:v>76.63</c:v>
                </c:pt>
                <c:pt idx="329">
                  <c:v>77.39</c:v>
                </c:pt>
                <c:pt idx="330">
                  <c:v>76.64</c:v>
                </c:pt>
                <c:pt idx="331">
                  <c:v>77.37</c:v>
                </c:pt>
                <c:pt idx="332">
                  <c:v>76.64</c:v>
                </c:pt>
                <c:pt idx="333">
                  <c:v>77.349999999999994</c:v>
                </c:pt>
                <c:pt idx="334">
                  <c:v>76.62</c:v>
                </c:pt>
                <c:pt idx="335">
                  <c:v>77.42</c:v>
                </c:pt>
                <c:pt idx="336">
                  <c:v>76.599999999999994</c:v>
                </c:pt>
                <c:pt idx="337">
                  <c:v>77.37</c:v>
                </c:pt>
                <c:pt idx="338">
                  <c:v>76.59</c:v>
                </c:pt>
                <c:pt idx="339">
                  <c:v>77.37</c:v>
                </c:pt>
                <c:pt idx="340">
                  <c:v>76.59</c:v>
                </c:pt>
                <c:pt idx="341">
                  <c:v>77.36</c:v>
                </c:pt>
                <c:pt idx="342">
                  <c:v>76.66</c:v>
                </c:pt>
                <c:pt idx="343">
                  <c:v>77.349999999999994</c:v>
                </c:pt>
                <c:pt idx="344">
                  <c:v>76.62</c:v>
                </c:pt>
                <c:pt idx="345">
                  <c:v>77.37</c:v>
                </c:pt>
                <c:pt idx="346">
                  <c:v>76.62</c:v>
                </c:pt>
                <c:pt idx="347">
                  <c:v>77.37</c:v>
                </c:pt>
                <c:pt idx="348">
                  <c:v>76.67</c:v>
                </c:pt>
                <c:pt idx="349">
                  <c:v>76.86</c:v>
                </c:pt>
                <c:pt idx="350">
                  <c:v>76.7</c:v>
                </c:pt>
                <c:pt idx="351">
                  <c:v>76.67</c:v>
                </c:pt>
                <c:pt idx="352">
                  <c:v>76.64</c:v>
                </c:pt>
                <c:pt idx="353">
                  <c:v>76.67</c:v>
                </c:pt>
                <c:pt idx="354">
                  <c:v>76.69</c:v>
                </c:pt>
                <c:pt idx="355">
                  <c:v>76.709999999999994</c:v>
                </c:pt>
                <c:pt idx="356">
                  <c:v>76.709999999999994</c:v>
                </c:pt>
                <c:pt idx="357">
                  <c:v>76.67</c:v>
                </c:pt>
                <c:pt idx="358">
                  <c:v>76.760000000000005</c:v>
                </c:pt>
                <c:pt idx="359">
                  <c:v>76.77</c:v>
                </c:pt>
                <c:pt idx="360">
                  <c:v>76.790000000000006</c:v>
                </c:pt>
                <c:pt idx="361">
                  <c:v>76.790000000000006</c:v>
                </c:pt>
                <c:pt idx="362">
                  <c:v>76.83</c:v>
                </c:pt>
                <c:pt idx="363">
                  <c:v>76.819999999999993</c:v>
                </c:pt>
                <c:pt idx="364">
                  <c:v>76.84</c:v>
                </c:pt>
                <c:pt idx="365">
                  <c:v>76.87</c:v>
                </c:pt>
                <c:pt idx="366">
                  <c:v>76.790000000000006</c:v>
                </c:pt>
                <c:pt idx="367">
                  <c:v>76.87</c:v>
                </c:pt>
                <c:pt idx="368">
                  <c:v>76.849999999999994</c:v>
                </c:pt>
                <c:pt idx="369">
                  <c:v>76.92</c:v>
                </c:pt>
                <c:pt idx="370">
                  <c:v>76.87</c:v>
                </c:pt>
                <c:pt idx="371">
                  <c:v>76.88</c:v>
                </c:pt>
                <c:pt idx="372">
                  <c:v>76.87</c:v>
                </c:pt>
                <c:pt idx="373">
                  <c:v>76.87</c:v>
                </c:pt>
                <c:pt idx="374">
                  <c:v>76.83</c:v>
                </c:pt>
                <c:pt idx="375">
                  <c:v>76.89</c:v>
                </c:pt>
                <c:pt idx="376">
                  <c:v>76.91</c:v>
                </c:pt>
                <c:pt idx="377">
                  <c:v>76.87</c:v>
                </c:pt>
                <c:pt idx="378">
                  <c:v>76.88</c:v>
                </c:pt>
                <c:pt idx="379">
                  <c:v>76.92</c:v>
                </c:pt>
                <c:pt idx="380">
                  <c:v>76.930000000000007</c:v>
                </c:pt>
                <c:pt idx="381">
                  <c:v>76.91</c:v>
                </c:pt>
                <c:pt idx="382">
                  <c:v>76.87</c:v>
                </c:pt>
                <c:pt idx="383">
                  <c:v>76.900000000000006</c:v>
                </c:pt>
                <c:pt idx="384">
                  <c:v>76.92</c:v>
                </c:pt>
                <c:pt idx="385">
                  <c:v>76.900000000000006</c:v>
                </c:pt>
                <c:pt idx="386">
                  <c:v>76.92</c:v>
                </c:pt>
                <c:pt idx="387">
                  <c:v>76.86</c:v>
                </c:pt>
                <c:pt idx="388">
                  <c:v>76.930000000000007</c:v>
                </c:pt>
                <c:pt idx="389">
                  <c:v>76.95</c:v>
                </c:pt>
                <c:pt idx="390">
                  <c:v>76.92</c:v>
                </c:pt>
                <c:pt idx="391">
                  <c:v>76.959999999999994</c:v>
                </c:pt>
                <c:pt idx="392">
                  <c:v>76.900000000000006</c:v>
                </c:pt>
                <c:pt idx="393">
                  <c:v>76.92</c:v>
                </c:pt>
                <c:pt idx="394">
                  <c:v>76.97</c:v>
                </c:pt>
                <c:pt idx="395">
                  <c:v>76.900000000000006</c:v>
                </c:pt>
                <c:pt idx="396">
                  <c:v>76.92</c:v>
                </c:pt>
                <c:pt idx="397">
                  <c:v>76.92</c:v>
                </c:pt>
                <c:pt idx="398">
                  <c:v>76.95</c:v>
                </c:pt>
                <c:pt idx="399">
                  <c:v>76.95</c:v>
                </c:pt>
                <c:pt idx="400">
                  <c:v>76.930000000000007</c:v>
                </c:pt>
                <c:pt idx="401">
                  <c:v>76.89</c:v>
                </c:pt>
                <c:pt idx="402">
                  <c:v>76.92</c:v>
                </c:pt>
                <c:pt idx="403">
                  <c:v>76.959999999999994</c:v>
                </c:pt>
                <c:pt idx="404">
                  <c:v>76.959999999999994</c:v>
                </c:pt>
                <c:pt idx="405">
                  <c:v>76.959999999999994</c:v>
                </c:pt>
                <c:pt idx="406">
                  <c:v>76.959999999999994</c:v>
                </c:pt>
                <c:pt idx="407">
                  <c:v>77</c:v>
                </c:pt>
                <c:pt idx="408">
                  <c:v>76.930000000000007</c:v>
                </c:pt>
                <c:pt idx="409">
                  <c:v>76.959999999999994</c:v>
                </c:pt>
                <c:pt idx="410">
                  <c:v>76.959999999999994</c:v>
                </c:pt>
                <c:pt idx="411">
                  <c:v>76.989999999999995</c:v>
                </c:pt>
                <c:pt idx="412">
                  <c:v>77.03</c:v>
                </c:pt>
                <c:pt idx="413">
                  <c:v>77.040000000000006</c:v>
                </c:pt>
                <c:pt idx="414">
                  <c:v>77.03</c:v>
                </c:pt>
                <c:pt idx="415">
                  <c:v>77.040000000000006</c:v>
                </c:pt>
                <c:pt idx="416">
                  <c:v>77.12</c:v>
                </c:pt>
                <c:pt idx="417">
                  <c:v>77.08</c:v>
                </c:pt>
                <c:pt idx="418">
                  <c:v>77.09</c:v>
                </c:pt>
                <c:pt idx="419">
                  <c:v>77.099999999999994</c:v>
                </c:pt>
                <c:pt idx="420">
                  <c:v>77.09</c:v>
                </c:pt>
                <c:pt idx="421">
                  <c:v>77.08</c:v>
                </c:pt>
                <c:pt idx="422">
                  <c:v>77.12</c:v>
                </c:pt>
                <c:pt idx="423">
                  <c:v>77.08</c:v>
                </c:pt>
                <c:pt idx="424">
                  <c:v>77.03</c:v>
                </c:pt>
                <c:pt idx="425">
                  <c:v>77.12</c:v>
                </c:pt>
                <c:pt idx="426">
                  <c:v>77.13</c:v>
                </c:pt>
                <c:pt idx="427">
                  <c:v>77.08</c:v>
                </c:pt>
                <c:pt idx="428">
                  <c:v>77.09</c:v>
                </c:pt>
                <c:pt idx="429">
                  <c:v>77.08</c:v>
                </c:pt>
                <c:pt idx="430">
                  <c:v>77.14</c:v>
                </c:pt>
                <c:pt idx="431">
                  <c:v>77.12</c:v>
                </c:pt>
                <c:pt idx="432">
                  <c:v>77.2</c:v>
                </c:pt>
                <c:pt idx="433">
                  <c:v>77.08</c:v>
                </c:pt>
                <c:pt idx="434">
                  <c:v>77.12</c:v>
                </c:pt>
                <c:pt idx="435">
                  <c:v>77.17</c:v>
                </c:pt>
                <c:pt idx="436">
                  <c:v>77.12</c:v>
                </c:pt>
                <c:pt idx="437">
                  <c:v>77.16</c:v>
                </c:pt>
                <c:pt idx="438">
                  <c:v>77.12</c:v>
                </c:pt>
                <c:pt idx="439">
                  <c:v>77.16</c:v>
                </c:pt>
                <c:pt idx="440">
                  <c:v>77.150000000000006</c:v>
                </c:pt>
                <c:pt idx="441">
                  <c:v>77.08</c:v>
                </c:pt>
                <c:pt idx="442">
                  <c:v>77.13</c:v>
                </c:pt>
                <c:pt idx="443">
                  <c:v>77.13</c:v>
                </c:pt>
                <c:pt idx="444">
                  <c:v>77.09</c:v>
                </c:pt>
                <c:pt idx="445">
                  <c:v>77.16</c:v>
                </c:pt>
                <c:pt idx="446">
                  <c:v>77.11</c:v>
                </c:pt>
                <c:pt idx="447">
                  <c:v>77.180000000000007</c:v>
                </c:pt>
                <c:pt idx="448">
                  <c:v>77.09</c:v>
                </c:pt>
                <c:pt idx="449">
                  <c:v>77.11</c:v>
                </c:pt>
                <c:pt idx="450">
                  <c:v>77.12</c:v>
                </c:pt>
                <c:pt idx="451">
                  <c:v>77.17</c:v>
                </c:pt>
                <c:pt idx="452">
                  <c:v>77.12</c:v>
                </c:pt>
                <c:pt idx="453">
                  <c:v>77.12</c:v>
                </c:pt>
                <c:pt idx="454">
                  <c:v>77.09</c:v>
                </c:pt>
                <c:pt idx="455">
                  <c:v>77.13</c:v>
                </c:pt>
                <c:pt idx="456">
                  <c:v>77.069999999999993</c:v>
                </c:pt>
                <c:pt idx="457">
                  <c:v>77.11</c:v>
                </c:pt>
                <c:pt idx="458">
                  <c:v>77.05</c:v>
                </c:pt>
                <c:pt idx="459">
                  <c:v>77.08</c:v>
                </c:pt>
                <c:pt idx="460">
                  <c:v>77.08</c:v>
                </c:pt>
                <c:pt idx="461">
                  <c:v>77.040000000000006</c:v>
                </c:pt>
                <c:pt idx="462">
                  <c:v>77.12</c:v>
                </c:pt>
                <c:pt idx="463">
                  <c:v>77.08</c:v>
                </c:pt>
                <c:pt idx="464">
                  <c:v>77.12</c:v>
                </c:pt>
                <c:pt idx="465">
                  <c:v>77.150000000000006</c:v>
                </c:pt>
                <c:pt idx="466">
                  <c:v>77.08</c:v>
                </c:pt>
                <c:pt idx="467">
                  <c:v>77.08</c:v>
                </c:pt>
                <c:pt idx="468">
                  <c:v>77.03</c:v>
                </c:pt>
                <c:pt idx="469">
                  <c:v>77.09</c:v>
                </c:pt>
                <c:pt idx="470">
                  <c:v>77.06</c:v>
                </c:pt>
                <c:pt idx="471">
                  <c:v>77.06</c:v>
                </c:pt>
                <c:pt idx="472">
                  <c:v>77.12</c:v>
                </c:pt>
                <c:pt idx="473">
                  <c:v>77.11</c:v>
                </c:pt>
                <c:pt idx="474">
                  <c:v>77.08</c:v>
                </c:pt>
                <c:pt idx="475">
                  <c:v>77.12</c:v>
                </c:pt>
                <c:pt idx="476">
                  <c:v>77.08</c:v>
                </c:pt>
                <c:pt idx="477">
                  <c:v>77.12</c:v>
                </c:pt>
                <c:pt idx="478">
                  <c:v>77.08</c:v>
                </c:pt>
                <c:pt idx="479">
                  <c:v>77.099999999999994</c:v>
                </c:pt>
                <c:pt idx="480">
                  <c:v>77.14</c:v>
                </c:pt>
                <c:pt idx="481">
                  <c:v>77.09</c:v>
                </c:pt>
                <c:pt idx="482">
                  <c:v>77.12</c:v>
                </c:pt>
                <c:pt idx="483">
                  <c:v>77.12</c:v>
                </c:pt>
                <c:pt idx="484">
                  <c:v>77.12</c:v>
                </c:pt>
                <c:pt idx="485">
                  <c:v>77.069999999999993</c:v>
                </c:pt>
                <c:pt idx="486">
                  <c:v>77.150000000000006</c:v>
                </c:pt>
                <c:pt idx="487">
                  <c:v>77.09</c:v>
                </c:pt>
                <c:pt idx="488">
                  <c:v>77.13</c:v>
                </c:pt>
                <c:pt idx="489">
                  <c:v>77.069999999999993</c:v>
                </c:pt>
                <c:pt idx="490">
                  <c:v>77.11</c:v>
                </c:pt>
                <c:pt idx="491">
                  <c:v>77.12</c:v>
                </c:pt>
                <c:pt idx="492">
                  <c:v>77.11</c:v>
                </c:pt>
                <c:pt idx="493">
                  <c:v>77.12</c:v>
                </c:pt>
                <c:pt idx="494">
                  <c:v>77.14</c:v>
                </c:pt>
                <c:pt idx="495">
                  <c:v>77.08</c:v>
                </c:pt>
                <c:pt idx="496">
                  <c:v>77.099999999999994</c:v>
                </c:pt>
                <c:pt idx="497">
                  <c:v>77.12</c:v>
                </c:pt>
                <c:pt idx="498">
                  <c:v>77.069999999999993</c:v>
                </c:pt>
                <c:pt idx="499">
                  <c:v>77.13</c:v>
                </c:pt>
                <c:pt idx="500">
                  <c:v>77.099999999999994</c:v>
                </c:pt>
                <c:pt idx="501">
                  <c:v>77.180000000000007</c:v>
                </c:pt>
                <c:pt idx="502">
                  <c:v>77.12</c:v>
                </c:pt>
                <c:pt idx="503">
                  <c:v>77.16</c:v>
                </c:pt>
                <c:pt idx="504">
                  <c:v>77.12</c:v>
                </c:pt>
                <c:pt idx="505">
                  <c:v>77.14</c:v>
                </c:pt>
                <c:pt idx="506">
                  <c:v>77.14</c:v>
                </c:pt>
                <c:pt idx="507">
                  <c:v>77.14</c:v>
                </c:pt>
                <c:pt idx="508">
                  <c:v>77.17</c:v>
                </c:pt>
                <c:pt idx="509">
                  <c:v>77.13</c:v>
                </c:pt>
                <c:pt idx="510">
                  <c:v>77.2</c:v>
                </c:pt>
                <c:pt idx="511">
                  <c:v>77.19</c:v>
                </c:pt>
                <c:pt idx="512">
                  <c:v>77.25</c:v>
                </c:pt>
                <c:pt idx="513">
                  <c:v>77.12</c:v>
                </c:pt>
                <c:pt idx="514">
                  <c:v>77.150000000000006</c:v>
                </c:pt>
                <c:pt idx="515">
                  <c:v>77.09</c:v>
                </c:pt>
                <c:pt idx="516">
                  <c:v>77.16</c:v>
                </c:pt>
                <c:pt idx="517">
                  <c:v>77.2</c:v>
                </c:pt>
                <c:pt idx="518">
                  <c:v>77.33</c:v>
                </c:pt>
                <c:pt idx="519">
                  <c:v>77.36</c:v>
                </c:pt>
                <c:pt idx="520">
                  <c:v>77.36</c:v>
                </c:pt>
                <c:pt idx="521">
                  <c:v>77.489999999999995</c:v>
                </c:pt>
                <c:pt idx="522">
                  <c:v>77.540000000000006</c:v>
                </c:pt>
                <c:pt idx="523">
                  <c:v>77.599999999999994</c:v>
                </c:pt>
                <c:pt idx="524">
                  <c:v>77.650000000000006</c:v>
                </c:pt>
                <c:pt idx="525">
                  <c:v>77.62</c:v>
                </c:pt>
                <c:pt idx="526">
                  <c:v>77.61</c:v>
                </c:pt>
                <c:pt idx="527">
                  <c:v>77.63</c:v>
                </c:pt>
                <c:pt idx="528">
                  <c:v>77.61</c:v>
                </c:pt>
                <c:pt idx="529">
                  <c:v>77.59</c:v>
                </c:pt>
                <c:pt idx="530">
                  <c:v>77.58</c:v>
                </c:pt>
                <c:pt idx="531">
                  <c:v>77.58</c:v>
                </c:pt>
                <c:pt idx="532">
                  <c:v>77.53</c:v>
                </c:pt>
                <c:pt idx="533">
                  <c:v>77.55</c:v>
                </c:pt>
                <c:pt idx="534">
                  <c:v>77.489999999999995</c:v>
                </c:pt>
                <c:pt idx="535">
                  <c:v>77.56</c:v>
                </c:pt>
                <c:pt idx="536">
                  <c:v>77.45</c:v>
                </c:pt>
                <c:pt idx="537">
                  <c:v>77.489999999999995</c:v>
                </c:pt>
                <c:pt idx="538">
                  <c:v>77.41</c:v>
                </c:pt>
                <c:pt idx="539">
                  <c:v>77.400000000000006</c:v>
                </c:pt>
                <c:pt idx="540">
                  <c:v>77.39</c:v>
                </c:pt>
                <c:pt idx="541">
                  <c:v>77.38</c:v>
                </c:pt>
                <c:pt idx="542">
                  <c:v>77.400000000000006</c:v>
                </c:pt>
                <c:pt idx="543">
                  <c:v>77.319999999999993</c:v>
                </c:pt>
                <c:pt idx="544">
                  <c:v>77.37</c:v>
                </c:pt>
                <c:pt idx="545">
                  <c:v>77.27</c:v>
                </c:pt>
                <c:pt idx="546">
                  <c:v>77.37</c:v>
                </c:pt>
                <c:pt idx="547">
                  <c:v>77.260000000000005</c:v>
                </c:pt>
                <c:pt idx="548">
                  <c:v>77.25</c:v>
                </c:pt>
                <c:pt idx="549">
                  <c:v>77.34</c:v>
                </c:pt>
                <c:pt idx="550">
                  <c:v>77.239999999999995</c:v>
                </c:pt>
                <c:pt idx="551">
                  <c:v>77.27</c:v>
                </c:pt>
                <c:pt idx="552">
                  <c:v>77.25</c:v>
                </c:pt>
                <c:pt idx="553">
                  <c:v>77.25</c:v>
                </c:pt>
                <c:pt idx="554">
                  <c:v>77.28</c:v>
                </c:pt>
                <c:pt idx="555">
                  <c:v>77.180000000000007</c:v>
                </c:pt>
                <c:pt idx="556">
                  <c:v>77.209999999999994</c:v>
                </c:pt>
                <c:pt idx="557">
                  <c:v>77.25</c:v>
                </c:pt>
                <c:pt idx="558">
                  <c:v>77.209999999999994</c:v>
                </c:pt>
                <c:pt idx="559">
                  <c:v>77.25</c:v>
                </c:pt>
                <c:pt idx="560">
                  <c:v>77.22</c:v>
                </c:pt>
                <c:pt idx="561">
                  <c:v>77.28</c:v>
                </c:pt>
                <c:pt idx="562">
                  <c:v>77.23</c:v>
                </c:pt>
                <c:pt idx="563">
                  <c:v>77.17</c:v>
                </c:pt>
                <c:pt idx="564">
                  <c:v>77.28</c:v>
                </c:pt>
                <c:pt idx="565">
                  <c:v>77.16</c:v>
                </c:pt>
                <c:pt idx="566">
                  <c:v>77.16</c:v>
                </c:pt>
                <c:pt idx="567">
                  <c:v>77.12</c:v>
                </c:pt>
                <c:pt idx="568">
                  <c:v>77.12</c:v>
                </c:pt>
                <c:pt idx="569">
                  <c:v>77.14</c:v>
                </c:pt>
                <c:pt idx="570">
                  <c:v>77.13</c:v>
                </c:pt>
                <c:pt idx="571">
                  <c:v>77.14</c:v>
                </c:pt>
                <c:pt idx="572">
                  <c:v>77.11</c:v>
                </c:pt>
                <c:pt idx="573">
                  <c:v>77.16</c:v>
                </c:pt>
                <c:pt idx="574">
                  <c:v>77.12</c:v>
                </c:pt>
                <c:pt idx="575">
                  <c:v>77.14</c:v>
                </c:pt>
                <c:pt idx="576">
                  <c:v>77.09</c:v>
                </c:pt>
                <c:pt idx="577">
                  <c:v>77.08</c:v>
                </c:pt>
                <c:pt idx="578">
                  <c:v>77.08</c:v>
                </c:pt>
                <c:pt idx="579">
                  <c:v>77.08</c:v>
                </c:pt>
                <c:pt idx="580">
                  <c:v>77.05</c:v>
                </c:pt>
                <c:pt idx="581">
                  <c:v>77.05</c:v>
                </c:pt>
                <c:pt idx="582">
                  <c:v>77.08</c:v>
                </c:pt>
                <c:pt idx="583">
                  <c:v>77.08</c:v>
                </c:pt>
                <c:pt idx="584">
                  <c:v>77.08</c:v>
                </c:pt>
                <c:pt idx="585">
                  <c:v>77.08</c:v>
                </c:pt>
                <c:pt idx="586">
                  <c:v>76.989999999999995</c:v>
                </c:pt>
                <c:pt idx="587">
                  <c:v>77.02</c:v>
                </c:pt>
                <c:pt idx="588">
                  <c:v>76.94</c:v>
                </c:pt>
                <c:pt idx="589">
                  <c:v>77.03</c:v>
                </c:pt>
                <c:pt idx="590">
                  <c:v>77</c:v>
                </c:pt>
                <c:pt idx="591">
                  <c:v>76.98</c:v>
                </c:pt>
                <c:pt idx="592">
                  <c:v>77.040000000000006</c:v>
                </c:pt>
                <c:pt idx="593">
                  <c:v>77.040000000000006</c:v>
                </c:pt>
                <c:pt idx="594">
                  <c:v>77</c:v>
                </c:pt>
                <c:pt idx="595">
                  <c:v>77.040000000000006</c:v>
                </c:pt>
                <c:pt idx="596">
                  <c:v>77.010000000000005</c:v>
                </c:pt>
                <c:pt idx="597">
                  <c:v>76.98</c:v>
                </c:pt>
                <c:pt idx="598">
                  <c:v>77.010000000000005</c:v>
                </c:pt>
                <c:pt idx="599">
                  <c:v>77.02</c:v>
                </c:pt>
                <c:pt idx="600">
                  <c:v>77.069999999999993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46-46F8-BC25-07A7125B9375}"/>
            </c:ext>
          </c:extLst>
        </c:ser>
        <c:ser>
          <c:idx val="1"/>
          <c:order val="1"/>
          <c:tx>
            <c:strRef>
              <c:f>'77'!$S$1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'77'!$Q$2:$Q$602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'77'!$S$2:$S$602</c:f>
              <c:numCache>
                <c:formatCode>General</c:formatCode>
                <c:ptCount val="601"/>
                <c:pt idx="0">
                  <c:v>77</c:v>
                </c:pt>
                <c:pt idx="1">
                  <c:v>77</c:v>
                </c:pt>
                <c:pt idx="2">
                  <c:v>77</c:v>
                </c:pt>
                <c:pt idx="3">
                  <c:v>77</c:v>
                </c:pt>
                <c:pt idx="4">
                  <c:v>77</c:v>
                </c:pt>
                <c:pt idx="5">
                  <c:v>77</c:v>
                </c:pt>
                <c:pt idx="6">
                  <c:v>77</c:v>
                </c:pt>
                <c:pt idx="7">
                  <c:v>77</c:v>
                </c:pt>
                <c:pt idx="8">
                  <c:v>77</c:v>
                </c:pt>
                <c:pt idx="9">
                  <c:v>77</c:v>
                </c:pt>
                <c:pt idx="10">
                  <c:v>77</c:v>
                </c:pt>
                <c:pt idx="11">
                  <c:v>77</c:v>
                </c:pt>
                <c:pt idx="12">
                  <c:v>77</c:v>
                </c:pt>
                <c:pt idx="13">
                  <c:v>77</c:v>
                </c:pt>
                <c:pt idx="14">
                  <c:v>77</c:v>
                </c:pt>
                <c:pt idx="15">
                  <c:v>77</c:v>
                </c:pt>
                <c:pt idx="16">
                  <c:v>77</c:v>
                </c:pt>
                <c:pt idx="17">
                  <c:v>77</c:v>
                </c:pt>
                <c:pt idx="18">
                  <c:v>77</c:v>
                </c:pt>
                <c:pt idx="19">
                  <c:v>77</c:v>
                </c:pt>
                <c:pt idx="20">
                  <c:v>77</c:v>
                </c:pt>
                <c:pt idx="21">
                  <c:v>77</c:v>
                </c:pt>
                <c:pt idx="22">
                  <c:v>77</c:v>
                </c:pt>
                <c:pt idx="23">
                  <c:v>77</c:v>
                </c:pt>
                <c:pt idx="24">
                  <c:v>77</c:v>
                </c:pt>
                <c:pt idx="25">
                  <c:v>77</c:v>
                </c:pt>
                <c:pt idx="26">
                  <c:v>77</c:v>
                </c:pt>
                <c:pt idx="27">
                  <c:v>77</c:v>
                </c:pt>
                <c:pt idx="28">
                  <c:v>77</c:v>
                </c:pt>
                <c:pt idx="29">
                  <c:v>77</c:v>
                </c:pt>
                <c:pt idx="30">
                  <c:v>77</c:v>
                </c:pt>
                <c:pt idx="31">
                  <c:v>77</c:v>
                </c:pt>
                <c:pt idx="32">
                  <c:v>77</c:v>
                </c:pt>
                <c:pt idx="33">
                  <c:v>77</c:v>
                </c:pt>
                <c:pt idx="34">
                  <c:v>77</c:v>
                </c:pt>
                <c:pt idx="35">
                  <c:v>77</c:v>
                </c:pt>
                <c:pt idx="36">
                  <c:v>77</c:v>
                </c:pt>
                <c:pt idx="37">
                  <c:v>77</c:v>
                </c:pt>
                <c:pt idx="38">
                  <c:v>77</c:v>
                </c:pt>
                <c:pt idx="39">
                  <c:v>77</c:v>
                </c:pt>
                <c:pt idx="40">
                  <c:v>77</c:v>
                </c:pt>
                <c:pt idx="41">
                  <c:v>77</c:v>
                </c:pt>
                <c:pt idx="42">
                  <c:v>77</c:v>
                </c:pt>
                <c:pt idx="43">
                  <c:v>77</c:v>
                </c:pt>
                <c:pt idx="44">
                  <c:v>77</c:v>
                </c:pt>
                <c:pt idx="45">
                  <c:v>77</c:v>
                </c:pt>
                <c:pt idx="46">
                  <c:v>77</c:v>
                </c:pt>
                <c:pt idx="47">
                  <c:v>77</c:v>
                </c:pt>
                <c:pt idx="48">
                  <c:v>77</c:v>
                </c:pt>
                <c:pt idx="49">
                  <c:v>77</c:v>
                </c:pt>
                <c:pt idx="50">
                  <c:v>77</c:v>
                </c:pt>
                <c:pt idx="51">
                  <c:v>77</c:v>
                </c:pt>
                <c:pt idx="52">
                  <c:v>77</c:v>
                </c:pt>
                <c:pt idx="53">
                  <c:v>77</c:v>
                </c:pt>
                <c:pt idx="54">
                  <c:v>77</c:v>
                </c:pt>
                <c:pt idx="55">
                  <c:v>77</c:v>
                </c:pt>
                <c:pt idx="56">
                  <c:v>77</c:v>
                </c:pt>
                <c:pt idx="57">
                  <c:v>77</c:v>
                </c:pt>
                <c:pt idx="58">
                  <c:v>77</c:v>
                </c:pt>
                <c:pt idx="59">
                  <c:v>77</c:v>
                </c:pt>
                <c:pt idx="60">
                  <c:v>77</c:v>
                </c:pt>
                <c:pt idx="61">
                  <c:v>77</c:v>
                </c:pt>
                <c:pt idx="62">
                  <c:v>77</c:v>
                </c:pt>
                <c:pt idx="63">
                  <c:v>77</c:v>
                </c:pt>
                <c:pt idx="64">
                  <c:v>77</c:v>
                </c:pt>
                <c:pt idx="65">
                  <c:v>77</c:v>
                </c:pt>
                <c:pt idx="66">
                  <c:v>77</c:v>
                </c:pt>
                <c:pt idx="67">
                  <c:v>77</c:v>
                </c:pt>
                <c:pt idx="68">
                  <c:v>77</c:v>
                </c:pt>
                <c:pt idx="69">
                  <c:v>77</c:v>
                </c:pt>
                <c:pt idx="70">
                  <c:v>77</c:v>
                </c:pt>
                <c:pt idx="71">
                  <c:v>77</c:v>
                </c:pt>
                <c:pt idx="72">
                  <c:v>77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77</c:v>
                </c:pt>
                <c:pt idx="78">
                  <c:v>77</c:v>
                </c:pt>
                <c:pt idx="79">
                  <c:v>77</c:v>
                </c:pt>
                <c:pt idx="80">
                  <c:v>77</c:v>
                </c:pt>
                <c:pt idx="81">
                  <c:v>77</c:v>
                </c:pt>
                <c:pt idx="82">
                  <c:v>77</c:v>
                </c:pt>
                <c:pt idx="83">
                  <c:v>77</c:v>
                </c:pt>
                <c:pt idx="84">
                  <c:v>77</c:v>
                </c:pt>
                <c:pt idx="85">
                  <c:v>77</c:v>
                </c:pt>
                <c:pt idx="86">
                  <c:v>77</c:v>
                </c:pt>
                <c:pt idx="87">
                  <c:v>77</c:v>
                </c:pt>
                <c:pt idx="88">
                  <c:v>77</c:v>
                </c:pt>
                <c:pt idx="89">
                  <c:v>77</c:v>
                </c:pt>
                <c:pt idx="90">
                  <c:v>77</c:v>
                </c:pt>
                <c:pt idx="91">
                  <c:v>77</c:v>
                </c:pt>
                <c:pt idx="92">
                  <c:v>77</c:v>
                </c:pt>
                <c:pt idx="93">
                  <c:v>77</c:v>
                </c:pt>
                <c:pt idx="94">
                  <c:v>77</c:v>
                </c:pt>
                <c:pt idx="95">
                  <c:v>77</c:v>
                </c:pt>
                <c:pt idx="96">
                  <c:v>77</c:v>
                </c:pt>
                <c:pt idx="97">
                  <c:v>77</c:v>
                </c:pt>
                <c:pt idx="98">
                  <c:v>77</c:v>
                </c:pt>
                <c:pt idx="99">
                  <c:v>77</c:v>
                </c:pt>
                <c:pt idx="100">
                  <c:v>77</c:v>
                </c:pt>
                <c:pt idx="101">
                  <c:v>77</c:v>
                </c:pt>
                <c:pt idx="102">
                  <c:v>77</c:v>
                </c:pt>
                <c:pt idx="103">
                  <c:v>77</c:v>
                </c:pt>
                <c:pt idx="104">
                  <c:v>77</c:v>
                </c:pt>
                <c:pt idx="105">
                  <c:v>77</c:v>
                </c:pt>
                <c:pt idx="106">
                  <c:v>77</c:v>
                </c:pt>
                <c:pt idx="107">
                  <c:v>77</c:v>
                </c:pt>
                <c:pt idx="108">
                  <c:v>77</c:v>
                </c:pt>
                <c:pt idx="109">
                  <c:v>77</c:v>
                </c:pt>
                <c:pt idx="110">
                  <c:v>77</c:v>
                </c:pt>
                <c:pt idx="111">
                  <c:v>77</c:v>
                </c:pt>
                <c:pt idx="112">
                  <c:v>77</c:v>
                </c:pt>
                <c:pt idx="113">
                  <c:v>77</c:v>
                </c:pt>
                <c:pt idx="114">
                  <c:v>77</c:v>
                </c:pt>
                <c:pt idx="115">
                  <c:v>77</c:v>
                </c:pt>
                <c:pt idx="116">
                  <c:v>77</c:v>
                </c:pt>
                <c:pt idx="117">
                  <c:v>77</c:v>
                </c:pt>
                <c:pt idx="118">
                  <c:v>77</c:v>
                </c:pt>
                <c:pt idx="119">
                  <c:v>77</c:v>
                </c:pt>
                <c:pt idx="120">
                  <c:v>77</c:v>
                </c:pt>
                <c:pt idx="121">
                  <c:v>77</c:v>
                </c:pt>
                <c:pt idx="122">
                  <c:v>77</c:v>
                </c:pt>
                <c:pt idx="123">
                  <c:v>77</c:v>
                </c:pt>
                <c:pt idx="124">
                  <c:v>77</c:v>
                </c:pt>
                <c:pt idx="125">
                  <c:v>77</c:v>
                </c:pt>
                <c:pt idx="126">
                  <c:v>77</c:v>
                </c:pt>
                <c:pt idx="127">
                  <c:v>77</c:v>
                </c:pt>
                <c:pt idx="128">
                  <c:v>77</c:v>
                </c:pt>
                <c:pt idx="129">
                  <c:v>77</c:v>
                </c:pt>
                <c:pt idx="130">
                  <c:v>77</c:v>
                </c:pt>
                <c:pt idx="131">
                  <c:v>77</c:v>
                </c:pt>
                <c:pt idx="132">
                  <c:v>77</c:v>
                </c:pt>
                <c:pt idx="133">
                  <c:v>77</c:v>
                </c:pt>
                <c:pt idx="134">
                  <c:v>77</c:v>
                </c:pt>
                <c:pt idx="135">
                  <c:v>77</c:v>
                </c:pt>
                <c:pt idx="136">
                  <c:v>77</c:v>
                </c:pt>
                <c:pt idx="137">
                  <c:v>77</c:v>
                </c:pt>
                <c:pt idx="138">
                  <c:v>77</c:v>
                </c:pt>
                <c:pt idx="139">
                  <c:v>77</c:v>
                </c:pt>
                <c:pt idx="140">
                  <c:v>77</c:v>
                </c:pt>
                <c:pt idx="141">
                  <c:v>77</c:v>
                </c:pt>
                <c:pt idx="142">
                  <c:v>77</c:v>
                </c:pt>
                <c:pt idx="143">
                  <c:v>77</c:v>
                </c:pt>
                <c:pt idx="144">
                  <c:v>77</c:v>
                </c:pt>
                <c:pt idx="145">
                  <c:v>77</c:v>
                </c:pt>
                <c:pt idx="146">
                  <c:v>77</c:v>
                </c:pt>
                <c:pt idx="147">
                  <c:v>77</c:v>
                </c:pt>
                <c:pt idx="148">
                  <c:v>77</c:v>
                </c:pt>
                <c:pt idx="149">
                  <c:v>77</c:v>
                </c:pt>
                <c:pt idx="150">
                  <c:v>77</c:v>
                </c:pt>
                <c:pt idx="151">
                  <c:v>77</c:v>
                </c:pt>
                <c:pt idx="152">
                  <c:v>77</c:v>
                </c:pt>
                <c:pt idx="153">
                  <c:v>77</c:v>
                </c:pt>
                <c:pt idx="154">
                  <c:v>77</c:v>
                </c:pt>
                <c:pt idx="155">
                  <c:v>77</c:v>
                </c:pt>
                <c:pt idx="156">
                  <c:v>77</c:v>
                </c:pt>
                <c:pt idx="157">
                  <c:v>77</c:v>
                </c:pt>
                <c:pt idx="158">
                  <c:v>77</c:v>
                </c:pt>
                <c:pt idx="159">
                  <c:v>77</c:v>
                </c:pt>
                <c:pt idx="160">
                  <c:v>77</c:v>
                </c:pt>
                <c:pt idx="161">
                  <c:v>77</c:v>
                </c:pt>
                <c:pt idx="162">
                  <c:v>77</c:v>
                </c:pt>
                <c:pt idx="163">
                  <c:v>77</c:v>
                </c:pt>
                <c:pt idx="164">
                  <c:v>77</c:v>
                </c:pt>
                <c:pt idx="165">
                  <c:v>77</c:v>
                </c:pt>
                <c:pt idx="166">
                  <c:v>77</c:v>
                </c:pt>
                <c:pt idx="167">
                  <c:v>77</c:v>
                </c:pt>
                <c:pt idx="168">
                  <c:v>77</c:v>
                </c:pt>
                <c:pt idx="169">
                  <c:v>77</c:v>
                </c:pt>
                <c:pt idx="170">
                  <c:v>77</c:v>
                </c:pt>
                <c:pt idx="171">
                  <c:v>77</c:v>
                </c:pt>
                <c:pt idx="172">
                  <c:v>77</c:v>
                </c:pt>
                <c:pt idx="173">
                  <c:v>77</c:v>
                </c:pt>
                <c:pt idx="174">
                  <c:v>77</c:v>
                </c:pt>
                <c:pt idx="175">
                  <c:v>77</c:v>
                </c:pt>
                <c:pt idx="176">
                  <c:v>77</c:v>
                </c:pt>
                <c:pt idx="177">
                  <c:v>77</c:v>
                </c:pt>
                <c:pt idx="178">
                  <c:v>77</c:v>
                </c:pt>
                <c:pt idx="179">
                  <c:v>77</c:v>
                </c:pt>
                <c:pt idx="180">
                  <c:v>77</c:v>
                </c:pt>
                <c:pt idx="181">
                  <c:v>77</c:v>
                </c:pt>
                <c:pt idx="182">
                  <c:v>77</c:v>
                </c:pt>
                <c:pt idx="183">
                  <c:v>77</c:v>
                </c:pt>
                <c:pt idx="184">
                  <c:v>77</c:v>
                </c:pt>
                <c:pt idx="185">
                  <c:v>77</c:v>
                </c:pt>
                <c:pt idx="186">
                  <c:v>77</c:v>
                </c:pt>
                <c:pt idx="187">
                  <c:v>77</c:v>
                </c:pt>
                <c:pt idx="188">
                  <c:v>77</c:v>
                </c:pt>
                <c:pt idx="189">
                  <c:v>77</c:v>
                </c:pt>
                <c:pt idx="190">
                  <c:v>77</c:v>
                </c:pt>
                <c:pt idx="191">
                  <c:v>77</c:v>
                </c:pt>
                <c:pt idx="192">
                  <c:v>77</c:v>
                </c:pt>
                <c:pt idx="193">
                  <c:v>77</c:v>
                </c:pt>
                <c:pt idx="194">
                  <c:v>77</c:v>
                </c:pt>
                <c:pt idx="195">
                  <c:v>77</c:v>
                </c:pt>
                <c:pt idx="196">
                  <c:v>77</c:v>
                </c:pt>
                <c:pt idx="197">
                  <c:v>77</c:v>
                </c:pt>
                <c:pt idx="198">
                  <c:v>77</c:v>
                </c:pt>
                <c:pt idx="199">
                  <c:v>77</c:v>
                </c:pt>
                <c:pt idx="200">
                  <c:v>77</c:v>
                </c:pt>
                <c:pt idx="201">
                  <c:v>77</c:v>
                </c:pt>
                <c:pt idx="202">
                  <c:v>77</c:v>
                </c:pt>
                <c:pt idx="203">
                  <c:v>77</c:v>
                </c:pt>
                <c:pt idx="204">
                  <c:v>77</c:v>
                </c:pt>
                <c:pt idx="205">
                  <c:v>77</c:v>
                </c:pt>
                <c:pt idx="206">
                  <c:v>77</c:v>
                </c:pt>
                <c:pt idx="207">
                  <c:v>77</c:v>
                </c:pt>
                <c:pt idx="208">
                  <c:v>77</c:v>
                </c:pt>
                <c:pt idx="209">
                  <c:v>77</c:v>
                </c:pt>
                <c:pt idx="210">
                  <c:v>77</c:v>
                </c:pt>
                <c:pt idx="211">
                  <c:v>77</c:v>
                </c:pt>
                <c:pt idx="212">
                  <c:v>77</c:v>
                </c:pt>
                <c:pt idx="213">
                  <c:v>77</c:v>
                </c:pt>
                <c:pt idx="214">
                  <c:v>77</c:v>
                </c:pt>
                <c:pt idx="215">
                  <c:v>77</c:v>
                </c:pt>
                <c:pt idx="216">
                  <c:v>77</c:v>
                </c:pt>
                <c:pt idx="217">
                  <c:v>77</c:v>
                </c:pt>
                <c:pt idx="218">
                  <c:v>77</c:v>
                </c:pt>
                <c:pt idx="219">
                  <c:v>77</c:v>
                </c:pt>
                <c:pt idx="220">
                  <c:v>77</c:v>
                </c:pt>
                <c:pt idx="221">
                  <c:v>77</c:v>
                </c:pt>
                <c:pt idx="222">
                  <c:v>77</c:v>
                </c:pt>
                <c:pt idx="223">
                  <c:v>77</c:v>
                </c:pt>
                <c:pt idx="224">
                  <c:v>77</c:v>
                </c:pt>
                <c:pt idx="225">
                  <c:v>77</c:v>
                </c:pt>
                <c:pt idx="226">
                  <c:v>77</c:v>
                </c:pt>
                <c:pt idx="227">
                  <c:v>77</c:v>
                </c:pt>
                <c:pt idx="228">
                  <c:v>77</c:v>
                </c:pt>
                <c:pt idx="229">
                  <c:v>77</c:v>
                </c:pt>
                <c:pt idx="230">
                  <c:v>77</c:v>
                </c:pt>
                <c:pt idx="231">
                  <c:v>77</c:v>
                </c:pt>
                <c:pt idx="232">
                  <c:v>77</c:v>
                </c:pt>
                <c:pt idx="233">
                  <c:v>77</c:v>
                </c:pt>
                <c:pt idx="234">
                  <c:v>77</c:v>
                </c:pt>
                <c:pt idx="235">
                  <c:v>77</c:v>
                </c:pt>
                <c:pt idx="236">
                  <c:v>77</c:v>
                </c:pt>
                <c:pt idx="237">
                  <c:v>77</c:v>
                </c:pt>
                <c:pt idx="238">
                  <c:v>77</c:v>
                </c:pt>
                <c:pt idx="239">
                  <c:v>77</c:v>
                </c:pt>
                <c:pt idx="240">
                  <c:v>77</c:v>
                </c:pt>
                <c:pt idx="241">
                  <c:v>77</c:v>
                </c:pt>
                <c:pt idx="242">
                  <c:v>77</c:v>
                </c:pt>
                <c:pt idx="243">
                  <c:v>77</c:v>
                </c:pt>
                <c:pt idx="244">
                  <c:v>77</c:v>
                </c:pt>
                <c:pt idx="245">
                  <c:v>77</c:v>
                </c:pt>
                <c:pt idx="246">
                  <c:v>77</c:v>
                </c:pt>
                <c:pt idx="247">
                  <c:v>77</c:v>
                </c:pt>
                <c:pt idx="248">
                  <c:v>77</c:v>
                </c:pt>
                <c:pt idx="249">
                  <c:v>77</c:v>
                </c:pt>
                <c:pt idx="250">
                  <c:v>77</c:v>
                </c:pt>
                <c:pt idx="251">
                  <c:v>77</c:v>
                </c:pt>
                <c:pt idx="252">
                  <c:v>77</c:v>
                </c:pt>
                <c:pt idx="253">
                  <c:v>77</c:v>
                </c:pt>
                <c:pt idx="254">
                  <c:v>77</c:v>
                </c:pt>
                <c:pt idx="255">
                  <c:v>77</c:v>
                </c:pt>
                <c:pt idx="256">
                  <c:v>77</c:v>
                </c:pt>
                <c:pt idx="257">
                  <c:v>77</c:v>
                </c:pt>
                <c:pt idx="258">
                  <c:v>77</c:v>
                </c:pt>
                <c:pt idx="259">
                  <c:v>77</c:v>
                </c:pt>
                <c:pt idx="260">
                  <c:v>77</c:v>
                </c:pt>
                <c:pt idx="261">
                  <c:v>77</c:v>
                </c:pt>
                <c:pt idx="262">
                  <c:v>77</c:v>
                </c:pt>
                <c:pt idx="263">
                  <c:v>77</c:v>
                </c:pt>
                <c:pt idx="264">
                  <c:v>77</c:v>
                </c:pt>
                <c:pt idx="265">
                  <c:v>77</c:v>
                </c:pt>
                <c:pt idx="266">
                  <c:v>77</c:v>
                </c:pt>
                <c:pt idx="267">
                  <c:v>77</c:v>
                </c:pt>
                <c:pt idx="268">
                  <c:v>77</c:v>
                </c:pt>
                <c:pt idx="269">
                  <c:v>77</c:v>
                </c:pt>
                <c:pt idx="270">
                  <c:v>77</c:v>
                </c:pt>
                <c:pt idx="271">
                  <c:v>77</c:v>
                </c:pt>
                <c:pt idx="272">
                  <c:v>77</c:v>
                </c:pt>
                <c:pt idx="273">
                  <c:v>77</c:v>
                </c:pt>
                <c:pt idx="274">
                  <c:v>77</c:v>
                </c:pt>
                <c:pt idx="275">
                  <c:v>77</c:v>
                </c:pt>
                <c:pt idx="276">
                  <c:v>77</c:v>
                </c:pt>
                <c:pt idx="277">
                  <c:v>77</c:v>
                </c:pt>
                <c:pt idx="278">
                  <c:v>77</c:v>
                </c:pt>
                <c:pt idx="279">
                  <c:v>77</c:v>
                </c:pt>
                <c:pt idx="280">
                  <c:v>77</c:v>
                </c:pt>
                <c:pt idx="281">
                  <c:v>77</c:v>
                </c:pt>
                <c:pt idx="282">
                  <c:v>77</c:v>
                </c:pt>
                <c:pt idx="283">
                  <c:v>77</c:v>
                </c:pt>
                <c:pt idx="284">
                  <c:v>77</c:v>
                </c:pt>
                <c:pt idx="285">
                  <c:v>77</c:v>
                </c:pt>
                <c:pt idx="286">
                  <c:v>77</c:v>
                </c:pt>
                <c:pt idx="287">
                  <c:v>77</c:v>
                </c:pt>
                <c:pt idx="288">
                  <c:v>77</c:v>
                </c:pt>
                <c:pt idx="289">
                  <c:v>77</c:v>
                </c:pt>
                <c:pt idx="290">
                  <c:v>77</c:v>
                </c:pt>
                <c:pt idx="291">
                  <c:v>77</c:v>
                </c:pt>
                <c:pt idx="292">
                  <c:v>77</c:v>
                </c:pt>
                <c:pt idx="293">
                  <c:v>77</c:v>
                </c:pt>
                <c:pt idx="294">
                  <c:v>77</c:v>
                </c:pt>
                <c:pt idx="295">
                  <c:v>77</c:v>
                </c:pt>
                <c:pt idx="296">
                  <c:v>77</c:v>
                </c:pt>
                <c:pt idx="297">
                  <c:v>77</c:v>
                </c:pt>
                <c:pt idx="298">
                  <c:v>77</c:v>
                </c:pt>
                <c:pt idx="299">
                  <c:v>77</c:v>
                </c:pt>
                <c:pt idx="300">
                  <c:v>77</c:v>
                </c:pt>
                <c:pt idx="301">
                  <c:v>77</c:v>
                </c:pt>
                <c:pt idx="302">
                  <c:v>77</c:v>
                </c:pt>
                <c:pt idx="303">
                  <c:v>77</c:v>
                </c:pt>
                <c:pt idx="304">
                  <c:v>77</c:v>
                </c:pt>
                <c:pt idx="305">
                  <c:v>77</c:v>
                </c:pt>
                <c:pt idx="306">
                  <c:v>77</c:v>
                </c:pt>
                <c:pt idx="307">
                  <c:v>77</c:v>
                </c:pt>
                <c:pt idx="308">
                  <c:v>77</c:v>
                </c:pt>
                <c:pt idx="309">
                  <c:v>77</c:v>
                </c:pt>
                <c:pt idx="310">
                  <c:v>77</c:v>
                </c:pt>
                <c:pt idx="311">
                  <c:v>77</c:v>
                </c:pt>
                <c:pt idx="312">
                  <c:v>77</c:v>
                </c:pt>
                <c:pt idx="313">
                  <c:v>77</c:v>
                </c:pt>
                <c:pt idx="314">
                  <c:v>77</c:v>
                </c:pt>
                <c:pt idx="315">
                  <c:v>77</c:v>
                </c:pt>
                <c:pt idx="316">
                  <c:v>77</c:v>
                </c:pt>
                <c:pt idx="317">
                  <c:v>77</c:v>
                </c:pt>
                <c:pt idx="318">
                  <c:v>77</c:v>
                </c:pt>
                <c:pt idx="319">
                  <c:v>77</c:v>
                </c:pt>
                <c:pt idx="320">
                  <c:v>77</c:v>
                </c:pt>
                <c:pt idx="321">
                  <c:v>77</c:v>
                </c:pt>
                <c:pt idx="322">
                  <c:v>77</c:v>
                </c:pt>
                <c:pt idx="323">
                  <c:v>77</c:v>
                </c:pt>
                <c:pt idx="324">
                  <c:v>77</c:v>
                </c:pt>
                <c:pt idx="325">
                  <c:v>77</c:v>
                </c:pt>
                <c:pt idx="326">
                  <c:v>77</c:v>
                </c:pt>
                <c:pt idx="327">
                  <c:v>77</c:v>
                </c:pt>
                <c:pt idx="328">
                  <c:v>77</c:v>
                </c:pt>
                <c:pt idx="329">
                  <c:v>77</c:v>
                </c:pt>
                <c:pt idx="330">
                  <c:v>77</c:v>
                </c:pt>
                <c:pt idx="331">
                  <c:v>77</c:v>
                </c:pt>
                <c:pt idx="332">
                  <c:v>77</c:v>
                </c:pt>
                <c:pt idx="333">
                  <c:v>77</c:v>
                </c:pt>
                <c:pt idx="334">
                  <c:v>77</c:v>
                </c:pt>
                <c:pt idx="335">
                  <c:v>77</c:v>
                </c:pt>
                <c:pt idx="336">
                  <c:v>77</c:v>
                </c:pt>
                <c:pt idx="337">
                  <c:v>77</c:v>
                </c:pt>
                <c:pt idx="338">
                  <c:v>77</c:v>
                </c:pt>
                <c:pt idx="339">
                  <c:v>77</c:v>
                </c:pt>
                <c:pt idx="340">
                  <c:v>77</c:v>
                </c:pt>
                <c:pt idx="341">
                  <c:v>77</c:v>
                </c:pt>
                <c:pt idx="342">
                  <c:v>77</c:v>
                </c:pt>
                <c:pt idx="343">
                  <c:v>77</c:v>
                </c:pt>
                <c:pt idx="344">
                  <c:v>77</c:v>
                </c:pt>
                <c:pt idx="345">
                  <c:v>77</c:v>
                </c:pt>
                <c:pt idx="346">
                  <c:v>77</c:v>
                </c:pt>
                <c:pt idx="347">
                  <c:v>77</c:v>
                </c:pt>
                <c:pt idx="348">
                  <c:v>77</c:v>
                </c:pt>
                <c:pt idx="349">
                  <c:v>77</c:v>
                </c:pt>
                <c:pt idx="350">
                  <c:v>77</c:v>
                </c:pt>
                <c:pt idx="351">
                  <c:v>77</c:v>
                </c:pt>
                <c:pt idx="352">
                  <c:v>77</c:v>
                </c:pt>
                <c:pt idx="353">
                  <c:v>77</c:v>
                </c:pt>
                <c:pt idx="354">
                  <c:v>77</c:v>
                </c:pt>
                <c:pt idx="355">
                  <c:v>77</c:v>
                </c:pt>
                <c:pt idx="356">
                  <c:v>77</c:v>
                </c:pt>
                <c:pt idx="357">
                  <c:v>77</c:v>
                </c:pt>
                <c:pt idx="358">
                  <c:v>77</c:v>
                </c:pt>
                <c:pt idx="359">
                  <c:v>77</c:v>
                </c:pt>
                <c:pt idx="360">
                  <c:v>77</c:v>
                </c:pt>
                <c:pt idx="361">
                  <c:v>77</c:v>
                </c:pt>
                <c:pt idx="362">
                  <c:v>77</c:v>
                </c:pt>
                <c:pt idx="363">
                  <c:v>77</c:v>
                </c:pt>
                <c:pt idx="364">
                  <c:v>77</c:v>
                </c:pt>
                <c:pt idx="365">
                  <c:v>77</c:v>
                </c:pt>
                <c:pt idx="366">
                  <c:v>77</c:v>
                </c:pt>
                <c:pt idx="367">
                  <c:v>77</c:v>
                </c:pt>
                <c:pt idx="368">
                  <c:v>77</c:v>
                </c:pt>
                <c:pt idx="369">
                  <c:v>77</c:v>
                </c:pt>
                <c:pt idx="370">
                  <c:v>77</c:v>
                </c:pt>
                <c:pt idx="371">
                  <c:v>77</c:v>
                </c:pt>
                <c:pt idx="372">
                  <c:v>77</c:v>
                </c:pt>
                <c:pt idx="373">
                  <c:v>77</c:v>
                </c:pt>
                <c:pt idx="374">
                  <c:v>77</c:v>
                </c:pt>
                <c:pt idx="375">
                  <c:v>77</c:v>
                </c:pt>
                <c:pt idx="376">
                  <c:v>77</c:v>
                </c:pt>
                <c:pt idx="377">
                  <c:v>77</c:v>
                </c:pt>
                <c:pt idx="378">
                  <c:v>77</c:v>
                </c:pt>
                <c:pt idx="379">
                  <c:v>77</c:v>
                </c:pt>
                <c:pt idx="380">
                  <c:v>77</c:v>
                </c:pt>
                <c:pt idx="381">
                  <c:v>77</c:v>
                </c:pt>
                <c:pt idx="382">
                  <c:v>77</c:v>
                </c:pt>
                <c:pt idx="383">
                  <c:v>77</c:v>
                </c:pt>
                <c:pt idx="384">
                  <c:v>77</c:v>
                </c:pt>
                <c:pt idx="385">
                  <c:v>77</c:v>
                </c:pt>
                <c:pt idx="386">
                  <c:v>77</c:v>
                </c:pt>
                <c:pt idx="387">
                  <c:v>77</c:v>
                </c:pt>
                <c:pt idx="388">
                  <c:v>77</c:v>
                </c:pt>
                <c:pt idx="389">
                  <c:v>77</c:v>
                </c:pt>
                <c:pt idx="390">
                  <c:v>77</c:v>
                </c:pt>
                <c:pt idx="391">
                  <c:v>77</c:v>
                </c:pt>
                <c:pt idx="392">
                  <c:v>77</c:v>
                </c:pt>
                <c:pt idx="393">
                  <c:v>77</c:v>
                </c:pt>
                <c:pt idx="394">
                  <c:v>77</c:v>
                </c:pt>
                <c:pt idx="395">
                  <c:v>77</c:v>
                </c:pt>
                <c:pt idx="396">
                  <c:v>77</c:v>
                </c:pt>
                <c:pt idx="397">
                  <c:v>77</c:v>
                </c:pt>
                <c:pt idx="398">
                  <c:v>77</c:v>
                </c:pt>
                <c:pt idx="399">
                  <c:v>77</c:v>
                </c:pt>
                <c:pt idx="400">
                  <c:v>77</c:v>
                </c:pt>
                <c:pt idx="401">
                  <c:v>77</c:v>
                </c:pt>
                <c:pt idx="402">
                  <c:v>77</c:v>
                </c:pt>
                <c:pt idx="403">
                  <c:v>77</c:v>
                </c:pt>
                <c:pt idx="404">
                  <c:v>77</c:v>
                </c:pt>
                <c:pt idx="405">
                  <c:v>77</c:v>
                </c:pt>
                <c:pt idx="406">
                  <c:v>77</c:v>
                </c:pt>
                <c:pt idx="407">
                  <c:v>77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77</c:v>
                </c:pt>
                <c:pt idx="433">
                  <c:v>77</c:v>
                </c:pt>
                <c:pt idx="434">
                  <c:v>77</c:v>
                </c:pt>
                <c:pt idx="435">
                  <c:v>77</c:v>
                </c:pt>
                <c:pt idx="436">
                  <c:v>77</c:v>
                </c:pt>
                <c:pt idx="437">
                  <c:v>77</c:v>
                </c:pt>
                <c:pt idx="438">
                  <c:v>77</c:v>
                </c:pt>
                <c:pt idx="439">
                  <c:v>77</c:v>
                </c:pt>
                <c:pt idx="440">
                  <c:v>77</c:v>
                </c:pt>
                <c:pt idx="441">
                  <c:v>77</c:v>
                </c:pt>
                <c:pt idx="442">
                  <c:v>77</c:v>
                </c:pt>
                <c:pt idx="443">
                  <c:v>77</c:v>
                </c:pt>
                <c:pt idx="444">
                  <c:v>77</c:v>
                </c:pt>
                <c:pt idx="445">
                  <c:v>77</c:v>
                </c:pt>
                <c:pt idx="446">
                  <c:v>77</c:v>
                </c:pt>
                <c:pt idx="447">
                  <c:v>77</c:v>
                </c:pt>
                <c:pt idx="448">
                  <c:v>77</c:v>
                </c:pt>
                <c:pt idx="449">
                  <c:v>77</c:v>
                </c:pt>
                <c:pt idx="450">
                  <c:v>77</c:v>
                </c:pt>
                <c:pt idx="451">
                  <c:v>77</c:v>
                </c:pt>
                <c:pt idx="452">
                  <c:v>77</c:v>
                </c:pt>
                <c:pt idx="453">
                  <c:v>77</c:v>
                </c:pt>
                <c:pt idx="454">
                  <c:v>77</c:v>
                </c:pt>
                <c:pt idx="455">
                  <c:v>77</c:v>
                </c:pt>
                <c:pt idx="456">
                  <c:v>77</c:v>
                </c:pt>
                <c:pt idx="457">
                  <c:v>77</c:v>
                </c:pt>
                <c:pt idx="458">
                  <c:v>77</c:v>
                </c:pt>
                <c:pt idx="459">
                  <c:v>77</c:v>
                </c:pt>
                <c:pt idx="460">
                  <c:v>77</c:v>
                </c:pt>
                <c:pt idx="461">
                  <c:v>77</c:v>
                </c:pt>
                <c:pt idx="462">
                  <c:v>77</c:v>
                </c:pt>
                <c:pt idx="463">
                  <c:v>77</c:v>
                </c:pt>
                <c:pt idx="464">
                  <c:v>77</c:v>
                </c:pt>
                <c:pt idx="465">
                  <c:v>77</c:v>
                </c:pt>
                <c:pt idx="466">
                  <c:v>77</c:v>
                </c:pt>
                <c:pt idx="467">
                  <c:v>77</c:v>
                </c:pt>
                <c:pt idx="468">
                  <c:v>77</c:v>
                </c:pt>
                <c:pt idx="469">
                  <c:v>77</c:v>
                </c:pt>
                <c:pt idx="470">
                  <c:v>77</c:v>
                </c:pt>
                <c:pt idx="471">
                  <c:v>77</c:v>
                </c:pt>
                <c:pt idx="472">
                  <c:v>77</c:v>
                </c:pt>
                <c:pt idx="473">
                  <c:v>77</c:v>
                </c:pt>
                <c:pt idx="474">
                  <c:v>77</c:v>
                </c:pt>
                <c:pt idx="475">
                  <c:v>77</c:v>
                </c:pt>
                <c:pt idx="476">
                  <c:v>77</c:v>
                </c:pt>
                <c:pt idx="477">
                  <c:v>77</c:v>
                </c:pt>
                <c:pt idx="478">
                  <c:v>77</c:v>
                </c:pt>
                <c:pt idx="479">
                  <c:v>77</c:v>
                </c:pt>
                <c:pt idx="480">
                  <c:v>77</c:v>
                </c:pt>
                <c:pt idx="481">
                  <c:v>77</c:v>
                </c:pt>
                <c:pt idx="482">
                  <c:v>77</c:v>
                </c:pt>
                <c:pt idx="483">
                  <c:v>77</c:v>
                </c:pt>
                <c:pt idx="484">
                  <c:v>77</c:v>
                </c:pt>
                <c:pt idx="485">
                  <c:v>77</c:v>
                </c:pt>
                <c:pt idx="486">
                  <c:v>77</c:v>
                </c:pt>
                <c:pt idx="487">
                  <c:v>77</c:v>
                </c:pt>
                <c:pt idx="488">
                  <c:v>77</c:v>
                </c:pt>
                <c:pt idx="489">
                  <c:v>77</c:v>
                </c:pt>
                <c:pt idx="490">
                  <c:v>77</c:v>
                </c:pt>
                <c:pt idx="491">
                  <c:v>77</c:v>
                </c:pt>
                <c:pt idx="492">
                  <c:v>77</c:v>
                </c:pt>
                <c:pt idx="493">
                  <c:v>77</c:v>
                </c:pt>
                <c:pt idx="494">
                  <c:v>77</c:v>
                </c:pt>
                <c:pt idx="495">
                  <c:v>77</c:v>
                </c:pt>
                <c:pt idx="496">
                  <c:v>77</c:v>
                </c:pt>
                <c:pt idx="497">
                  <c:v>77</c:v>
                </c:pt>
                <c:pt idx="498">
                  <c:v>77</c:v>
                </c:pt>
                <c:pt idx="499">
                  <c:v>77</c:v>
                </c:pt>
                <c:pt idx="500">
                  <c:v>77</c:v>
                </c:pt>
                <c:pt idx="501">
                  <c:v>77</c:v>
                </c:pt>
                <c:pt idx="502">
                  <c:v>77</c:v>
                </c:pt>
                <c:pt idx="503">
                  <c:v>77</c:v>
                </c:pt>
                <c:pt idx="504">
                  <c:v>77</c:v>
                </c:pt>
                <c:pt idx="505">
                  <c:v>77</c:v>
                </c:pt>
                <c:pt idx="506">
                  <c:v>77</c:v>
                </c:pt>
                <c:pt idx="507">
                  <c:v>77</c:v>
                </c:pt>
                <c:pt idx="508">
                  <c:v>77</c:v>
                </c:pt>
                <c:pt idx="509">
                  <c:v>77</c:v>
                </c:pt>
                <c:pt idx="510">
                  <c:v>77</c:v>
                </c:pt>
                <c:pt idx="511">
                  <c:v>77</c:v>
                </c:pt>
                <c:pt idx="512">
                  <c:v>77</c:v>
                </c:pt>
                <c:pt idx="513">
                  <c:v>77</c:v>
                </c:pt>
                <c:pt idx="514">
                  <c:v>77</c:v>
                </c:pt>
                <c:pt idx="515">
                  <c:v>77</c:v>
                </c:pt>
                <c:pt idx="516">
                  <c:v>77</c:v>
                </c:pt>
                <c:pt idx="517">
                  <c:v>77</c:v>
                </c:pt>
                <c:pt idx="518">
                  <c:v>77</c:v>
                </c:pt>
                <c:pt idx="519">
                  <c:v>77</c:v>
                </c:pt>
                <c:pt idx="520">
                  <c:v>77</c:v>
                </c:pt>
                <c:pt idx="521">
                  <c:v>77</c:v>
                </c:pt>
                <c:pt idx="522">
                  <c:v>77</c:v>
                </c:pt>
                <c:pt idx="523">
                  <c:v>77</c:v>
                </c:pt>
                <c:pt idx="524">
                  <c:v>77</c:v>
                </c:pt>
                <c:pt idx="525">
                  <c:v>77</c:v>
                </c:pt>
                <c:pt idx="526">
                  <c:v>77</c:v>
                </c:pt>
                <c:pt idx="527">
                  <c:v>77</c:v>
                </c:pt>
                <c:pt idx="528">
                  <c:v>77</c:v>
                </c:pt>
                <c:pt idx="529">
                  <c:v>77</c:v>
                </c:pt>
                <c:pt idx="530">
                  <c:v>77</c:v>
                </c:pt>
                <c:pt idx="531">
                  <c:v>77</c:v>
                </c:pt>
                <c:pt idx="532">
                  <c:v>77</c:v>
                </c:pt>
                <c:pt idx="533">
                  <c:v>77</c:v>
                </c:pt>
                <c:pt idx="534">
                  <c:v>77</c:v>
                </c:pt>
                <c:pt idx="535">
                  <c:v>77</c:v>
                </c:pt>
                <c:pt idx="536">
                  <c:v>77</c:v>
                </c:pt>
                <c:pt idx="537">
                  <c:v>77</c:v>
                </c:pt>
                <c:pt idx="538">
                  <c:v>77</c:v>
                </c:pt>
                <c:pt idx="539">
                  <c:v>77</c:v>
                </c:pt>
                <c:pt idx="540">
                  <c:v>77</c:v>
                </c:pt>
                <c:pt idx="541">
                  <c:v>77</c:v>
                </c:pt>
                <c:pt idx="542">
                  <c:v>77</c:v>
                </c:pt>
                <c:pt idx="543">
                  <c:v>77</c:v>
                </c:pt>
                <c:pt idx="544">
                  <c:v>77</c:v>
                </c:pt>
                <c:pt idx="545">
                  <c:v>77</c:v>
                </c:pt>
                <c:pt idx="546">
                  <c:v>77</c:v>
                </c:pt>
                <c:pt idx="547">
                  <c:v>77</c:v>
                </c:pt>
                <c:pt idx="548">
                  <c:v>77</c:v>
                </c:pt>
                <c:pt idx="549">
                  <c:v>77</c:v>
                </c:pt>
                <c:pt idx="550">
                  <c:v>77</c:v>
                </c:pt>
                <c:pt idx="551">
                  <c:v>77</c:v>
                </c:pt>
                <c:pt idx="552">
                  <c:v>77</c:v>
                </c:pt>
                <c:pt idx="553">
                  <c:v>77</c:v>
                </c:pt>
                <c:pt idx="554">
                  <c:v>77</c:v>
                </c:pt>
                <c:pt idx="555">
                  <c:v>77</c:v>
                </c:pt>
                <c:pt idx="556">
                  <c:v>77</c:v>
                </c:pt>
                <c:pt idx="557">
                  <c:v>77</c:v>
                </c:pt>
                <c:pt idx="558">
                  <c:v>77</c:v>
                </c:pt>
                <c:pt idx="559">
                  <c:v>77</c:v>
                </c:pt>
                <c:pt idx="560">
                  <c:v>77</c:v>
                </c:pt>
                <c:pt idx="561">
                  <c:v>77</c:v>
                </c:pt>
                <c:pt idx="562">
                  <c:v>77</c:v>
                </c:pt>
                <c:pt idx="563">
                  <c:v>77</c:v>
                </c:pt>
                <c:pt idx="564">
                  <c:v>77</c:v>
                </c:pt>
                <c:pt idx="565">
                  <c:v>77</c:v>
                </c:pt>
                <c:pt idx="566">
                  <c:v>77</c:v>
                </c:pt>
                <c:pt idx="567">
                  <c:v>77</c:v>
                </c:pt>
                <c:pt idx="568">
                  <c:v>77</c:v>
                </c:pt>
                <c:pt idx="569">
                  <c:v>77</c:v>
                </c:pt>
                <c:pt idx="570">
                  <c:v>77</c:v>
                </c:pt>
                <c:pt idx="571">
                  <c:v>77</c:v>
                </c:pt>
                <c:pt idx="572">
                  <c:v>77</c:v>
                </c:pt>
                <c:pt idx="573">
                  <c:v>77</c:v>
                </c:pt>
                <c:pt idx="574">
                  <c:v>77</c:v>
                </c:pt>
                <c:pt idx="575">
                  <c:v>77</c:v>
                </c:pt>
                <c:pt idx="576">
                  <c:v>77</c:v>
                </c:pt>
                <c:pt idx="577">
                  <c:v>77</c:v>
                </c:pt>
                <c:pt idx="578">
                  <c:v>77</c:v>
                </c:pt>
                <c:pt idx="579">
                  <c:v>77</c:v>
                </c:pt>
                <c:pt idx="580">
                  <c:v>77</c:v>
                </c:pt>
                <c:pt idx="581">
                  <c:v>77</c:v>
                </c:pt>
                <c:pt idx="582">
                  <c:v>77</c:v>
                </c:pt>
                <c:pt idx="583">
                  <c:v>77</c:v>
                </c:pt>
                <c:pt idx="584">
                  <c:v>77</c:v>
                </c:pt>
                <c:pt idx="585">
                  <c:v>77</c:v>
                </c:pt>
                <c:pt idx="586">
                  <c:v>77</c:v>
                </c:pt>
                <c:pt idx="587">
                  <c:v>77</c:v>
                </c:pt>
                <c:pt idx="588">
                  <c:v>77</c:v>
                </c:pt>
                <c:pt idx="589">
                  <c:v>77</c:v>
                </c:pt>
                <c:pt idx="590">
                  <c:v>77</c:v>
                </c:pt>
                <c:pt idx="591">
                  <c:v>77</c:v>
                </c:pt>
                <c:pt idx="592">
                  <c:v>77</c:v>
                </c:pt>
                <c:pt idx="593">
                  <c:v>77</c:v>
                </c:pt>
                <c:pt idx="594">
                  <c:v>77</c:v>
                </c:pt>
                <c:pt idx="595">
                  <c:v>77</c:v>
                </c:pt>
                <c:pt idx="596">
                  <c:v>77</c:v>
                </c:pt>
                <c:pt idx="597">
                  <c:v>77</c:v>
                </c:pt>
                <c:pt idx="598">
                  <c:v>77</c:v>
                </c:pt>
                <c:pt idx="599">
                  <c:v>77</c:v>
                </c:pt>
                <c:pt idx="600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46-46F8-BC25-07A7125B93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66191"/>
        <c:axId val="1410062831"/>
      </c:scatterChart>
      <c:valAx>
        <c:axId val="1410066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62831"/>
        <c:crosses val="autoZero"/>
        <c:crossBetween val="midCat"/>
      </c:valAx>
      <c:valAx>
        <c:axId val="141006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661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'80'!$B$1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'80'!$B$2:$B$602</c:f>
              <c:numCache>
                <c:formatCode>General</c:formatCode>
                <c:ptCount val="601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30-41D1-B354-CFA7BE389FD2}"/>
            </c:ext>
          </c:extLst>
        </c:ser>
        <c:ser>
          <c:idx val="1"/>
          <c:order val="1"/>
          <c:tx>
            <c:strRef>
              <c:f>'80'!$C$1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'80'!$A$2:$A$602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9.9</c:v>
                </c:pt>
                <c:pt idx="99">
                  <c:v>10</c:v>
                </c:pt>
                <c:pt idx="100">
                  <c:v>10.1</c:v>
                </c:pt>
                <c:pt idx="101">
                  <c:v>10.199999999999999</c:v>
                </c:pt>
                <c:pt idx="102">
                  <c:v>10.3</c:v>
                </c:pt>
                <c:pt idx="103">
                  <c:v>10.4</c:v>
                </c:pt>
                <c:pt idx="104">
                  <c:v>10.5</c:v>
                </c:pt>
                <c:pt idx="105">
                  <c:v>10.6</c:v>
                </c:pt>
                <c:pt idx="106">
                  <c:v>10.7</c:v>
                </c:pt>
                <c:pt idx="107">
                  <c:v>10.8</c:v>
                </c:pt>
                <c:pt idx="108">
                  <c:v>10.9</c:v>
                </c:pt>
                <c:pt idx="109">
                  <c:v>11</c:v>
                </c:pt>
                <c:pt idx="110">
                  <c:v>11.1</c:v>
                </c:pt>
                <c:pt idx="111">
                  <c:v>11.2</c:v>
                </c:pt>
                <c:pt idx="112">
                  <c:v>11.3</c:v>
                </c:pt>
                <c:pt idx="113">
                  <c:v>11.4</c:v>
                </c:pt>
                <c:pt idx="114">
                  <c:v>11.5</c:v>
                </c:pt>
                <c:pt idx="115">
                  <c:v>11.6</c:v>
                </c:pt>
                <c:pt idx="116">
                  <c:v>11.7</c:v>
                </c:pt>
                <c:pt idx="117">
                  <c:v>11.8</c:v>
                </c:pt>
                <c:pt idx="118">
                  <c:v>11.9</c:v>
                </c:pt>
                <c:pt idx="119">
                  <c:v>12</c:v>
                </c:pt>
                <c:pt idx="120">
                  <c:v>12.1</c:v>
                </c:pt>
                <c:pt idx="121">
                  <c:v>12.2</c:v>
                </c:pt>
                <c:pt idx="122">
                  <c:v>12.3</c:v>
                </c:pt>
                <c:pt idx="123">
                  <c:v>12.4</c:v>
                </c:pt>
                <c:pt idx="124">
                  <c:v>12.5</c:v>
                </c:pt>
                <c:pt idx="125">
                  <c:v>12.6</c:v>
                </c:pt>
                <c:pt idx="126">
                  <c:v>12.7</c:v>
                </c:pt>
                <c:pt idx="127">
                  <c:v>12.8</c:v>
                </c:pt>
                <c:pt idx="128">
                  <c:v>12.9</c:v>
                </c:pt>
                <c:pt idx="129">
                  <c:v>13</c:v>
                </c:pt>
                <c:pt idx="130">
                  <c:v>13.1</c:v>
                </c:pt>
                <c:pt idx="131">
                  <c:v>13.2</c:v>
                </c:pt>
                <c:pt idx="132">
                  <c:v>13.3</c:v>
                </c:pt>
                <c:pt idx="133">
                  <c:v>13.4</c:v>
                </c:pt>
                <c:pt idx="134">
                  <c:v>13.5</c:v>
                </c:pt>
                <c:pt idx="135">
                  <c:v>13.6</c:v>
                </c:pt>
                <c:pt idx="136">
                  <c:v>13.7</c:v>
                </c:pt>
                <c:pt idx="137">
                  <c:v>13.8</c:v>
                </c:pt>
                <c:pt idx="138">
                  <c:v>13.9</c:v>
                </c:pt>
                <c:pt idx="139">
                  <c:v>14</c:v>
                </c:pt>
                <c:pt idx="140">
                  <c:v>14.1</c:v>
                </c:pt>
                <c:pt idx="141">
                  <c:v>14.2</c:v>
                </c:pt>
                <c:pt idx="142">
                  <c:v>14.3</c:v>
                </c:pt>
                <c:pt idx="143">
                  <c:v>14.4</c:v>
                </c:pt>
                <c:pt idx="144">
                  <c:v>14.5</c:v>
                </c:pt>
                <c:pt idx="145">
                  <c:v>14.6</c:v>
                </c:pt>
                <c:pt idx="146">
                  <c:v>14.7</c:v>
                </c:pt>
                <c:pt idx="147">
                  <c:v>14.8</c:v>
                </c:pt>
                <c:pt idx="148">
                  <c:v>14.9</c:v>
                </c:pt>
                <c:pt idx="149">
                  <c:v>15</c:v>
                </c:pt>
                <c:pt idx="150">
                  <c:v>15.1</c:v>
                </c:pt>
                <c:pt idx="151">
                  <c:v>15.2</c:v>
                </c:pt>
                <c:pt idx="152">
                  <c:v>15.3</c:v>
                </c:pt>
                <c:pt idx="153">
                  <c:v>15.4</c:v>
                </c:pt>
                <c:pt idx="154">
                  <c:v>15.5</c:v>
                </c:pt>
                <c:pt idx="155">
                  <c:v>15.6</c:v>
                </c:pt>
                <c:pt idx="156">
                  <c:v>15.7</c:v>
                </c:pt>
                <c:pt idx="157">
                  <c:v>15.8</c:v>
                </c:pt>
                <c:pt idx="158">
                  <c:v>15.9</c:v>
                </c:pt>
                <c:pt idx="159">
                  <c:v>16</c:v>
                </c:pt>
                <c:pt idx="160">
                  <c:v>16.100000000000001</c:v>
                </c:pt>
                <c:pt idx="161">
                  <c:v>16.2</c:v>
                </c:pt>
                <c:pt idx="162">
                  <c:v>16.3</c:v>
                </c:pt>
                <c:pt idx="163">
                  <c:v>16.399999999999999</c:v>
                </c:pt>
                <c:pt idx="164">
                  <c:v>16.5</c:v>
                </c:pt>
                <c:pt idx="165">
                  <c:v>16.600000000000001</c:v>
                </c:pt>
                <c:pt idx="166">
                  <c:v>16.7</c:v>
                </c:pt>
                <c:pt idx="167">
                  <c:v>16.8</c:v>
                </c:pt>
                <c:pt idx="168">
                  <c:v>16.899999999999999</c:v>
                </c:pt>
                <c:pt idx="169">
                  <c:v>17</c:v>
                </c:pt>
                <c:pt idx="170">
                  <c:v>17.100000000000001</c:v>
                </c:pt>
                <c:pt idx="171">
                  <c:v>17.2</c:v>
                </c:pt>
                <c:pt idx="172">
                  <c:v>17.3</c:v>
                </c:pt>
                <c:pt idx="173">
                  <c:v>17.399999999999999</c:v>
                </c:pt>
                <c:pt idx="174">
                  <c:v>17.5</c:v>
                </c:pt>
                <c:pt idx="175">
                  <c:v>17.600000000000001</c:v>
                </c:pt>
                <c:pt idx="176">
                  <c:v>17.7</c:v>
                </c:pt>
                <c:pt idx="177">
                  <c:v>17.8</c:v>
                </c:pt>
                <c:pt idx="178">
                  <c:v>17.899999999999999</c:v>
                </c:pt>
                <c:pt idx="179">
                  <c:v>18</c:v>
                </c:pt>
                <c:pt idx="180">
                  <c:v>18.100000000000001</c:v>
                </c:pt>
                <c:pt idx="181">
                  <c:v>18.2</c:v>
                </c:pt>
                <c:pt idx="182">
                  <c:v>18.3</c:v>
                </c:pt>
                <c:pt idx="183">
                  <c:v>18.399999999999999</c:v>
                </c:pt>
                <c:pt idx="184">
                  <c:v>18.5</c:v>
                </c:pt>
                <c:pt idx="185">
                  <c:v>18.600000000000001</c:v>
                </c:pt>
                <c:pt idx="186">
                  <c:v>18.7</c:v>
                </c:pt>
                <c:pt idx="187">
                  <c:v>18.8</c:v>
                </c:pt>
                <c:pt idx="188">
                  <c:v>18.899999999999999</c:v>
                </c:pt>
                <c:pt idx="189">
                  <c:v>19</c:v>
                </c:pt>
                <c:pt idx="190">
                  <c:v>19.100000000000001</c:v>
                </c:pt>
                <c:pt idx="191">
                  <c:v>19.2</c:v>
                </c:pt>
                <c:pt idx="192">
                  <c:v>19.3</c:v>
                </c:pt>
                <c:pt idx="193">
                  <c:v>19.399999999999999</c:v>
                </c:pt>
                <c:pt idx="194">
                  <c:v>19.5</c:v>
                </c:pt>
                <c:pt idx="195">
                  <c:v>19.600000000000001</c:v>
                </c:pt>
                <c:pt idx="196">
                  <c:v>19.7</c:v>
                </c:pt>
                <c:pt idx="197">
                  <c:v>19.8</c:v>
                </c:pt>
                <c:pt idx="198">
                  <c:v>19.899999999999999</c:v>
                </c:pt>
                <c:pt idx="199">
                  <c:v>20</c:v>
                </c:pt>
                <c:pt idx="200">
                  <c:v>20.100000000000001</c:v>
                </c:pt>
                <c:pt idx="201">
                  <c:v>20.2</c:v>
                </c:pt>
                <c:pt idx="202">
                  <c:v>20.3</c:v>
                </c:pt>
                <c:pt idx="203">
                  <c:v>20.399999999999999</c:v>
                </c:pt>
                <c:pt idx="204">
                  <c:v>20.5</c:v>
                </c:pt>
                <c:pt idx="205">
                  <c:v>20.6</c:v>
                </c:pt>
                <c:pt idx="206">
                  <c:v>20.7</c:v>
                </c:pt>
                <c:pt idx="207">
                  <c:v>20.8</c:v>
                </c:pt>
                <c:pt idx="208">
                  <c:v>20.9</c:v>
                </c:pt>
                <c:pt idx="209">
                  <c:v>21</c:v>
                </c:pt>
                <c:pt idx="210">
                  <c:v>21.1</c:v>
                </c:pt>
                <c:pt idx="211">
                  <c:v>21.2</c:v>
                </c:pt>
                <c:pt idx="212">
                  <c:v>21.3</c:v>
                </c:pt>
                <c:pt idx="213">
                  <c:v>21.4</c:v>
                </c:pt>
                <c:pt idx="214">
                  <c:v>21.5</c:v>
                </c:pt>
                <c:pt idx="215">
                  <c:v>21.6</c:v>
                </c:pt>
                <c:pt idx="216">
                  <c:v>21.7</c:v>
                </c:pt>
                <c:pt idx="217">
                  <c:v>21.8</c:v>
                </c:pt>
                <c:pt idx="218">
                  <c:v>21.9</c:v>
                </c:pt>
                <c:pt idx="219">
                  <c:v>22</c:v>
                </c:pt>
                <c:pt idx="220">
                  <c:v>22.1</c:v>
                </c:pt>
                <c:pt idx="221">
                  <c:v>22.2</c:v>
                </c:pt>
                <c:pt idx="222">
                  <c:v>22.3</c:v>
                </c:pt>
                <c:pt idx="223">
                  <c:v>22.4</c:v>
                </c:pt>
                <c:pt idx="224">
                  <c:v>22.5</c:v>
                </c:pt>
                <c:pt idx="225">
                  <c:v>22.6</c:v>
                </c:pt>
                <c:pt idx="226">
                  <c:v>22.7</c:v>
                </c:pt>
                <c:pt idx="227">
                  <c:v>22.8</c:v>
                </c:pt>
                <c:pt idx="228">
                  <c:v>22.9</c:v>
                </c:pt>
                <c:pt idx="229">
                  <c:v>23</c:v>
                </c:pt>
                <c:pt idx="230">
                  <c:v>23.1</c:v>
                </c:pt>
                <c:pt idx="231">
                  <c:v>23.2</c:v>
                </c:pt>
                <c:pt idx="232">
                  <c:v>23.3</c:v>
                </c:pt>
                <c:pt idx="233">
                  <c:v>23.4</c:v>
                </c:pt>
                <c:pt idx="234">
                  <c:v>23.5</c:v>
                </c:pt>
                <c:pt idx="235">
                  <c:v>23.6</c:v>
                </c:pt>
                <c:pt idx="236">
                  <c:v>23.7</c:v>
                </c:pt>
                <c:pt idx="237">
                  <c:v>23.8</c:v>
                </c:pt>
                <c:pt idx="238">
                  <c:v>23.9</c:v>
                </c:pt>
                <c:pt idx="239">
                  <c:v>24</c:v>
                </c:pt>
                <c:pt idx="240">
                  <c:v>24.1</c:v>
                </c:pt>
                <c:pt idx="241">
                  <c:v>24.2</c:v>
                </c:pt>
                <c:pt idx="242">
                  <c:v>24.3</c:v>
                </c:pt>
                <c:pt idx="243">
                  <c:v>24.4</c:v>
                </c:pt>
                <c:pt idx="244">
                  <c:v>24.5</c:v>
                </c:pt>
                <c:pt idx="245">
                  <c:v>24.6</c:v>
                </c:pt>
                <c:pt idx="246">
                  <c:v>24.7</c:v>
                </c:pt>
                <c:pt idx="247">
                  <c:v>24.8</c:v>
                </c:pt>
                <c:pt idx="248">
                  <c:v>24.9</c:v>
                </c:pt>
                <c:pt idx="249">
                  <c:v>25</c:v>
                </c:pt>
                <c:pt idx="250">
                  <c:v>25.1</c:v>
                </c:pt>
                <c:pt idx="251">
                  <c:v>25.2</c:v>
                </c:pt>
                <c:pt idx="252">
                  <c:v>25.3</c:v>
                </c:pt>
                <c:pt idx="253">
                  <c:v>25.4</c:v>
                </c:pt>
                <c:pt idx="254">
                  <c:v>25.5</c:v>
                </c:pt>
                <c:pt idx="255">
                  <c:v>25.6</c:v>
                </c:pt>
                <c:pt idx="256">
                  <c:v>25.7</c:v>
                </c:pt>
                <c:pt idx="257">
                  <c:v>25.8</c:v>
                </c:pt>
                <c:pt idx="258">
                  <c:v>25.9</c:v>
                </c:pt>
                <c:pt idx="259">
                  <c:v>26</c:v>
                </c:pt>
                <c:pt idx="260">
                  <c:v>26.1</c:v>
                </c:pt>
                <c:pt idx="261">
                  <c:v>26.2</c:v>
                </c:pt>
                <c:pt idx="262">
                  <c:v>26.3</c:v>
                </c:pt>
                <c:pt idx="263">
                  <c:v>26.4</c:v>
                </c:pt>
                <c:pt idx="264">
                  <c:v>26.5</c:v>
                </c:pt>
                <c:pt idx="265">
                  <c:v>26.6</c:v>
                </c:pt>
                <c:pt idx="266">
                  <c:v>26.7</c:v>
                </c:pt>
                <c:pt idx="267">
                  <c:v>26.8</c:v>
                </c:pt>
                <c:pt idx="268">
                  <c:v>26.9</c:v>
                </c:pt>
                <c:pt idx="269">
                  <c:v>27</c:v>
                </c:pt>
                <c:pt idx="270">
                  <c:v>27.1</c:v>
                </c:pt>
                <c:pt idx="271">
                  <c:v>27.2</c:v>
                </c:pt>
                <c:pt idx="272">
                  <c:v>27.3</c:v>
                </c:pt>
                <c:pt idx="273">
                  <c:v>27.4</c:v>
                </c:pt>
                <c:pt idx="274">
                  <c:v>27.5</c:v>
                </c:pt>
                <c:pt idx="275">
                  <c:v>27.6</c:v>
                </c:pt>
                <c:pt idx="276">
                  <c:v>27.7</c:v>
                </c:pt>
                <c:pt idx="277">
                  <c:v>27.8</c:v>
                </c:pt>
                <c:pt idx="278">
                  <c:v>27.9</c:v>
                </c:pt>
                <c:pt idx="279">
                  <c:v>28</c:v>
                </c:pt>
                <c:pt idx="280">
                  <c:v>28.1</c:v>
                </c:pt>
                <c:pt idx="281">
                  <c:v>28.2</c:v>
                </c:pt>
                <c:pt idx="282">
                  <c:v>28.3</c:v>
                </c:pt>
                <c:pt idx="283">
                  <c:v>28.4</c:v>
                </c:pt>
                <c:pt idx="284">
                  <c:v>28.5</c:v>
                </c:pt>
                <c:pt idx="285">
                  <c:v>28.6</c:v>
                </c:pt>
                <c:pt idx="286">
                  <c:v>28.7</c:v>
                </c:pt>
                <c:pt idx="287">
                  <c:v>28.8</c:v>
                </c:pt>
                <c:pt idx="288">
                  <c:v>28.9</c:v>
                </c:pt>
                <c:pt idx="289">
                  <c:v>29</c:v>
                </c:pt>
                <c:pt idx="290">
                  <c:v>29.1</c:v>
                </c:pt>
                <c:pt idx="291">
                  <c:v>29.2</c:v>
                </c:pt>
                <c:pt idx="292">
                  <c:v>29.3</c:v>
                </c:pt>
                <c:pt idx="293">
                  <c:v>29.4</c:v>
                </c:pt>
                <c:pt idx="294">
                  <c:v>29.5</c:v>
                </c:pt>
                <c:pt idx="295">
                  <c:v>29.6</c:v>
                </c:pt>
                <c:pt idx="296">
                  <c:v>29.7</c:v>
                </c:pt>
                <c:pt idx="297">
                  <c:v>29.8</c:v>
                </c:pt>
                <c:pt idx="298">
                  <c:v>29.9</c:v>
                </c:pt>
                <c:pt idx="299">
                  <c:v>30</c:v>
                </c:pt>
                <c:pt idx="300">
                  <c:v>30.1</c:v>
                </c:pt>
                <c:pt idx="301">
                  <c:v>30.2</c:v>
                </c:pt>
                <c:pt idx="302">
                  <c:v>30.3</c:v>
                </c:pt>
                <c:pt idx="303">
                  <c:v>30.4</c:v>
                </c:pt>
                <c:pt idx="304">
                  <c:v>30.5</c:v>
                </c:pt>
                <c:pt idx="305">
                  <c:v>30.6</c:v>
                </c:pt>
                <c:pt idx="306">
                  <c:v>30.7</c:v>
                </c:pt>
                <c:pt idx="307">
                  <c:v>30.8</c:v>
                </c:pt>
                <c:pt idx="308">
                  <c:v>30.9</c:v>
                </c:pt>
                <c:pt idx="309">
                  <c:v>31</c:v>
                </c:pt>
                <c:pt idx="310">
                  <c:v>31.1</c:v>
                </c:pt>
                <c:pt idx="311">
                  <c:v>31.2</c:v>
                </c:pt>
                <c:pt idx="312">
                  <c:v>31.3</c:v>
                </c:pt>
                <c:pt idx="313">
                  <c:v>31.4</c:v>
                </c:pt>
                <c:pt idx="314">
                  <c:v>31.5</c:v>
                </c:pt>
                <c:pt idx="315">
                  <c:v>31.6</c:v>
                </c:pt>
                <c:pt idx="316">
                  <c:v>31.7</c:v>
                </c:pt>
                <c:pt idx="317">
                  <c:v>31.8</c:v>
                </c:pt>
                <c:pt idx="318">
                  <c:v>31.9</c:v>
                </c:pt>
                <c:pt idx="319">
                  <c:v>32</c:v>
                </c:pt>
                <c:pt idx="320">
                  <c:v>32.1</c:v>
                </c:pt>
                <c:pt idx="321">
                  <c:v>32.200000000000003</c:v>
                </c:pt>
                <c:pt idx="322">
                  <c:v>32.299999999999997</c:v>
                </c:pt>
                <c:pt idx="323">
                  <c:v>32.4</c:v>
                </c:pt>
                <c:pt idx="324">
                  <c:v>32.5</c:v>
                </c:pt>
                <c:pt idx="325">
                  <c:v>32.6</c:v>
                </c:pt>
                <c:pt idx="326">
                  <c:v>32.700000000000003</c:v>
                </c:pt>
                <c:pt idx="327">
                  <c:v>32.799999999999997</c:v>
                </c:pt>
                <c:pt idx="328">
                  <c:v>32.9</c:v>
                </c:pt>
                <c:pt idx="329">
                  <c:v>33</c:v>
                </c:pt>
                <c:pt idx="330">
                  <c:v>33.1</c:v>
                </c:pt>
                <c:pt idx="331">
                  <c:v>33.200000000000003</c:v>
                </c:pt>
                <c:pt idx="332">
                  <c:v>33.299999999999997</c:v>
                </c:pt>
                <c:pt idx="333">
                  <c:v>33.4</c:v>
                </c:pt>
                <c:pt idx="334">
                  <c:v>33.5</c:v>
                </c:pt>
                <c:pt idx="335">
                  <c:v>33.6</c:v>
                </c:pt>
                <c:pt idx="336">
                  <c:v>33.700000000000003</c:v>
                </c:pt>
                <c:pt idx="337">
                  <c:v>33.799999999999997</c:v>
                </c:pt>
                <c:pt idx="338">
                  <c:v>33.9</c:v>
                </c:pt>
                <c:pt idx="339">
                  <c:v>34</c:v>
                </c:pt>
                <c:pt idx="340">
                  <c:v>34.1</c:v>
                </c:pt>
                <c:pt idx="341">
                  <c:v>34.200000000000003</c:v>
                </c:pt>
                <c:pt idx="342">
                  <c:v>34.299999999999997</c:v>
                </c:pt>
                <c:pt idx="343">
                  <c:v>34.4</c:v>
                </c:pt>
                <c:pt idx="344">
                  <c:v>34.5</c:v>
                </c:pt>
                <c:pt idx="345">
                  <c:v>34.6</c:v>
                </c:pt>
                <c:pt idx="346">
                  <c:v>34.700000000000003</c:v>
                </c:pt>
                <c:pt idx="347">
                  <c:v>34.799999999999997</c:v>
                </c:pt>
                <c:pt idx="348">
                  <c:v>34.9</c:v>
                </c:pt>
                <c:pt idx="349">
                  <c:v>35</c:v>
                </c:pt>
                <c:pt idx="350">
                  <c:v>35.1</c:v>
                </c:pt>
                <c:pt idx="351">
                  <c:v>35.200000000000003</c:v>
                </c:pt>
                <c:pt idx="352">
                  <c:v>35.299999999999997</c:v>
                </c:pt>
                <c:pt idx="353">
                  <c:v>35.4</c:v>
                </c:pt>
                <c:pt idx="354">
                  <c:v>35.5</c:v>
                </c:pt>
                <c:pt idx="355">
                  <c:v>35.6</c:v>
                </c:pt>
                <c:pt idx="356">
                  <c:v>35.700000000000003</c:v>
                </c:pt>
                <c:pt idx="357">
                  <c:v>35.799999999999997</c:v>
                </c:pt>
                <c:pt idx="358">
                  <c:v>35.9</c:v>
                </c:pt>
                <c:pt idx="359">
                  <c:v>36</c:v>
                </c:pt>
                <c:pt idx="360">
                  <c:v>36.1</c:v>
                </c:pt>
                <c:pt idx="361">
                  <c:v>36.200000000000003</c:v>
                </c:pt>
                <c:pt idx="362">
                  <c:v>36.299999999999997</c:v>
                </c:pt>
                <c:pt idx="363">
                  <c:v>36.4</c:v>
                </c:pt>
                <c:pt idx="364">
                  <c:v>36.5</c:v>
                </c:pt>
                <c:pt idx="365">
                  <c:v>36.6</c:v>
                </c:pt>
                <c:pt idx="366">
                  <c:v>36.700000000000003</c:v>
                </c:pt>
                <c:pt idx="367">
                  <c:v>36.799999999999997</c:v>
                </c:pt>
                <c:pt idx="368">
                  <c:v>36.9</c:v>
                </c:pt>
                <c:pt idx="369">
                  <c:v>37</c:v>
                </c:pt>
                <c:pt idx="370">
                  <c:v>37.1</c:v>
                </c:pt>
                <c:pt idx="371">
                  <c:v>37.200000000000003</c:v>
                </c:pt>
                <c:pt idx="372">
                  <c:v>37.299999999999997</c:v>
                </c:pt>
                <c:pt idx="373">
                  <c:v>37.4</c:v>
                </c:pt>
                <c:pt idx="374">
                  <c:v>37.5</c:v>
                </c:pt>
                <c:pt idx="375">
                  <c:v>37.6</c:v>
                </c:pt>
                <c:pt idx="376">
                  <c:v>37.700000000000003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38</c:v>
                </c:pt>
                <c:pt idx="380">
                  <c:v>38.1</c:v>
                </c:pt>
                <c:pt idx="381">
                  <c:v>38.200000000000003</c:v>
                </c:pt>
                <c:pt idx="382">
                  <c:v>38.299999999999997</c:v>
                </c:pt>
                <c:pt idx="383">
                  <c:v>38.4</c:v>
                </c:pt>
                <c:pt idx="384">
                  <c:v>38.5</c:v>
                </c:pt>
                <c:pt idx="385">
                  <c:v>38.6</c:v>
                </c:pt>
                <c:pt idx="386">
                  <c:v>38.700000000000003</c:v>
                </c:pt>
                <c:pt idx="387">
                  <c:v>38.799999999999997</c:v>
                </c:pt>
                <c:pt idx="388">
                  <c:v>38.9</c:v>
                </c:pt>
                <c:pt idx="389">
                  <c:v>39</c:v>
                </c:pt>
                <c:pt idx="390">
                  <c:v>39.1</c:v>
                </c:pt>
                <c:pt idx="391">
                  <c:v>39.200000000000003</c:v>
                </c:pt>
                <c:pt idx="392">
                  <c:v>39.299999999999997</c:v>
                </c:pt>
                <c:pt idx="393">
                  <c:v>39.4</c:v>
                </c:pt>
                <c:pt idx="394">
                  <c:v>39.5</c:v>
                </c:pt>
                <c:pt idx="395">
                  <c:v>39.6</c:v>
                </c:pt>
                <c:pt idx="396">
                  <c:v>39.700000000000003</c:v>
                </c:pt>
                <c:pt idx="397">
                  <c:v>39.799999999999997</c:v>
                </c:pt>
                <c:pt idx="398">
                  <c:v>39.9</c:v>
                </c:pt>
                <c:pt idx="399">
                  <c:v>40</c:v>
                </c:pt>
                <c:pt idx="400">
                  <c:v>40.1</c:v>
                </c:pt>
                <c:pt idx="401">
                  <c:v>40.200000000000003</c:v>
                </c:pt>
                <c:pt idx="402">
                  <c:v>40.299999999999997</c:v>
                </c:pt>
                <c:pt idx="403">
                  <c:v>40.4</c:v>
                </c:pt>
                <c:pt idx="404">
                  <c:v>40.5</c:v>
                </c:pt>
                <c:pt idx="405">
                  <c:v>40.6</c:v>
                </c:pt>
                <c:pt idx="406">
                  <c:v>40.700000000000003</c:v>
                </c:pt>
                <c:pt idx="407">
                  <c:v>40.799999999999997</c:v>
                </c:pt>
                <c:pt idx="408">
                  <c:v>40.9</c:v>
                </c:pt>
                <c:pt idx="409">
                  <c:v>41</c:v>
                </c:pt>
                <c:pt idx="410">
                  <c:v>41.1</c:v>
                </c:pt>
                <c:pt idx="411">
                  <c:v>41.2</c:v>
                </c:pt>
                <c:pt idx="412">
                  <c:v>41.3</c:v>
                </c:pt>
                <c:pt idx="413">
                  <c:v>41.4</c:v>
                </c:pt>
                <c:pt idx="414">
                  <c:v>41.5</c:v>
                </c:pt>
                <c:pt idx="415">
                  <c:v>41.6</c:v>
                </c:pt>
                <c:pt idx="416">
                  <c:v>41.7</c:v>
                </c:pt>
                <c:pt idx="417">
                  <c:v>41.8</c:v>
                </c:pt>
                <c:pt idx="418">
                  <c:v>41.9</c:v>
                </c:pt>
                <c:pt idx="419">
                  <c:v>42</c:v>
                </c:pt>
                <c:pt idx="420">
                  <c:v>42.1</c:v>
                </c:pt>
                <c:pt idx="421">
                  <c:v>42.2</c:v>
                </c:pt>
                <c:pt idx="422">
                  <c:v>42.3</c:v>
                </c:pt>
                <c:pt idx="423">
                  <c:v>42.4</c:v>
                </c:pt>
                <c:pt idx="424">
                  <c:v>42.5</c:v>
                </c:pt>
                <c:pt idx="425">
                  <c:v>42.6</c:v>
                </c:pt>
                <c:pt idx="426">
                  <c:v>42.7</c:v>
                </c:pt>
                <c:pt idx="427">
                  <c:v>42.8</c:v>
                </c:pt>
                <c:pt idx="428">
                  <c:v>42.9</c:v>
                </c:pt>
                <c:pt idx="429">
                  <c:v>43</c:v>
                </c:pt>
                <c:pt idx="430">
                  <c:v>43.1</c:v>
                </c:pt>
                <c:pt idx="431">
                  <c:v>43.2</c:v>
                </c:pt>
                <c:pt idx="432">
                  <c:v>43.3</c:v>
                </c:pt>
                <c:pt idx="433">
                  <c:v>43.4</c:v>
                </c:pt>
                <c:pt idx="434">
                  <c:v>43.5</c:v>
                </c:pt>
                <c:pt idx="435">
                  <c:v>43.6</c:v>
                </c:pt>
                <c:pt idx="436">
                  <c:v>43.7</c:v>
                </c:pt>
                <c:pt idx="437">
                  <c:v>43.8</c:v>
                </c:pt>
                <c:pt idx="438">
                  <c:v>43.9</c:v>
                </c:pt>
                <c:pt idx="439">
                  <c:v>44</c:v>
                </c:pt>
                <c:pt idx="440">
                  <c:v>44.1</c:v>
                </c:pt>
                <c:pt idx="441">
                  <c:v>44.2</c:v>
                </c:pt>
                <c:pt idx="442">
                  <c:v>44.3</c:v>
                </c:pt>
                <c:pt idx="443">
                  <c:v>44.4</c:v>
                </c:pt>
                <c:pt idx="444">
                  <c:v>44.5</c:v>
                </c:pt>
                <c:pt idx="445">
                  <c:v>44.6</c:v>
                </c:pt>
                <c:pt idx="446">
                  <c:v>44.7</c:v>
                </c:pt>
                <c:pt idx="447">
                  <c:v>44.8</c:v>
                </c:pt>
                <c:pt idx="448">
                  <c:v>44.9</c:v>
                </c:pt>
                <c:pt idx="449">
                  <c:v>45</c:v>
                </c:pt>
                <c:pt idx="450">
                  <c:v>45.1</c:v>
                </c:pt>
                <c:pt idx="451">
                  <c:v>45.2</c:v>
                </c:pt>
                <c:pt idx="452">
                  <c:v>45.3</c:v>
                </c:pt>
                <c:pt idx="453">
                  <c:v>45.4</c:v>
                </c:pt>
                <c:pt idx="454">
                  <c:v>45.5</c:v>
                </c:pt>
                <c:pt idx="455">
                  <c:v>45.6</c:v>
                </c:pt>
                <c:pt idx="456">
                  <c:v>45.7</c:v>
                </c:pt>
                <c:pt idx="457">
                  <c:v>45.8</c:v>
                </c:pt>
                <c:pt idx="458">
                  <c:v>45.9</c:v>
                </c:pt>
                <c:pt idx="459">
                  <c:v>46</c:v>
                </c:pt>
                <c:pt idx="460">
                  <c:v>46.1</c:v>
                </c:pt>
                <c:pt idx="461">
                  <c:v>46.2</c:v>
                </c:pt>
                <c:pt idx="462">
                  <c:v>46.3</c:v>
                </c:pt>
                <c:pt idx="463">
                  <c:v>46.4</c:v>
                </c:pt>
                <c:pt idx="464">
                  <c:v>46.5</c:v>
                </c:pt>
                <c:pt idx="465">
                  <c:v>46.6</c:v>
                </c:pt>
                <c:pt idx="466">
                  <c:v>46.7</c:v>
                </c:pt>
                <c:pt idx="467">
                  <c:v>46.8</c:v>
                </c:pt>
                <c:pt idx="468">
                  <c:v>46.9</c:v>
                </c:pt>
                <c:pt idx="469">
                  <c:v>47</c:v>
                </c:pt>
                <c:pt idx="470">
                  <c:v>47.1</c:v>
                </c:pt>
                <c:pt idx="471">
                  <c:v>47.2</c:v>
                </c:pt>
                <c:pt idx="472">
                  <c:v>47.3</c:v>
                </c:pt>
                <c:pt idx="473">
                  <c:v>47.4</c:v>
                </c:pt>
                <c:pt idx="474">
                  <c:v>47.5</c:v>
                </c:pt>
                <c:pt idx="475">
                  <c:v>47.6</c:v>
                </c:pt>
                <c:pt idx="476">
                  <c:v>47.7</c:v>
                </c:pt>
                <c:pt idx="477">
                  <c:v>47.8</c:v>
                </c:pt>
                <c:pt idx="478">
                  <c:v>47.9</c:v>
                </c:pt>
                <c:pt idx="479">
                  <c:v>48</c:v>
                </c:pt>
                <c:pt idx="480">
                  <c:v>48.1</c:v>
                </c:pt>
                <c:pt idx="481">
                  <c:v>48.2</c:v>
                </c:pt>
                <c:pt idx="482">
                  <c:v>48.3</c:v>
                </c:pt>
                <c:pt idx="483">
                  <c:v>48.4</c:v>
                </c:pt>
                <c:pt idx="484">
                  <c:v>48.5</c:v>
                </c:pt>
                <c:pt idx="485">
                  <c:v>48.6</c:v>
                </c:pt>
                <c:pt idx="486">
                  <c:v>48.7</c:v>
                </c:pt>
                <c:pt idx="487">
                  <c:v>48.8</c:v>
                </c:pt>
                <c:pt idx="488">
                  <c:v>48.9</c:v>
                </c:pt>
                <c:pt idx="489">
                  <c:v>49</c:v>
                </c:pt>
                <c:pt idx="490">
                  <c:v>49.1</c:v>
                </c:pt>
                <c:pt idx="491">
                  <c:v>49.2</c:v>
                </c:pt>
                <c:pt idx="492">
                  <c:v>49.3</c:v>
                </c:pt>
                <c:pt idx="493">
                  <c:v>49.4</c:v>
                </c:pt>
                <c:pt idx="494">
                  <c:v>49.5</c:v>
                </c:pt>
                <c:pt idx="495">
                  <c:v>49.6</c:v>
                </c:pt>
                <c:pt idx="496">
                  <c:v>49.7</c:v>
                </c:pt>
                <c:pt idx="497">
                  <c:v>49.8</c:v>
                </c:pt>
                <c:pt idx="498">
                  <c:v>49.9</c:v>
                </c:pt>
                <c:pt idx="499">
                  <c:v>50</c:v>
                </c:pt>
                <c:pt idx="500">
                  <c:v>50.1</c:v>
                </c:pt>
                <c:pt idx="501">
                  <c:v>50.2</c:v>
                </c:pt>
                <c:pt idx="502">
                  <c:v>50.3</c:v>
                </c:pt>
                <c:pt idx="503">
                  <c:v>50.4</c:v>
                </c:pt>
                <c:pt idx="504">
                  <c:v>50.5</c:v>
                </c:pt>
                <c:pt idx="505">
                  <c:v>50.6</c:v>
                </c:pt>
                <c:pt idx="506">
                  <c:v>50.7</c:v>
                </c:pt>
                <c:pt idx="507">
                  <c:v>50.8</c:v>
                </c:pt>
                <c:pt idx="508">
                  <c:v>50.9</c:v>
                </c:pt>
                <c:pt idx="509">
                  <c:v>51</c:v>
                </c:pt>
                <c:pt idx="510">
                  <c:v>51.1</c:v>
                </c:pt>
                <c:pt idx="511">
                  <c:v>51.2</c:v>
                </c:pt>
                <c:pt idx="512">
                  <c:v>51.3</c:v>
                </c:pt>
                <c:pt idx="513">
                  <c:v>51.4</c:v>
                </c:pt>
                <c:pt idx="514">
                  <c:v>51.5</c:v>
                </c:pt>
                <c:pt idx="515">
                  <c:v>51.6</c:v>
                </c:pt>
                <c:pt idx="516">
                  <c:v>51.7</c:v>
                </c:pt>
                <c:pt idx="517">
                  <c:v>51.8</c:v>
                </c:pt>
                <c:pt idx="518">
                  <c:v>51.9</c:v>
                </c:pt>
                <c:pt idx="519">
                  <c:v>52</c:v>
                </c:pt>
                <c:pt idx="520">
                  <c:v>52.1</c:v>
                </c:pt>
                <c:pt idx="521">
                  <c:v>52.2</c:v>
                </c:pt>
                <c:pt idx="522">
                  <c:v>52.3</c:v>
                </c:pt>
                <c:pt idx="523">
                  <c:v>52.4</c:v>
                </c:pt>
                <c:pt idx="524">
                  <c:v>52.5</c:v>
                </c:pt>
                <c:pt idx="525">
                  <c:v>52.6</c:v>
                </c:pt>
                <c:pt idx="526">
                  <c:v>52.7</c:v>
                </c:pt>
                <c:pt idx="527">
                  <c:v>52.8</c:v>
                </c:pt>
                <c:pt idx="528">
                  <c:v>52.9</c:v>
                </c:pt>
                <c:pt idx="529">
                  <c:v>53</c:v>
                </c:pt>
                <c:pt idx="530">
                  <c:v>53.1</c:v>
                </c:pt>
                <c:pt idx="531">
                  <c:v>53.2</c:v>
                </c:pt>
                <c:pt idx="532">
                  <c:v>53.3</c:v>
                </c:pt>
                <c:pt idx="533">
                  <c:v>53.4</c:v>
                </c:pt>
                <c:pt idx="534">
                  <c:v>53.5</c:v>
                </c:pt>
                <c:pt idx="535">
                  <c:v>53.6</c:v>
                </c:pt>
                <c:pt idx="536">
                  <c:v>53.7</c:v>
                </c:pt>
                <c:pt idx="537">
                  <c:v>53.8</c:v>
                </c:pt>
                <c:pt idx="538">
                  <c:v>53.9</c:v>
                </c:pt>
                <c:pt idx="539">
                  <c:v>54</c:v>
                </c:pt>
                <c:pt idx="540">
                  <c:v>54.1</c:v>
                </c:pt>
                <c:pt idx="541">
                  <c:v>54.2</c:v>
                </c:pt>
                <c:pt idx="542">
                  <c:v>54.3</c:v>
                </c:pt>
                <c:pt idx="543">
                  <c:v>54.4</c:v>
                </c:pt>
                <c:pt idx="544">
                  <c:v>54.5</c:v>
                </c:pt>
                <c:pt idx="545">
                  <c:v>54.6</c:v>
                </c:pt>
                <c:pt idx="546">
                  <c:v>54.7</c:v>
                </c:pt>
                <c:pt idx="547">
                  <c:v>54.8</c:v>
                </c:pt>
                <c:pt idx="548">
                  <c:v>54.9</c:v>
                </c:pt>
                <c:pt idx="549">
                  <c:v>55</c:v>
                </c:pt>
                <c:pt idx="550">
                  <c:v>55.1</c:v>
                </c:pt>
                <c:pt idx="551">
                  <c:v>55.2</c:v>
                </c:pt>
                <c:pt idx="552">
                  <c:v>55.3</c:v>
                </c:pt>
                <c:pt idx="553">
                  <c:v>55.4</c:v>
                </c:pt>
                <c:pt idx="554">
                  <c:v>55.5</c:v>
                </c:pt>
                <c:pt idx="555">
                  <c:v>55.6</c:v>
                </c:pt>
                <c:pt idx="556">
                  <c:v>55.7</c:v>
                </c:pt>
                <c:pt idx="557">
                  <c:v>55.8</c:v>
                </c:pt>
                <c:pt idx="558">
                  <c:v>55.9</c:v>
                </c:pt>
                <c:pt idx="559">
                  <c:v>56</c:v>
                </c:pt>
                <c:pt idx="560">
                  <c:v>56.1</c:v>
                </c:pt>
                <c:pt idx="561">
                  <c:v>56.2</c:v>
                </c:pt>
                <c:pt idx="562">
                  <c:v>56.3</c:v>
                </c:pt>
                <c:pt idx="563">
                  <c:v>56.4</c:v>
                </c:pt>
                <c:pt idx="564">
                  <c:v>56.5</c:v>
                </c:pt>
                <c:pt idx="565">
                  <c:v>56.6</c:v>
                </c:pt>
                <c:pt idx="566">
                  <c:v>56.7</c:v>
                </c:pt>
                <c:pt idx="567">
                  <c:v>56.8</c:v>
                </c:pt>
                <c:pt idx="568">
                  <c:v>56.9</c:v>
                </c:pt>
                <c:pt idx="569">
                  <c:v>57</c:v>
                </c:pt>
                <c:pt idx="570">
                  <c:v>57.1</c:v>
                </c:pt>
                <c:pt idx="571">
                  <c:v>57.2</c:v>
                </c:pt>
                <c:pt idx="572">
                  <c:v>57.3</c:v>
                </c:pt>
                <c:pt idx="573">
                  <c:v>57.4</c:v>
                </c:pt>
                <c:pt idx="574">
                  <c:v>57.5</c:v>
                </c:pt>
                <c:pt idx="575">
                  <c:v>57.6</c:v>
                </c:pt>
                <c:pt idx="576">
                  <c:v>57.7</c:v>
                </c:pt>
                <c:pt idx="577">
                  <c:v>57.8</c:v>
                </c:pt>
                <c:pt idx="578">
                  <c:v>57.9</c:v>
                </c:pt>
                <c:pt idx="579">
                  <c:v>58</c:v>
                </c:pt>
                <c:pt idx="580">
                  <c:v>58.1</c:v>
                </c:pt>
                <c:pt idx="581">
                  <c:v>58.2</c:v>
                </c:pt>
                <c:pt idx="582">
                  <c:v>58.3</c:v>
                </c:pt>
                <c:pt idx="583">
                  <c:v>58.4</c:v>
                </c:pt>
                <c:pt idx="584">
                  <c:v>58.5</c:v>
                </c:pt>
                <c:pt idx="585">
                  <c:v>58.6</c:v>
                </c:pt>
                <c:pt idx="586">
                  <c:v>58.7</c:v>
                </c:pt>
                <c:pt idx="587">
                  <c:v>58.8</c:v>
                </c:pt>
                <c:pt idx="588">
                  <c:v>58.9</c:v>
                </c:pt>
                <c:pt idx="589">
                  <c:v>59</c:v>
                </c:pt>
                <c:pt idx="590">
                  <c:v>59.1</c:v>
                </c:pt>
                <c:pt idx="591">
                  <c:v>59.2</c:v>
                </c:pt>
                <c:pt idx="592">
                  <c:v>59.3</c:v>
                </c:pt>
                <c:pt idx="593">
                  <c:v>59.4</c:v>
                </c:pt>
                <c:pt idx="594">
                  <c:v>59.5</c:v>
                </c:pt>
                <c:pt idx="595">
                  <c:v>59.6</c:v>
                </c:pt>
                <c:pt idx="596">
                  <c:v>59.7</c:v>
                </c:pt>
                <c:pt idx="597">
                  <c:v>59.8</c:v>
                </c:pt>
                <c:pt idx="598">
                  <c:v>59.9</c:v>
                </c:pt>
                <c:pt idx="599">
                  <c:v>60</c:v>
                </c:pt>
                <c:pt idx="600">
                  <c:v>60.1</c:v>
                </c:pt>
              </c:numCache>
            </c:numRef>
          </c:xVal>
          <c:yVal>
            <c:numRef>
              <c:f>'80'!$C$2:$C$602</c:f>
              <c:numCache>
                <c:formatCode>General</c:formatCode>
                <c:ptCount val="601"/>
                <c:pt idx="0">
                  <c:v>28.43</c:v>
                </c:pt>
                <c:pt idx="1">
                  <c:v>28.43</c:v>
                </c:pt>
                <c:pt idx="2">
                  <c:v>28.59</c:v>
                </c:pt>
                <c:pt idx="3">
                  <c:v>28.52</c:v>
                </c:pt>
                <c:pt idx="4">
                  <c:v>28.53</c:v>
                </c:pt>
                <c:pt idx="5">
                  <c:v>28.63</c:v>
                </c:pt>
                <c:pt idx="6">
                  <c:v>28.71</c:v>
                </c:pt>
                <c:pt idx="7">
                  <c:v>28.81</c:v>
                </c:pt>
                <c:pt idx="8">
                  <c:v>29.01</c:v>
                </c:pt>
                <c:pt idx="9">
                  <c:v>29.13</c:v>
                </c:pt>
                <c:pt idx="10">
                  <c:v>29.41</c:v>
                </c:pt>
                <c:pt idx="11">
                  <c:v>29.64</c:v>
                </c:pt>
                <c:pt idx="12">
                  <c:v>29.93</c:v>
                </c:pt>
                <c:pt idx="13">
                  <c:v>30.22</c:v>
                </c:pt>
                <c:pt idx="14">
                  <c:v>30.5</c:v>
                </c:pt>
                <c:pt idx="15">
                  <c:v>30.87</c:v>
                </c:pt>
                <c:pt idx="16">
                  <c:v>31.19</c:v>
                </c:pt>
                <c:pt idx="17">
                  <c:v>31.54</c:v>
                </c:pt>
                <c:pt idx="18">
                  <c:v>31.91</c:v>
                </c:pt>
                <c:pt idx="19">
                  <c:v>32.270000000000003</c:v>
                </c:pt>
                <c:pt idx="20">
                  <c:v>32.770000000000003</c:v>
                </c:pt>
                <c:pt idx="21">
                  <c:v>33.159999999999997</c:v>
                </c:pt>
                <c:pt idx="22">
                  <c:v>33.58</c:v>
                </c:pt>
                <c:pt idx="23">
                  <c:v>34.04</c:v>
                </c:pt>
                <c:pt idx="24">
                  <c:v>34.47</c:v>
                </c:pt>
                <c:pt idx="25">
                  <c:v>34.97</c:v>
                </c:pt>
                <c:pt idx="26">
                  <c:v>35.43</c:v>
                </c:pt>
                <c:pt idx="27">
                  <c:v>35.89</c:v>
                </c:pt>
                <c:pt idx="28">
                  <c:v>36.33</c:v>
                </c:pt>
                <c:pt idx="29">
                  <c:v>36.799999999999997</c:v>
                </c:pt>
                <c:pt idx="30">
                  <c:v>37.200000000000003</c:v>
                </c:pt>
                <c:pt idx="31">
                  <c:v>37.69</c:v>
                </c:pt>
                <c:pt idx="32">
                  <c:v>38.130000000000003</c:v>
                </c:pt>
                <c:pt idx="33">
                  <c:v>38.47</c:v>
                </c:pt>
                <c:pt idx="34">
                  <c:v>38.950000000000003</c:v>
                </c:pt>
                <c:pt idx="35">
                  <c:v>39.369999999999997</c:v>
                </c:pt>
                <c:pt idx="36">
                  <c:v>39.76</c:v>
                </c:pt>
                <c:pt idx="37">
                  <c:v>40.18</c:v>
                </c:pt>
                <c:pt idx="38">
                  <c:v>40.6</c:v>
                </c:pt>
                <c:pt idx="39">
                  <c:v>40.99</c:v>
                </c:pt>
                <c:pt idx="40">
                  <c:v>41.36</c:v>
                </c:pt>
                <c:pt idx="41">
                  <c:v>41.8</c:v>
                </c:pt>
                <c:pt idx="42">
                  <c:v>42.23</c:v>
                </c:pt>
                <c:pt idx="43">
                  <c:v>42.57</c:v>
                </c:pt>
                <c:pt idx="44">
                  <c:v>43.05</c:v>
                </c:pt>
                <c:pt idx="45">
                  <c:v>43.45</c:v>
                </c:pt>
                <c:pt idx="46">
                  <c:v>43.78</c:v>
                </c:pt>
                <c:pt idx="47">
                  <c:v>44.22</c:v>
                </c:pt>
                <c:pt idx="48">
                  <c:v>44.57</c:v>
                </c:pt>
                <c:pt idx="49">
                  <c:v>44.95</c:v>
                </c:pt>
                <c:pt idx="50">
                  <c:v>45.39</c:v>
                </c:pt>
                <c:pt idx="51">
                  <c:v>45.78</c:v>
                </c:pt>
                <c:pt idx="52">
                  <c:v>46.12</c:v>
                </c:pt>
                <c:pt idx="53">
                  <c:v>46.53</c:v>
                </c:pt>
                <c:pt idx="54">
                  <c:v>46.88</c:v>
                </c:pt>
                <c:pt idx="55">
                  <c:v>47.25</c:v>
                </c:pt>
                <c:pt idx="56">
                  <c:v>47.68</c:v>
                </c:pt>
                <c:pt idx="57">
                  <c:v>48.06</c:v>
                </c:pt>
                <c:pt idx="58">
                  <c:v>48.4</c:v>
                </c:pt>
                <c:pt idx="59">
                  <c:v>48.76</c:v>
                </c:pt>
                <c:pt idx="60">
                  <c:v>49.18</c:v>
                </c:pt>
                <c:pt idx="61">
                  <c:v>49.5</c:v>
                </c:pt>
                <c:pt idx="62">
                  <c:v>49.88</c:v>
                </c:pt>
                <c:pt idx="63">
                  <c:v>50.27</c:v>
                </c:pt>
                <c:pt idx="64">
                  <c:v>50.62</c:v>
                </c:pt>
                <c:pt idx="65">
                  <c:v>50.92</c:v>
                </c:pt>
                <c:pt idx="66">
                  <c:v>51.34</c:v>
                </c:pt>
                <c:pt idx="67">
                  <c:v>51.66</c:v>
                </c:pt>
                <c:pt idx="68">
                  <c:v>51.99</c:v>
                </c:pt>
                <c:pt idx="69">
                  <c:v>52.4</c:v>
                </c:pt>
                <c:pt idx="70">
                  <c:v>52.73</c:v>
                </c:pt>
                <c:pt idx="71">
                  <c:v>53.15</c:v>
                </c:pt>
                <c:pt idx="72">
                  <c:v>53.44</c:v>
                </c:pt>
                <c:pt idx="73">
                  <c:v>53.86</c:v>
                </c:pt>
                <c:pt idx="74">
                  <c:v>54.18</c:v>
                </c:pt>
                <c:pt idx="75">
                  <c:v>54.5</c:v>
                </c:pt>
                <c:pt idx="76">
                  <c:v>54.87</c:v>
                </c:pt>
                <c:pt idx="77">
                  <c:v>55.16</c:v>
                </c:pt>
                <c:pt idx="78">
                  <c:v>55.5</c:v>
                </c:pt>
                <c:pt idx="79">
                  <c:v>55.89</c:v>
                </c:pt>
                <c:pt idx="80">
                  <c:v>56.21</c:v>
                </c:pt>
                <c:pt idx="81">
                  <c:v>56.52</c:v>
                </c:pt>
                <c:pt idx="82">
                  <c:v>56.88</c:v>
                </c:pt>
                <c:pt idx="83">
                  <c:v>57.16</c:v>
                </c:pt>
                <c:pt idx="84">
                  <c:v>57.49</c:v>
                </c:pt>
                <c:pt idx="85">
                  <c:v>57.76</c:v>
                </c:pt>
                <c:pt idx="86">
                  <c:v>58.11</c:v>
                </c:pt>
                <c:pt idx="87">
                  <c:v>58.36</c:v>
                </c:pt>
                <c:pt idx="88">
                  <c:v>58.75</c:v>
                </c:pt>
                <c:pt idx="89">
                  <c:v>59.05</c:v>
                </c:pt>
                <c:pt idx="90">
                  <c:v>59.38</c:v>
                </c:pt>
                <c:pt idx="91">
                  <c:v>59.67</c:v>
                </c:pt>
                <c:pt idx="92">
                  <c:v>59.97</c:v>
                </c:pt>
                <c:pt idx="93">
                  <c:v>60.31</c:v>
                </c:pt>
                <c:pt idx="94">
                  <c:v>60.58</c:v>
                </c:pt>
                <c:pt idx="95">
                  <c:v>60.87</c:v>
                </c:pt>
                <c:pt idx="96">
                  <c:v>61.21</c:v>
                </c:pt>
                <c:pt idx="97">
                  <c:v>61.48</c:v>
                </c:pt>
                <c:pt idx="98">
                  <c:v>61.79</c:v>
                </c:pt>
                <c:pt idx="99">
                  <c:v>62.08</c:v>
                </c:pt>
                <c:pt idx="100">
                  <c:v>62.38</c:v>
                </c:pt>
                <c:pt idx="101">
                  <c:v>62.59</c:v>
                </c:pt>
                <c:pt idx="102">
                  <c:v>62.93</c:v>
                </c:pt>
                <c:pt idx="103">
                  <c:v>63.22</c:v>
                </c:pt>
                <c:pt idx="104">
                  <c:v>63.51</c:v>
                </c:pt>
                <c:pt idx="105">
                  <c:v>63.78</c:v>
                </c:pt>
                <c:pt idx="106">
                  <c:v>64.010000000000005</c:v>
                </c:pt>
                <c:pt idx="107">
                  <c:v>64.27</c:v>
                </c:pt>
                <c:pt idx="108">
                  <c:v>64.569999999999993</c:v>
                </c:pt>
                <c:pt idx="109">
                  <c:v>64.84</c:v>
                </c:pt>
                <c:pt idx="110">
                  <c:v>65.14</c:v>
                </c:pt>
                <c:pt idx="111">
                  <c:v>65.430000000000007</c:v>
                </c:pt>
                <c:pt idx="112">
                  <c:v>65.66</c:v>
                </c:pt>
                <c:pt idx="113">
                  <c:v>66</c:v>
                </c:pt>
                <c:pt idx="114">
                  <c:v>66.25</c:v>
                </c:pt>
                <c:pt idx="115">
                  <c:v>66.45</c:v>
                </c:pt>
                <c:pt idx="116">
                  <c:v>66.78</c:v>
                </c:pt>
                <c:pt idx="117">
                  <c:v>67.010000000000005</c:v>
                </c:pt>
                <c:pt idx="118">
                  <c:v>67.239999999999995</c:v>
                </c:pt>
                <c:pt idx="119">
                  <c:v>67.540000000000006</c:v>
                </c:pt>
                <c:pt idx="120">
                  <c:v>67.760000000000005</c:v>
                </c:pt>
                <c:pt idx="121">
                  <c:v>68.040000000000006</c:v>
                </c:pt>
                <c:pt idx="122">
                  <c:v>68.28</c:v>
                </c:pt>
                <c:pt idx="123">
                  <c:v>68.48</c:v>
                </c:pt>
                <c:pt idx="124">
                  <c:v>68.75</c:v>
                </c:pt>
                <c:pt idx="125">
                  <c:v>69</c:v>
                </c:pt>
                <c:pt idx="126">
                  <c:v>69.16</c:v>
                </c:pt>
                <c:pt idx="127">
                  <c:v>69.44</c:v>
                </c:pt>
                <c:pt idx="128">
                  <c:v>69.62</c:v>
                </c:pt>
                <c:pt idx="129">
                  <c:v>69.84</c:v>
                </c:pt>
                <c:pt idx="130">
                  <c:v>69.98</c:v>
                </c:pt>
                <c:pt idx="131">
                  <c:v>70.19</c:v>
                </c:pt>
                <c:pt idx="132">
                  <c:v>70.34</c:v>
                </c:pt>
                <c:pt idx="133">
                  <c:v>70.569999999999993</c:v>
                </c:pt>
                <c:pt idx="134">
                  <c:v>70.69</c:v>
                </c:pt>
                <c:pt idx="135">
                  <c:v>70.88</c:v>
                </c:pt>
                <c:pt idx="136">
                  <c:v>71.03</c:v>
                </c:pt>
                <c:pt idx="137">
                  <c:v>71.11</c:v>
                </c:pt>
                <c:pt idx="138">
                  <c:v>71.319999999999993</c:v>
                </c:pt>
                <c:pt idx="139">
                  <c:v>71.38</c:v>
                </c:pt>
                <c:pt idx="140">
                  <c:v>71.56</c:v>
                </c:pt>
                <c:pt idx="141">
                  <c:v>71.62</c:v>
                </c:pt>
                <c:pt idx="142">
                  <c:v>71.81</c:v>
                </c:pt>
                <c:pt idx="143">
                  <c:v>71.87</c:v>
                </c:pt>
                <c:pt idx="144">
                  <c:v>71.95</c:v>
                </c:pt>
                <c:pt idx="145">
                  <c:v>72.09</c:v>
                </c:pt>
                <c:pt idx="146">
                  <c:v>72.17</c:v>
                </c:pt>
                <c:pt idx="147">
                  <c:v>72.25</c:v>
                </c:pt>
                <c:pt idx="148">
                  <c:v>72.39</c:v>
                </c:pt>
                <c:pt idx="149">
                  <c:v>72.45</c:v>
                </c:pt>
                <c:pt idx="150">
                  <c:v>72.61</c:v>
                </c:pt>
                <c:pt idx="151">
                  <c:v>72.73</c:v>
                </c:pt>
                <c:pt idx="152">
                  <c:v>72.77</c:v>
                </c:pt>
                <c:pt idx="153">
                  <c:v>72.900000000000006</c:v>
                </c:pt>
                <c:pt idx="154">
                  <c:v>72.97</c:v>
                </c:pt>
                <c:pt idx="155">
                  <c:v>73.069999999999993</c:v>
                </c:pt>
                <c:pt idx="156">
                  <c:v>73.209999999999994</c:v>
                </c:pt>
                <c:pt idx="157">
                  <c:v>73.25</c:v>
                </c:pt>
                <c:pt idx="158">
                  <c:v>73.41</c:v>
                </c:pt>
                <c:pt idx="159">
                  <c:v>73.5</c:v>
                </c:pt>
                <c:pt idx="160">
                  <c:v>73.569999999999993</c:v>
                </c:pt>
                <c:pt idx="161">
                  <c:v>73.709999999999994</c:v>
                </c:pt>
                <c:pt idx="162">
                  <c:v>73.790000000000006</c:v>
                </c:pt>
                <c:pt idx="163">
                  <c:v>73.819999999999993</c:v>
                </c:pt>
                <c:pt idx="164">
                  <c:v>73.959999999999994</c:v>
                </c:pt>
                <c:pt idx="165">
                  <c:v>74.08</c:v>
                </c:pt>
                <c:pt idx="166">
                  <c:v>74.12</c:v>
                </c:pt>
                <c:pt idx="167">
                  <c:v>74.22</c:v>
                </c:pt>
                <c:pt idx="168">
                  <c:v>74.319999999999993</c:v>
                </c:pt>
                <c:pt idx="169">
                  <c:v>74.400000000000006</c:v>
                </c:pt>
                <c:pt idx="170">
                  <c:v>74.459999999999994</c:v>
                </c:pt>
                <c:pt idx="171">
                  <c:v>74.55</c:v>
                </c:pt>
                <c:pt idx="172">
                  <c:v>74.63</c:v>
                </c:pt>
                <c:pt idx="173">
                  <c:v>74.69</c:v>
                </c:pt>
                <c:pt idx="174">
                  <c:v>74.739999999999995</c:v>
                </c:pt>
                <c:pt idx="175">
                  <c:v>74.87</c:v>
                </c:pt>
                <c:pt idx="176">
                  <c:v>74.95</c:v>
                </c:pt>
                <c:pt idx="177">
                  <c:v>75</c:v>
                </c:pt>
                <c:pt idx="178">
                  <c:v>75.099999999999994</c:v>
                </c:pt>
                <c:pt idx="179">
                  <c:v>75.180000000000007</c:v>
                </c:pt>
                <c:pt idx="180">
                  <c:v>75.22</c:v>
                </c:pt>
                <c:pt idx="181">
                  <c:v>75.28</c:v>
                </c:pt>
                <c:pt idx="182">
                  <c:v>75.319999999999993</c:v>
                </c:pt>
                <c:pt idx="183">
                  <c:v>75.319999999999993</c:v>
                </c:pt>
                <c:pt idx="184">
                  <c:v>75.48</c:v>
                </c:pt>
                <c:pt idx="185">
                  <c:v>75.5</c:v>
                </c:pt>
                <c:pt idx="186">
                  <c:v>75.569999999999993</c:v>
                </c:pt>
                <c:pt idx="187">
                  <c:v>75.64</c:v>
                </c:pt>
                <c:pt idx="188">
                  <c:v>75.650000000000006</c:v>
                </c:pt>
                <c:pt idx="189">
                  <c:v>75.739999999999995</c:v>
                </c:pt>
                <c:pt idx="190">
                  <c:v>75.83</c:v>
                </c:pt>
                <c:pt idx="191">
                  <c:v>75.88</c:v>
                </c:pt>
                <c:pt idx="192">
                  <c:v>75.92</c:v>
                </c:pt>
                <c:pt idx="193">
                  <c:v>75.97</c:v>
                </c:pt>
                <c:pt idx="194">
                  <c:v>76.040000000000006</c:v>
                </c:pt>
                <c:pt idx="195">
                  <c:v>76.14</c:v>
                </c:pt>
                <c:pt idx="196">
                  <c:v>76.17</c:v>
                </c:pt>
                <c:pt idx="197">
                  <c:v>76.23</c:v>
                </c:pt>
                <c:pt idx="198">
                  <c:v>76.31</c:v>
                </c:pt>
                <c:pt idx="199">
                  <c:v>76.39</c:v>
                </c:pt>
                <c:pt idx="200">
                  <c:v>76.44</c:v>
                </c:pt>
                <c:pt idx="201">
                  <c:v>76.5</c:v>
                </c:pt>
                <c:pt idx="202">
                  <c:v>76.52</c:v>
                </c:pt>
                <c:pt idx="203">
                  <c:v>76.56</c:v>
                </c:pt>
                <c:pt idx="204">
                  <c:v>76.650000000000006</c:v>
                </c:pt>
                <c:pt idx="205">
                  <c:v>76.709999999999994</c:v>
                </c:pt>
                <c:pt idx="206">
                  <c:v>76.77</c:v>
                </c:pt>
                <c:pt idx="207">
                  <c:v>76.86</c:v>
                </c:pt>
                <c:pt idx="208">
                  <c:v>76.930000000000007</c:v>
                </c:pt>
                <c:pt idx="209">
                  <c:v>76.97</c:v>
                </c:pt>
                <c:pt idx="210">
                  <c:v>77.05</c:v>
                </c:pt>
                <c:pt idx="211">
                  <c:v>77.09</c:v>
                </c:pt>
                <c:pt idx="212">
                  <c:v>77.12</c:v>
                </c:pt>
                <c:pt idx="213">
                  <c:v>77.16</c:v>
                </c:pt>
                <c:pt idx="214">
                  <c:v>77.27</c:v>
                </c:pt>
                <c:pt idx="215">
                  <c:v>77.36</c:v>
                </c:pt>
                <c:pt idx="216">
                  <c:v>77.36</c:v>
                </c:pt>
                <c:pt idx="217">
                  <c:v>77.430000000000007</c:v>
                </c:pt>
                <c:pt idx="218">
                  <c:v>77.48</c:v>
                </c:pt>
                <c:pt idx="219">
                  <c:v>77.59</c:v>
                </c:pt>
                <c:pt idx="220">
                  <c:v>77.58</c:v>
                </c:pt>
                <c:pt idx="221">
                  <c:v>77.680000000000007</c:v>
                </c:pt>
                <c:pt idx="222">
                  <c:v>77.73</c:v>
                </c:pt>
                <c:pt idx="223">
                  <c:v>77.8</c:v>
                </c:pt>
                <c:pt idx="224">
                  <c:v>77.88</c:v>
                </c:pt>
                <c:pt idx="225">
                  <c:v>77.959999999999994</c:v>
                </c:pt>
                <c:pt idx="226">
                  <c:v>78.02</c:v>
                </c:pt>
                <c:pt idx="227">
                  <c:v>78.05</c:v>
                </c:pt>
                <c:pt idx="228">
                  <c:v>78.17</c:v>
                </c:pt>
                <c:pt idx="229">
                  <c:v>78.22</c:v>
                </c:pt>
                <c:pt idx="230">
                  <c:v>78.28</c:v>
                </c:pt>
                <c:pt idx="231">
                  <c:v>78.33</c:v>
                </c:pt>
                <c:pt idx="232">
                  <c:v>78.45</c:v>
                </c:pt>
                <c:pt idx="233">
                  <c:v>78.459999999999994</c:v>
                </c:pt>
                <c:pt idx="234">
                  <c:v>78.510000000000005</c:v>
                </c:pt>
                <c:pt idx="235">
                  <c:v>78.63</c:v>
                </c:pt>
                <c:pt idx="236">
                  <c:v>78.680000000000007</c:v>
                </c:pt>
                <c:pt idx="237">
                  <c:v>78.739999999999995</c:v>
                </c:pt>
                <c:pt idx="238">
                  <c:v>78.81</c:v>
                </c:pt>
                <c:pt idx="239">
                  <c:v>78.849999999999994</c:v>
                </c:pt>
                <c:pt idx="240">
                  <c:v>78.989999999999995</c:v>
                </c:pt>
                <c:pt idx="241">
                  <c:v>78.98</c:v>
                </c:pt>
                <c:pt idx="242">
                  <c:v>79.08</c:v>
                </c:pt>
                <c:pt idx="243">
                  <c:v>79.17</c:v>
                </c:pt>
                <c:pt idx="244">
                  <c:v>79.260000000000005</c:v>
                </c:pt>
                <c:pt idx="245">
                  <c:v>79.27</c:v>
                </c:pt>
                <c:pt idx="246">
                  <c:v>79.41</c:v>
                </c:pt>
                <c:pt idx="247">
                  <c:v>79.44</c:v>
                </c:pt>
                <c:pt idx="248">
                  <c:v>79.489999999999995</c:v>
                </c:pt>
                <c:pt idx="249">
                  <c:v>79.59</c:v>
                </c:pt>
                <c:pt idx="250">
                  <c:v>79.64</c:v>
                </c:pt>
                <c:pt idx="251">
                  <c:v>79.67</c:v>
                </c:pt>
                <c:pt idx="252">
                  <c:v>79.77</c:v>
                </c:pt>
                <c:pt idx="253">
                  <c:v>79.83</c:v>
                </c:pt>
                <c:pt idx="254">
                  <c:v>79.87</c:v>
                </c:pt>
                <c:pt idx="255">
                  <c:v>79.959999999999994</c:v>
                </c:pt>
                <c:pt idx="256">
                  <c:v>80.010000000000005</c:v>
                </c:pt>
                <c:pt idx="257">
                  <c:v>80.02</c:v>
                </c:pt>
                <c:pt idx="258">
                  <c:v>80.150000000000006</c:v>
                </c:pt>
                <c:pt idx="259">
                  <c:v>80.2</c:v>
                </c:pt>
                <c:pt idx="260">
                  <c:v>80.239999999999995</c:v>
                </c:pt>
                <c:pt idx="261">
                  <c:v>80.3</c:v>
                </c:pt>
                <c:pt idx="262">
                  <c:v>80.33</c:v>
                </c:pt>
                <c:pt idx="263">
                  <c:v>80.36</c:v>
                </c:pt>
                <c:pt idx="264">
                  <c:v>80.36</c:v>
                </c:pt>
                <c:pt idx="265">
                  <c:v>80.37</c:v>
                </c:pt>
                <c:pt idx="266">
                  <c:v>80.42</c:v>
                </c:pt>
                <c:pt idx="267">
                  <c:v>80.41</c:v>
                </c:pt>
                <c:pt idx="268">
                  <c:v>80.37</c:v>
                </c:pt>
                <c:pt idx="269">
                  <c:v>80.37</c:v>
                </c:pt>
                <c:pt idx="270">
                  <c:v>80.400000000000006</c:v>
                </c:pt>
                <c:pt idx="271">
                  <c:v>80.3</c:v>
                </c:pt>
                <c:pt idx="272">
                  <c:v>80.34</c:v>
                </c:pt>
                <c:pt idx="273">
                  <c:v>80.290000000000006</c:v>
                </c:pt>
                <c:pt idx="274">
                  <c:v>80.22</c:v>
                </c:pt>
                <c:pt idx="275">
                  <c:v>80.22</c:v>
                </c:pt>
                <c:pt idx="276">
                  <c:v>80.150000000000006</c:v>
                </c:pt>
                <c:pt idx="277">
                  <c:v>80.11</c:v>
                </c:pt>
                <c:pt idx="278">
                  <c:v>80.08</c:v>
                </c:pt>
                <c:pt idx="279">
                  <c:v>80.03</c:v>
                </c:pt>
                <c:pt idx="280">
                  <c:v>80.05</c:v>
                </c:pt>
                <c:pt idx="281">
                  <c:v>79.989999999999995</c:v>
                </c:pt>
                <c:pt idx="282">
                  <c:v>79.97</c:v>
                </c:pt>
                <c:pt idx="283">
                  <c:v>79.95</c:v>
                </c:pt>
                <c:pt idx="284">
                  <c:v>79.95</c:v>
                </c:pt>
                <c:pt idx="285">
                  <c:v>79.95</c:v>
                </c:pt>
                <c:pt idx="286">
                  <c:v>79.95</c:v>
                </c:pt>
                <c:pt idx="287">
                  <c:v>79.98</c:v>
                </c:pt>
                <c:pt idx="288">
                  <c:v>79.989999999999995</c:v>
                </c:pt>
                <c:pt idx="289">
                  <c:v>79.989999999999995</c:v>
                </c:pt>
                <c:pt idx="290">
                  <c:v>79.989999999999995</c:v>
                </c:pt>
                <c:pt idx="291">
                  <c:v>80.03</c:v>
                </c:pt>
                <c:pt idx="292">
                  <c:v>80</c:v>
                </c:pt>
                <c:pt idx="293">
                  <c:v>80.099999999999994</c:v>
                </c:pt>
                <c:pt idx="294">
                  <c:v>80.069999999999993</c:v>
                </c:pt>
                <c:pt idx="295">
                  <c:v>80.12</c:v>
                </c:pt>
                <c:pt idx="296">
                  <c:v>80.13</c:v>
                </c:pt>
                <c:pt idx="297">
                  <c:v>80.2</c:v>
                </c:pt>
                <c:pt idx="298">
                  <c:v>80.22</c:v>
                </c:pt>
                <c:pt idx="299">
                  <c:v>80.17</c:v>
                </c:pt>
                <c:pt idx="300">
                  <c:v>80.180000000000007</c:v>
                </c:pt>
                <c:pt idx="301">
                  <c:v>80.239999999999995</c:v>
                </c:pt>
                <c:pt idx="302">
                  <c:v>80.239999999999995</c:v>
                </c:pt>
                <c:pt idx="303">
                  <c:v>80.239999999999995</c:v>
                </c:pt>
                <c:pt idx="304">
                  <c:v>80.22</c:v>
                </c:pt>
                <c:pt idx="305">
                  <c:v>80.209999999999994</c:v>
                </c:pt>
                <c:pt idx="306">
                  <c:v>80.239999999999995</c:v>
                </c:pt>
                <c:pt idx="307">
                  <c:v>80.2</c:v>
                </c:pt>
                <c:pt idx="308">
                  <c:v>80.209999999999994</c:v>
                </c:pt>
                <c:pt idx="309">
                  <c:v>80.22</c:v>
                </c:pt>
                <c:pt idx="310">
                  <c:v>80.239999999999995</c:v>
                </c:pt>
                <c:pt idx="311">
                  <c:v>80.25</c:v>
                </c:pt>
                <c:pt idx="312">
                  <c:v>80.209999999999994</c:v>
                </c:pt>
                <c:pt idx="313">
                  <c:v>80.22</c:v>
                </c:pt>
                <c:pt idx="314">
                  <c:v>80.180000000000007</c:v>
                </c:pt>
                <c:pt idx="315">
                  <c:v>80.2</c:v>
                </c:pt>
                <c:pt idx="316">
                  <c:v>80.14</c:v>
                </c:pt>
                <c:pt idx="317">
                  <c:v>80.11</c:v>
                </c:pt>
                <c:pt idx="318">
                  <c:v>80.09</c:v>
                </c:pt>
                <c:pt idx="319">
                  <c:v>80.14</c:v>
                </c:pt>
                <c:pt idx="320">
                  <c:v>80.13</c:v>
                </c:pt>
                <c:pt idx="321">
                  <c:v>80.13</c:v>
                </c:pt>
                <c:pt idx="322">
                  <c:v>80.069999999999993</c:v>
                </c:pt>
                <c:pt idx="323">
                  <c:v>80.03</c:v>
                </c:pt>
                <c:pt idx="324">
                  <c:v>80.069999999999993</c:v>
                </c:pt>
                <c:pt idx="325">
                  <c:v>80</c:v>
                </c:pt>
                <c:pt idx="326">
                  <c:v>80.069999999999993</c:v>
                </c:pt>
                <c:pt idx="327">
                  <c:v>80.03</c:v>
                </c:pt>
                <c:pt idx="328">
                  <c:v>80.03</c:v>
                </c:pt>
                <c:pt idx="329">
                  <c:v>80.08</c:v>
                </c:pt>
                <c:pt idx="330">
                  <c:v>80.09</c:v>
                </c:pt>
                <c:pt idx="331">
                  <c:v>80.06</c:v>
                </c:pt>
                <c:pt idx="332">
                  <c:v>80.11</c:v>
                </c:pt>
                <c:pt idx="333">
                  <c:v>80.069999999999993</c:v>
                </c:pt>
                <c:pt idx="334">
                  <c:v>80.099999999999994</c:v>
                </c:pt>
                <c:pt idx="335">
                  <c:v>80.19</c:v>
                </c:pt>
                <c:pt idx="336">
                  <c:v>80.13</c:v>
                </c:pt>
                <c:pt idx="337">
                  <c:v>80.17</c:v>
                </c:pt>
                <c:pt idx="338">
                  <c:v>80.209999999999994</c:v>
                </c:pt>
                <c:pt idx="339">
                  <c:v>80.209999999999994</c:v>
                </c:pt>
                <c:pt idx="340">
                  <c:v>80.22</c:v>
                </c:pt>
                <c:pt idx="341">
                  <c:v>80.209999999999994</c:v>
                </c:pt>
                <c:pt idx="342">
                  <c:v>80.22</c:v>
                </c:pt>
                <c:pt idx="343">
                  <c:v>80.209999999999994</c:v>
                </c:pt>
                <c:pt idx="344">
                  <c:v>80.22</c:v>
                </c:pt>
                <c:pt idx="345">
                  <c:v>80.239999999999995</c:v>
                </c:pt>
                <c:pt idx="346">
                  <c:v>80.22</c:v>
                </c:pt>
                <c:pt idx="347">
                  <c:v>80.209999999999994</c:v>
                </c:pt>
                <c:pt idx="348">
                  <c:v>80.25</c:v>
                </c:pt>
                <c:pt idx="349">
                  <c:v>80.23</c:v>
                </c:pt>
                <c:pt idx="350">
                  <c:v>80.19</c:v>
                </c:pt>
                <c:pt idx="351">
                  <c:v>80.180000000000007</c:v>
                </c:pt>
                <c:pt idx="352">
                  <c:v>80.19</c:v>
                </c:pt>
                <c:pt idx="353">
                  <c:v>80.14</c:v>
                </c:pt>
                <c:pt idx="354">
                  <c:v>80.209999999999994</c:v>
                </c:pt>
                <c:pt idx="355">
                  <c:v>80.17</c:v>
                </c:pt>
                <c:pt idx="356">
                  <c:v>80.16</c:v>
                </c:pt>
                <c:pt idx="357">
                  <c:v>80.16</c:v>
                </c:pt>
                <c:pt idx="358">
                  <c:v>80.099999999999994</c:v>
                </c:pt>
                <c:pt idx="359">
                  <c:v>80.150000000000006</c:v>
                </c:pt>
                <c:pt idx="360">
                  <c:v>80.11</c:v>
                </c:pt>
                <c:pt idx="361">
                  <c:v>80.13</c:v>
                </c:pt>
                <c:pt idx="362">
                  <c:v>80.11</c:v>
                </c:pt>
                <c:pt idx="363">
                  <c:v>80.13</c:v>
                </c:pt>
                <c:pt idx="364">
                  <c:v>80.05</c:v>
                </c:pt>
                <c:pt idx="365">
                  <c:v>80.13</c:v>
                </c:pt>
                <c:pt idx="366">
                  <c:v>80.12</c:v>
                </c:pt>
                <c:pt idx="367">
                  <c:v>80.09</c:v>
                </c:pt>
                <c:pt idx="368">
                  <c:v>80.06</c:v>
                </c:pt>
                <c:pt idx="369">
                  <c:v>80.14</c:v>
                </c:pt>
                <c:pt idx="370">
                  <c:v>80.069999999999993</c:v>
                </c:pt>
                <c:pt idx="371">
                  <c:v>80.06</c:v>
                </c:pt>
                <c:pt idx="372">
                  <c:v>80.06</c:v>
                </c:pt>
                <c:pt idx="373">
                  <c:v>80.12</c:v>
                </c:pt>
                <c:pt idx="374">
                  <c:v>80.069999999999993</c:v>
                </c:pt>
                <c:pt idx="375">
                  <c:v>80.069999999999993</c:v>
                </c:pt>
                <c:pt idx="376">
                  <c:v>80.069999999999993</c:v>
                </c:pt>
                <c:pt idx="377">
                  <c:v>80.150000000000006</c:v>
                </c:pt>
                <c:pt idx="378">
                  <c:v>80.11</c:v>
                </c:pt>
                <c:pt idx="379">
                  <c:v>80.13</c:v>
                </c:pt>
                <c:pt idx="380">
                  <c:v>80.17</c:v>
                </c:pt>
                <c:pt idx="381">
                  <c:v>80.22</c:v>
                </c:pt>
                <c:pt idx="382">
                  <c:v>80.27</c:v>
                </c:pt>
                <c:pt idx="383">
                  <c:v>80.25</c:v>
                </c:pt>
                <c:pt idx="384">
                  <c:v>80.319999999999993</c:v>
                </c:pt>
                <c:pt idx="385">
                  <c:v>80.290000000000006</c:v>
                </c:pt>
                <c:pt idx="386">
                  <c:v>80.31</c:v>
                </c:pt>
                <c:pt idx="387">
                  <c:v>80.33</c:v>
                </c:pt>
                <c:pt idx="388">
                  <c:v>80.31</c:v>
                </c:pt>
                <c:pt idx="389">
                  <c:v>80.36</c:v>
                </c:pt>
                <c:pt idx="390">
                  <c:v>80.290000000000006</c:v>
                </c:pt>
                <c:pt idx="391">
                  <c:v>80.3</c:v>
                </c:pt>
                <c:pt idx="392">
                  <c:v>80.239999999999995</c:v>
                </c:pt>
                <c:pt idx="393">
                  <c:v>80.27</c:v>
                </c:pt>
                <c:pt idx="394">
                  <c:v>80.17</c:v>
                </c:pt>
                <c:pt idx="395">
                  <c:v>80.209999999999994</c:v>
                </c:pt>
                <c:pt idx="396">
                  <c:v>80.19</c:v>
                </c:pt>
                <c:pt idx="397">
                  <c:v>80.150000000000006</c:v>
                </c:pt>
                <c:pt idx="398">
                  <c:v>80.09</c:v>
                </c:pt>
                <c:pt idx="399">
                  <c:v>80.069999999999993</c:v>
                </c:pt>
                <c:pt idx="400">
                  <c:v>80.08</c:v>
                </c:pt>
                <c:pt idx="401">
                  <c:v>80.09</c:v>
                </c:pt>
                <c:pt idx="402">
                  <c:v>80.040000000000006</c:v>
                </c:pt>
                <c:pt idx="403">
                  <c:v>80.05</c:v>
                </c:pt>
                <c:pt idx="404">
                  <c:v>80.069999999999993</c:v>
                </c:pt>
                <c:pt idx="405">
                  <c:v>80.069999999999993</c:v>
                </c:pt>
                <c:pt idx="406">
                  <c:v>80.08</c:v>
                </c:pt>
                <c:pt idx="407">
                  <c:v>80.09</c:v>
                </c:pt>
                <c:pt idx="408">
                  <c:v>80.06</c:v>
                </c:pt>
                <c:pt idx="409">
                  <c:v>80.13</c:v>
                </c:pt>
                <c:pt idx="410">
                  <c:v>80.13</c:v>
                </c:pt>
                <c:pt idx="411">
                  <c:v>80.16</c:v>
                </c:pt>
                <c:pt idx="412">
                  <c:v>80.17</c:v>
                </c:pt>
                <c:pt idx="413">
                  <c:v>80.17</c:v>
                </c:pt>
                <c:pt idx="414">
                  <c:v>80.19</c:v>
                </c:pt>
                <c:pt idx="415">
                  <c:v>80.22</c:v>
                </c:pt>
                <c:pt idx="416">
                  <c:v>80.19</c:v>
                </c:pt>
                <c:pt idx="417">
                  <c:v>80.27</c:v>
                </c:pt>
                <c:pt idx="418">
                  <c:v>80.25</c:v>
                </c:pt>
                <c:pt idx="419">
                  <c:v>80.290000000000006</c:v>
                </c:pt>
                <c:pt idx="420">
                  <c:v>80.28</c:v>
                </c:pt>
                <c:pt idx="421">
                  <c:v>80.319999999999993</c:v>
                </c:pt>
                <c:pt idx="422">
                  <c:v>80.28</c:v>
                </c:pt>
                <c:pt idx="423">
                  <c:v>80.31</c:v>
                </c:pt>
                <c:pt idx="424">
                  <c:v>80.290000000000006</c:v>
                </c:pt>
                <c:pt idx="425">
                  <c:v>80.33</c:v>
                </c:pt>
                <c:pt idx="426">
                  <c:v>80.28</c:v>
                </c:pt>
                <c:pt idx="427">
                  <c:v>80.23</c:v>
                </c:pt>
                <c:pt idx="428">
                  <c:v>80.28</c:v>
                </c:pt>
                <c:pt idx="429">
                  <c:v>80.260000000000005</c:v>
                </c:pt>
                <c:pt idx="430">
                  <c:v>80.239999999999995</c:v>
                </c:pt>
                <c:pt idx="431">
                  <c:v>80.16</c:v>
                </c:pt>
                <c:pt idx="432">
                  <c:v>80.19</c:v>
                </c:pt>
                <c:pt idx="433">
                  <c:v>80.19</c:v>
                </c:pt>
                <c:pt idx="434">
                  <c:v>80.2</c:v>
                </c:pt>
                <c:pt idx="435">
                  <c:v>80.17</c:v>
                </c:pt>
                <c:pt idx="436">
                  <c:v>80.150000000000006</c:v>
                </c:pt>
                <c:pt idx="437">
                  <c:v>80.16</c:v>
                </c:pt>
                <c:pt idx="438">
                  <c:v>80.11</c:v>
                </c:pt>
                <c:pt idx="439">
                  <c:v>80.17</c:v>
                </c:pt>
                <c:pt idx="440">
                  <c:v>80.150000000000006</c:v>
                </c:pt>
                <c:pt idx="441">
                  <c:v>80.2</c:v>
                </c:pt>
                <c:pt idx="442">
                  <c:v>80.12</c:v>
                </c:pt>
                <c:pt idx="443">
                  <c:v>80.09</c:v>
                </c:pt>
                <c:pt idx="444">
                  <c:v>80.099999999999994</c:v>
                </c:pt>
                <c:pt idx="445">
                  <c:v>80.14</c:v>
                </c:pt>
                <c:pt idx="446">
                  <c:v>80.09</c:v>
                </c:pt>
                <c:pt idx="447">
                  <c:v>80.150000000000006</c:v>
                </c:pt>
                <c:pt idx="448">
                  <c:v>80.16</c:v>
                </c:pt>
                <c:pt idx="449">
                  <c:v>80.09</c:v>
                </c:pt>
                <c:pt idx="450">
                  <c:v>80.150000000000006</c:v>
                </c:pt>
                <c:pt idx="451">
                  <c:v>80.13</c:v>
                </c:pt>
                <c:pt idx="452">
                  <c:v>80.180000000000007</c:v>
                </c:pt>
                <c:pt idx="453">
                  <c:v>80.2</c:v>
                </c:pt>
                <c:pt idx="454">
                  <c:v>80.209999999999994</c:v>
                </c:pt>
                <c:pt idx="455">
                  <c:v>80.150000000000006</c:v>
                </c:pt>
                <c:pt idx="456">
                  <c:v>80.19</c:v>
                </c:pt>
                <c:pt idx="457">
                  <c:v>80.2</c:v>
                </c:pt>
                <c:pt idx="458">
                  <c:v>80.23</c:v>
                </c:pt>
                <c:pt idx="459">
                  <c:v>80.17</c:v>
                </c:pt>
                <c:pt idx="460">
                  <c:v>80.17</c:v>
                </c:pt>
                <c:pt idx="461">
                  <c:v>80.22</c:v>
                </c:pt>
                <c:pt idx="462">
                  <c:v>80.17</c:v>
                </c:pt>
                <c:pt idx="463">
                  <c:v>80.209999999999994</c:v>
                </c:pt>
                <c:pt idx="464">
                  <c:v>80.19</c:v>
                </c:pt>
                <c:pt idx="465">
                  <c:v>80.180000000000007</c:v>
                </c:pt>
                <c:pt idx="466">
                  <c:v>80.180000000000007</c:v>
                </c:pt>
                <c:pt idx="467">
                  <c:v>80.16</c:v>
                </c:pt>
                <c:pt idx="468">
                  <c:v>80.12</c:v>
                </c:pt>
                <c:pt idx="469">
                  <c:v>80.19</c:v>
                </c:pt>
                <c:pt idx="470">
                  <c:v>80.13</c:v>
                </c:pt>
                <c:pt idx="471">
                  <c:v>80.150000000000006</c:v>
                </c:pt>
                <c:pt idx="472">
                  <c:v>80.11</c:v>
                </c:pt>
                <c:pt idx="473">
                  <c:v>80.13</c:v>
                </c:pt>
                <c:pt idx="474">
                  <c:v>80.13</c:v>
                </c:pt>
                <c:pt idx="475">
                  <c:v>80.17</c:v>
                </c:pt>
                <c:pt idx="476">
                  <c:v>80.099999999999994</c:v>
                </c:pt>
                <c:pt idx="477">
                  <c:v>80.2</c:v>
                </c:pt>
                <c:pt idx="478">
                  <c:v>80.150000000000006</c:v>
                </c:pt>
                <c:pt idx="479">
                  <c:v>80.19</c:v>
                </c:pt>
                <c:pt idx="480">
                  <c:v>80.150000000000006</c:v>
                </c:pt>
                <c:pt idx="481">
                  <c:v>80.13</c:v>
                </c:pt>
                <c:pt idx="482">
                  <c:v>80.11</c:v>
                </c:pt>
                <c:pt idx="483">
                  <c:v>80.180000000000007</c:v>
                </c:pt>
                <c:pt idx="484">
                  <c:v>80.150000000000006</c:v>
                </c:pt>
                <c:pt idx="485">
                  <c:v>80.13</c:v>
                </c:pt>
                <c:pt idx="486">
                  <c:v>80.12</c:v>
                </c:pt>
                <c:pt idx="487">
                  <c:v>80.150000000000006</c:v>
                </c:pt>
                <c:pt idx="488">
                  <c:v>80.150000000000006</c:v>
                </c:pt>
                <c:pt idx="489">
                  <c:v>80.13</c:v>
                </c:pt>
                <c:pt idx="490">
                  <c:v>80.12</c:v>
                </c:pt>
                <c:pt idx="491">
                  <c:v>80.17</c:v>
                </c:pt>
                <c:pt idx="492">
                  <c:v>80.150000000000006</c:v>
                </c:pt>
                <c:pt idx="493">
                  <c:v>80.13</c:v>
                </c:pt>
                <c:pt idx="494">
                  <c:v>80.150000000000006</c:v>
                </c:pt>
                <c:pt idx="495">
                  <c:v>80.150000000000006</c:v>
                </c:pt>
                <c:pt idx="496">
                  <c:v>80.19</c:v>
                </c:pt>
                <c:pt idx="497">
                  <c:v>80.150000000000006</c:v>
                </c:pt>
                <c:pt idx="498">
                  <c:v>80.19</c:v>
                </c:pt>
                <c:pt idx="499">
                  <c:v>80.13</c:v>
                </c:pt>
                <c:pt idx="500">
                  <c:v>80.180000000000007</c:v>
                </c:pt>
                <c:pt idx="501">
                  <c:v>80.19</c:v>
                </c:pt>
                <c:pt idx="502">
                  <c:v>80.209999999999994</c:v>
                </c:pt>
                <c:pt idx="503">
                  <c:v>80.2</c:v>
                </c:pt>
                <c:pt idx="504">
                  <c:v>80.150000000000006</c:v>
                </c:pt>
                <c:pt idx="505">
                  <c:v>80.19</c:v>
                </c:pt>
                <c:pt idx="506">
                  <c:v>80.22</c:v>
                </c:pt>
                <c:pt idx="507">
                  <c:v>80.17</c:v>
                </c:pt>
                <c:pt idx="508">
                  <c:v>80.16</c:v>
                </c:pt>
                <c:pt idx="509">
                  <c:v>80.150000000000006</c:v>
                </c:pt>
                <c:pt idx="510">
                  <c:v>80.12</c:v>
                </c:pt>
                <c:pt idx="511">
                  <c:v>80.09</c:v>
                </c:pt>
                <c:pt idx="512">
                  <c:v>80.17</c:v>
                </c:pt>
                <c:pt idx="513">
                  <c:v>80.16</c:v>
                </c:pt>
                <c:pt idx="514">
                  <c:v>80.16</c:v>
                </c:pt>
                <c:pt idx="515">
                  <c:v>80.11</c:v>
                </c:pt>
                <c:pt idx="516">
                  <c:v>80.180000000000007</c:v>
                </c:pt>
                <c:pt idx="517">
                  <c:v>80.11</c:v>
                </c:pt>
                <c:pt idx="518">
                  <c:v>80.13</c:v>
                </c:pt>
                <c:pt idx="519">
                  <c:v>80.11</c:v>
                </c:pt>
                <c:pt idx="520">
                  <c:v>80.069999999999993</c:v>
                </c:pt>
                <c:pt idx="521">
                  <c:v>80.11</c:v>
                </c:pt>
                <c:pt idx="522">
                  <c:v>80.11</c:v>
                </c:pt>
                <c:pt idx="523">
                  <c:v>80.11</c:v>
                </c:pt>
                <c:pt idx="524">
                  <c:v>80.08</c:v>
                </c:pt>
                <c:pt idx="525">
                  <c:v>80.08</c:v>
                </c:pt>
                <c:pt idx="526">
                  <c:v>80.099999999999994</c:v>
                </c:pt>
                <c:pt idx="527">
                  <c:v>80.12</c:v>
                </c:pt>
                <c:pt idx="528">
                  <c:v>80.08</c:v>
                </c:pt>
                <c:pt idx="529">
                  <c:v>80.06</c:v>
                </c:pt>
                <c:pt idx="530">
                  <c:v>80.08</c:v>
                </c:pt>
                <c:pt idx="531">
                  <c:v>80.17</c:v>
                </c:pt>
                <c:pt idx="532">
                  <c:v>80.2</c:v>
                </c:pt>
                <c:pt idx="533">
                  <c:v>80.19</c:v>
                </c:pt>
                <c:pt idx="534">
                  <c:v>80.11</c:v>
                </c:pt>
                <c:pt idx="535">
                  <c:v>80.16</c:v>
                </c:pt>
                <c:pt idx="536">
                  <c:v>80.180000000000007</c:v>
                </c:pt>
                <c:pt idx="537">
                  <c:v>80.19</c:v>
                </c:pt>
                <c:pt idx="538">
                  <c:v>80.23</c:v>
                </c:pt>
                <c:pt idx="539">
                  <c:v>80.239999999999995</c:v>
                </c:pt>
                <c:pt idx="540">
                  <c:v>80.209999999999994</c:v>
                </c:pt>
                <c:pt idx="541">
                  <c:v>80.209999999999994</c:v>
                </c:pt>
                <c:pt idx="542">
                  <c:v>80.2</c:v>
                </c:pt>
                <c:pt idx="543">
                  <c:v>80.180000000000007</c:v>
                </c:pt>
                <c:pt idx="544">
                  <c:v>80.25</c:v>
                </c:pt>
                <c:pt idx="545">
                  <c:v>80.23</c:v>
                </c:pt>
                <c:pt idx="546">
                  <c:v>80.2</c:v>
                </c:pt>
                <c:pt idx="547">
                  <c:v>80.19</c:v>
                </c:pt>
                <c:pt idx="548">
                  <c:v>80.19</c:v>
                </c:pt>
                <c:pt idx="549">
                  <c:v>80.239999999999995</c:v>
                </c:pt>
                <c:pt idx="550">
                  <c:v>80.239999999999995</c:v>
                </c:pt>
                <c:pt idx="551">
                  <c:v>80.19</c:v>
                </c:pt>
                <c:pt idx="552">
                  <c:v>80.209999999999994</c:v>
                </c:pt>
                <c:pt idx="553">
                  <c:v>80.16</c:v>
                </c:pt>
                <c:pt idx="554">
                  <c:v>80.2</c:v>
                </c:pt>
                <c:pt idx="555">
                  <c:v>80.19</c:v>
                </c:pt>
                <c:pt idx="556">
                  <c:v>80.209999999999994</c:v>
                </c:pt>
                <c:pt idx="557">
                  <c:v>80.13</c:v>
                </c:pt>
                <c:pt idx="558">
                  <c:v>80.16</c:v>
                </c:pt>
                <c:pt idx="559">
                  <c:v>80.16</c:v>
                </c:pt>
                <c:pt idx="560">
                  <c:v>80.13</c:v>
                </c:pt>
                <c:pt idx="561">
                  <c:v>80.150000000000006</c:v>
                </c:pt>
                <c:pt idx="562">
                  <c:v>80.11</c:v>
                </c:pt>
                <c:pt idx="563">
                  <c:v>80.150000000000006</c:v>
                </c:pt>
                <c:pt idx="564">
                  <c:v>80.09</c:v>
                </c:pt>
                <c:pt idx="565">
                  <c:v>80.06</c:v>
                </c:pt>
                <c:pt idx="566">
                  <c:v>80.08</c:v>
                </c:pt>
                <c:pt idx="567">
                  <c:v>80.08</c:v>
                </c:pt>
                <c:pt idx="568">
                  <c:v>80.12</c:v>
                </c:pt>
                <c:pt idx="569">
                  <c:v>80.17</c:v>
                </c:pt>
                <c:pt idx="570">
                  <c:v>80.11</c:v>
                </c:pt>
                <c:pt idx="571">
                  <c:v>80.150000000000006</c:v>
                </c:pt>
                <c:pt idx="572">
                  <c:v>80.17</c:v>
                </c:pt>
                <c:pt idx="573">
                  <c:v>80.11</c:v>
                </c:pt>
                <c:pt idx="574">
                  <c:v>80.08</c:v>
                </c:pt>
                <c:pt idx="575">
                  <c:v>80.13</c:v>
                </c:pt>
                <c:pt idx="576">
                  <c:v>80.14</c:v>
                </c:pt>
                <c:pt idx="577">
                  <c:v>80.150000000000006</c:v>
                </c:pt>
                <c:pt idx="578">
                  <c:v>80.17</c:v>
                </c:pt>
                <c:pt idx="579">
                  <c:v>80.2</c:v>
                </c:pt>
                <c:pt idx="580">
                  <c:v>80.209999999999994</c:v>
                </c:pt>
                <c:pt idx="581">
                  <c:v>80.22</c:v>
                </c:pt>
                <c:pt idx="582">
                  <c:v>80.16</c:v>
                </c:pt>
                <c:pt idx="583">
                  <c:v>80.19</c:v>
                </c:pt>
                <c:pt idx="584">
                  <c:v>80.22</c:v>
                </c:pt>
                <c:pt idx="585">
                  <c:v>80.23</c:v>
                </c:pt>
                <c:pt idx="586">
                  <c:v>80.22</c:v>
                </c:pt>
                <c:pt idx="587">
                  <c:v>80.19</c:v>
                </c:pt>
                <c:pt idx="588">
                  <c:v>80.180000000000007</c:v>
                </c:pt>
                <c:pt idx="589">
                  <c:v>80.22</c:v>
                </c:pt>
                <c:pt idx="590">
                  <c:v>80.19</c:v>
                </c:pt>
                <c:pt idx="591">
                  <c:v>80.239999999999995</c:v>
                </c:pt>
                <c:pt idx="592">
                  <c:v>80.239999999999995</c:v>
                </c:pt>
                <c:pt idx="593">
                  <c:v>80.2</c:v>
                </c:pt>
                <c:pt idx="594">
                  <c:v>80.23</c:v>
                </c:pt>
                <c:pt idx="595">
                  <c:v>80.22</c:v>
                </c:pt>
                <c:pt idx="596">
                  <c:v>80.25</c:v>
                </c:pt>
                <c:pt idx="597">
                  <c:v>80.17</c:v>
                </c:pt>
                <c:pt idx="598">
                  <c:v>80.16</c:v>
                </c:pt>
                <c:pt idx="599">
                  <c:v>80.209999999999994</c:v>
                </c:pt>
                <c:pt idx="600">
                  <c:v>80.23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30-41D1-B354-CFA7BE389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57071"/>
        <c:axId val="1410071471"/>
      </c:scatterChart>
      <c:valAx>
        <c:axId val="1410057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71471"/>
        <c:crosses val="autoZero"/>
        <c:crossBetween val="midCat"/>
      </c:valAx>
      <c:valAx>
        <c:axId val="1410071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57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'80'!$R$1</c:f>
              <c:strCache>
                <c:ptCount val="1"/>
                <c:pt idx="0">
                  <c:v>tsp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'80'!$Q$2:$Q$602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10</c:v>
                </c:pt>
                <c:pt idx="99">
                  <c:v>10.1</c:v>
                </c:pt>
                <c:pt idx="100">
                  <c:v>10.199999999999999</c:v>
                </c:pt>
                <c:pt idx="101">
                  <c:v>10.3</c:v>
                </c:pt>
                <c:pt idx="102">
                  <c:v>10.4</c:v>
                </c:pt>
                <c:pt idx="103">
                  <c:v>10.5</c:v>
                </c:pt>
                <c:pt idx="104">
                  <c:v>10.6</c:v>
                </c:pt>
                <c:pt idx="105">
                  <c:v>10.7</c:v>
                </c:pt>
                <c:pt idx="106">
                  <c:v>10.8</c:v>
                </c:pt>
                <c:pt idx="107">
                  <c:v>10.9</c:v>
                </c:pt>
                <c:pt idx="108">
                  <c:v>11</c:v>
                </c:pt>
                <c:pt idx="109">
                  <c:v>11.1</c:v>
                </c:pt>
                <c:pt idx="110">
                  <c:v>11.2</c:v>
                </c:pt>
                <c:pt idx="111">
                  <c:v>11.3</c:v>
                </c:pt>
                <c:pt idx="112">
                  <c:v>11.4</c:v>
                </c:pt>
                <c:pt idx="113">
                  <c:v>11.5</c:v>
                </c:pt>
                <c:pt idx="114">
                  <c:v>11.6</c:v>
                </c:pt>
                <c:pt idx="115">
                  <c:v>11.7</c:v>
                </c:pt>
                <c:pt idx="116">
                  <c:v>11.8</c:v>
                </c:pt>
                <c:pt idx="117">
                  <c:v>11.9</c:v>
                </c:pt>
                <c:pt idx="118">
                  <c:v>12</c:v>
                </c:pt>
                <c:pt idx="119">
                  <c:v>12.1</c:v>
                </c:pt>
                <c:pt idx="120">
                  <c:v>12.2</c:v>
                </c:pt>
                <c:pt idx="121">
                  <c:v>12.3</c:v>
                </c:pt>
                <c:pt idx="122">
                  <c:v>12.4</c:v>
                </c:pt>
                <c:pt idx="123">
                  <c:v>12.5</c:v>
                </c:pt>
                <c:pt idx="124">
                  <c:v>12.6</c:v>
                </c:pt>
                <c:pt idx="125">
                  <c:v>12.7</c:v>
                </c:pt>
                <c:pt idx="126">
                  <c:v>12.8</c:v>
                </c:pt>
                <c:pt idx="127">
                  <c:v>12.9</c:v>
                </c:pt>
                <c:pt idx="128">
                  <c:v>13</c:v>
                </c:pt>
                <c:pt idx="129">
                  <c:v>13.1</c:v>
                </c:pt>
                <c:pt idx="130">
                  <c:v>13.2</c:v>
                </c:pt>
                <c:pt idx="131">
                  <c:v>13.3</c:v>
                </c:pt>
                <c:pt idx="132">
                  <c:v>13.4</c:v>
                </c:pt>
                <c:pt idx="133">
                  <c:v>13.5</c:v>
                </c:pt>
                <c:pt idx="134">
                  <c:v>13.6</c:v>
                </c:pt>
                <c:pt idx="135">
                  <c:v>13.7</c:v>
                </c:pt>
                <c:pt idx="136">
                  <c:v>13.8</c:v>
                </c:pt>
                <c:pt idx="137">
                  <c:v>13.9</c:v>
                </c:pt>
                <c:pt idx="138">
                  <c:v>14</c:v>
                </c:pt>
                <c:pt idx="139">
                  <c:v>14.1</c:v>
                </c:pt>
                <c:pt idx="140">
                  <c:v>14.2</c:v>
                </c:pt>
                <c:pt idx="141">
                  <c:v>14.3</c:v>
                </c:pt>
                <c:pt idx="142">
                  <c:v>14.4</c:v>
                </c:pt>
                <c:pt idx="143">
                  <c:v>14.5</c:v>
                </c:pt>
                <c:pt idx="144">
                  <c:v>14.6</c:v>
                </c:pt>
                <c:pt idx="145">
                  <c:v>14.7</c:v>
                </c:pt>
                <c:pt idx="146">
                  <c:v>14.8</c:v>
                </c:pt>
                <c:pt idx="147">
                  <c:v>14.9</c:v>
                </c:pt>
                <c:pt idx="148">
                  <c:v>15</c:v>
                </c:pt>
                <c:pt idx="149">
                  <c:v>15.1</c:v>
                </c:pt>
                <c:pt idx="150">
                  <c:v>15.2</c:v>
                </c:pt>
                <c:pt idx="151">
                  <c:v>15.3</c:v>
                </c:pt>
                <c:pt idx="152">
                  <c:v>15.4</c:v>
                </c:pt>
                <c:pt idx="153">
                  <c:v>15.5</c:v>
                </c:pt>
                <c:pt idx="154">
                  <c:v>15.6</c:v>
                </c:pt>
                <c:pt idx="155">
                  <c:v>15.7</c:v>
                </c:pt>
                <c:pt idx="156">
                  <c:v>15.8</c:v>
                </c:pt>
                <c:pt idx="157">
                  <c:v>15.9</c:v>
                </c:pt>
                <c:pt idx="158">
                  <c:v>16</c:v>
                </c:pt>
                <c:pt idx="159">
                  <c:v>16.100000000000001</c:v>
                </c:pt>
                <c:pt idx="160">
                  <c:v>16.2</c:v>
                </c:pt>
                <c:pt idx="161">
                  <c:v>16.3</c:v>
                </c:pt>
                <c:pt idx="162">
                  <c:v>16.399999999999999</c:v>
                </c:pt>
                <c:pt idx="163">
                  <c:v>16.5</c:v>
                </c:pt>
                <c:pt idx="164">
                  <c:v>16.600000000000001</c:v>
                </c:pt>
                <c:pt idx="165">
                  <c:v>16.7</c:v>
                </c:pt>
                <c:pt idx="166">
                  <c:v>16.8</c:v>
                </c:pt>
                <c:pt idx="167">
                  <c:v>16.899999999999999</c:v>
                </c:pt>
                <c:pt idx="168">
                  <c:v>17</c:v>
                </c:pt>
                <c:pt idx="169">
                  <c:v>17.100000000000001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'80'!$R$2:$R$602</c:f>
              <c:numCache>
                <c:formatCode>General</c:formatCode>
                <c:ptCount val="601"/>
                <c:pt idx="0">
                  <c:v>32.799999999999997</c:v>
                </c:pt>
                <c:pt idx="1">
                  <c:v>33.409999999999997</c:v>
                </c:pt>
                <c:pt idx="2">
                  <c:v>33.53</c:v>
                </c:pt>
                <c:pt idx="3">
                  <c:v>33.64</c:v>
                </c:pt>
                <c:pt idx="4">
                  <c:v>33.76</c:v>
                </c:pt>
                <c:pt idx="5">
                  <c:v>33.99</c:v>
                </c:pt>
                <c:pt idx="6">
                  <c:v>34.33</c:v>
                </c:pt>
                <c:pt idx="7">
                  <c:v>34.630000000000003</c:v>
                </c:pt>
                <c:pt idx="8">
                  <c:v>35.119999999999997</c:v>
                </c:pt>
                <c:pt idx="9">
                  <c:v>35.630000000000003</c:v>
                </c:pt>
                <c:pt idx="10">
                  <c:v>36.200000000000003</c:v>
                </c:pt>
                <c:pt idx="11">
                  <c:v>36.799999999999997</c:v>
                </c:pt>
                <c:pt idx="12">
                  <c:v>37.43</c:v>
                </c:pt>
                <c:pt idx="13">
                  <c:v>38.14</c:v>
                </c:pt>
                <c:pt idx="14">
                  <c:v>38.840000000000003</c:v>
                </c:pt>
                <c:pt idx="15">
                  <c:v>39.5</c:v>
                </c:pt>
                <c:pt idx="16">
                  <c:v>40.200000000000003</c:v>
                </c:pt>
                <c:pt idx="17">
                  <c:v>40.93</c:v>
                </c:pt>
                <c:pt idx="18">
                  <c:v>41.7</c:v>
                </c:pt>
                <c:pt idx="19">
                  <c:v>42.42</c:v>
                </c:pt>
                <c:pt idx="20">
                  <c:v>43.19</c:v>
                </c:pt>
                <c:pt idx="21">
                  <c:v>43.83</c:v>
                </c:pt>
                <c:pt idx="22">
                  <c:v>44.64</c:v>
                </c:pt>
                <c:pt idx="23">
                  <c:v>45.42</c:v>
                </c:pt>
                <c:pt idx="24">
                  <c:v>46.12</c:v>
                </c:pt>
                <c:pt idx="25">
                  <c:v>46.79</c:v>
                </c:pt>
                <c:pt idx="26">
                  <c:v>47.57</c:v>
                </c:pt>
                <c:pt idx="27">
                  <c:v>48.29</c:v>
                </c:pt>
                <c:pt idx="28">
                  <c:v>48.95</c:v>
                </c:pt>
                <c:pt idx="29">
                  <c:v>49.69</c:v>
                </c:pt>
                <c:pt idx="30">
                  <c:v>50.3</c:v>
                </c:pt>
                <c:pt idx="31">
                  <c:v>51.05</c:v>
                </c:pt>
                <c:pt idx="32">
                  <c:v>51.74</c:v>
                </c:pt>
                <c:pt idx="33">
                  <c:v>52.37</c:v>
                </c:pt>
                <c:pt idx="34">
                  <c:v>53.08</c:v>
                </c:pt>
                <c:pt idx="35">
                  <c:v>53.72</c:v>
                </c:pt>
                <c:pt idx="36">
                  <c:v>54.33</c:v>
                </c:pt>
                <c:pt idx="37">
                  <c:v>55.04</c:v>
                </c:pt>
                <c:pt idx="38">
                  <c:v>55.63</c:v>
                </c:pt>
                <c:pt idx="39">
                  <c:v>56.27</c:v>
                </c:pt>
                <c:pt idx="40">
                  <c:v>56.83</c:v>
                </c:pt>
                <c:pt idx="41">
                  <c:v>57.46</c:v>
                </c:pt>
                <c:pt idx="42">
                  <c:v>58.06</c:v>
                </c:pt>
                <c:pt idx="43">
                  <c:v>58.63</c:v>
                </c:pt>
                <c:pt idx="44">
                  <c:v>59.23</c:v>
                </c:pt>
                <c:pt idx="45">
                  <c:v>59.73</c:v>
                </c:pt>
                <c:pt idx="46">
                  <c:v>60.33</c:v>
                </c:pt>
                <c:pt idx="47">
                  <c:v>60.83</c:v>
                </c:pt>
                <c:pt idx="48">
                  <c:v>61.43</c:v>
                </c:pt>
                <c:pt idx="49">
                  <c:v>61.97</c:v>
                </c:pt>
                <c:pt idx="50">
                  <c:v>62.44</c:v>
                </c:pt>
                <c:pt idx="51">
                  <c:v>62.97</c:v>
                </c:pt>
                <c:pt idx="52">
                  <c:v>63.46</c:v>
                </c:pt>
                <c:pt idx="53">
                  <c:v>63.95</c:v>
                </c:pt>
                <c:pt idx="54">
                  <c:v>64.39</c:v>
                </c:pt>
                <c:pt idx="55">
                  <c:v>64.92</c:v>
                </c:pt>
                <c:pt idx="56">
                  <c:v>65.34</c:v>
                </c:pt>
                <c:pt idx="57">
                  <c:v>65.75</c:v>
                </c:pt>
                <c:pt idx="58">
                  <c:v>66.28</c:v>
                </c:pt>
                <c:pt idx="59">
                  <c:v>66.66</c:v>
                </c:pt>
                <c:pt idx="60">
                  <c:v>67.09</c:v>
                </c:pt>
                <c:pt idx="61">
                  <c:v>67.53</c:v>
                </c:pt>
                <c:pt idx="62">
                  <c:v>67.930000000000007</c:v>
                </c:pt>
                <c:pt idx="63">
                  <c:v>68.290000000000006</c:v>
                </c:pt>
                <c:pt idx="64">
                  <c:v>68.72</c:v>
                </c:pt>
                <c:pt idx="65">
                  <c:v>69.099999999999994</c:v>
                </c:pt>
                <c:pt idx="66">
                  <c:v>69.400000000000006</c:v>
                </c:pt>
                <c:pt idx="67">
                  <c:v>69.819999999999993</c:v>
                </c:pt>
                <c:pt idx="68">
                  <c:v>70.11</c:v>
                </c:pt>
                <c:pt idx="69">
                  <c:v>70.44</c:v>
                </c:pt>
                <c:pt idx="70">
                  <c:v>70.78</c:v>
                </c:pt>
                <c:pt idx="71">
                  <c:v>71.069999999999993</c:v>
                </c:pt>
                <c:pt idx="72">
                  <c:v>71.42</c:v>
                </c:pt>
                <c:pt idx="73">
                  <c:v>71.77</c:v>
                </c:pt>
                <c:pt idx="74">
                  <c:v>72.02</c:v>
                </c:pt>
                <c:pt idx="75">
                  <c:v>72.31</c:v>
                </c:pt>
                <c:pt idx="76">
                  <c:v>72.64</c:v>
                </c:pt>
                <c:pt idx="77">
                  <c:v>72.87</c:v>
                </c:pt>
                <c:pt idx="78">
                  <c:v>73.13</c:v>
                </c:pt>
                <c:pt idx="79">
                  <c:v>73.36</c:v>
                </c:pt>
                <c:pt idx="80">
                  <c:v>73.66</c:v>
                </c:pt>
                <c:pt idx="81">
                  <c:v>73.930000000000007</c:v>
                </c:pt>
                <c:pt idx="82">
                  <c:v>74.14</c:v>
                </c:pt>
                <c:pt idx="83">
                  <c:v>74.36</c:v>
                </c:pt>
                <c:pt idx="84">
                  <c:v>74.59</c:v>
                </c:pt>
                <c:pt idx="85">
                  <c:v>74.81</c:v>
                </c:pt>
                <c:pt idx="86">
                  <c:v>74.989999999999995</c:v>
                </c:pt>
                <c:pt idx="87">
                  <c:v>75.23</c:v>
                </c:pt>
                <c:pt idx="88">
                  <c:v>75.45</c:v>
                </c:pt>
                <c:pt idx="89">
                  <c:v>75.66</c:v>
                </c:pt>
                <c:pt idx="90">
                  <c:v>75.84</c:v>
                </c:pt>
                <c:pt idx="91">
                  <c:v>75.989999999999995</c:v>
                </c:pt>
                <c:pt idx="92">
                  <c:v>76.25</c:v>
                </c:pt>
                <c:pt idx="93">
                  <c:v>76.38</c:v>
                </c:pt>
                <c:pt idx="94">
                  <c:v>76.540000000000006</c:v>
                </c:pt>
                <c:pt idx="95">
                  <c:v>76.7</c:v>
                </c:pt>
                <c:pt idx="96">
                  <c:v>76.849999999999994</c:v>
                </c:pt>
                <c:pt idx="97">
                  <c:v>77.03</c:v>
                </c:pt>
                <c:pt idx="98">
                  <c:v>77.290000000000006</c:v>
                </c:pt>
                <c:pt idx="99">
                  <c:v>77.45</c:v>
                </c:pt>
                <c:pt idx="100">
                  <c:v>77.599999999999994</c:v>
                </c:pt>
                <c:pt idx="101">
                  <c:v>77.75</c:v>
                </c:pt>
                <c:pt idx="102">
                  <c:v>77.83</c:v>
                </c:pt>
                <c:pt idx="103">
                  <c:v>77.98</c:v>
                </c:pt>
                <c:pt idx="104">
                  <c:v>78.16</c:v>
                </c:pt>
                <c:pt idx="105">
                  <c:v>78.180000000000007</c:v>
                </c:pt>
                <c:pt idx="106">
                  <c:v>78.31</c:v>
                </c:pt>
                <c:pt idx="107">
                  <c:v>78.430000000000007</c:v>
                </c:pt>
                <c:pt idx="108">
                  <c:v>78.56</c:v>
                </c:pt>
                <c:pt idx="109">
                  <c:v>78.64</c:v>
                </c:pt>
                <c:pt idx="110">
                  <c:v>78.650000000000006</c:v>
                </c:pt>
                <c:pt idx="111">
                  <c:v>78.77</c:v>
                </c:pt>
                <c:pt idx="112">
                  <c:v>78.83</c:v>
                </c:pt>
                <c:pt idx="113">
                  <c:v>78.95</c:v>
                </c:pt>
                <c:pt idx="114">
                  <c:v>79.03</c:v>
                </c:pt>
                <c:pt idx="115">
                  <c:v>79.16</c:v>
                </c:pt>
                <c:pt idx="116">
                  <c:v>79.23</c:v>
                </c:pt>
                <c:pt idx="117">
                  <c:v>79.25</c:v>
                </c:pt>
                <c:pt idx="118">
                  <c:v>79.34</c:v>
                </c:pt>
                <c:pt idx="119">
                  <c:v>79.36</c:v>
                </c:pt>
                <c:pt idx="120">
                  <c:v>79.44</c:v>
                </c:pt>
                <c:pt idx="121">
                  <c:v>79.510000000000005</c:v>
                </c:pt>
                <c:pt idx="122">
                  <c:v>79.52</c:v>
                </c:pt>
                <c:pt idx="123">
                  <c:v>79.650000000000006</c:v>
                </c:pt>
                <c:pt idx="124">
                  <c:v>79.67</c:v>
                </c:pt>
                <c:pt idx="125">
                  <c:v>79.72</c:v>
                </c:pt>
                <c:pt idx="126">
                  <c:v>79.790000000000006</c:v>
                </c:pt>
                <c:pt idx="127">
                  <c:v>79.84</c:v>
                </c:pt>
                <c:pt idx="128">
                  <c:v>79.86</c:v>
                </c:pt>
                <c:pt idx="129">
                  <c:v>79.900000000000006</c:v>
                </c:pt>
                <c:pt idx="130">
                  <c:v>79.95</c:v>
                </c:pt>
                <c:pt idx="131">
                  <c:v>80.03</c:v>
                </c:pt>
                <c:pt idx="132">
                  <c:v>80.03</c:v>
                </c:pt>
                <c:pt idx="133">
                  <c:v>80.08</c:v>
                </c:pt>
                <c:pt idx="134">
                  <c:v>80.12</c:v>
                </c:pt>
                <c:pt idx="135">
                  <c:v>80.14</c:v>
                </c:pt>
                <c:pt idx="136">
                  <c:v>80.150000000000006</c:v>
                </c:pt>
                <c:pt idx="137">
                  <c:v>80.23</c:v>
                </c:pt>
                <c:pt idx="138">
                  <c:v>80.27</c:v>
                </c:pt>
                <c:pt idx="139">
                  <c:v>80.209999999999994</c:v>
                </c:pt>
                <c:pt idx="140">
                  <c:v>80.28</c:v>
                </c:pt>
                <c:pt idx="141">
                  <c:v>80.38</c:v>
                </c:pt>
                <c:pt idx="142">
                  <c:v>80.400000000000006</c:v>
                </c:pt>
                <c:pt idx="143">
                  <c:v>80.38</c:v>
                </c:pt>
                <c:pt idx="144">
                  <c:v>80.42</c:v>
                </c:pt>
                <c:pt idx="145">
                  <c:v>80.48</c:v>
                </c:pt>
                <c:pt idx="146">
                  <c:v>80.48</c:v>
                </c:pt>
                <c:pt idx="147">
                  <c:v>80.48</c:v>
                </c:pt>
                <c:pt idx="148">
                  <c:v>80.48</c:v>
                </c:pt>
                <c:pt idx="149">
                  <c:v>80.510000000000005</c:v>
                </c:pt>
                <c:pt idx="150">
                  <c:v>80.510000000000005</c:v>
                </c:pt>
                <c:pt idx="151">
                  <c:v>80.53</c:v>
                </c:pt>
                <c:pt idx="152">
                  <c:v>80.55</c:v>
                </c:pt>
                <c:pt idx="153">
                  <c:v>80.59</c:v>
                </c:pt>
                <c:pt idx="154">
                  <c:v>80.510000000000005</c:v>
                </c:pt>
                <c:pt idx="155">
                  <c:v>80.61</c:v>
                </c:pt>
                <c:pt idx="156">
                  <c:v>80.55</c:v>
                </c:pt>
                <c:pt idx="157">
                  <c:v>80.59</c:v>
                </c:pt>
                <c:pt idx="158">
                  <c:v>80.53</c:v>
                </c:pt>
                <c:pt idx="159">
                  <c:v>80.56</c:v>
                </c:pt>
                <c:pt idx="160">
                  <c:v>80.53</c:v>
                </c:pt>
                <c:pt idx="161">
                  <c:v>80.59</c:v>
                </c:pt>
                <c:pt idx="162">
                  <c:v>80.59</c:v>
                </c:pt>
                <c:pt idx="163">
                  <c:v>80.55</c:v>
                </c:pt>
                <c:pt idx="164">
                  <c:v>80.63</c:v>
                </c:pt>
                <c:pt idx="165">
                  <c:v>80.59</c:v>
                </c:pt>
                <c:pt idx="166">
                  <c:v>80.61</c:v>
                </c:pt>
                <c:pt idx="167">
                  <c:v>80.61</c:v>
                </c:pt>
                <c:pt idx="168">
                  <c:v>80.650000000000006</c:v>
                </c:pt>
                <c:pt idx="169">
                  <c:v>80.72</c:v>
                </c:pt>
                <c:pt idx="170">
                  <c:v>80.64</c:v>
                </c:pt>
                <c:pt idx="171">
                  <c:v>80.680000000000007</c:v>
                </c:pt>
                <c:pt idx="172">
                  <c:v>80.650000000000006</c:v>
                </c:pt>
                <c:pt idx="173">
                  <c:v>80.69</c:v>
                </c:pt>
                <c:pt idx="174">
                  <c:v>80.61</c:v>
                </c:pt>
                <c:pt idx="175">
                  <c:v>80.66</c:v>
                </c:pt>
                <c:pt idx="176">
                  <c:v>80.69</c:v>
                </c:pt>
                <c:pt idx="177">
                  <c:v>80.63</c:v>
                </c:pt>
                <c:pt idx="178">
                  <c:v>80.680000000000007</c:v>
                </c:pt>
                <c:pt idx="179">
                  <c:v>80.64</c:v>
                </c:pt>
                <c:pt idx="180">
                  <c:v>80.69</c:v>
                </c:pt>
                <c:pt idx="181">
                  <c:v>80.66</c:v>
                </c:pt>
                <c:pt idx="182">
                  <c:v>80.64</c:v>
                </c:pt>
                <c:pt idx="183">
                  <c:v>80.64</c:v>
                </c:pt>
                <c:pt idx="184">
                  <c:v>80.61</c:v>
                </c:pt>
                <c:pt idx="185">
                  <c:v>80.56</c:v>
                </c:pt>
                <c:pt idx="186">
                  <c:v>80.61</c:v>
                </c:pt>
                <c:pt idx="187">
                  <c:v>80.59</c:v>
                </c:pt>
                <c:pt idx="188">
                  <c:v>80.58</c:v>
                </c:pt>
                <c:pt idx="189">
                  <c:v>80.53</c:v>
                </c:pt>
                <c:pt idx="190">
                  <c:v>80.58</c:v>
                </c:pt>
                <c:pt idx="191">
                  <c:v>80.53</c:v>
                </c:pt>
                <c:pt idx="192">
                  <c:v>80.58</c:v>
                </c:pt>
                <c:pt idx="193">
                  <c:v>80.53</c:v>
                </c:pt>
                <c:pt idx="194">
                  <c:v>80.53</c:v>
                </c:pt>
                <c:pt idx="195">
                  <c:v>80.53</c:v>
                </c:pt>
                <c:pt idx="196">
                  <c:v>80.53</c:v>
                </c:pt>
                <c:pt idx="197">
                  <c:v>80.52</c:v>
                </c:pt>
                <c:pt idx="198">
                  <c:v>80.489999999999995</c:v>
                </c:pt>
                <c:pt idx="199">
                  <c:v>80.459999999999994</c:v>
                </c:pt>
                <c:pt idx="200">
                  <c:v>80.489999999999995</c:v>
                </c:pt>
                <c:pt idx="201">
                  <c:v>80.45</c:v>
                </c:pt>
                <c:pt idx="202">
                  <c:v>80.489999999999995</c:v>
                </c:pt>
                <c:pt idx="203">
                  <c:v>80.47</c:v>
                </c:pt>
                <c:pt idx="204">
                  <c:v>80.5</c:v>
                </c:pt>
                <c:pt idx="205">
                  <c:v>80.5</c:v>
                </c:pt>
                <c:pt idx="206">
                  <c:v>80.41</c:v>
                </c:pt>
                <c:pt idx="207">
                  <c:v>80.400000000000006</c:v>
                </c:pt>
                <c:pt idx="208">
                  <c:v>80.44</c:v>
                </c:pt>
                <c:pt idx="209">
                  <c:v>80.33</c:v>
                </c:pt>
                <c:pt idx="210">
                  <c:v>80.349999999999994</c:v>
                </c:pt>
                <c:pt idx="211">
                  <c:v>80.400000000000006</c:v>
                </c:pt>
                <c:pt idx="212">
                  <c:v>80.38</c:v>
                </c:pt>
                <c:pt idx="213">
                  <c:v>80.319999999999993</c:v>
                </c:pt>
                <c:pt idx="214">
                  <c:v>80.34</c:v>
                </c:pt>
                <c:pt idx="215">
                  <c:v>80.319999999999993</c:v>
                </c:pt>
                <c:pt idx="216">
                  <c:v>80.37</c:v>
                </c:pt>
                <c:pt idx="217">
                  <c:v>80.3</c:v>
                </c:pt>
                <c:pt idx="218">
                  <c:v>80.3</c:v>
                </c:pt>
                <c:pt idx="219">
                  <c:v>80.28</c:v>
                </c:pt>
                <c:pt idx="220">
                  <c:v>80.28</c:v>
                </c:pt>
                <c:pt idx="221">
                  <c:v>80.25</c:v>
                </c:pt>
                <c:pt idx="222">
                  <c:v>80.260000000000005</c:v>
                </c:pt>
                <c:pt idx="223">
                  <c:v>80.209999999999994</c:v>
                </c:pt>
                <c:pt idx="224">
                  <c:v>80.260000000000005</c:v>
                </c:pt>
                <c:pt idx="225">
                  <c:v>80.23</c:v>
                </c:pt>
                <c:pt idx="226">
                  <c:v>80.239999999999995</c:v>
                </c:pt>
                <c:pt idx="227">
                  <c:v>80.19</c:v>
                </c:pt>
                <c:pt idx="228">
                  <c:v>80.239999999999995</c:v>
                </c:pt>
                <c:pt idx="229">
                  <c:v>80.2</c:v>
                </c:pt>
                <c:pt idx="230">
                  <c:v>80.22</c:v>
                </c:pt>
                <c:pt idx="231">
                  <c:v>80.16</c:v>
                </c:pt>
                <c:pt idx="232">
                  <c:v>80.22</c:v>
                </c:pt>
                <c:pt idx="233">
                  <c:v>80.150000000000006</c:v>
                </c:pt>
                <c:pt idx="234">
                  <c:v>80.17</c:v>
                </c:pt>
                <c:pt idx="235">
                  <c:v>80.17</c:v>
                </c:pt>
                <c:pt idx="236">
                  <c:v>80.16</c:v>
                </c:pt>
                <c:pt idx="237">
                  <c:v>80.150000000000006</c:v>
                </c:pt>
                <c:pt idx="238">
                  <c:v>80.14</c:v>
                </c:pt>
                <c:pt idx="239">
                  <c:v>80.17</c:v>
                </c:pt>
                <c:pt idx="240">
                  <c:v>80.150000000000006</c:v>
                </c:pt>
                <c:pt idx="241">
                  <c:v>80.14</c:v>
                </c:pt>
                <c:pt idx="242">
                  <c:v>80.12</c:v>
                </c:pt>
                <c:pt idx="243">
                  <c:v>80.13</c:v>
                </c:pt>
                <c:pt idx="244">
                  <c:v>80.099999999999994</c:v>
                </c:pt>
                <c:pt idx="245">
                  <c:v>80.08</c:v>
                </c:pt>
                <c:pt idx="246">
                  <c:v>80.099999999999994</c:v>
                </c:pt>
                <c:pt idx="247">
                  <c:v>80.069999999999993</c:v>
                </c:pt>
                <c:pt idx="248">
                  <c:v>80.069999999999993</c:v>
                </c:pt>
                <c:pt idx="249">
                  <c:v>80.069999999999993</c:v>
                </c:pt>
                <c:pt idx="250">
                  <c:v>80.06</c:v>
                </c:pt>
                <c:pt idx="251">
                  <c:v>80.08</c:v>
                </c:pt>
                <c:pt idx="252">
                  <c:v>80.06</c:v>
                </c:pt>
                <c:pt idx="253">
                  <c:v>80.099999999999994</c:v>
                </c:pt>
                <c:pt idx="254">
                  <c:v>80.069999999999993</c:v>
                </c:pt>
                <c:pt idx="255">
                  <c:v>80.069999999999993</c:v>
                </c:pt>
                <c:pt idx="256">
                  <c:v>79.989999999999995</c:v>
                </c:pt>
                <c:pt idx="257">
                  <c:v>80.09</c:v>
                </c:pt>
                <c:pt idx="258">
                  <c:v>80</c:v>
                </c:pt>
                <c:pt idx="259">
                  <c:v>80.08</c:v>
                </c:pt>
                <c:pt idx="260">
                  <c:v>80.02</c:v>
                </c:pt>
                <c:pt idx="261">
                  <c:v>80.069999999999993</c:v>
                </c:pt>
                <c:pt idx="262">
                  <c:v>80.03</c:v>
                </c:pt>
                <c:pt idx="263">
                  <c:v>80.05</c:v>
                </c:pt>
                <c:pt idx="264">
                  <c:v>80.040000000000006</c:v>
                </c:pt>
                <c:pt idx="265">
                  <c:v>80.03</c:v>
                </c:pt>
                <c:pt idx="266">
                  <c:v>80.06</c:v>
                </c:pt>
                <c:pt idx="267">
                  <c:v>80.010000000000005</c:v>
                </c:pt>
                <c:pt idx="268">
                  <c:v>80.02</c:v>
                </c:pt>
                <c:pt idx="269">
                  <c:v>79.989999999999995</c:v>
                </c:pt>
                <c:pt idx="270">
                  <c:v>80.02</c:v>
                </c:pt>
                <c:pt idx="271">
                  <c:v>79.989999999999995</c:v>
                </c:pt>
                <c:pt idx="272">
                  <c:v>79.989999999999995</c:v>
                </c:pt>
                <c:pt idx="273">
                  <c:v>80.010000000000005</c:v>
                </c:pt>
                <c:pt idx="274">
                  <c:v>79.900000000000006</c:v>
                </c:pt>
                <c:pt idx="275">
                  <c:v>79.98</c:v>
                </c:pt>
                <c:pt idx="276">
                  <c:v>79.37</c:v>
                </c:pt>
                <c:pt idx="277">
                  <c:v>79.98</c:v>
                </c:pt>
                <c:pt idx="278">
                  <c:v>79.3</c:v>
                </c:pt>
                <c:pt idx="279">
                  <c:v>79.98</c:v>
                </c:pt>
                <c:pt idx="280">
                  <c:v>79.290000000000006</c:v>
                </c:pt>
                <c:pt idx="281">
                  <c:v>79.989999999999995</c:v>
                </c:pt>
                <c:pt idx="282">
                  <c:v>79.319999999999993</c:v>
                </c:pt>
                <c:pt idx="283">
                  <c:v>80.03</c:v>
                </c:pt>
                <c:pt idx="284">
                  <c:v>79.3</c:v>
                </c:pt>
                <c:pt idx="285">
                  <c:v>80.08</c:v>
                </c:pt>
                <c:pt idx="286">
                  <c:v>79.36</c:v>
                </c:pt>
                <c:pt idx="287">
                  <c:v>80.03</c:v>
                </c:pt>
                <c:pt idx="288">
                  <c:v>79.33</c:v>
                </c:pt>
                <c:pt idx="289">
                  <c:v>80.12</c:v>
                </c:pt>
                <c:pt idx="290">
                  <c:v>79.36</c:v>
                </c:pt>
                <c:pt idx="291">
                  <c:v>80.11</c:v>
                </c:pt>
                <c:pt idx="292">
                  <c:v>79.349999999999994</c:v>
                </c:pt>
                <c:pt idx="293">
                  <c:v>80.11</c:v>
                </c:pt>
                <c:pt idx="294">
                  <c:v>79.41</c:v>
                </c:pt>
                <c:pt idx="295">
                  <c:v>80.069999999999993</c:v>
                </c:pt>
                <c:pt idx="296">
                  <c:v>79.430000000000007</c:v>
                </c:pt>
                <c:pt idx="297">
                  <c:v>80.150000000000006</c:v>
                </c:pt>
                <c:pt idx="298">
                  <c:v>79.41</c:v>
                </c:pt>
                <c:pt idx="299">
                  <c:v>80.150000000000006</c:v>
                </c:pt>
                <c:pt idx="300">
                  <c:v>79.44</c:v>
                </c:pt>
                <c:pt idx="301">
                  <c:v>80.150000000000006</c:v>
                </c:pt>
                <c:pt idx="302">
                  <c:v>79.400000000000006</c:v>
                </c:pt>
                <c:pt idx="303">
                  <c:v>80.19</c:v>
                </c:pt>
                <c:pt idx="304">
                  <c:v>79.47</c:v>
                </c:pt>
                <c:pt idx="305">
                  <c:v>80.16</c:v>
                </c:pt>
                <c:pt idx="306">
                  <c:v>79.489999999999995</c:v>
                </c:pt>
                <c:pt idx="307">
                  <c:v>80.17</c:v>
                </c:pt>
                <c:pt idx="308">
                  <c:v>79.45</c:v>
                </c:pt>
                <c:pt idx="309">
                  <c:v>80.25</c:v>
                </c:pt>
                <c:pt idx="310">
                  <c:v>79.510000000000005</c:v>
                </c:pt>
                <c:pt idx="311">
                  <c:v>80.239999999999995</c:v>
                </c:pt>
                <c:pt idx="312">
                  <c:v>79.5</c:v>
                </c:pt>
                <c:pt idx="313">
                  <c:v>80.239999999999995</c:v>
                </c:pt>
                <c:pt idx="314">
                  <c:v>79.489999999999995</c:v>
                </c:pt>
                <c:pt idx="315">
                  <c:v>80.209999999999994</c:v>
                </c:pt>
                <c:pt idx="316">
                  <c:v>79.52</c:v>
                </c:pt>
                <c:pt idx="317">
                  <c:v>80.27</c:v>
                </c:pt>
                <c:pt idx="318">
                  <c:v>79.53</c:v>
                </c:pt>
                <c:pt idx="319">
                  <c:v>80.319999999999993</c:v>
                </c:pt>
                <c:pt idx="320">
                  <c:v>79.53</c:v>
                </c:pt>
                <c:pt idx="321">
                  <c:v>80.290000000000006</c:v>
                </c:pt>
                <c:pt idx="322">
                  <c:v>79.52</c:v>
                </c:pt>
                <c:pt idx="323">
                  <c:v>80.319999999999993</c:v>
                </c:pt>
                <c:pt idx="324">
                  <c:v>79.540000000000006</c:v>
                </c:pt>
                <c:pt idx="325">
                  <c:v>80.290000000000006</c:v>
                </c:pt>
                <c:pt idx="326">
                  <c:v>79.569999999999993</c:v>
                </c:pt>
                <c:pt idx="327">
                  <c:v>80.290000000000006</c:v>
                </c:pt>
                <c:pt idx="328">
                  <c:v>79.53</c:v>
                </c:pt>
                <c:pt idx="329">
                  <c:v>80.319999999999993</c:v>
                </c:pt>
                <c:pt idx="330">
                  <c:v>79.489999999999995</c:v>
                </c:pt>
                <c:pt idx="331">
                  <c:v>80.33</c:v>
                </c:pt>
                <c:pt idx="332">
                  <c:v>79.489999999999995</c:v>
                </c:pt>
                <c:pt idx="333">
                  <c:v>80.3</c:v>
                </c:pt>
                <c:pt idx="334">
                  <c:v>79.53</c:v>
                </c:pt>
                <c:pt idx="335">
                  <c:v>80.239999999999995</c:v>
                </c:pt>
                <c:pt idx="336">
                  <c:v>79.55</c:v>
                </c:pt>
                <c:pt idx="337">
                  <c:v>80.27</c:v>
                </c:pt>
                <c:pt idx="338">
                  <c:v>79.55</c:v>
                </c:pt>
                <c:pt idx="339">
                  <c:v>80.3</c:v>
                </c:pt>
                <c:pt idx="340">
                  <c:v>79.59</c:v>
                </c:pt>
                <c:pt idx="341">
                  <c:v>80.31</c:v>
                </c:pt>
                <c:pt idx="342">
                  <c:v>79.59</c:v>
                </c:pt>
                <c:pt idx="343">
                  <c:v>80.34</c:v>
                </c:pt>
                <c:pt idx="344">
                  <c:v>79.61</c:v>
                </c:pt>
                <c:pt idx="345">
                  <c:v>80.37</c:v>
                </c:pt>
                <c:pt idx="346">
                  <c:v>79.64</c:v>
                </c:pt>
                <c:pt idx="347">
                  <c:v>80.36</c:v>
                </c:pt>
                <c:pt idx="348">
                  <c:v>79.62</c:v>
                </c:pt>
                <c:pt idx="349">
                  <c:v>80.42</c:v>
                </c:pt>
                <c:pt idx="350">
                  <c:v>79.61</c:v>
                </c:pt>
                <c:pt idx="351">
                  <c:v>80.400000000000006</c:v>
                </c:pt>
                <c:pt idx="352">
                  <c:v>79.66</c:v>
                </c:pt>
                <c:pt idx="353">
                  <c:v>80.42</c:v>
                </c:pt>
                <c:pt idx="354">
                  <c:v>79.66</c:v>
                </c:pt>
                <c:pt idx="355">
                  <c:v>80.459999999999994</c:v>
                </c:pt>
                <c:pt idx="356">
                  <c:v>79.69</c:v>
                </c:pt>
                <c:pt idx="357">
                  <c:v>80.41</c:v>
                </c:pt>
                <c:pt idx="358">
                  <c:v>79.66</c:v>
                </c:pt>
                <c:pt idx="359">
                  <c:v>80.400000000000006</c:v>
                </c:pt>
                <c:pt idx="360">
                  <c:v>79.69</c:v>
                </c:pt>
                <c:pt idx="361">
                  <c:v>80.400000000000006</c:v>
                </c:pt>
                <c:pt idx="362">
                  <c:v>79.67</c:v>
                </c:pt>
                <c:pt idx="363">
                  <c:v>80.41</c:v>
                </c:pt>
                <c:pt idx="364">
                  <c:v>79.62</c:v>
                </c:pt>
                <c:pt idx="365">
                  <c:v>80.430000000000007</c:v>
                </c:pt>
                <c:pt idx="366">
                  <c:v>79.650000000000006</c:v>
                </c:pt>
                <c:pt idx="367">
                  <c:v>80.42</c:v>
                </c:pt>
                <c:pt idx="368">
                  <c:v>79.61</c:v>
                </c:pt>
                <c:pt idx="369">
                  <c:v>80.42</c:v>
                </c:pt>
                <c:pt idx="370">
                  <c:v>79.66</c:v>
                </c:pt>
                <c:pt idx="371">
                  <c:v>80.430000000000007</c:v>
                </c:pt>
                <c:pt idx="372">
                  <c:v>79.7</c:v>
                </c:pt>
                <c:pt idx="373">
                  <c:v>80.37</c:v>
                </c:pt>
                <c:pt idx="374">
                  <c:v>79.7</c:v>
                </c:pt>
                <c:pt idx="375">
                  <c:v>79.78</c:v>
                </c:pt>
                <c:pt idx="376">
                  <c:v>79.78</c:v>
                </c:pt>
                <c:pt idx="377">
                  <c:v>79.739999999999995</c:v>
                </c:pt>
                <c:pt idx="378">
                  <c:v>79.75</c:v>
                </c:pt>
                <c:pt idx="379">
                  <c:v>79.739999999999995</c:v>
                </c:pt>
                <c:pt idx="380">
                  <c:v>79.739999999999995</c:v>
                </c:pt>
                <c:pt idx="381">
                  <c:v>79.78</c:v>
                </c:pt>
                <c:pt idx="382">
                  <c:v>79.81</c:v>
                </c:pt>
                <c:pt idx="383">
                  <c:v>79.83</c:v>
                </c:pt>
                <c:pt idx="384">
                  <c:v>79.84</c:v>
                </c:pt>
                <c:pt idx="385">
                  <c:v>79.900000000000006</c:v>
                </c:pt>
                <c:pt idx="386">
                  <c:v>79.84</c:v>
                </c:pt>
                <c:pt idx="387">
                  <c:v>79.91</c:v>
                </c:pt>
                <c:pt idx="388">
                  <c:v>79.89</c:v>
                </c:pt>
                <c:pt idx="389">
                  <c:v>79.86</c:v>
                </c:pt>
                <c:pt idx="390">
                  <c:v>79.86</c:v>
                </c:pt>
                <c:pt idx="391">
                  <c:v>79.95</c:v>
                </c:pt>
                <c:pt idx="392">
                  <c:v>79.94</c:v>
                </c:pt>
                <c:pt idx="393">
                  <c:v>79.930000000000007</c:v>
                </c:pt>
                <c:pt idx="394">
                  <c:v>79.959999999999994</c:v>
                </c:pt>
                <c:pt idx="395">
                  <c:v>79.98</c:v>
                </c:pt>
                <c:pt idx="396">
                  <c:v>79.959999999999994</c:v>
                </c:pt>
                <c:pt idx="397">
                  <c:v>80.040000000000006</c:v>
                </c:pt>
                <c:pt idx="398">
                  <c:v>80.010000000000005</c:v>
                </c:pt>
                <c:pt idx="399">
                  <c:v>80.03</c:v>
                </c:pt>
                <c:pt idx="400">
                  <c:v>80.03</c:v>
                </c:pt>
                <c:pt idx="401">
                  <c:v>80.02</c:v>
                </c:pt>
                <c:pt idx="402">
                  <c:v>80.03</c:v>
                </c:pt>
                <c:pt idx="403">
                  <c:v>80.05</c:v>
                </c:pt>
                <c:pt idx="404">
                  <c:v>80.010000000000005</c:v>
                </c:pt>
                <c:pt idx="405">
                  <c:v>80.069999999999993</c:v>
                </c:pt>
                <c:pt idx="406">
                  <c:v>80.06</c:v>
                </c:pt>
                <c:pt idx="407">
                  <c:v>80.11</c:v>
                </c:pt>
                <c:pt idx="408">
                  <c:v>80.08</c:v>
                </c:pt>
                <c:pt idx="409">
                  <c:v>80.08</c:v>
                </c:pt>
                <c:pt idx="410">
                  <c:v>80.09</c:v>
                </c:pt>
                <c:pt idx="411">
                  <c:v>80.09</c:v>
                </c:pt>
                <c:pt idx="412">
                  <c:v>80.09</c:v>
                </c:pt>
                <c:pt idx="413">
                  <c:v>80.08</c:v>
                </c:pt>
                <c:pt idx="414">
                  <c:v>80.11</c:v>
                </c:pt>
                <c:pt idx="415">
                  <c:v>80.14</c:v>
                </c:pt>
                <c:pt idx="416">
                  <c:v>80.11</c:v>
                </c:pt>
                <c:pt idx="417">
                  <c:v>80.14</c:v>
                </c:pt>
                <c:pt idx="418">
                  <c:v>80.11</c:v>
                </c:pt>
                <c:pt idx="419">
                  <c:v>80.12</c:v>
                </c:pt>
                <c:pt idx="420">
                  <c:v>80.11</c:v>
                </c:pt>
                <c:pt idx="421">
                  <c:v>80.14</c:v>
                </c:pt>
                <c:pt idx="422">
                  <c:v>80.069999999999993</c:v>
                </c:pt>
                <c:pt idx="423">
                  <c:v>80.099999999999994</c:v>
                </c:pt>
                <c:pt idx="424">
                  <c:v>80.09</c:v>
                </c:pt>
                <c:pt idx="425">
                  <c:v>80.11</c:v>
                </c:pt>
                <c:pt idx="426">
                  <c:v>80.099999999999994</c:v>
                </c:pt>
                <c:pt idx="427">
                  <c:v>80.11</c:v>
                </c:pt>
                <c:pt idx="428">
                  <c:v>80.069999999999993</c:v>
                </c:pt>
                <c:pt idx="429">
                  <c:v>80.13</c:v>
                </c:pt>
                <c:pt idx="430">
                  <c:v>80.08</c:v>
                </c:pt>
                <c:pt idx="431">
                  <c:v>80.12</c:v>
                </c:pt>
                <c:pt idx="432">
                  <c:v>80.069999999999993</c:v>
                </c:pt>
                <c:pt idx="433">
                  <c:v>80.150000000000006</c:v>
                </c:pt>
                <c:pt idx="434">
                  <c:v>80.14</c:v>
                </c:pt>
                <c:pt idx="435">
                  <c:v>80.16</c:v>
                </c:pt>
                <c:pt idx="436">
                  <c:v>80.11</c:v>
                </c:pt>
                <c:pt idx="437">
                  <c:v>80.12</c:v>
                </c:pt>
                <c:pt idx="438">
                  <c:v>80.14</c:v>
                </c:pt>
                <c:pt idx="439">
                  <c:v>80.150000000000006</c:v>
                </c:pt>
                <c:pt idx="440">
                  <c:v>80.13</c:v>
                </c:pt>
                <c:pt idx="441">
                  <c:v>80.05</c:v>
                </c:pt>
                <c:pt idx="442">
                  <c:v>80.150000000000006</c:v>
                </c:pt>
                <c:pt idx="443">
                  <c:v>80.13</c:v>
                </c:pt>
                <c:pt idx="444">
                  <c:v>80.19</c:v>
                </c:pt>
                <c:pt idx="445">
                  <c:v>80.150000000000006</c:v>
                </c:pt>
                <c:pt idx="446">
                  <c:v>80.150000000000006</c:v>
                </c:pt>
                <c:pt idx="447">
                  <c:v>80.150000000000006</c:v>
                </c:pt>
                <c:pt idx="448">
                  <c:v>80.180000000000007</c:v>
                </c:pt>
                <c:pt idx="449">
                  <c:v>80.14</c:v>
                </c:pt>
                <c:pt idx="450">
                  <c:v>80.150000000000006</c:v>
                </c:pt>
                <c:pt idx="451">
                  <c:v>80.239999999999995</c:v>
                </c:pt>
                <c:pt idx="452">
                  <c:v>80.209999999999994</c:v>
                </c:pt>
                <c:pt idx="453">
                  <c:v>80.180000000000007</c:v>
                </c:pt>
                <c:pt idx="454">
                  <c:v>80.16</c:v>
                </c:pt>
                <c:pt idx="455">
                  <c:v>80.13</c:v>
                </c:pt>
                <c:pt idx="456">
                  <c:v>80.180000000000007</c:v>
                </c:pt>
                <c:pt idx="457">
                  <c:v>80.150000000000006</c:v>
                </c:pt>
                <c:pt idx="458">
                  <c:v>80.23</c:v>
                </c:pt>
                <c:pt idx="459">
                  <c:v>80.14</c:v>
                </c:pt>
                <c:pt idx="460">
                  <c:v>80.2</c:v>
                </c:pt>
                <c:pt idx="461">
                  <c:v>80.180000000000007</c:v>
                </c:pt>
                <c:pt idx="462">
                  <c:v>80.19</c:v>
                </c:pt>
                <c:pt idx="463">
                  <c:v>80.290000000000006</c:v>
                </c:pt>
                <c:pt idx="464">
                  <c:v>80.150000000000006</c:v>
                </c:pt>
                <c:pt idx="465">
                  <c:v>80.13</c:v>
                </c:pt>
                <c:pt idx="466">
                  <c:v>80.19</c:v>
                </c:pt>
                <c:pt idx="467">
                  <c:v>80.16</c:v>
                </c:pt>
                <c:pt idx="468">
                  <c:v>80.19</c:v>
                </c:pt>
                <c:pt idx="469">
                  <c:v>80.150000000000006</c:v>
                </c:pt>
                <c:pt idx="470">
                  <c:v>80.180000000000007</c:v>
                </c:pt>
                <c:pt idx="471">
                  <c:v>80.11</c:v>
                </c:pt>
                <c:pt idx="472">
                  <c:v>80.14</c:v>
                </c:pt>
                <c:pt idx="473">
                  <c:v>80.13</c:v>
                </c:pt>
                <c:pt idx="474">
                  <c:v>80.150000000000006</c:v>
                </c:pt>
                <c:pt idx="475">
                  <c:v>80.069999999999993</c:v>
                </c:pt>
                <c:pt idx="476">
                  <c:v>80.12</c:v>
                </c:pt>
                <c:pt idx="477">
                  <c:v>80.069999999999993</c:v>
                </c:pt>
                <c:pt idx="478">
                  <c:v>80.13</c:v>
                </c:pt>
                <c:pt idx="479">
                  <c:v>80.040000000000006</c:v>
                </c:pt>
                <c:pt idx="480">
                  <c:v>80.099999999999994</c:v>
                </c:pt>
                <c:pt idx="481">
                  <c:v>80.03</c:v>
                </c:pt>
                <c:pt idx="482">
                  <c:v>80.11</c:v>
                </c:pt>
                <c:pt idx="483">
                  <c:v>80.069999999999993</c:v>
                </c:pt>
                <c:pt idx="484">
                  <c:v>80.06</c:v>
                </c:pt>
                <c:pt idx="485">
                  <c:v>80.11</c:v>
                </c:pt>
                <c:pt idx="486">
                  <c:v>80.09</c:v>
                </c:pt>
                <c:pt idx="487">
                  <c:v>80.09</c:v>
                </c:pt>
                <c:pt idx="488">
                  <c:v>80.05</c:v>
                </c:pt>
                <c:pt idx="489">
                  <c:v>80.069999999999993</c:v>
                </c:pt>
                <c:pt idx="490">
                  <c:v>80.08</c:v>
                </c:pt>
                <c:pt idx="491">
                  <c:v>80.03</c:v>
                </c:pt>
                <c:pt idx="492">
                  <c:v>80.150000000000006</c:v>
                </c:pt>
                <c:pt idx="493">
                  <c:v>80.069999999999993</c:v>
                </c:pt>
                <c:pt idx="494">
                  <c:v>80.09</c:v>
                </c:pt>
                <c:pt idx="495">
                  <c:v>80.069999999999993</c:v>
                </c:pt>
                <c:pt idx="496">
                  <c:v>80.06</c:v>
                </c:pt>
                <c:pt idx="497">
                  <c:v>79.989999999999995</c:v>
                </c:pt>
                <c:pt idx="498">
                  <c:v>80.09</c:v>
                </c:pt>
                <c:pt idx="499">
                  <c:v>80.010000000000005</c:v>
                </c:pt>
                <c:pt idx="500">
                  <c:v>79.989999999999995</c:v>
                </c:pt>
                <c:pt idx="501">
                  <c:v>80.11</c:v>
                </c:pt>
                <c:pt idx="502">
                  <c:v>80.03</c:v>
                </c:pt>
                <c:pt idx="503">
                  <c:v>80.09</c:v>
                </c:pt>
                <c:pt idx="504">
                  <c:v>80.069999999999993</c:v>
                </c:pt>
                <c:pt idx="505">
                  <c:v>80</c:v>
                </c:pt>
                <c:pt idx="506">
                  <c:v>80.16</c:v>
                </c:pt>
                <c:pt idx="507">
                  <c:v>80.069999999999993</c:v>
                </c:pt>
                <c:pt idx="508">
                  <c:v>80.06</c:v>
                </c:pt>
                <c:pt idx="509">
                  <c:v>80.11</c:v>
                </c:pt>
                <c:pt idx="510">
                  <c:v>80.06</c:v>
                </c:pt>
                <c:pt idx="511">
                  <c:v>80.040000000000006</c:v>
                </c:pt>
                <c:pt idx="512">
                  <c:v>80.010000000000005</c:v>
                </c:pt>
                <c:pt idx="513">
                  <c:v>80.11</c:v>
                </c:pt>
                <c:pt idx="514">
                  <c:v>80.099999999999994</c:v>
                </c:pt>
                <c:pt idx="515">
                  <c:v>80.069999999999993</c:v>
                </c:pt>
                <c:pt idx="516">
                  <c:v>80.12</c:v>
                </c:pt>
                <c:pt idx="517">
                  <c:v>80.150000000000006</c:v>
                </c:pt>
                <c:pt idx="518">
                  <c:v>80.28</c:v>
                </c:pt>
                <c:pt idx="519">
                  <c:v>80.349999999999994</c:v>
                </c:pt>
                <c:pt idx="520">
                  <c:v>80.45</c:v>
                </c:pt>
                <c:pt idx="521">
                  <c:v>80.52</c:v>
                </c:pt>
                <c:pt idx="522">
                  <c:v>80.62</c:v>
                </c:pt>
                <c:pt idx="523">
                  <c:v>80.569999999999993</c:v>
                </c:pt>
                <c:pt idx="524">
                  <c:v>80.569999999999993</c:v>
                </c:pt>
                <c:pt idx="525">
                  <c:v>80.569999999999993</c:v>
                </c:pt>
                <c:pt idx="526">
                  <c:v>80.59</c:v>
                </c:pt>
                <c:pt idx="527">
                  <c:v>80.569999999999993</c:v>
                </c:pt>
                <c:pt idx="528">
                  <c:v>80.48</c:v>
                </c:pt>
                <c:pt idx="529">
                  <c:v>80.569999999999993</c:v>
                </c:pt>
                <c:pt idx="530">
                  <c:v>80.459999999999994</c:v>
                </c:pt>
                <c:pt idx="531">
                  <c:v>80.48</c:v>
                </c:pt>
                <c:pt idx="532">
                  <c:v>80.5</c:v>
                </c:pt>
                <c:pt idx="533">
                  <c:v>80.44</c:v>
                </c:pt>
                <c:pt idx="534">
                  <c:v>80.39</c:v>
                </c:pt>
                <c:pt idx="535">
                  <c:v>80.45</c:v>
                </c:pt>
                <c:pt idx="536">
                  <c:v>80.41</c:v>
                </c:pt>
                <c:pt idx="537">
                  <c:v>80.400000000000006</c:v>
                </c:pt>
                <c:pt idx="538">
                  <c:v>80.400000000000006</c:v>
                </c:pt>
                <c:pt idx="539">
                  <c:v>80.349999999999994</c:v>
                </c:pt>
                <c:pt idx="540">
                  <c:v>80.37</c:v>
                </c:pt>
                <c:pt idx="541">
                  <c:v>80.33</c:v>
                </c:pt>
                <c:pt idx="542">
                  <c:v>80.36</c:v>
                </c:pt>
                <c:pt idx="543">
                  <c:v>80.319999999999993</c:v>
                </c:pt>
                <c:pt idx="544">
                  <c:v>80.34</c:v>
                </c:pt>
                <c:pt idx="545">
                  <c:v>80.3</c:v>
                </c:pt>
                <c:pt idx="546">
                  <c:v>80.3</c:v>
                </c:pt>
                <c:pt idx="547">
                  <c:v>80.290000000000006</c:v>
                </c:pt>
                <c:pt idx="548">
                  <c:v>80.28</c:v>
                </c:pt>
                <c:pt idx="549">
                  <c:v>80.23</c:v>
                </c:pt>
                <c:pt idx="550">
                  <c:v>80.27</c:v>
                </c:pt>
                <c:pt idx="551">
                  <c:v>80.239999999999995</c:v>
                </c:pt>
                <c:pt idx="552">
                  <c:v>80.16</c:v>
                </c:pt>
                <c:pt idx="553">
                  <c:v>80.209999999999994</c:v>
                </c:pt>
                <c:pt idx="554">
                  <c:v>80.150000000000006</c:v>
                </c:pt>
                <c:pt idx="555">
                  <c:v>80.180000000000007</c:v>
                </c:pt>
                <c:pt idx="556">
                  <c:v>80.14</c:v>
                </c:pt>
                <c:pt idx="557">
                  <c:v>80.19</c:v>
                </c:pt>
                <c:pt idx="558">
                  <c:v>80.16</c:v>
                </c:pt>
                <c:pt idx="559">
                  <c:v>80.16</c:v>
                </c:pt>
                <c:pt idx="560">
                  <c:v>80.16</c:v>
                </c:pt>
                <c:pt idx="561">
                  <c:v>80.14</c:v>
                </c:pt>
                <c:pt idx="562">
                  <c:v>80.16</c:v>
                </c:pt>
                <c:pt idx="563">
                  <c:v>80.17</c:v>
                </c:pt>
                <c:pt idx="564">
                  <c:v>80.12</c:v>
                </c:pt>
                <c:pt idx="565">
                  <c:v>80.150000000000006</c:v>
                </c:pt>
                <c:pt idx="566">
                  <c:v>80.13</c:v>
                </c:pt>
                <c:pt idx="567">
                  <c:v>80.11</c:v>
                </c:pt>
                <c:pt idx="568">
                  <c:v>80.16</c:v>
                </c:pt>
                <c:pt idx="569">
                  <c:v>80.069999999999993</c:v>
                </c:pt>
                <c:pt idx="570">
                  <c:v>80.11</c:v>
                </c:pt>
                <c:pt idx="571">
                  <c:v>80.040000000000006</c:v>
                </c:pt>
                <c:pt idx="572">
                  <c:v>80.09</c:v>
                </c:pt>
                <c:pt idx="573">
                  <c:v>80.06</c:v>
                </c:pt>
                <c:pt idx="574">
                  <c:v>80.040000000000006</c:v>
                </c:pt>
                <c:pt idx="575">
                  <c:v>80.09</c:v>
                </c:pt>
                <c:pt idx="576">
                  <c:v>80.099999999999994</c:v>
                </c:pt>
                <c:pt idx="577">
                  <c:v>80.06</c:v>
                </c:pt>
                <c:pt idx="578">
                  <c:v>80.12</c:v>
                </c:pt>
                <c:pt idx="579">
                  <c:v>80.06</c:v>
                </c:pt>
                <c:pt idx="580">
                  <c:v>80.13</c:v>
                </c:pt>
                <c:pt idx="581">
                  <c:v>80.03</c:v>
                </c:pt>
                <c:pt idx="582">
                  <c:v>80.040000000000006</c:v>
                </c:pt>
                <c:pt idx="583">
                  <c:v>80.03</c:v>
                </c:pt>
                <c:pt idx="584">
                  <c:v>80.069999999999993</c:v>
                </c:pt>
                <c:pt idx="585">
                  <c:v>80.03</c:v>
                </c:pt>
                <c:pt idx="586">
                  <c:v>80.03</c:v>
                </c:pt>
                <c:pt idx="587">
                  <c:v>80</c:v>
                </c:pt>
                <c:pt idx="588">
                  <c:v>80.02</c:v>
                </c:pt>
                <c:pt idx="589">
                  <c:v>80.02</c:v>
                </c:pt>
                <c:pt idx="590">
                  <c:v>80.010000000000005</c:v>
                </c:pt>
                <c:pt idx="591">
                  <c:v>80.010000000000005</c:v>
                </c:pt>
                <c:pt idx="592">
                  <c:v>79.98</c:v>
                </c:pt>
                <c:pt idx="593">
                  <c:v>79.97</c:v>
                </c:pt>
                <c:pt idx="594">
                  <c:v>79.959999999999994</c:v>
                </c:pt>
                <c:pt idx="595">
                  <c:v>79.86</c:v>
                </c:pt>
                <c:pt idx="596">
                  <c:v>79.959999999999994</c:v>
                </c:pt>
                <c:pt idx="597">
                  <c:v>79.89</c:v>
                </c:pt>
                <c:pt idx="598">
                  <c:v>79.959999999999994</c:v>
                </c:pt>
                <c:pt idx="599">
                  <c:v>79.95</c:v>
                </c:pt>
                <c:pt idx="600">
                  <c:v>79.95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26-417E-BA40-B9C6EA52BA47}"/>
            </c:ext>
          </c:extLst>
        </c:ser>
        <c:ser>
          <c:idx val="1"/>
          <c:order val="1"/>
          <c:tx>
            <c:strRef>
              <c:f>'80'!$S$1</c:f>
              <c:strCache>
                <c:ptCount val="1"/>
                <c:pt idx="0">
                  <c:v>ta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'80'!$Q$2:$Q$602</c:f>
              <c:numCache>
                <c:formatCode>General</c:formatCode>
                <c:ptCount val="601"/>
                <c:pt idx="0">
                  <c:v>0.1</c:v>
                </c:pt>
                <c:pt idx="1">
                  <c:v>0.2</c:v>
                </c:pt>
                <c:pt idx="2">
                  <c:v>0.3</c:v>
                </c:pt>
                <c:pt idx="3">
                  <c:v>0.4</c:v>
                </c:pt>
                <c:pt idx="4">
                  <c:v>0.5</c:v>
                </c:pt>
                <c:pt idx="5">
                  <c:v>0.6</c:v>
                </c:pt>
                <c:pt idx="6">
                  <c:v>0.7</c:v>
                </c:pt>
                <c:pt idx="7">
                  <c:v>0.8</c:v>
                </c:pt>
                <c:pt idx="8">
                  <c:v>0.9</c:v>
                </c:pt>
                <c:pt idx="9">
                  <c:v>1</c:v>
                </c:pt>
                <c:pt idx="10">
                  <c:v>1.1000000000000001</c:v>
                </c:pt>
                <c:pt idx="11">
                  <c:v>1.2</c:v>
                </c:pt>
                <c:pt idx="12">
                  <c:v>1.3</c:v>
                </c:pt>
                <c:pt idx="13">
                  <c:v>1.4</c:v>
                </c:pt>
                <c:pt idx="14">
                  <c:v>1.5</c:v>
                </c:pt>
                <c:pt idx="15">
                  <c:v>1.6</c:v>
                </c:pt>
                <c:pt idx="16">
                  <c:v>1.7</c:v>
                </c:pt>
                <c:pt idx="17">
                  <c:v>1.8</c:v>
                </c:pt>
                <c:pt idx="18">
                  <c:v>1.9</c:v>
                </c:pt>
                <c:pt idx="19">
                  <c:v>2</c:v>
                </c:pt>
                <c:pt idx="20">
                  <c:v>2.1</c:v>
                </c:pt>
                <c:pt idx="21">
                  <c:v>2.2000000000000002</c:v>
                </c:pt>
                <c:pt idx="22">
                  <c:v>2.2999999999999998</c:v>
                </c:pt>
                <c:pt idx="23">
                  <c:v>2.4</c:v>
                </c:pt>
                <c:pt idx="24">
                  <c:v>2.5</c:v>
                </c:pt>
                <c:pt idx="25">
                  <c:v>2.6</c:v>
                </c:pt>
                <c:pt idx="26">
                  <c:v>2.7</c:v>
                </c:pt>
                <c:pt idx="27">
                  <c:v>2.8</c:v>
                </c:pt>
                <c:pt idx="28">
                  <c:v>2.9</c:v>
                </c:pt>
                <c:pt idx="29">
                  <c:v>3</c:v>
                </c:pt>
                <c:pt idx="30">
                  <c:v>3.1</c:v>
                </c:pt>
                <c:pt idx="31">
                  <c:v>3.2</c:v>
                </c:pt>
                <c:pt idx="32">
                  <c:v>3.3</c:v>
                </c:pt>
                <c:pt idx="33">
                  <c:v>3.4</c:v>
                </c:pt>
                <c:pt idx="34">
                  <c:v>3.5</c:v>
                </c:pt>
                <c:pt idx="35">
                  <c:v>3.6</c:v>
                </c:pt>
                <c:pt idx="36">
                  <c:v>3.7</c:v>
                </c:pt>
                <c:pt idx="37">
                  <c:v>3.8</c:v>
                </c:pt>
                <c:pt idx="38">
                  <c:v>3.9</c:v>
                </c:pt>
                <c:pt idx="39">
                  <c:v>4</c:v>
                </c:pt>
                <c:pt idx="40">
                  <c:v>4.0999999999999996</c:v>
                </c:pt>
                <c:pt idx="41">
                  <c:v>4.2</c:v>
                </c:pt>
                <c:pt idx="42">
                  <c:v>4.3</c:v>
                </c:pt>
                <c:pt idx="43">
                  <c:v>4.4000000000000004</c:v>
                </c:pt>
                <c:pt idx="44">
                  <c:v>4.5</c:v>
                </c:pt>
                <c:pt idx="45">
                  <c:v>4.5999999999999996</c:v>
                </c:pt>
                <c:pt idx="46">
                  <c:v>4.7</c:v>
                </c:pt>
                <c:pt idx="47">
                  <c:v>4.8</c:v>
                </c:pt>
                <c:pt idx="48">
                  <c:v>4.9000000000000004</c:v>
                </c:pt>
                <c:pt idx="49">
                  <c:v>5</c:v>
                </c:pt>
                <c:pt idx="50">
                  <c:v>5.0999999999999996</c:v>
                </c:pt>
                <c:pt idx="51">
                  <c:v>5.2</c:v>
                </c:pt>
                <c:pt idx="52">
                  <c:v>5.3</c:v>
                </c:pt>
                <c:pt idx="53">
                  <c:v>5.4</c:v>
                </c:pt>
                <c:pt idx="54">
                  <c:v>5.5</c:v>
                </c:pt>
                <c:pt idx="55">
                  <c:v>5.6</c:v>
                </c:pt>
                <c:pt idx="56">
                  <c:v>5.7</c:v>
                </c:pt>
                <c:pt idx="57">
                  <c:v>5.8</c:v>
                </c:pt>
                <c:pt idx="58">
                  <c:v>5.9</c:v>
                </c:pt>
                <c:pt idx="59">
                  <c:v>6</c:v>
                </c:pt>
                <c:pt idx="60">
                  <c:v>6.1</c:v>
                </c:pt>
                <c:pt idx="61">
                  <c:v>6.2</c:v>
                </c:pt>
                <c:pt idx="62">
                  <c:v>6.3</c:v>
                </c:pt>
                <c:pt idx="63">
                  <c:v>6.4</c:v>
                </c:pt>
                <c:pt idx="64">
                  <c:v>6.5</c:v>
                </c:pt>
                <c:pt idx="65">
                  <c:v>6.6</c:v>
                </c:pt>
                <c:pt idx="66">
                  <c:v>6.7</c:v>
                </c:pt>
                <c:pt idx="67">
                  <c:v>6.8</c:v>
                </c:pt>
                <c:pt idx="68">
                  <c:v>6.9</c:v>
                </c:pt>
                <c:pt idx="69">
                  <c:v>7</c:v>
                </c:pt>
                <c:pt idx="70">
                  <c:v>7.1</c:v>
                </c:pt>
                <c:pt idx="71">
                  <c:v>7.2</c:v>
                </c:pt>
                <c:pt idx="72">
                  <c:v>7.3</c:v>
                </c:pt>
                <c:pt idx="73">
                  <c:v>7.4</c:v>
                </c:pt>
                <c:pt idx="74">
                  <c:v>7.5</c:v>
                </c:pt>
                <c:pt idx="75">
                  <c:v>7.6</c:v>
                </c:pt>
                <c:pt idx="76">
                  <c:v>7.7</c:v>
                </c:pt>
                <c:pt idx="77">
                  <c:v>7.8</c:v>
                </c:pt>
                <c:pt idx="78">
                  <c:v>7.9</c:v>
                </c:pt>
                <c:pt idx="79">
                  <c:v>8</c:v>
                </c:pt>
                <c:pt idx="80">
                  <c:v>8.1</c:v>
                </c:pt>
                <c:pt idx="81">
                  <c:v>8.1999999999999993</c:v>
                </c:pt>
                <c:pt idx="82">
                  <c:v>8.3000000000000007</c:v>
                </c:pt>
                <c:pt idx="83">
                  <c:v>8.4</c:v>
                </c:pt>
                <c:pt idx="84">
                  <c:v>8.5</c:v>
                </c:pt>
                <c:pt idx="85">
                  <c:v>8.6</c:v>
                </c:pt>
                <c:pt idx="86">
                  <c:v>8.6999999999999993</c:v>
                </c:pt>
                <c:pt idx="87">
                  <c:v>8.8000000000000007</c:v>
                </c:pt>
                <c:pt idx="88">
                  <c:v>8.9</c:v>
                </c:pt>
                <c:pt idx="89">
                  <c:v>9</c:v>
                </c:pt>
                <c:pt idx="90">
                  <c:v>9.1</c:v>
                </c:pt>
                <c:pt idx="91">
                  <c:v>9.1999999999999993</c:v>
                </c:pt>
                <c:pt idx="92">
                  <c:v>9.3000000000000007</c:v>
                </c:pt>
                <c:pt idx="93">
                  <c:v>9.4</c:v>
                </c:pt>
                <c:pt idx="94">
                  <c:v>9.5</c:v>
                </c:pt>
                <c:pt idx="95">
                  <c:v>9.6</c:v>
                </c:pt>
                <c:pt idx="96">
                  <c:v>9.6999999999999993</c:v>
                </c:pt>
                <c:pt idx="97">
                  <c:v>9.8000000000000007</c:v>
                </c:pt>
                <c:pt idx="98">
                  <c:v>10</c:v>
                </c:pt>
                <c:pt idx="99">
                  <c:v>10.1</c:v>
                </c:pt>
                <c:pt idx="100">
                  <c:v>10.199999999999999</c:v>
                </c:pt>
                <c:pt idx="101">
                  <c:v>10.3</c:v>
                </c:pt>
                <c:pt idx="102">
                  <c:v>10.4</c:v>
                </c:pt>
                <c:pt idx="103">
                  <c:v>10.5</c:v>
                </c:pt>
                <c:pt idx="104">
                  <c:v>10.6</c:v>
                </c:pt>
                <c:pt idx="105">
                  <c:v>10.7</c:v>
                </c:pt>
                <c:pt idx="106">
                  <c:v>10.8</c:v>
                </c:pt>
                <c:pt idx="107">
                  <c:v>10.9</c:v>
                </c:pt>
                <c:pt idx="108">
                  <c:v>11</c:v>
                </c:pt>
                <c:pt idx="109">
                  <c:v>11.1</c:v>
                </c:pt>
                <c:pt idx="110">
                  <c:v>11.2</c:v>
                </c:pt>
                <c:pt idx="111">
                  <c:v>11.3</c:v>
                </c:pt>
                <c:pt idx="112">
                  <c:v>11.4</c:v>
                </c:pt>
                <c:pt idx="113">
                  <c:v>11.5</c:v>
                </c:pt>
                <c:pt idx="114">
                  <c:v>11.6</c:v>
                </c:pt>
                <c:pt idx="115">
                  <c:v>11.7</c:v>
                </c:pt>
                <c:pt idx="116">
                  <c:v>11.8</c:v>
                </c:pt>
                <c:pt idx="117">
                  <c:v>11.9</c:v>
                </c:pt>
                <c:pt idx="118">
                  <c:v>12</c:v>
                </c:pt>
                <c:pt idx="119">
                  <c:v>12.1</c:v>
                </c:pt>
                <c:pt idx="120">
                  <c:v>12.2</c:v>
                </c:pt>
                <c:pt idx="121">
                  <c:v>12.3</c:v>
                </c:pt>
                <c:pt idx="122">
                  <c:v>12.4</c:v>
                </c:pt>
                <c:pt idx="123">
                  <c:v>12.5</c:v>
                </c:pt>
                <c:pt idx="124">
                  <c:v>12.6</c:v>
                </c:pt>
                <c:pt idx="125">
                  <c:v>12.7</c:v>
                </c:pt>
                <c:pt idx="126">
                  <c:v>12.8</c:v>
                </c:pt>
                <c:pt idx="127">
                  <c:v>12.9</c:v>
                </c:pt>
                <c:pt idx="128">
                  <c:v>13</c:v>
                </c:pt>
                <c:pt idx="129">
                  <c:v>13.1</c:v>
                </c:pt>
                <c:pt idx="130">
                  <c:v>13.2</c:v>
                </c:pt>
                <c:pt idx="131">
                  <c:v>13.3</c:v>
                </c:pt>
                <c:pt idx="132">
                  <c:v>13.4</c:v>
                </c:pt>
                <c:pt idx="133">
                  <c:v>13.5</c:v>
                </c:pt>
                <c:pt idx="134">
                  <c:v>13.6</c:v>
                </c:pt>
                <c:pt idx="135">
                  <c:v>13.7</c:v>
                </c:pt>
                <c:pt idx="136">
                  <c:v>13.8</c:v>
                </c:pt>
                <c:pt idx="137">
                  <c:v>13.9</c:v>
                </c:pt>
                <c:pt idx="138">
                  <c:v>14</c:v>
                </c:pt>
                <c:pt idx="139">
                  <c:v>14.1</c:v>
                </c:pt>
                <c:pt idx="140">
                  <c:v>14.2</c:v>
                </c:pt>
                <c:pt idx="141">
                  <c:v>14.3</c:v>
                </c:pt>
                <c:pt idx="142">
                  <c:v>14.4</c:v>
                </c:pt>
                <c:pt idx="143">
                  <c:v>14.5</c:v>
                </c:pt>
                <c:pt idx="144">
                  <c:v>14.6</c:v>
                </c:pt>
                <c:pt idx="145">
                  <c:v>14.7</c:v>
                </c:pt>
                <c:pt idx="146">
                  <c:v>14.8</c:v>
                </c:pt>
                <c:pt idx="147">
                  <c:v>14.9</c:v>
                </c:pt>
                <c:pt idx="148">
                  <c:v>15</c:v>
                </c:pt>
                <c:pt idx="149">
                  <c:v>15.1</c:v>
                </c:pt>
                <c:pt idx="150">
                  <c:v>15.2</c:v>
                </c:pt>
                <c:pt idx="151">
                  <c:v>15.3</c:v>
                </c:pt>
                <c:pt idx="152">
                  <c:v>15.4</c:v>
                </c:pt>
                <c:pt idx="153">
                  <c:v>15.5</c:v>
                </c:pt>
                <c:pt idx="154">
                  <c:v>15.6</c:v>
                </c:pt>
                <c:pt idx="155">
                  <c:v>15.7</c:v>
                </c:pt>
                <c:pt idx="156">
                  <c:v>15.8</c:v>
                </c:pt>
                <c:pt idx="157">
                  <c:v>15.9</c:v>
                </c:pt>
                <c:pt idx="158">
                  <c:v>16</c:v>
                </c:pt>
                <c:pt idx="159">
                  <c:v>16.100000000000001</c:v>
                </c:pt>
                <c:pt idx="160">
                  <c:v>16.2</c:v>
                </c:pt>
                <c:pt idx="161">
                  <c:v>16.3</c:v>
                </c:pt>
                <c:pt idx="162">
                  <c:v>16.399999999999999</c:v>
                </c:pt>
                <c:pt idx="163">
                  <c:v>16.5</c:v>
                </c:pt>
                <c:pt idx="164">
                  <c:v>16.600000000000001</c:v>
                </c:pt>
                <c:pt idx="165">
                  <c:v>16.7</c:v>
                </c:pt>
                <c:pt idx="166">
                  <c:v>16.8</c:v>
                </c:pt>
                <c:pt idx="167">
                  <c:v>16.899999999999999</c:v>
                </c:pt>
                <c:pt idx="168">
                  <c:v>17</c:v>
                </c:pt>
                <c:pt idx="169">
                  <c:v>17.100000000000001</c:v>
                </c:pt>
                <c:pt idx="170">
                  <c:v>17.2</c:v>
                </c:pt>
                <c:pt idx="171">
                  <c:v>17.3</c:v>
                </c:pt>
                <c:pt idx="172">
                  <c:v>17.399999999999999</c:v>
                </c:pt>
                <c:pt idx="173">
                  <c:v>17.5</c:v>
                </c:pt>
                <c:pt idx="174">
                  <c:v>17.600000000000001</c:v>
                </c:pt>
                <c:pt idx="175">
                  <c:v>17.7</c:v>
                </c:pt>
                <c:pt idx="176">
                  <c:v>17.8</c:v>
                </c:pt>
                <c:pt idx="177">
                  <c:v>17.899999999999999</c:v>
                </c:pt>
                <c:pt idx="178">
                  <c:v>18</c:v>
                </c:pt>
                <c:pt idx="179">
                  <c:v>18.100000000000001</c:v>
                </c:pt>
                <c:pt idx="180">
                  <c:v>18.2</c:v>
                </c:pt>
                <c:pt idx="181">
                  <c:v>18.3</c:v>
                </c:pt>
                <c:pt idx="182">
                  <c:v>18.399999999999999</c:v>
                </c:pt>
                <c:pt idx="183">
                  <c:v>18.5</c:v>
                </c:pt>
                <c:pt idx="184">
                  <c:v>18.600000000000001</c:v>
                </c:pt>
                <c:pt idx="185">
                  <c:v>18.7</c:v>
                </c:pt>
                <c:pt idx="186">
                  <c:v>18.8</c:v>
                </c:pt>
                <c:pt idx="187">
                  <c:v>18.899999999999999</c:v>
                </c:pt>
                <c:pt idx="188">
                  <c:v>19</c:v>
                </c:pt>
                <c:pt idx="189">
                  <c:v>19.100000000000001</c:v>
                </c:pt>
                <c:pt idx="190">
                  <c:v>19.2</c:v>
                </c:pt>
                <c:pt idx="191">
                  <c:v>19.3</c:v>
                </c:pt>
                <c:pt idx="192">
                  <c:v>19.399999999999999</c:v>
                </c:pt>
                <c:pt idx="193">
                  <c:v>19.5</c:v>
                </c:pt>
                <c:pt idx="194">
                  <c:v>19.600000000000001</c:v>
                </c:pt>
                <c:pt idx="195">
                  <c:v>19.7</c:v>
                </c:pt>
                <c:pt idx="196">
                  <c:v>19.8</c:v>
                </c:pt>
                <c:pt idx="197">
                  <c:v>19.899999999999999</c:v>
                </c:pt>
                <c:pt idx="198">
                  <c:v>20</c:v>
                </c:pt>
                <c:pt idx="199">
                  <c:v>20.100000000000001</c:v>
                </c:pt>
                <c:pt idx="200">
                  <c:v>20.2</c:v>
                </c:pt>
                <c:pt idx="201">
                  <c:v>20.3</c:v>
                </c:pt>
                <c:pt idx="202">
                  <c:v>20.399999999999999</c:v>
                </c:pt>
                <c:pt idx="203">
                  <c:v>20.5</c:v>
                </c:pt>
                <c:pt idx="204">
                  <c:v>20.6</c:v>
                </c:pt>
                <c:pt idx="205">
                  <c:v>20.7</c:v>
                </c:pt>
                <c:pt idx="206">
                  <c:v>20.8</c:v>
                </c:pt>
                <c:pt idx="207">
                  <c:v>20.9</c:v>
                </c:pt>
                <c:pt idx="208">
                  <c:v>21</c:v>
                </c:pt>
                <c:pt idx="209">
                  <c:v>21.1</c:v>
                </c:pt>
                <c:pt idx="210">
                  <c:v>21.2</c:v>
                </c:pt>
                <c:pt idx="211">
                  <c:v>21.3</c:v>
                </c:pt>
                <c:pt idx="212">
                  <c:v>21.4</c:v>
                </c:pt>
                <c:pt idx="213">
                  <c:v>21.5</c:v>
                </c:pt>
                <c:pt idx="214">
                  <c:v>21.6</c:v>
                </c:pt>
                <c:pt idx="215">
                  <c:v>21.7</c:v>
                </c:pt>
                <c:pt idx="216">
                  <c:v>21.8</c:v>
                </c:pt>
                <c:pt idx="217">
                  <c:v>21.9</c:v>
                </c:pt>
                <c:pt idx="218">
                  <c:v>22</c:v>
                </c:pt>
                <c:pt idx="219">
                  <c:v>22.1</c:v>
                </c:pt>
                <c:pt idx="220">
                  <c:v>22.2</c:v>
                </c:pt>
                <c:pt idx="221">
                  <c:v>22.3</c:v>
                </c:pt>
                <c:pt idx="222">
                  <c:v>22.4</c:v>
                </c:pt>
                <c:pt idx="223">
                  <c:v>22.5</c:v>
                </c:pt>
                <c:pt idx="224">
                  <c:v>22.6</c:v>
                </c:pt>
                <c:pt idx="225">
                  <c:v>22.7</c:v>
                </c:pt>
                <c:pt idx="226">
                  <c:v>22.8</c:v>
                </c:pt>
                <c:pt idx="227">
                  <c:v>22.9</c:v>
                </c:pt>
                <c:pt idx="228">
                  <c:v>23</c:v>
                </c:pt>
                <c:pt idx="229">
                  <c:v>23.1</c:v>
                </c:pt>
                <c:pt idx="230">
                  <c:v>23.2</c:v>
                </c:pt>
                <c:pt idx="231">
                  <c:v>23.3</c:v>
                </c:pt>
                <c:pt idx="232">
                  <c:v>23.4</c:v>
                </c:pt>
                <c:pt idx="233">
                  <c:v>23.5</c:v>
                </c:pt>
                <c:pt idx="234">
                  <c:v>23.6</c:v>
                </c:pt>
                <c:pt idx="235">
                  <c:v>23.7</c:v>
                </c:pt>
                <c:pt idx="236">
                  <c:v>23.8</c:v>
                </c:pt>
                <c:pt idx="237">
                  <c:v>23.9</c:v>
                </c:pt>
                <c:pt idx="238">
                  <c:v>24</c:v>
                </c:pt>
                <c:pt idx="239">
                  <c:v>24.1</c:v>
                </c:pt>
                <c:pt idx="240">
                  <c:v>24.2</c:v>
                </c:pt>
                <c:pt idx="241">
                  <c:v>24.3</c:v>
                </c:pt>
                <c:pt idx="242">
                  <c:v>24.4</c:v>
                </c:pt>
                <c:pt idx="243">
                  <c:v>24.5</c:v>
                </c:pt>
                <c:pt idx="244">
                  <c:v>24.6</c:v>
                </c:pt>
                <c:pt idx="245">
                  <c:v>24.7</c:v>
                </c:pt>
                <c:pt idx="246">
                  <c:v>24.8</c:v>
                </c:pt>
                <c:pt idx="247">
                  <c:v>24.9</c:v>
                </c:pt>
                <c:pt idx="248">
                  <c:v>25</c:v>
                </c:pt>
                <c:pt idx="249">
                  <c:v>25.1</c:v>
                </c:pt>
                <c:pt idx="250">
                  <c:v>25.2</c:v>
                </c:pt>
                <c:pt idx="251">
                  <c:v>25.3</c:v>
                </c:pt>
                <c:pt idx="252">
                  <c:v>25.4</c:v>
                </c:pt>
                <c:pt idx="253">
                  <c:v>25.5</c:v>
                </c:pt>
                <c:pt idx="254">
                  <c:v>25.6</c:v>
                </c:pt>
                <c:pt idx="255">
                  <c:v>25.7</c:v>
                </c:pt>
                <c:pt idx="256">
                  <c:v>25.8</c:v>
                </c:pt>
                <c:pt idx="257">
                  <c:v>25.9</c:v>
                </c:pt>
                <c:pt idx="258">
                  <c:v>26</c:v>
                </c:pt>
                <c:pt idx="259">
                  <c:v>26.1</c:v>
                </c:pt>
                <c:pt idx="260">
                  <c:v>26.2</c:v>
                </c:pt>
                <c:pt idx="261">
                  <c:v>26.3</c:v>
                </c:pt>
                <c:pt idx="262">
                  <c:v>26.4</c:v>
                </c:pt>
                <c:pt idx="263">
                  <c:v>26.5</c:v>
                </c:pt>
                <c:pt idx="264">
                  <c:v>26.6</c:v>
                </c:pt>
                <c:pt idx="265">
                  <c:v>26.7</c:v>
                </c:pt>
                <c:pt idx="266">
                  <c:v>26.8</c:v>
                </c:pt>
                <c:pt idx="267">
                  <c:v>26.9</c:v>
                </c:pt>
                <c:pt idx="268">
                  <c:v>27</c:v>
                </c:pt>
                <c:pt idx="269">
                  <c:v>27.1</c:v>
                </c:pt>
                <c:pt idx="270">
                  <c:v>27.2</c:v>
                </c:pt>
                <c:pt idx="271">
                  <c:v>27.3</c:v>
                </c:pt>
                <c:pt idx="272">
                  <c:v>27.4</c:v>
                </c:pt>
                <c:pt idx="273">
                  <c:v>27.5</c:v>
                </c:pt>
                <c:pt idx="274">
                  <c:v>27.6</c:v>
                </c:pt>
                <c:pt idx="275">
                  <c:v>27.7</c:v>
                </c:pt>
                <c:pt idx="276">
                  <c:v>27.8</c:v>
                </c:pt>
                <c:pt idx="277">
                  <c:v>27.9</c:v>
                </c:pt>
                <c:pt idx="278">
                  <c:v>28</c:v>
                </c:pt>
                <c:pt idx="279">
                  <c:v>28.1</c:v>
                </c:pt>
                <c:pt idx="280">
                  <c:v>28.2</c:v>
                </c:pt>
                <c:pt idx="281">
                  <c:v>28.3</c:v>
                </c:pt>
                <c:pt idx="282">
                  <c:v>28.4</c:v>
                </c:pt>
                <c:pt idx="283">
                  <c:v>28.5</c:v>
                </c:pt>
                <c:pt idx="284">
                  <c:v>28.6</c:v>
                </c:pt>
                <c:pt idx="285">
                  <c:v>28.7</c:v>
                </c:pt>
                <c:pt idx="286">
                  <c:v>28.8</c:v>
                </c:pt>
                <c:pt idx="287">
                  <c:v>28.9</c:v>
                </c:pt>
                <c:pt idx="288">
                  <c:v>29</c:v>
                </c:pt>
                <c:pt idx="289">
                  <c:v>29.1</c:v>
                </c:pt>
                <c:pt idx="290">
                  <c:v>29.2</c:v>
                </c:pt>
                <c:pt idx="291">
                  <c:v>29.3</c:v>
                </c:pt>
                <c:pt idx="292">
                  <c:v>29.4</c:v>
                </c:pt>
                <c:pt idx="293">
                  <c:v>29.5</c:v>
                </c:pt>
                <c:pt idx="294">
                  <c:v>29.6</c:v>
                </c:pt>
                <c:pt idx="295">
                  <c:v>29.7</c:v>
                </c:pt>
                <c:pt idx="296">
                  <c:v>29.8</c:v>
                </c:pt>
                <c:pt idx="297">
                  <c:v>29.9</c:v>
                </c:pt>
                <c:pt idx="298">
                  <c:v>30</c:v>
                </c:pt>
                <c:pt idx="299">
                  <c:v>30.1</c:v>
                </c:pt>
                <c:pt idx="300">
                  <c:v>30.2</c:v>
                </c:pt>
                <c:pt idx="301">
                  <c:v>30.3</c:v>
                </c:pt>
                <c:pt idx="302">
                  <c:v>30.4</c:v>
                </c:pt>
                <c:pt idx="303">
                  <c:v>30.5</c:v>
                </c:pt>
                <c:pt idx="304">
                  <c:v>30.6</c:v>
                </c:pt>
                <c:pt idx="305">
                  <c:v>30.7</c:v>
                </c:pt>
                <c:pt idx="306">
                  <c:v>30.8</c:v>
                </c:pt>
                <c:pt idx="307">
                  <c:v>30.9</c:v>
                </c:pt>
                <c:pt idx="308">
                  <c:v>31</c:v>
                </c:pt>
                <c:pt idx="309">
                  <c:v>31.1</c:v>
                </c:pt>
                <c:pt idx="310">
                  <c:v>31.2</c:v>
                </c:pt>
                <c:pt idx="311">
                  <c:v>31.3</c:v>
                </c:pt>
                <c:pt idx="312">
                  <c:v>31.4</c:v>
                </c:pt>
                <c:pt idx="313">
                  <c:v>31.5</c:v>
                </c:pt>
                <c:pt idx="314">
                  <c:v>31.6</c:v>
                </c:pt>
                <c:pt idx="315">
                  <c:v>31.7</c:v>
                </c:pt>
                <c:pt idx="316">
                  <c:v>31.8</c:v>
                </c:pt>
                <c:pt idx="317">
                  <c:v>31.9</c:v>
                </c:pt>
                <c:pt idx="318">
                  <c:v>32</c:v>
                </c:pt>
                <c:pt idx="319">
                  <c:v>32.1</c:v>
                </c:pt>
                <c:pt idx="320">
                  <c:v>32.200000000000003</c:v>
                </c:pt>
                <c:pt idx="321">
                  <c:v>32.299999999999997</c:v>
                </c:pt>
                <c:pt idx="322">
                  <c:v>32.4</c:v>
                </c:pt>
                <c:pt idx="323">
                  <c:v>32.5</c:v>
                </c:pt>
                <c:pt idx="324">
                  <c:v>32.6</c:v>
                </c:pt>
                <c:pt idx="325">
                  <c:v>32.700000000000003</c:v>
                </c:pt>
                <c:pt idx="326">
                  <c:v>32.799999999999997</c:v>
                </c:pt>
                <c:pt idx="327">
                  <c:v>32.9</c:v>
                </c:pt>
                <c:pt idx="328">
                  <c:v>33</c:v>
                </c:pt>
                <c:pt idx="329">
                  <c:v>33.1</c:v>
                </c:pt>
                <c:pt idx="330">
                  <c:v>33.200000000000003</c:v>
                </c:pt>
                <c:pt idx="331">
                  <c:v>33.299999999999997</c:v>
                </c:pt>
                <c:pt idx="332">
                  <c:v>33.4</c:v>
                </c:pt>
                <c:pt idx="333">
                  <c:v>33.5</c:v>
                </c:pt>
                <c:pt idx="334">
                  <c:v>33.6</c:v>
                </c:pt>
                <c:pt idx="335">
                  <c:v>33.700000000000003</c:v>
                </c:pt>
                <c:pt idx="336">
                  <c:v>33.799999999999997</c:v>
                </c:pt>
                <c:pt idx="337">
                  <c:v>33.9</c:v>
                </c:pt>
                <c:pt idx="338">
                  <c:v>34</c:v>
                </c:pt>
                <c:pt idx="339">
                  <c:v>34.1</c:v>
                </c:pt>
                <c:pt idx="340">
                  <c:v>34.200000000000003</c:v>
                </c:pt>
                <c:pt idx="341">
                  <c:v>34.299999999999997</c:v>
                </c:pt>
                <c:pt idx="342">
                  <c:v>34.4</c:v>
                </c:pt>
                <c:pt idx="343">
                  <c:v>34.5</c:v>
                </c:pt>
                <c:pt idx="344">
                  <c:v>34.6</c:v>
                </c:pt>
                <c:pt idx="345">
                  <c:v>34.700000000000003</c:v>
                </c:pt>
                <c:pt idx="346">
                  <c:v>34.799999999999997</c:v>
                </c:pt>
                <c:pt idx="347">
                  <c:v>34.9</c:v>
                </c:pt>
                <c:pt idx="348">
                  <c:v>35</c:v>
                </c:pt>
                <c:pt idx="349">
                  <c:v>35.1</c:v>
                </c:pt>
                <c:pt idx="350">
                  <c:v>35.200000000000003</c:v>
                </c:pt>
                <c:pt idx="351">
                  <c:v>35.299999999999997</c:v>
                </c:pt>
                <c:pt idx="352">
                  <c:v>35.4</c:v>
                </c:pt>
                <c:pt idx="353">
                  <c:v>35.5</c:v>
                </c:pt>
                <c:pt idx="354">
                  <c:v>35.6</c:v>
                </c:pt>
                <c:pt idx="355">
                  <c:v>35.700000000000003</c:v>
                </c:pt>
                <c:pt idx="356">
                  <c:v>35.799999999999997</c:v>
                </c:pt>
                <c:pt idx="357">
                  <c:v>35.9</c:v>
                </c:pt>
                <c:pt idx="358">
                  <c:v>36</c:v>
                </c:pt>
                <c:pt idx="359">
                  <c:v>36.1</c:v>
                </c:pt>
                <c:pt idx="360">
                  <c:v>36.200000000000003</c:v>
                </c:pt>
                <c:pt idx="361">
                  <c:v>36.299999999999997</c:v>
                </c:pt>
                <c:pt idx="362">
                  <c:v>36.4</c:v>
                </c:pt>
                <c:pt idx="363">
                  <c:v>36.5</c:v>
                </c:pt>
                <c:pt idx="364">
                  <c:v>36.6</c:v>
                </c:pt>
                <c:pt idx="365">
                  <c:v>36.700000000000003</c:v>
                </c:pt>
                <c:pt idx="366">
                  <c:v>36.799999999999997</c:v>
                </c:pt>
                <c:pt idx="367">
                  <c:v>36.9</c:v>
                </c:pt>
                <c:pt idx="368">
                  <c:v>37</c:v>
                </c:pt>
                <c:pt idx="369">
                  <c:v>37.1</c:v>
                </c:pt>
                <c:pt idx="370">
                  <c:v>37.200000000000003</c:v>
                </c:pt>
                <c:pt idx="371">
                  <c:v>37.299999999999997</c:v>
                </c:pt>
                <c:pt idx="372">
                  <c:v>37.4</c:v>
                </c:pt>
                <c:pt idx="373">
                  <c:v>37.5</c:v>
                </c:pt>
                <c:pt idx="374">
                  <c:v>37.6</c:v>
                </c:pt>
                <c:pt idx="375">
                  <c:v>37.700000000000003</c:v>
                </c:pt>
                <c:pt idx="376">
                  <c:v>37.799999999999997</c:v>
                </c:pt>
                <c:pt idx="377">
                  <c:v>37.9</c:v>
                </c:pt>
                <c:pt idx="378">
                  <c:v>38</c:v>
                </c:pt>
                <c:pt idx="379">
                  <c:v>38.1</c:v>
                </c:pt>
                <c:pt idx="380">
                  <c:v>38.200000000000003</c:v>
                </c:pt>
                <c:pt idx="381">
                  <c:v>38.299999999999997</c:v>
                </c:pt>
                <c:pt idx="382">
                  <c:v>38.4</c:v>
                </c:pt>
                <c:pt idx="383">
                  <c:v>38.5</c:v>
                </c:pt>
                <c:pt idx="384">
                  <c:v>38.6</c:v>
                </c:pt>
                <c:pt idx="385">
                  <c:v>38.700000000000003</c:v>
                </c:pt>
                <c:pt idx="386">
                  <c:v>38.799999999999997</c:v>
                </c:pt>
                <c:pt idx="387">
                  <c:v>38.9</c:v>
                </c:pt>
                <c:pt idx="388">
                  <c:v>39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39.299999999999997</c:v>
                </c:pt>
                <c:pt idx="392">
                  <c:v>39.4</c:v>
                </c:pt>
                <c:pt idx="393">
                  <c:v>39.5</c:v>
                </c:pt>
                <c:pt idx="394">
                  <c:v>39.6</c:v>
                </c:pt>
                <c:pt idx="395">
                  <c:v>39.700000000000003</c:v>
                </c:pt>
                <c:pt idx="396">
                  <c:v>39.799999999999997</c:v>
                </c:pt>
                <c:pt idx="397">
                  <c:v>39.9</c:v>
                </c:pt>
                <c:pt idx="398">
                  <c:v>40</c:v>
                </c:pt>
                <c:pt idx="399">
                  <c:v>40.1</c:v>
                </c:pt>
                <c:pt idx="400">
                  <c:v>40.200000000000003</c:v>
                </c:pt>
                <c:pt idx="401">
                  <c:v>40.299999999999997</c:v>
                </c:pt>
                <c:pt idx="402">
                  <c:v>40.4</c:v>
                </c:pt>
                <c:pt idx="403">
                  <c:v>40.5</c:v>
                </c:pt>
                <c:pt idx="404">
                  <c:v>40.6</c:v>
                </c:pt>
                <c:pt idx="405">
                  <c:v>40.700000000000003</c:v>
                </c:pt>
                <c:pt idx="406">
                  <c:v>40.799999999999997</c:v>
                </c:pt>
                <c:pt idx="407">
                  <c:v>40.9</c:v>
                </c:pt>
                <c:pt idx="408">
                  <c:v>41</c:v>
                </c:pt>
                <c:pt idx="409">
                  <c:v>41.1</c:v>
                </c:pt>
                <c:pt idx="410">
                  <c:v>41.2</c:v>
                </c:pt>
                <c:pt idx="411">
                  <c:v>41.3</c:v>
                </c:pt>
                <c:pt idx="412">
                  <c:v>41.4</c:v>
                </c:pt>
                <c:pt idx="413">
                  <c:v>41.5</c:v>
                </c:pt>
                <c:pt idx="414">
                  <c:v>41.6</c:v>
                </c:pt>
                <c:pt idx="415">
                  <c:v>41.7</c:v>
                </c:pt>
                <c:pt idx="416">
                  <c:v>41.8</c:v>
                </c:pt>
                <c:pt idx="417">
                  <c:v>41.9</c:v>
                </c:pt>
                <c:pt idx="418">
                  <c:v>42</c:v>
                </c:pt>
                <c:pt idx="419">
                  <c:v>42.1</c:v>
                </c:pt>
                <c:pt idx="420">
                  <c:v>42.2</c:v>
                </c:pt>
                <c:pt idx="421">
                  <c:v>42.3</c:v>
                </c:pt>
                <c:pt idx="422">
                  <c:v>42.4</c:v>
                </c:pt>
                <c:pt idx="423">
                  <c:v>42.5</c:v>
                </c:pt>
                <c:pt idx="424">
                  <c:v>42.6</c:v>
                </c:pt>
                <c:pt idx="425">
                  <c:v>42.7</c:v>
                </c:pt>
                <c:pt idx="426">
                  <c:v>42.8</c:v>
                </c:pt>
                <c:pt idx="427">
                  <c:v>42.9</c:v>
                </c:pt>
                <c:pt idx="428">
                  <c:v>43</c:v>
                </c:pt>
                <c:pt idx="429">
                  <c:v>43.1</c:v>
                </c:pt>
                <c:pt idx="430">
                  <c:v>43.2</c:v>
                </c:pt>
                <c:pt idx="431">
                  <c:v>43.3</c:v>
                </c:pt>
                <c:pt idx="432">
                  <c:v>43.4</c:v>
                </c:pt>
                <c:pt idx="433">
                  <c:v>43.5</c:v>
                </c:pt>
                <c:pt idx="434">
                  <c:v>43.6</c:v>
                </c:pt>
                <c:pt idx="435">
                  <c:v>43.7</c:v>
                </c:pt>
                <c:pt idx="436">
                  <c:v>43.8</c:v>
                </c:pt>
                <c:pt idx="437">
                  <c:v>43.9</c:v>
                </c:pt>
                <c:pt idx="438">
                  <c:v>44</c:v>
                </c:pt>
                <c:pt idx="439">
                  <c:v>44.1</c:v>
                </c:pt>
                <c:pt idx="440">
                  <c:v>44.2</c:v>
                </c:pt>
                <c:pt idx="441">
                  <c:v>44.3</c:v>
                </c:pt>
                <c:pt idx="442">
                  <c:v>44.4</c:v>
                </c:pt>
                <c:pt idx="443">
                  <c:v>44.5</c:v>
                </c:pt>
                <c:pt idx="444">
                  <c:v>44.6</c:v>
                </c:pt>
                <c:pt idx="445">
                  <c:v>44.7</c:v>
                </c:pt>
                <c:pt idx="446">
                  <c:v>44.8</c:v>
                </c:pt>
                <c:pt idx="447">
                  <c:v>44.9</c:v>
                </c:pt>
                <c:pt idx="448">
                  <c:v>45</c:v>
                </c:pt>
                <c:pt idx="449">
                  <c:v>45.1</c:v>
                </c:pt>
                <c:pt idx="450">
                  <c:v>45.2</c:v>
                </c:pt>
                <c:pt idx="451">
                  <c:v>45.3</c:v>
                </c:pt>
                <c:pt idx="452">
                  <c:v>45.4</c:v>
                </c:pt>
                <c:pt idx="453">
                  <c:v>45.5</c:v>
                </c:pt>
                <c:pt idx="454">
                  <c:v>45.6</c:v>
                </c:pt>
                <c:pt idx="455">
                  <c:v>45.7</c:v>
                </c:pt>
                <c:pt idx="456">
                  <c:v>45.8</c:v>
                </c:pt>
                <c:pt idx="457">
                  <c:v>45.9</c:v>
                </c:pt>
                <c:pt idx="458">
                  <c:v>46</c:v>
                </c:pt>
                <c:pt idx="459">
                  <c:v>46.1</c:v>
                </c:pt>
                <c:pt idx="460">
                  <c:v>46.2</c:v>
                </c:pt>
                <c:pt idx="461">
                  <c:v>46.3</c:v>
                </c:pt>
                <c:pt idx="462">
                  <c:v>46.4</c:v>
                </c:pt>
                <c:pt idx="463">
                  <c:v>46.5</c:v>
                </c:pt>
                <c:pt idx="464">
                  <c:v>46.6</c:v>
                </c:pt>
                <c:pt idx="465">
                  <c:v>46.7</c:v>
                </c:pt>
                <c:pt idx="466">
                  <c:v>46.8</c:v>
                </c:pt>
                <c:pt idx="467">
                  <c:v>46.9</c:v>
                </c:pt>
                <c:pt idx="468">
                  <c:v>47</c:v>
                </c:pt>
                <c:pt idx="469">
                  <c:v>47.1</c:v>
                </c:pt>
                <c:pt idx="470">
                  <c:v>47.2</c:v>
                </c:pt>
                <c:pt idx="471">
                  <c:v>47.3</c:v>
                </c:pt>
                <c:pt idx="472">
                  <c:v>47.4</c:v>
                </c:pt>
                <c:pt idx="473">
                  <c:v>47.5</c:v>
                </c:pt>
                <c:pt idx="474">
                  <c:v>47.6</c:v>
                </c:pt>
                <c:pt idx="475">
                  <c:v>47.7</c:v>
                </c:pt>
                <c:pt idx="476">
                  <c:v>47.8</c:v>
                </c:pt>
                <c:pt idx="477">
                  <c:v>47.9</c:v>
                </c:pt>
                <c:pt idx="478">
                  <c:v>48</c:v>
                </c:pt>
                <c:pt idx="479">
                  <c:v>48.1</c:v>
                </c:pt>
                <c:pt idx="480">
                  <c:v>48.2</c:v>
                </c:pt>
                <c:pt idx="481">
                  <c:v>48.3</c:v>
                </c:pt>
                <c:pt idx="482">
                  <c:v>48.4</c:v>
                </c:pt>
                <c:pt idx="483">
                  <c:v>48.5</c:v>
                </c:pt>
                <c:pt idx="484">
                  <c:v>48.6</c:v>
                </c:pt>
                <c:pt idx="485">
                  <c:v>48.7</c:v>
                </c:pt>
                <c:pt idx="486">
                  <c:v>48.8</c:v>
                </c:pt>
                <c:pt idx="487">
                  <c:v>48.9</c:v>
                </c:pt>
                <c:pt idx="488">
                  <c:v>49</c:v>
                </c:pt>
                <c:pt idx="489">
                  <c:v>49.1</c:v>
                </c:pt>
                <c:pt idx="490">
                  <c:v>49.2</c:v>
                </c:pt>
                <c:pt idx="491">
                  <c:v>49.3</c:v>
                </c:pt>
                <c:pt idx="492">
                  <c:v>49.4</c:v>
                </c:pt>
                <c:pt idx="493">
                  <c:v>49.5</c:v>
                </c:pt>
                <c:pt idx="494">
                  <c:v>49.6</c:v>
                </c:pt>
                <c:pt idx="495">
                  <c:v>49.7</c:v>
                </c:pt>
                <c:pt idx="496">
                  <c:v>49.8</c:v>
                </c:pt>
                <c:pt idx="497">
                  <c:v>49.9</c:v>
                </c:pt>
                <c:pt idx="498">
                  <c:v>50</c:v>
                </c:pt>
                <c:pt idx="499">
                  <c:v>50.1</c:v>
                </c:pt>
                <c:pt idx="500">
                  <c:v>50.2</c:v>
                </c:pt>
                <c:pt idx="501">
                  <c:v>50.3</c:v>
                </c:pt>
                <c:pt idx="502">
                  <c:v>50.4</c:v>
                </c:pt>
                <c:pt idx="503">
                  <c:v>50.5</c:v>
                </c:pt>
                <c:pt idx="504">
                  <c:v>50.6</c:v>
                </c:pt>
                <c:pt idx="505">
                  <c:v>50.7</c:v>
                </c:pt>
                <c:pt idx="506">
                  <c:v>50.8</c:v>
                </c:pt>
                <c:pt idx="507">
                  <c:v>50.9</c:v>
                </c:pt>
                <c:pt idx="508">
                  <c:v>51</c:v>
                </c:pt>
                <c:pt idx="509">
                  <c:v>51.1</c:v>
                </c:pt>
                <c:pt idx="510">
                  <c:v>51.2</c:v>
                </c:pt>
                <c:pt idx="511">
                  <c:v>51.3</c:v>
                </c:pt>
                <c:pt idx="512">
                  <c:v>51.4</c:v>
                </c:pt>
                <c:pt idx="513">
                  <c:v>51.5</c:v>
                </c:pt>
                <c:pt idx="514">
                  <c:v>51.6</c:v>
                </c:pt>
                <c:pt idx="515">
                  <c:v>51.7</c:v>
                </c:pt>
                <c:pt idx="516">
                  <c:v>51.8</c:v>
                </c:pt>
                <c:pt idx="517">
                  <c:v>51.9</c:v>
                </c:pt>
                <c:pt idx="518">
                  <c:v>52</c:v>
                </c:pt>
                <c:pt idx="519">
                  <c:v>52.1</c:v>
                </c:pt>
                <c:pt idx="520">
                  <c:v>52.2</c:v>
                </c:pt>
                <c:pt idx="521">
                  <c:v>52.3</c:v>
                </c:pt>
                <c:pt idx="522">
                  <c:v>52.4</c:v>
                </c:pt>
                <c:pt idx="523">
                  <c:v>52.5</c:v>
                </c:pt>
                <c:pt idx="524">
                  <c:v>52.6</c:v>
                </c:pt>
                <c:pt idx="525">
                  <c:v>52.7</c:v>
                </c:pt>
                <c:pt idx="526">
                  <c:v>52.8</c:v>
                </c:pt>
                <c:pt idx="527">
                  <c:v>52.9</c:v>
                </c:pt>
                <c:pt idx="528">
                  <c:v>53</c:v>
                </c:pt>
                <c:pt idx="529">
                  <c:v>53.1</c:v>
                </c:pt>
                <c:pt idx="530">
                  <c:v>53.2</c:v>
                </c:pt>
                <c:pt idx="531">
                  <c:v>53.3</c:v>
                </c:pt>
                <c:pt idx="532">
                  <c:v>53.4</c:v>
                </c:pt>
                <c:pt idx="533">
                  <c:v>53.5</c:v>
                </c:pt>
                <c:pt idx="534">
                  <c:v>53.6</c:v>
                </c:pt>
                <c:pt idx="535">
                  <c:v>53.7</c:v>
                </c:pt>
                <c:pt idx="536">
                  <c:v>53.8</c:v>
                </c:pt>
                <c:pt idx="537">
                  <c:v>53.9</c:v>
                </c:pt>
                <c:pt idx="538">
                  <c:v>54</c:v>
                </c:pt>
                <c:pt idx="539">
                  <c:v>54.1</c:v>
                </c:pt>
                <c:pt idx="540">
                  <c:v>54.2</c:v>
                </c:pt>
                <c:pt idx="541">
                  <c:v>54.3</c:v>
                </c:pt>
                <c:pt idx="542">
                  <c:v>54.4</c:v>
                </c:pt>
                <c:pt idx="543">
                  <c:v>54.5</c:v>
                </c:pt>
                <c:pt idx="544">
                  <c:v>54.6</c:v>
                </c:pt>
                <c:pt idx="545">
                  <c:v>54.7</c:v>
                </c:pt>
                <c:pt idx="546">
                  <c:v>54.8</c:v>
                </c:pt>
                <c:pt idx="547">
                  <c:v>54.9</c:v>
                </c:pt>
                <c:pt idx="548">
                  <c:v>55</c:v>
                </c:pt>
                <c:pt idx="549">
                  <c:v>55.1</c:v>
                </c:pt>
                <c:pt idx="550">
                  <c:v>55.2</c:v>
                </c:pt>
                <c:pt idx="551">
                  <c:v>55.3</c:v>
                </c:pt>
                <c:pt idx="552">
                  <c:v>55.4</c:v>
                </c:pt>
                <c:pt idx="553">
                  <c:v>55.5</c:v>
                </c:pt>
                <c:pt idx="554">
                  <c:v>55.6</c:v>
                </c:pt>
                <c:pt idx="555">
                  <c:v>55.7</c:v>
                </c:pt>
                <c:pt idx="556">
                  <c:v>55.8</c:v>
                </c:pt>
                <c:pt idx="557">
                  <c:v>55.9</c:v>
                </c:pt>
                <c:pt idx="558">
                  <c:v>56</c:v>
                </c:pt>
                <c:pt idx="559">
                  <c:v>56.1</c:v>
                </c:pt>
                <c:pt idx="560">
                  <c:v>56.2</c:v>
                </c:pt>
                <c:pt idx="561">
                  <c:v>56.3</c:v>
                </c:pt>
                <c:pt idx="562">
                  <c:v>56.4</c:v>
                </c:pt>
                <c:pt idx="563">
                  <c:v>56.5</c:v>
                </c:pt>
                <c:pt idx="564">
                  <c:v>56.6</c:v>
                </c:pt>
                <c:pt idx="565">
                  <c:v>56.7</c:v>
                </c:pt>
                <c:pt idx="566">
                  <c:v>56.8</c:v>
                </c:pt>
                <c:pt idx="567">
                  <c:v>56.9</c:v>
                </c:pt>
                <c:pt idx="568">
                  <c:v>57</c:v>
                </c:pt>
                <c:pt idx="569">
                  <c:v>57.1</c:v>
                </c:pt>
                <c:pt idx="570">
                  <c:v>57.2</c:v>
                </c:pt>
                <c:pt idx="571">
                  <c:v>57.3</c:v>
                </c:pt>
                <c:pt idx="572">
                  <c:v>57.4</c:v>
                </c:pt>
                <c:pt idx="573">
                  <c:v>57.5</c:v>
                </c:pt>
                <c:pt idx="574">
                  <c:v>57.6</c:v>
                </c:pt>
                <c:pt idx="575">
                  <c:v>57.7</c:v>
                </c:pt>
                <c:pt idx="576">
                  <c:v>57.8</c:v>
                </c:pt>
                <c:pt idx="577">
                  <c:v>57.9</c:v>
                </c:pt>
                <c:pt idx="578">
                  <c:v>58</c:v>
                </c:pt>
                <c:pt idx="579">
                  <c:v>58.1</c:v>
                </c:pt>
                <c:pt idx="580">
                  <c:v>58.2</c:v>
                </c:pt>
                <c:pt idx="581">
                  <c:v>58.3</c:v>
                </c:pt>
                <c:pt idx="582">
                  <c:v>58.4</c:v>
                </c:pt>
                <c:pt idx="583">
                  <c:v>58.5</c:v>
                </c:pt>
                <c:pt idx="584">
                  <c:v>58.6</c:v>
                </c:pt>
                <c:pt idx="585">
                  <c:v>58.7</c:v>
                </c:pt>
                <c:pt idx="586">
                  <c:v>58.8</c:v>
                </c:pt>
                <c:pt idx="587">
                  <c:v>58.9</c:v>
                </c:pt>
                <c:pt idx="588">
                  <c:v>59</c:v>
                </c:pt>
                <c:pt idx="589">
                  <c:v>59.1</c:v>
                </c:pt>
                <c:pt idx="590">
                  <c:v>59.2</c:v>
                </c:pt>
                <c:pt idx="591">
                  <c:v>59.3</c:v>
                </c:pt>
                <c:pt idx="592">
                  <c:v>59.4</c:v>
                </c:pt>
                <c:pt idx="593">
                  <c:v>59.5</c:v>
                </c:pt>
                <c:pt idx="594">
                  <c:v>59.6</c:v>
                </c:pt>
                <c:pt idx="595">
                  <c:v>59.7</c:v>
                </c:pt>
                <c:pt idx="596">
                  <c:v>59.8</c:v>
                </c:pt>
                <c:pt idx="597">
                  <c:v>59.9</c:v>
                </c:pt>
                <c:pt idx="598">
                  <c:v>60</c:v>
                </c:pt>
                <c:pt idx="599">
                  <c:v>60.1</c:v>
                </c:pt>
                <c:pt idx="600">
                  <c:v>60.1</c:v>
                </c:pt>
              </c:numCache>
            </c:numRef>
          </c:xVal>
          <c:yVal>
            <c:numRef>
              <c:f>'80'!$S$2:$S$602</c:f>
              <c:numCache>
                <c:formatCode>General</c:formatCode>
                <c:ptCount val="601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726-417E-BA40-B9C6EA52B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0085391"/>
        <c:axId val="1410085871"/>
      </c:scatterChart>
      <c:valAx>
        <c:axId val="1410085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85871"/>
        <c:crosses val="autoZero"/>
        <c:crossBetween val="midCat"/>
      </c:valAx>
      <c:valAx>
        <c:axId val="141008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0853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Grafik</a:t>
            </a:r>
            <a:r>
              <a:rPr lang="en-US" baseline="0"/>
              <a:t> </a:t>
            </a:r>
            <a:r>
              <a:rPr lang="en-US" i="1" baseline="0"/>
              <a:t>Rise Time 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Setpoint!$A$3:$A$13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Setpoint!$B$3:$B$13</c:f>
              <c:numCache>
                <c:formatCode>General</c:formatCode>
                <c:ptCount val="11"/>
                <c:pt idx="0">
                  <c:v>2.4</c:v>
                </c:pt>
                <c:pt idx="1">
                  <c:v>2.9</c:v>
                </c:pt>
                <c:pt idx="2">
                  <c:v>3.3</c:v>
                </c:pt>
                <c:pt idx="3">
                  <c:v>4</c:v>
                </c:pt>
                <c:pt idx="4">
                  <c:v>4.8</c:v>
                </c:pt>
                <c:pt idx="5">
                  <c:v>5.2</c:v>
                </c:pt>
                <c:pt idx="6">
                  <c:v>6.3</c:v>
                </c:pt>
                <c:pt idx="7">
                  <c:v>8.3000000000000007</c:v>
                </c:pt>
                <c:pt idx="8">
                  <c:v>11.6</c:v>
                </c:pt>
                <c:pt idx="9">
                  <c:v>12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F-49DD-AE9E-7FC33655ED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8293872"/>
        <c:axId val="168298192"/>
      </c:barChart>
      <c:catAx>
        <c:axId val="16829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i="1"/>
                  <a:t>Setpoint </a:t>
                </a:r>
                <a:r>
                  <a:rPr lang="en-US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i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8192"/>
        <c:crosses val="autoZero"/>
        <c:auto val="1"/>
        <c:lblAlgn val="ctr"/>
        <c:lblOffset val="100"/>
        <c:noMultiLvlLbl val="0"/>
      </c:catAx>
      <c:valAx>
        <c:axId val="16829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detik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Maksimum </a:t>
            </a:r>
            <a:r>
              <a:rPr lang="en-US" i="1"/>
              <a:t>Overshoot</a:t>
            </a:r>
            <a:r>
              <a:rPr lang="en-US"/>
              <a:t>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Setpoint!$B$16:$B$17</c:f>
              <c:strCache>
                <c:ptCount val="2"/>
                <c:pt idx="0">
                  <c:v>Maksimum</c:v>
                </c:pt>
                <c:pt idx="1">
                  <c:v>Overshoot(%)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Setpoint!$A$18:$A$28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Setpoint!$B$18:$B$28</c:f>
              <c:numCache>
                <c:formatCode>General</c:formatCode>
                <c:ptCount val="11"/>
                <c:pt idx="0">
                  <c:v>3.54</c:v>
                </c:pt>
                <c:pt idx="1">
                  <c:v>3.22</c:v>
                </c:pt>
                <c:pt idx="2">
                  <c:v>2.69</c:v>
                </c:pt>
                <c:pt idx="3">
                  <c:v>2.5</c:v>
                </c:pt>
                <c:pt idx="4">
                  <c:v>2.5</c:v>
                </c:pt>
                <c:pt idx="5">
                  <c:v>1.95</c:v>
                </c:pt>
                <c:pt idx="6">
                  <c:v>2</c:v>
                </c:pt>
                <c:pt idx="7">
                  <c:v>1.61</c:v>
                </c:pt>
                <c:pt idx="8">
                  <c:v>1.1000000000000001</c:v>
                </c:pt>
                <c:pt idx="9">
                  <c:v>0.97</c:v>
                </c:pt>
                <c:pt idx="10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2-4861-A720-E1934DD36D6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618080"/>
        <c:axId val="302613280"/>
      </c:barChart>
      <c:catAx>
        <c:axId val="302618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Setpoint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i="1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i="1"/>
              </a:p>
            </c:rich>
          </c:tx>
          <c:layout>
            <c:manualLayout>
              <c:xMode val="edge"/>
              <c:yMode val="edge"/>
              <c:x val="0.46588405702399233"/>
              <c:y val="0.92912111266169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13280"/>
        <c:crosses val="autoZero"/>
        <c:auto val="1"/>
        <c:lblAlgn val="ctr"/>
        <c:lblOffset val="100"/>
        <c:noMultiLvlLbl val="0"/>
      </c:catAx>
      <c:valAx>
        <c:axId val="3026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18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Setpoint!$R$1:$R$2</c:f>
              <c:strCache>
                <c:ptCount val="2"/>
                <c:pt idx="0">
                  <c:v>SSE</c:v>
                </c:pt>
                <c:pt idx="1">
                  <c:v>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Setpoint!$Q$3:$Q$13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Setpoint!$R$3:$R$13</c:f>
              <c:numCache>
                <c:formatCode>General</c:formatCode>
                <c:ptCount val="11"/>
                <c:pt idx="0">
                  <c:v>0.32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0.02</c:v>
                </c:pt>
                <c:pt idx="4">
                  <c:v>0.74</c:v>
                </c:pt>
                <c:pt idx="5">
                  <c:v>0.47</c:v>
                </c:pt>
                <c:pt idx="6">
                  <c:v>0.3</c:v>
                </c:pt>
                <c:pt idx="7">
                  <c:v>0.45</c:v>
                </c:pt>
                <c:pt idx="8">
                  <c:v>0.54</c:v>
                </c:pt>
                <c:pt idx="9">
                  <c:v>0.38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D-42B5-9485-81DC6DB942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613760"/>
        <c:axId val="302608480"/>
      </c:barChart>
      <c:catAx>
        <c:axId val="302613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Setpoint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08480"/>
        <c:crosses val="autoZero"/>
        <c:auto val="1"/>
        <c:lblAlgn val="ctr"/>
        <c:lblOffset val="100"/>
        <c:noMultiLvlLbl val="0"/>
      </c:catAx>
      <c:valAx>
        <c:axId val="30260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13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Setpoint!$R$16:$R$17</c:f>
              <c:strCache>
                <c:ptCount val="2"/>
                <c:pt idx="0">
                  <c:v>IAE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Setpoint!$Q$18:$Q$28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Setpoint!$R$18:$R$28</c:f>
              <c:numCache>
                <c:formatCode>General</c:formatCode>
                <c:ptCount val="11"/>
                <c:pt idx="0">
                  <c:v>79.39</c:v>
                </c:pt>
                <c:pt idx="1">
                  <c:v>84.54</c:v>
                </c:pt>
                <c:pt idx="2">
                  <c:v>103.9</c:v>
                </c:pt>
                <c:pt idx="3">
                  <c:v>111.98</c:v>
                </c:pt>
                <c:pt idx="4">
                  <c:v>149.33000000000001</c:v>
                </c:pt>
                <c:pt idx="5">
                  <c:v>168.7</c:v>
                </c:pt>
                <c:pt idx="6">
                  <c:v>201.03</c:v>
                </c:pt>
                <c:pt idx="7">
                  <c:v>266.18</c:v>
                </c:pt>
                <c:pt idx="8">
                  <c:v>327.10000000000002</c:v>
                </c:pt>
                <c:pt idx="9" formatCode="#,##0">
                  <c:v>350.02</c:v>
                </c:pt>
                <c:pt idx="10">
                  <c:v>452.6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7-4A31-B8BE-941B7ED438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2623840"/>
        <c:axId val="302615200"/>
      </c:barChart>
      <c:catAx>
        <c:axId val="302623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Setpoint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15200"/>
        <c:crosses val="autoZero"/>
        <c:auto val="1"/>
        <c:lblAlgn val="ctr"/>
        <c:lblOffset val="100"/>
        <c:noMultiLvlLbl val="0"/>
      </c:catAx>
      <c:valAx>
        <c:axId val="30261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2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Setpoint!$AC$1:$AC$2</c:f>
              <c:strCache>
                <c:ptCount val="2"/>
                <c:pt idx="0">
                  <c:v>ISE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Setpoint!$AB$3:$AB$13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Setpoint!$AC$3:$AC$13</c:f>
              <c:numCache>
                <c:formatCode>General</c:formatCode>
                <c:ptCount val="11"/>
                <c:pt idx="0">
                  <c:v>1221.5</c:v>
                </c:pt>
                <c:pt idx="1">
                  <c:v>1469.06</c:v>
                </c:pt>
                <c:pt idx="2">
                  <c:v>1873.54</c:v>
                </c:pt>
                <c:pt idx="3">
                  <c:v>2266.4299999999998</c:v>
                </c:pt>
                <c:pt idx="4">
                  <c:v>2860.06</c:v>
                </c:pt>
                <c:pt idx="5">
                  <c:v>3866.48</c:v>
                </c:pt>
                <c:pt idx="6">
                  <c:v>4947.46</c:v>
                </c:pt>
                <c:pt idx="7">
                  <c:v>7213.68</c:v>
                </c:pt>
                <c:pt idx="8">
                  <c:v>8941.69</c:v>
                </c:pt>
                <c:pt idx="9">
                  <c:v>10026</c:v>
                </c:pt>
                <c:pt idx="10">
                  <c:v>14371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5-4A9F-A85A-43A3EB013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620960"/>
        <c:axId val="302607520"/>
      </c:barChart>
      <c:catAx>
        <c:axId val="302620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Setpoint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07520"/>
        <c:crosses val="autoZero"/>
        <c:auto val="1"/>
        <c:lblAlgn val="ctr"/>
        <c:lblOffset val="100"/>
        <c:noMultiLvlLbl val="0"/>
      </c:catAx>
      <c:valAx>
        <c:axId val="30260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6209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Setpoint!$AC$16:$AC$17</c:f>
              <c:strCache>
                <c:ptCount val="2"/>
                <c:pt idx="0">
                  <c:v>ITAE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Setpoint!$AB$18:$AB$28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Setpoint!$AC$18:$AC$28</c:f>
              <c:numCache>
                <c:formatCode>General</c:formatCode>
                <c:ptCount val="11"/>
                <c:pt idx="0">
                  <c:v>416.3</c:v>
                </c:pt>
                <c:pt idx="1">
                  <c:v>274.8</c:v>
                </c:pt>
                <c:pt idx="2">
                  <c:v>523.57000000000005</c:v>
                </c:pt>
                <c:pt idx="3">
                  <c:v>362.52</c:v>
                </c:pt>
                <c:pt idx="4">
                  <c:v>1135.58</c:v>
                </c:pt>
                <c:pt idx="5">
                  <c:v>961.04</c:v>
                </c:pt>
                <c:pt idx="6">
                  <c:v>1056.3699999999999</c:v>
                </c:pt>
                <c:pt idx="7">
                  <c:v>1551.47</c:v>
                </c:pt>
                <c:pt idx="8">
                  <c:v>2187.3200000000002</c:v>
                </c:pt>
                <c:pt idx="9">
                  <c:v>2249</c:v>
                </c:pt>
                <c:pt idx="10">
                  <c:v>3116.3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9-4381-98C1-2E7EE999F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2577280"/>
        <c:axId val="302594560"/>
      </c:barChart>
      <c:catAx>
        <c:axId val="302577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Setpoint </a:t>
                </a:r>
                <a:r>
                  <a:rPr lang="en-US" sz="1000" b="0" i="1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℃</a:t>
                </a:r>
                <a:endParaRPr lang="en-US" sz="1000" b="0" i="1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94560"/>
        <c:crosses val="autoZero"/>
        <c:auto val="1"/>
        <c:lblAlgn val="ctr"/>
        <c:lblOffset val="100"/>
        <c:noMultiLvlLbl val="0"/>
      </c:catAx>
      <c:valAx>
        <c:axId val="30259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5772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Setpoint!$AS$20:$AS$21</c:f>
              <c:strCache>
                <c:ptCount val="2"/>
                <c:pt idx="0">
                  <c:v>Rise Time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Setpoint!$AR$22:$AR$32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Setpoint!$AS$22:$AS$32</c:f>
              <c:numCache>
                <c:formatCode>General</c:formatCode>
                <c:ptCount val="11"/>
                <c:pt idx="0">
                  <c:v>3.8</c:v>
                </c:pt>
                <c:pt idx="1">
                  <c:v>3.8</c:v>
                </c:pt>
                <c:pt idx="2">
                  <c:v>3.9</c:v>
                </c:pt>
                <c:pt idx="3">
                  <c:v>3.9</c:v>
                </c:pt>
                <c:pt idx="4">
                  <c:v>4.5</c:v>
                </c:pt>
                <c:pt idx="5">
                  <c:v>5</c:v>
                </c:pt>
                <c:pt idx="6">
                  <c:v>5.6</c:v>
                </c:pt>
                <c:pt idx="7">
                  <c:v>6</c:v>
                </c:pt>
                <c:pt idx="8">
                  <c:v>6.9</c:v>
                </c:pt>
                <c:pt idx="9">
                  <c:v>7.1</c:v>
                </c:pt>
                <c:pt idx="10">
                  <c:v>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2-439F-8889-166022C412DB}"/>
            </c:ext>
          </c:extLst>
        </c:ser>
        <c:ser>
          <c:idx val="1"/>
          <c:order val="1"/>
          <c:tx>
            <c:strRef>
              <c:f>Setpoint!$AT$20:$AT$21</c:f>
              <c:strCache>
                <c:ptCount val="2"/>
                <c:pt idx="0">
                  <c:v>Rise Time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Setpoint!$AR$22:$AR$32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Setpoint!$AT$22:$AT$32</c:f>
              <c:numCache>
                <c:formatCode>General</c:formatCode>
                <c:ptCount val="11"/>
                <c:pt idx="0">
                  <c:v>2.4</c:v>
                </c:pt>
                <c:pt idx="1">
                  <c:v>2.9</c:v>
                </c:pt>
                <c:pt idx="2">
                  <c:v>3.3</c:v>
                </c:pt>
                <c:pt idx="3">
                  <c:v>4</c:v>
                </c:pt>
                <c:pt idx="4">
                  <c:v>4.8</c:v>
                </c:pt>
                <c:pt idx="5">
                  <c:v>5.2</c:v>
                </c:pt>
                <c:pt idx="6">
                  <c:v>6.3</c:v>
                </c:pt>
                <c:pt idx="7">
                  <c:v>8.3000000000000007</c:v>
                </c:pt>
                <c:pt idx="8">
                  <c:v>11.6</c:v>
                </c:pt>
                <c:pt idx="9">
                  <c:v>12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02-439F-8889-166022C41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322784"/>
        <c:axId val="432317504"/>
      </c:barChart>
      <c:catAx>
        <c:axId val="432322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17504"/>
        <c:crosses val="autoZero"/>
        <c:auto val="1"/>
        <c:lblAlgn val="ctr"/>
        <c:lblOffset val="100"/>
        <c:noMultiLvlLbl val="0"/>
      </c:catAx>
      <c:valAx>
        <c:axId val="43231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322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Setpoint!$BH$20:$BH$21</c:f>
              <c:strCache>
                <c:ptCount val="2"/>
                <c:pt idx="0">
                  <c:v>Maks Overshoot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Setpoint!$BG$22:$BG$32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Setpoint!$BH$22:$BH$32</c:f>
              <c:numCache>
                <c:formatCode>General</c:formatCode>
                <c:ptCount val="11"/>
                <c:pt idx="0">
                  <c:v>1.34</c:v>
                </c:pt>
                <c:pt idx="1">
                  <c:v>2.0699999999999998</c:v>
                </c:pt>
                <c:pt idx="2">
                  <c:v>2.0099999999999998</c:v>
                </c:pt>
                <c:pt idx="3">
                  <c:v>2.5</c:v>
                </c:pt>
                <c:pt idx="4">
                  <c:v>1.91</c:v>
                </c:pt>
                <c:pt idx="5">
                  <c:v>1.55</c:v>
                </c:pt>
                <c:pt idx="6">
                  <c:v>0.88</c:v>
                </c:pt>
                <c:pt idx="7">
                  <c:v>0.8</c:v>
                </c:pt>
                <c:pt idx="8">
                  <c:v>0.3</c:v>
                </c:pt>
                <c:pt idx="9">
                  <c:v>0.21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3-4500-A7D2-F5748F7773FA}"/>
            </c:ext>
          </c:extLst>
        </c:ser>
        <c:ser>
          <c:idx val="1"/>
          <c:order val="1"/>
          <c:tx>
            <c:strRef>
              <c:f>Setpoint!$BI$20:$BI$21</c:f>
              <c:strCache>
                <c:ptCount val="2"/>
                <c:pt idx="0">
                  <c:v>Maks Overshoot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Setpoint!$BG$22:$BG$32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Setpoint!$BI$22:$BI$32</c:f>
              <c:numCache>
                <c:formatCode>General</c:formatCode>
                <c:ptCount val="11"/>
                <c:pt idx="0">
                  <c:v>3.54</c:v>
                </c:pt>
                <c:pt idx="1">
                  <c:v>3.22</c:v>
                </c:pt>
                <c:pt idx="2">
                  <c:v>2.69</c:v>
                </c:pt>
                <c:pt idx="3">
                  <c:v>2.5</c:v>
                </c:pt>
                <c:pt idx="4">
                  <c:v>2.5</c:v>
                </c:pt>
                <c:pt idx="5">
                  <c:v>1.95</c:v>
                </c:pt>
                <c:pt idx="6">
                  <c:v>2</c:v>
                </c:pt>
                <c:pt idx="7">
                  <c:v>1.61</c:v>
                </c:pt>
                <c:pt idx="8">
                  <c:v>1.1000000000000001</c:v>
                </c:pt>
                <c:pt idx="9">
                  <c:v>0.97</c:v>
                </c:pt>
                <c:pt idx="10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3-4500-A7D2-F5748F777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7991440"/>
        <c:axId val="487991920"/>
      </c:barChart>
      <c:catAx>
        <c:axId val="48799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91920"/>
        <c:crosses val="autoZero"/>
        <c:auto val="1"/>
        <c:lblAlgn val="ctr"/>
        <c:lblOffset val="100"/>
        <c:noMultiLvlLbl val="0"/>
      </c:catAx>
      <c:valAx>
        <c:axId val="487991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991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Setpoint!$AS$36:$AS$37</c:f>
              <c:strCache>
                <c:ptCount val="2"/>
                <c:pt idx="0">
                  <c:v>SSE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Setpoint!$AR$38:$AR$48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Setpoint!$AS$38:$AS$48</c:f>
              <c:numCache>
                <c:formatCode>General</c:formatCode>
                <c:ptCount val="11"/>
                <c:pt idx="0">
                  <c:v>0.19</c:v>
                </c:pt>
                <c:pt idx="1">
                  <c:v>0.18</c:v>
                </c:pt>
                <c:pt idx="2">
                  <c:v>0.19</c:v>
                </c:pt>
                <c:pt idx="3">
                  <c:v>0.17</c:v>
                </c:pt>
                <c:pt idx="4">
                  <c:v>0.16</c:v>
                </c:pt>
                <c:pt idx="5">
                  <c:v>0.19</c:v>
                </c:pt>
                <c:pt idx="6">
                  <c:v>0.14000000000000001</c:v>
                </c:pt>
                <c:pt idx="7">
                  <c:v>0.14000000000000001</c:v>
                </c:pt>
                <c:pt idx="8">
                  <c:v>0.11</c:v>
                </c:pt>
                <c:pt idx="9">
                  <c:v>0.1</c:v>
                </c:pt>
                <c:pt idx="10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33-49DD-90A3-4934E84A9054}"/>
            </c:ext>
          </c:extLst>
        </c:ser>
        <c:ser>
          <c:idx val="1"/>
          <c:order val="1"/>
          <c:tx>
            <c:strRef>
              <c:f>Setpoint!$AT$36:$AT$37</c:f>
              <c:strCache>
                <c:ptCount val="2"/>
                <c:pt idx="0">
                  <c:v>SSE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Setpoint!$AR$38:$AR$48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Setpoint!$AT$38:$AT$48</c:f>
              <c:numCache>
                <c:formatCode>General</c:formatCode>
                <c:ptCount val="11"/>
                <c:pt idx="0">
                  <c:v>0.32</c:v>
                </c:pt>
                <c:pt idx="1">
                  <c:v>7.0000000000000007E-2</c:v>
                </c:pt>
                <c:pt idx="2">
                  <c:v>0.3</c:v>
                </c:pt>
                <c:pt idx="3">
                  <c:v>0.02</c:v>
                </c:pt>
                <c:pt idx="4">
                  <c:v>0.74</c:v>
                </c:pt>
                <c:pt idx="5">
                  <c:v>0.47</c:v>
                </c:pt>
                <c:pt idx="6">
                  <c:v>0.3</c:v>
                </c:pt>
                <c:pt idx="7">
                  <c:v>0.45</c:v>
                </c:pt>
                <c:pt idx="8">
                  <c:v>0.54</c:v>
                </c:pt>
                <c:pt idx="9">
                  <c:v>0.38</c:v>
                </c:pt>
                <c:pt idx="1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3-49DD-90A3-4934E84A90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610048"/>
        <c:axId val="750611008"/>
      </c:barChart>
      <c:catAx>
        <c:axId val="750610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11008"/>
        <c:crosses val="autoZero"/>
        <c:auto val="1"/>
        <c:lblAlgn val="ctr"/>
        <c:lblOffset val="100"/>
        <c:noMultiLvlLbl val="0"/>
      </c:catAx>
      <c:valAx>
        <c:axId val="75061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610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Setpoint!$BH$36:$BH$37</c:f>
              <c:strCache>
                <c:ptCount val="2"/>
                <c:pt idx="0">
                  <c:v>IAE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Setpoint!$BG$38:$BG$48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Setpoint!$BH$38:$BH$48</c:f>
              <c:numCache>
                <c:formatCode>General</c:formatCode>
                <c:ptCount val="11"/>
                <c:pt idx="0">
                  <c:v>46.47</c:v>
                </c:pt>
                <c:pt idx="1">
                  <c:v>58.1</c:v>
                </c:pt>
                <c:pt idx="2">
                  <c:v>66.61</c:v>
                </c:pt>
                <c:pt idx="3">
                  <c:v>77.680000000000007</c:v>
                </c:pt>
                <c:pt idx="4">
                  <c:v>94.41</c:v>
                </c:pt>
                <c:pt idx="5">
                  <c:v>110.82</c:v>
                </c:pt>
                <c:pt idx="6">
                  <c:v>124.23</c:v>
                </c:pt>
                <c:pt idx="7">
                  <c:v>145.36000000000001</c:v>
                </c:pt>
                <c:pt idx="8">
                  <c:v>174.78</c:v>
                </c:pt>
                <c:pt idx="9">
                  <c:v>197.24</c:v>
                </c:pt>
                <c:pt idx="10">
                  <c:v>225.71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5-453C-9971-C6DCB4979626}"/>
            </c:ext>
          </c:extLst>
        </c:ser>
        <c:ser>
          <c:idx val="1"/>
          <c:order val="1"/>
          <c:tx>
            <c:strRef>
              <c:f>Setpoint!$BI$36:$BI$37</c:f>
              <c:strCache>
                <c:ptCount val="2"/>
                <c:pt idx="0">
                  <c:v>IAE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Setpoint!$BG$38:$BG$48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Setpoint!$BI$38:$BI$48</c:f>
              <c:numCache>
                <c:formatCode>General</c:formatCode>
                <c:ptCount val="11"/>
                <c:pt idx="0">
                  <c:v>79.39</c:v>
                </c:pt>
                <c:pt idx="1">
                  <c:v>84.54</c:v>
                </c:pt>
                <c:pt idx="2">
                  <c:v>103.9</c:v>
                </c:pt>
                <c:pt idx="3">
                  <c:v>111.98</c:v>
                </c:pt>
                <c:pt idx="4">
                  <c:v>149.33000000000001</c:v>
                </c:pt>
                <c:pt idx="5">
                  <c:v>168.7</c:v>
                </c:pt>
                <c:pt idx="6">
                  <c:v>201.03</c:v>
                </c:pt>
                <c:pt idx="7">
                  <c:v>266.18</c:v>
                </c:pt>
                <c:pt idx="8">
                  <c:v>327.10000000000002</c:v>
                </c:pt>
                <c:pt idx="9" formatCode="#,##0">
                  <c:v>375</c:v>
                </c:pt>
                <c:pt idx="10">
                  <c:v>452.6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D5-453C-9971-C6DCB4979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6668160"/>
        <c:axId val="526670560"/>
      </c:barChart>
      <c:catAx>
        <c:axId val="526668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70560"/>
        <c:crosses val="autoZero"/>
        <c:auto val="1"/>
        <c:lblAlgn val="ctr"/>
        <c:lblOffset val="100"/>
        <c:noMultiLvlLbl val="0"/>
      </c:catAx>
      <c:valAx>
        <c:axId val="52667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68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Setpoint!$BK$1:$BK$2</c:f>
              <c:strCache>
                <c:ptCount val="2"/>
                <c:pt idx="0">
                  <c:v>ISE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Setpoint!$BJ$3:$BJ$13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Setpoint!$BK$3:$BK$13</c:f>
              <c:numCache>
                <c:formatCode>General</c:formatCode>
                <c:ptCount val="11"/>
                <c:pt idx="0">
                  <c:v>398.98</c:v>
                </c:pt>
                <c:pt idx="1">
                  <c:v>596.19000000000005</c:v>
                </c:pt>
                <c:pt idx="2">
                  <c:v>816.69</c:v>
                </c:pt>
                <c:pt idx="3">
                  <c:v>1072.98</c:v>
                </c:pt>
                <c:pt idx="4">
                  <c:v>1501.95</c:v>
                </c:pt>
                <c:pt idx="5">
                  <c:v>1836.84</c:v>
                </c:pt>
                <c:pt idx="6">
                  <c:v>2340.19</c:v>
                </c:pt>
                <c:pt idx="7">
                  <c:v>3080.41</c:v>
                </c:pt>
                <c:pt idx="8">
                  <c:v>4205.93</c:v>
                </c:pt>
                <c:pt idx="9">
                  <c:v>5276.55</c:v>
                </c:pt>
                <c:pt idx="10">
                  <c:v>6521.31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EE-4EF8-9735-45BAA4C90FF0}"/>
            </c:ext>
          </c:extLst>
        </c:ser>
        <c:ser>
          <c:idx val="1"/>
          <c:order val="1"/>
          <c:tx>
            <c:strRef>
              <c:f>Setpoint!$BL$1:$BL$2</c:f>
              <c:strCache>
                <c:ptCount val="2"/>
                <c:pt idx="0">
                  <c:v>ISE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Setpoint!$BJ$3:$BJ$13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Setpoint!$BL$3:$BL$13</c:f>
              <c:numCache>
                <c:formatCode>General</c:formatCode>
                <c:ptCount val="11"/>
                <c:pt idx="0">
                  <c:v>1221.5</c:v>
                </c:pt>
                <c:pt idx="1">
                  <c:v>1469.06</c:v>
                </c:pt>
                <c:pt idx="2">
                  <c:v>1873.54</c:v>
                </c:pt>
                <c:pt idx="3">
                  <c:v>2266.4299999999998</c:v>
                </c:pt>
                <c:pt idx="4">
                  <c:v>2860.06</c:v>
                </c:pt>
                <c:pt idx="5">
                  <c:v>3866.48</c:v>
                </c:pt>
                <c:pt idx="6">
                  <c:v>4947.46</c:v>
                </c:pt>
                <c:pt idx="7">
                  <c:v>7213.68</c:v>
                </c:pt>
                <c:pt idx="8">
                  <c:v>8941.69</c:v>
                </c:pt>
                <c:pt idx="9">
                  <c:v>10026</c:v>
                </c:pt>
                <c:pt idx="10">
                  <c:v>14371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EE-4EF8-9735-45BAA4C90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3223456"/>
        <c:axId val="513224896"/>
      </c:barChart>
      <c:catAx>
        <c:axId val="51322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24896"/>
        <c:crosses val="autoZero"/>
        <c:auto val="1"/>
        <c:lblAlgn val="ctr"/>
        <c:lblOffset val="100"/>
        <c:noMultiLvlLbl val="0"/>
      </c:catAx>
      <c:valAx>
        <c:axId val="513224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22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Setpoint!$BX$1:$BX$2</c:f>
              <c:strCache>
                <c:ptCount val="2"/>
                <c:pt idx="0">
                  <c:v>ITAE</c:v>
                </c:pt>
                <c:pt idx="1">
                  <c:v>GS PID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Setpoint!$BW$3:$BW$13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Setpoint!$BX$3:$BX$13</c:f>
              <c:numCache>
                <c:formatCode>General</c:formatCode>
                <c:ptCount val="11"/>
                <c:pt idx="0">
                  <c:v>288</c:v>
                </c:pt>
                <c:pt idx="1">
                  <c:v>353.87</c:v>
                </c:pt>
                <c:pt idx="2">
                  <c:v>371.51</c:v>
                </c:pt>
                <c:pt idx="3">
                  <c:v>414.75</c:v>
                </c:pt>
                <c:pt idx="4">
                  <c:v>473.71</c:v>
                </c:pt>
                <c:pt idx="5">
                  <c:v>682.04</c:v>
                </c:pt>
                <c:pt idx="6">
                  <c:v>655.64</c:v>
                </c:pt>
                <c:pt idx="7">
                  <c:v>787.7</c:v>
                </c:pt>
                <c:pt idx="8">
                  <c:v>840.65</c:v>
                </c:pt>
                <c:pt idx="9">
                  <c:v>924.52</c:v>
                </c:pt>
                <c:pt idx="10">
                  <c:v>1072.74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E2-482A-AEC8-E874308BA204}"/>
            </c:ext>
          </c:extLst>
        </c:ser>
        <c:ser>
          <c:idx val="1"/>
          <c:order val="1"/>
          <c:tx>
            <c:strRef>
              <c:f>Setpoint!$BY$1:$BY$2</c:f>
              <c:strCache>
                <c:ptCount val="2"/>
                <c:pt idx="0">
                  <c:v>ITAE</c:v>
                </c:pt>
                <c:pt idx="1">
                  <c:v>FM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Setpoint!$BW$3:$BW$13</c:f>
              <c:numCache>
                <c:formatCode>General</c:formatCode>
                <c:ptCount val="11"/>
                <c:pt idx="0">
                  <c:v>50</c:v>
                </c:pt>
                <c:pt idx="1">
                  <c:v>53</c:v>
                </c:pt>
                <c:pt idx="2">
                  <c:v>56</c:v>
                </c:pt>
                <c:pt idx="3">
                  <c:v>59</c:v>
                </c:pt>
                <c:pt idx="4">
                  <c:v>62</c:v>
                </c:pt>
                <c:pt idx="5">
                  <c:v>65</c:v>
                </c:pt>
                <c:pt idx="6">
                  <c:v>68</c:v>
                </c:pt>
                <c:pt idx="7">
                  <c:v>71</c:v>
                </c:pt>
                <c:pt idx="8">
                  <c:v>74</c:v>
                </c:pt>
                <c:pt idx="9">
                  <c:v>77</c:v>
                </c:pt>
                <c:pt idx="10">
                  <c:v>80</c:v>
                </c:pt>
              </c:numCache>
            </c:numRef>
          </c:cat>
          <c:val>
            <c:numRef>
              <c:f>Setpoint!$BY$3:$BY$13</c:f>
              <c:numCache>
                <c:formatCode>General</c:formatCode>
                <c:ptCount val="11"/>
                <c:pt idx="0">
                  <c:v>416.3</c:v>
                </c:pt>
                <c:pt idx="1">
                  <c:v>274.8</c:v>
                </c:pt>
                <c:pt idx="2">
                  <c:v>523.57000000000005</c:v>
                </c:pt>
                <c:pt idx="3">
                  <c:v>362.52</c:v>
                </c:pt>
                <c:pt idx="4">
                  <c:v>1135.58</c:v>
                </c:pt>
                <c:pt idx="5">
                  <c:v>961.04</c:v>
                </c:pt>
                <c:pt idx="6">
                  <c:v>1056.3699999999999</c:v>
                </c:pt>
                <c:pt idx="7">
                  <c:v>1551.47</c:v>
                </c:pt>
                <c:pt idx="8">
                  <c:v>2187.3200000000002</c:v>
                </c:pt>
                <c:pt idx="9">
                  <c:v>2249</c:v>
                </c:pt>
                <c:pt idx="10">
                  <c:v>3116.3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E2-482A-AEC8-E874308BA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5129216"/>
        <c:axId val="435129696"/>
      </c:barChart>
      <c:catAx>
        <c:axId val="435129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29696"/>
        <c:crosses val="autoZero"/>
        <c:auto val="1"/>
        <c:lblAlgn val="ctr"/>
        <c:lblOffset val="100"/>
        <c:noMultiLvlLbl val="0"/>
      </c:catAx>
      <c:valAx>
        <c:axId val="43512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129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In'!$C$1:$C$3</c:f>
              <c:strCache>
                <c:ptCount val="3"/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'Data In'!$B$4:$B$609</c:f>
              <c:strCache>
                <c:ptCount val="606"/>
                <c:pt idx="0">
                  <c:v>CH1</c:v>
                </c:pt>
                <c:pt idx="1">
                  <c:v>60.1</c:v>
                </c:pt>
                <c:pt idx="3">
                  <c:v>CH1</c:v>
                </c:pt>
                <c:pt idx="4">
                  <c:v>60.1</c:v>
                </c:pt>
                <c:pt idx="5">
                  <c:v>0.1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3">
                  <c:v>0.9</c:v>
                </c:pt>
                <c:pt idx="14">
                  <c:v>1</c:v>
                </c:pt>
                <c:pt idx="15">
                  <c:v>1.1</c:v>
                </c:pt>
                <c:pt idx="16">
                  <c:v>1.2</c:v>
                </c:pt>
                <c:pt idx="17">
                  <c:v>1.3</c:v>
                </c:pt>
                <c:pt idx="18">
                  <c:v>1.4</c:v>
                </c:pt>
                <c:pt idx="19">
                  <c:v>1.5</c:v>
                </c:pt>
                <c:pt idx="20">
                  <c:v>1.6</c:v>
                </c:pt>
                <c:pt idx="21">
                  <c:v>1.7</c:v>
                </c:pt>
                <c:pt idx="22">
                  <c:v>1.8</c:v>
                </c:pt>
                <c:pt idx="23">
                  <c:v>1.9</c:v>
                </c:pt>
                <c:pt idx="24">
                  <c:v>2</c:v>
                </c:pt>
                <c:pt idx="25">
                  <c:v>2.1</c:v>
                </c:pt>
                <c:pt idx="26">
                  <c:v>2.2</c:v>
                </c:pt>
                <c:pt idx="27">
                  <c:v>2.3</c:v>
                </c:pt>
                <c:pt idx="28">
                  <c:v>2.4</c:v>
                </c:pt>
                <c:pt idx="29">
                  <c:v>2.5</c:v>
                </c:pt>
                <c:pt idx="30">
                  <c:v>2.6</c:v>
                </c:pt>
                <c:pt idx="31">
                  <c:v>2.7</c:v>
                </c:pt>
                <c:pt idx="32">
                  <c:v>2.8</c:v>
                </c:pt>
                <c:pt idx="33">
                  <c:v>2.9</c:v>
                </c:pt>
                <c:pt idx="34">
                  <c:v>3</c:v>
                </c:pt>
                <c:pt idx="35">
                  <c:v>3.1</c:v>
                </c:pt>
                <c:pt idx="36">
                  <c:v>3.2</c:v>
                </c:pt>
                <c:pt idx="37">
                  <c:v>3.3</c:v>
                </c:pt>
                <c:pt idx="38">
                  <c:v>3.4</c:v>
                </c:pt>
                <c:pt idx="39">
                  <c:v>3.5</c:v>
                </c:pt>
                <c:pt idx="40">
                  <c:v>3.6</c:v>
                </c:pt>
                <c:pt idx="41">
                  <c:v>3.7</c:v>
                </c:pt>
                <c:pt idx="42">
                  <c:v>3.8</c:v>
                </c:pt>
                <c:pt idx="43">
                  <c:v>3.9</c:v>
                </c:pt>
                <c:pt idx="44">
                  <c:v>4</c:v>
                </c:pt>
                <c:pt idx="45">
                  <c:v>4.1</c:v>
                </c:pt>
                <c:pt idx="46">
                  <c:v>4.2</c:v>
                </c:pt>
                <c:pt idx="47">
                  <c:v>4.3</c:v>
                </c:pt>
                <c:pt idx="48">
                  <c:v>4.4</c:v>
                </c:pt>
                <c:pt idx="49">
                  <c:v>4.5</c:v>
                </c:pt>
                <c:pt idx="50">
                  <c:v>4.6</c:v>
                </c:pt>
                <c:pt idx="51">
                  <c:v>4.7</c:v>
                </c:pt>
                <c:pt idx="52">
                  <c:v>4.8</c:v>
                </c:pt>
                <c:pt idx="53">
                  <c:v>4.9</c:v>
                </c:pt>
                <c:pt idx="54">
                  <c:v>5</c:v>
                </c:pt>
                <c:pt idx="55">
                  <c:v>5.1</c:v>
                </c:pt>
                <c:pt idx="56">
                  <c:v>5.2</c:v>
                </c:pt>
                <c:pt idx="57">
                  <c:v>5.3</c:v>
                </c:pt>
                <c:pt idx="58">
                  <c:v>5.4</c:v>
                </c:pt>
                <c:pt idx="59">
                  <c:v>5.5</c:v>
                </c:pt>
                <c:pt idx="60">
                  <c:v>5.6</c:v>
                </c:pt>
                <c:pt idx="61">
                  <c:v>5.7</c:v>
                </c:pt>
                <c:pt idx="62">
                  <c:v>5.8</c:v>
                </c:pt>
                <c:pt idx="63">
                  <c:v>5.9</c:v>
                </c:pt>
                <c:pt idx="64">
                  <c:v>6</c:v>
                </c:pt>
                <c:pt idx="65">
                  <c:v>6.1</c:v>
                </c:pt>
                <c:pt idx="66">
                  <c:v>6.2</c:v>
                </c:pt>
                <c:pt idx="67">
                  <c:v>6.3</c:v>
                </c:pt>
                <c:pt idx="68">
                  <c:v>6.4</c:v>
                </c:pt>
                <c:pt idx="69">
                  <c:v>6.5</c:v>
                </c:pt>
                <c:pt idx="70">
                  <c:v>6.6</c:v>
                </c:pt>
                <c:pt idx="71">
                  <c:v>6.7</c:v>
                </c:pt>
                <c:pt idx="72">
                  <c:v>6.8</c:v>
                </c:pt>
                <c:pt idx="73">
                  <c:v>6.9</c:v>
                </c:pt>
                <c:pt idx="74">
                  <c:v>7</c:v>
                </c:pt>
                <c:pt idx="75">
                  <c:v>7.1</c:v>
                </c:pt>
                <c:pt idx="76">
                  <c:v>7.2</c:v>
                </c:pt>
                <c:pt idx="77">
                  <c:v>7.3</c:v>
                </c:pt>
                <c:pt idx="78">
                  <c:v>7.4</c:v>
                </c:pt>
                <c:pt idx="79">
                  <c:v>7.5</c:v>
                </c:pt>
                <c:pt idx="80">
                  <c:v>7.6</c:v>
                </c:pt>
                <c:pt idx="81">
                  <c:v>7.7</c:v>
                </c:pt>
                <c:pt idx="82">
                  <c:v>7.8</c:v>
                </c:pt>
                <c:pt idx="83">
                  <c:v>7.9</c:v>
                </c:pt>
                <c:pt idx="84">
                  <c:v>8</c:v>
                </c:pt>
                <c:pt idx="85">
                  <c:v>8.1</c:v>
                </c:pt>
                <c:pt idx="86">
                  <c:v>8.2</c:v>
                </c:pt>
                <c:pt idx="87">
                  <c:v>8.3</c:v>
                </c:pt>
                <c:pt idx="88">
                  <c:v>8.4</c:v>
                </c:pt>
                <c:pt idx="89">
                  <c:v>8.5</c:v>
                </c:pt>
                <c:pt idx="90">
                  <c:v>8.6</c:v>
                </c:pt>
                <c:pt idx="91">
                  <c:v>8.7</c:v>
                </c:pt>
                <c:pt idx="92">
                  <c:v>8.8</c:v>
                </c:pt>
                <c:pt idx="93">
                  <c:v>8.9</c:v>
                </c:pt>
                <c:pt idx="94">
                  <c:v>9</c:v>
                </c:pt>
                <c:pt idx="95">
                  <c:v>9.1</c:v>
                </c:pt>
                <c:pt idx="96">
                  <c:v>9.2</c:v>
                </c:pt>
                <c:pt idx="97">
                  <c:v>9.3</c:v>
                </c:pt>
                <c:pt idx="98">
                  <c:v>9.4</c:v>
                </c:pt>
                <c:pt idx="99">
                  <c:v>9.5</c:v>
                </c:pt>
                <c:pt idx="100">
                  <c:v>9.6</c:v>
                </c:pt>
                <c:pt idx="101">
                  <c:v>9.7</c:v>
                </c:pt>
                <c:pt idx="102">
                  <c:v>9.8</c:v>
                </c:pt>
                <c:pt idx="103">
                  <c:v>9.9</c:v>
                </c:pt>
                <c:pt idx="104">
                  <c:v>10</c:v>
                </c:pt>
                <c:pt idx="105">
                  <c:v>10.1</c:v>
                </c:pt>
                <c:pt idx="106">
                  <c:v>10.2</c:v>
                </c:pt>
                <c:pt idx="107">
                  <c:v>10.3</c:v>
                </c:pt>
                <c:pt idx="108">
                  <c:v>10.4</c:v>
                </c:pt>
                <c:pt idx="109">
                  <c:v>10.5</c:v>
                </c:pt>
                <c:pt idx="110">
                  <c:v>10.6</c:v>
                </c:pt>
                <c:pt idx="111">
                  <c:v>10.7</c:v>
                </c:pt>
                <c:pt idx="112">
                  <c:v>10.8</c:v>
                </c:pt>
                <c:pt idx="113">
                  <c:v>10.9</c:v>
                </c:pt>
                <c:pt idx="114">
                  <c:v>11</c:v>
                </c:pt>
                <c:pt idx="115">
                  <c:v>11.1</c:v>
                </c:pt>
                <c:pt idx="116">
                  <c:v>11.2</c:v>
                </c:pt>
                <c:pt idx="117">
                  <c:v>11.3</c:v>
                </c:pt>
                <c:pt idx="118">
                  <c:v>11.4</c:v>
                </c:pt>
                <c:pt idx="119">
                  <c:v>11.5</c:v>
                </c:pt>
                <c:pt idx="120">
                  <c:v>11.6</c:v>
                </c:pt>
                <c:pt idx="121">
                  <c:v>11.7</c:v>
                </c:pt>
                <c:pt idx="122">
                  <c:v>11.8</c:v>
                </c:pt>
                <c:pt idx="123">
                  <c:v>11.9</c:v>
                </c:pt>
                <c:pt idx="124">
                  <c:v>12</c:v>
                </c:pt>
                <c:pt idx="125">
                  <c:v>12.1</c:v>
                </c:pt>
                <c:pt idx="126">
                  <c:v>12.2</c:v>
                </c:pt>
                <c:pt idx="127">
                  <c:v>12.3</c:v>
                </c:pt>
                <c:pt idx="128">
                  <c:v>12.4</c:v>
                </c:pt>
                <c:pt idx="129">
                  <c:v>12.5</c:v>
                </c:pt>
                <c:pt idx="130">
                  <c:v>12.6</c:v>
                </c:pt>
                <c:pt idx="131">
                  <c:v>12.7</c:v>
                </c:pt>
                <c:pt idx="132">
                  <c:v>12.8</c:v>
                </c:pt>
                <c:pt idx="133">
                  <c:v>12.9</c:v>
                </c:pt>
                <c:pt idx="134">
                  <c:v>13</c:v>
                </c:pt>
                <c:pt idx="135">
                  <c:v>13.1</c:v>
                </c:pt>
                <c:pt idx="136">
                  <c:v>13.2</c:v>
                </c:pt>
                <c:pt idx="137">
                  <c:v>13.3</c:v>
                </c:pt>
                <c:pt idx="138">
                  <c:v>13.4</c:v>
                </c:pt>
                <c:pt idx="139">
                  <c:v>13.5</c:v>
                </c:pt>
                <c:pt idx="140">
                  <c:v>13.6</c:v>
                </c:pt>
                <c:pt idx="141">
                  <c:v>13.7</c:v>
                </c:pt>
                <c:pt idx="142">
                  <c:v>13.8</c:v>
                </c:pt>
                <c:pt idx="143">
                  <c:v>13.9</c:v>
                </c:pt>
                <c:pt idx="144">
                  <c:v>14</c:v>
                </c:pt>
                <c:pt idx="145">
                  <c:v>14.1</c:v>
                </c:pt>
                <c:pt idx="146">
                  <c:v>14.2</c:v>
                </c:pt>
                <c:pt idx="147">
                  <c:v>14.3</c:v>
                </c:pt>
                <c:pt idx="148">
                  <c:v>14.4</c:v>
                </c:pt>
                <c:pt idx="149">
                  <c:v>14.5</c:v>
                </c:pt>
                <c:pt idx="150">
                  <c:v>14.6</c:v>
                </c:pt>
                <c:pt idx="151">
                  <c:v>14.7</c:v>
                </c:pt>
                <c:pt idx="152">
                  <c:v>14.8</c:v>
                </c:pt>
                <c:pt idx="153">
                  <c:v>14.9</c:v>
                </c:pt>
                <c:pt idx="154">
                  <c:v>15</c:v>
                </c:pt>
                <c:pt idx="155">
                  <c:v>15.1</c:v>
                </c:pt>
                <c:pt idx="156">
                  <c:v>15.2</c:v>
                </c:pt>
                <c:pt idx="157">
                  <c:v>15.3</c:v>
                </c:pt>
                <c:pt idx="158">
                  <c:v>15.4</c:v>
                </c:pt>
                <c:pt idx="159">
                  <c:v>15.5</c:v>
                </c:pt>
                <c:pt idx="160">
                  <c:v>15.6</c:v>
                </c:pt>
                <c:pt idx="161">
                  <c:v>15.7</c:v>
                </c:pt>
                <c:pt idx="162">
                  <c:v>15.8</c:v>
                </c:pt>
                <c:pt idx="163">
                  <c:v>15.9</c:v>
                </c:pt>
                <c:pt idx="164">
                  <c:v>16</c:v>
                </c:pt>
                <c:pt idx="165">
                  <c:v>16.1</c:v>
                </c:pt>
                <c:pt idx="166">
                  <c:v>16.2</c:v>
                </c:pt>
                <c:pt idx="167">
                  <c:v>16.3</c:v>
                </c:pt>
                <c:pt idx="168">
                  <c:v>16.4</c:v>
                </c:pt>
                <c:pt idx="169">
                  <c:v>16.5</c:v>
                </c:pt>
                <c:pt idx="170">
                  <c:v>16.6</c:v>
                </c:pt>
                <c:pt idx="171">
                  <c:v>16.7</c:v>
                </c:pt>
                <c:pt idx="172">
                  <c:v>16.8</c:v>
                </c:pt>
                <c:pt idx="173">
                  <c:v>16.9</c:v>
                </c:pt>
                <c:pt idx="174">
                  <c:v>17</c:v>
                </c:pt>
                <c:pt idx="175">
                  <c:v>17.1</c:v>
                </c:pt>
                <c:pt idx="176">
                  <c:v>17.2</c:v>
                </c:pt>
                <c:pt idx="177">
                  <c:v>17.3</c:v>
                </c:pt>
                <c:pt idx="178">
                  <c:v>17.4</c:v>
                </c:pt>
                <c:pt idx="179">
                  <c:v>17.5</c:v>
                </c:pt>
                <c:pt idx="180">
                  <c:v>17.6</c:v>
                </c:pt>
                <c:pt idx="181">
                  <c:v>17.7</c:v>
                </c:pt>
                <c:pt idx="182">
                  <c:v>17.8</c:v>
                </c:pt>
                <c:pt idx="183">
                  <c:v>17.9</c:v>
                </c:pt>
                <c:pt idx="184">
                  <c:v>18</c:v>
                </c:pt>
                <c:pt idx="185">
                  <c:v>18.1</c:v>
                </c:pt>
                <c:pt idx="186">
                  <c:v>18.2</c:v>
                </c:pt>
                <c:pt idx="187">
                  <c:v>18.3</c:v>
                </c:pt>
                <c:pt idx="188">
                  <c:v>18.4</c:v>
                </c:pt>
                <c:pt idx="189">
                  <c:v>18.5</c:v>
                </c:pt>
                <c:pt idx="190">
                  <c:v>18.6</c:v>
                </c:pt>
                <c:pt idx="191">
                  <c:v>18.7</c:v>
                </c:pt>
                <c:pt idx="192">
                  <c:v>18.8</c:v>
                </c:pt>
                <c:pt idx="193">
                  <c:v>18.9</c:v>
                </c:pt>
                <c:pt idx="194">
                  <c:v>19</c:v>
                </c:pt>
                <c:pt idx="195">
                  <c:v>19.1</c:v>
                </c:pt>
                <c:pt idx="196">
                  <c:v>19.2</c:v>
                </c:pt>
                <c:pt idx="197">
                  <c:v>19.3</c:v>
                </c:pt>
                <c:pt idx="198">
                  <c:v>19.4</c:v>
                </c:pt>
                <c:pt idx="199">
                  <c:v>19.5</c:v>
                </c:pt>
                <c:pt idx="200">
                  <c:v>19.6</c:v>
                </c:pt>
                <c:pt idx="201">
                  <c:v>19.7</c:v>
                </c:pt>
                <c:pt idx="202">
                  <c:v>19.8</c:v>
                </c:pt>
                <c:pt idx="203">
                  <c:v>19.9</c:v>
                </c:pt>
                <c:pt idx="204">
                  <c:v>20</c:v>
                </c:pt>
                <c:pt idx="205">
                  <c:v>20.1</c:v>
                </c:pt>
                <c:pt idx="206">
                  <c:v>20.2</c:v>
                </c:pt>
                <c:pt idx="207">
                  <c:v>20.3</c:v>
                </c:pt>
                <c:pt idx="208">
                  <c:v>20.4</c:v>
                </c:pt>
                <c:pt idx="209">
                  <c:v>20.5</c:v>
                </c:pt>
                <c:pt idx="210">
                  <c:v>20.6</c:v>
                </c:pt>
                <c:pt idx="211">
                  <c:v>20.7</c:v>
                </c:pt>
                <c:pt idx="212">
                  <c:v>20.8</c:v>
                </c:pt>
                <c:pt idx="213">
                  <c:v>20.9</c:v>
                </c:pt>
                <c:pt idx="214">
                  <c:v>21</c:v>
                </c:pt>
                <c:pt idx="215">
                  <c:v>21.1</c:v>
                </c:pt>
                <c:pt idx="216">
                  <c:v>21.2</c:v>
                </c:pt>
                <c:pt idx="217">
                  <c:v>21.3</c:v>
                </c:pt>
                <c:pt idx="218">
                  <c:v>21.4</c:v>
                </c:pt>
                <c:pt idx="219">
                  <c:v>21.5</c:v>
                </c:pt>
                <c:pt idx="220">
                  <c:v>21.6</c:v>
                </c:pt>
                <c:pt idx="221">
                  <c:v>21.7</c:v>
                </c:pt>
                <c:pt idx="222">
                  <c:v>21.8</c:v>
                </c:pt>
                <c:pt idx="223">
                  <c:v>21.9</c:v>
                </c:pt>
                <c:pt idx="224">
                  <c:v>22</c:v>
                </c:pt>
                <c:pt idx="225">
                  <c:v>22.1</c:v>
                </c:pt>
                <c:pt idx="226">
                  <c:v>22.2</c:v>
                </c:pt>
                <c:pt idx="227">
                  <c:v>22.3</c:v>
                </c:pt>
                <c:pt idx="228">
                  <c:v>22.4</c:v>
                </c:pt>
                <c:pt idx="229">
                  <c:v>22.5</c:v>
                </c:pt>
                <c:pt idx="230">
                  <c:v>22.6</c:v>
                </c:pt>
                <c:pt idx="231">
                  <c:v>22.7</c:v>
                </c:pt>
                <c:pt idx="232">
                  <c:v>22.8</c:v>
                </c:pt>
                <c:pt idx="233">
                  <c:v>22.9</c:v>
                </c:pt>
                <c:pt idx="234">
                  <c:v>23</c:v>
                </c:pt>
                <c:pt idx="235">
                  <c:v>23.1</c:v>
                </c:pt>
                <c:pt idx="236">
                  <c:v>23.2</c:v>
                </c:pt>
                <c:pt idx="237">
                  <c:v>23.3</c:v>
                </c:pt>
                <c:pt idx="238">
                  <c:v>23.4</c:v>
                </c:pt>
                <c:pt idx="239">
                  <c:v>23.5</c:v>
                </c:pt>
                <c:pt idx="240">
                  <c:v>23.6</c:v>
                </c:pt>
                <c:pt idx="241">
                  <c:v>23.7</c:v>
                </c:pt>
                <c:pt idx="242">
                  <c:v>23.8</c:v>
                </c:pt>
                <c:pt idx="243">
                  <c:v>23.9</c:v>
                </c:pt>
                <c:pt idx="244">
                  <c:v>24</c:v>
                </c:pt>
                <c:pt idx="245">
                  <c:v>24.1</c:v>
                </c:pt>
                <c:pt idx="246">
                  <c:v>24.2</c:v>
                </c:pt>
                <c:pt idx="247">
                  <c:v>24.3</c:v>
                </c:pt>
                <c:pt idx="248">
                  <c:v>24.4</c:v>
                </c:pt>
                <c:pt idx="249">
                  <c:v>24.5</c:v>
                </c:pt>
                <c:pt idx="250">
                  <c:v>24.6</c:v>
                </c:pt>
                <c:pt idx="251">
                  <c:v>24.7</c:v>
                </c:pt>
                <c:pt idx="252">
                  <c:v>24.8</c:v>
                </c:pt>
                <c:pt idx="253">
                  <c:v>24.9</c:v>
                </c:pt>
                <c:pt idx="254">
                  <c:v>25</c:v>
                </c:pt>
                <c:pt idx="255">
                  <c:v>25.1</c:v>
                </c:pt>
                <c:pt idx="256">
                  <c:v>25.2</c:v>
                </c:pt>
                <c:pt idx="257">
                  <c:v>25.3</c:v>
                </c:pt>
                <c:pt idx="258">
                  <c:v>25.4</c:v>
                </c:pt>
                <c:pt idx="259">
                  <c:v>25.5</c:v>
                </c:pt>
                <c:pt idx="260">
                  <c:v>25.6</c:v>
                </c:pt>
                <c:pt idx="261">
                  <c:v>25.7</c:v>
                </c:pt>
                <c:pt idx="262">
                  <c:v>25.8</c:v>
                </c:pt>
                <c:pt idx="263">
                  <c:v>25.9</c:v>
                </c:pt>
                <c:pt idx="264">
                  <c:v>26</c:v>
                </c:pt>
                <c:pt idx="265">
                  <c:v>26.1</c:v>
                </c:pt>
                <c:pt idx="266">
                  <c:v>26.2</c:v>
                </c:pt>
                <c:pt idx="267">
                  <c:v>26.3</c:v>
                </c:pt>
                <c:pt idx="268">
                  <c:v>26.4</c:v>
                </c:pt>
                <c:pt idx="269">
                  <c:v>26.5</c:v>
                </c:pt>
                <c:pt idx="270">
                  <c:v>26.6</c:v>
                </c:pt>
                <c:pt idx="271">
                  <c:v>26.7</c:v>
                </c:pt>
                <c:pt idx="272">
                  <c:v>26.8</c:v>
                </c:pt>
                <c:pt idx="273">
                  <c:v>26.9</c:v>
                </c:pt>
                <c:pt idx="274">
                  <c:v>27</c:v>
                </c:pt>
                <c:pt idx="275">
                  <c:v>27.1</c:v>
                </c:pt>
                <c:pt idx="276">
                  <c:v>27.2</c:v>
                </c:pt>
                <c:pt idx="277">
                  <c:v>27.3</c:v>
                </c:pt>
                <c:pt idx="278">
                  <c:v>27.4</c:v>
                </c:pt>
                <c:pt idx="279">
                  <c:v>27.5</c:v>
                </c:pt>
                <c:pt idx="280">
                  <c:v>27.6</c:v>
                </c:pt>
                <c:pt idx="281">
                  <c:v>27.7</c:v>
                </c:pt>
                <c:pt idx="282">
                  <c:v>27.8</c:v>
                </c:pt>
                <c:pt idx="283">
                  <c:v>27.9</c:v>
                </c:pt>
                <c:pt idx="284">
                  <c:v>28</c:v>
                </c:pt>
                <c:pt idx="285">
                  <c:v>28.1</c:v>
                </c:pt>
                <c:pt idx="286">
                  <c:v>28.2</c:v>
                </c:pt>
                <c:pt idx="287">
                  <c:v>28.3</c:v>
                </c:pt>
                <c:pt idx="288">
                  <c:v>28.4</c:v>
                </c:pt>
                <c:pt idx="289">
                  <c:v>28.5</c:v>
                </c:pt>
                <c:pt idx="290">
                  <c:v>28.6</c:v>
                </c:pt>
                <c:pt idx="291">
                  <c:v>28.7</c:v>
                </c:pt>
                <c:pt idx="292">
                  <c:v>28.8</c:v>
                </c:pt>
                <c:pt idx="293">
                  <c:v>28.9</c:v>
                </c:pt>
                <c:pt idx="294">
                  <c:v>29</c:v>
                </c:pt>
                <c:pt idx="295">
                  <c:v>29.1</c:v>
                </c:pt>
                <c:pt idx="296">
                  <c:v>29.2</c:v>
                </c:pt>
                <c:pt idx="297">
                  <c:v>29.3</c:v>
                </c:pt>
                <c:pt idx="298">
                  <c:v>29.4</c:v>
                </c:pt>
                <c:pt idx="299">
                  <c:v>29.5</c:v>
                </c:pt>
                <c:pt idx="300">
                  <c:v>29.6</c:v>
                </c:pt>
                <c:pt idx="301">
                  <c:v>29.7</c:v>
                </c:pt>
                <c:pt idx="302">
                  <c:v>29.8</c:v>
                </c:pt>
                <c:pt idx="303">
                  <c:v>29.9</c:v>
                </c:pt>
                <c:pt idx="304">
                  <c:v>30</c:v>
                </c:pt>
                <c:pt idx="305">
                  <c:v>30.1</c:v>
                </c:pt>
                <c:pt idx="306">
                  <c:v>30.2</c:v>
                </c:pt>
                <c:pt idx="307">
                  <c:v>30.3</c:v>
                </c:pt>
                <c:pt idx="308">
                  <c:v>30.4</c:v>
                </c:pt>
                <c:pt idx="309">
                  <c:v>30.5</c:v>
                </c:pt>
                <c:pt idx="310">
                  <c:v>30.6</c:v>
                </c:pt>
                <c:pt idx="311">
                  <c:v>30.7</c:v>
                </c:pt>
                <c:pt idx="312">
                  <c:v>30.8</c:v>
                </c:pt>
                <c:pt idx="313">
                  <c:v>30.9</c:v>
                </c:pt>
                <c:pt idx="314">
                  <c:v>31</c:v>
                </c:pt>
                <c:pt idx="315">
                  <c:v>31.1</c:v>
                </c:pt>
                <c:pt idx="316">
                  <c:v>31.2</c:v>
                </c:pt>
                <c:pt idx="317">
                  <c:v>31.3</c:v>
                </c:pt>
                <c:pt idx="318">
                  <c:v>31.4</c:v>
                </c:pt>
                <c:pt idx="319">
                  <c:v>31.5</c:v>
                </c:pt>
                <c:pt idx="320">
                  <c:v>31.6</c:v>
                </c:pt>
                <c:pt idx="321">
                  <c:v>31.7</c:v>
                </c:pt>
                <c:pt idx="322">
                  <c:v>31.8</c:v>
                </c:pt>
                <c:pt idx="323">
                  <c:v>31.9</c:v>
                </c:pt>
                <c:pt idx="324">
                  <c:v>32</c:v>
                </c:pt>
                <c:pt idx="325">
                  <c:v>32.1</c:v>
                </c:pt>
                <c:pt idx="326">
                  <c:v>32.2</c:v>
                </c:pt>
                <c:pt idx="327">
                  <c:v>32.3</c:v>
                </c:pt>
                <c:pt idx="328">
                  <c:v>32.4</c:v>
                </c:pt>
                <c:pt idx="329">
                  <c:v>32.5</c:v>
                </c:pt>
                <c:pt idx="330">
                  <c:v>32.6</c:v>
                </c:pt>
                <c:pt idx="331">
                  <c:v>32.7</c:v>
                </c:pt>
                <c:pt idx="332">
                  <c:v>32.8</c:v>
                </c:pt>
                <c:pt idx="333">
                  <c:v>32.9</c:v>
                </c:pt>
                <c:pt idx="334">
                  <c:v>33</c:v>
                </c:pt>
                <c:pt idx="335">
                  <c:v>33.1</c:v>
                </c:pt>
                <c:pt idx="336">
                  <c:v>33.2</c:v>
                </c:pt>
                <c:pt idx="337">
                  <c:v>33.3</c:v>
                </c:pt>
                <c:pt idx="338">
                  <c:v>33.4</c:v>
                </c:pt>
                <c:pt idx="339">
                  <c:v>33.5</c:v>
                </c:pt>
                <c:pt idx="340">
                  <c:v>33.6</c:v>
                </c:pt>
                <c:pt idx="341">
                  <c:v>33.7</c:v>
                </c:pt>
                <c:pt idx="342">
                  <c:v>33.8</c:v>
                </c:pt>
                <c:pt idx="343">
                  <c:v>33.9</c:v>
                </c:pt>
                <c:pt idx="344">
                  <c:v>34</c:v>
                </c:pt>
                <c:pt idx="345">
                  <c:v>34.1</c:v>
                </c:pt>
                <c:pt idx="346">
                  <c:v>34.2</c:v>
                </c:pt>
                <c:pt idx="347">
                  <c:v>34.3</c:v>
                </c:pt>
                <c:pt idx="348">
                  <c:v>34.4</c:v>
                </c:pt>
                <c:pt idx="349">
                  <c:v>34.5</c:v>
                </c:pt>
                <c:pt idx="350">
                  <c:v>34.6</c:v>
                </c:pt>
                <c:pt idx="351">
                  <c:v>34.7</c:v>
                </c:pt>
                <c:pt idx="352">
                  <c:v>34.8</c:v>
                </c:pt>
                <c:pt idx="353">
                  <c:v>34.9</c:v>
                </c:pt>
                <c:pt idx="354">
                  <c:v>35</c:v>
                </c:pt>
                <c:pt idx="355">
                  <c:v>35.1</c:v>
                </c:pt>
                <c:pt idx="356">
                  <c:v>35.2</c:v>
                </c:pt>
                <c:pt idx="357">
                  <c:v>35.3</c:v>
                </c:pt>
                <c:pt idx="358">
                  <c:v>35.4</c:v>
                </c:pt>
                <c:pt idx="359">
                  <c:v>35.5</c:v>
                </c:pt>
                <c:pt idx="360">
                  <c:v>35.6</c:v>
                </c:pt>
                <c:pt idx="361">
                  <c:v>35.7</c:v>
                </c:pt>
                <c:pt idx="362">
                  <c:v>35.8</c:v>
                </c:pt>
                <c:pt idx="363">
                  <c:v>35.9</c:v>
                </c:pt>
                <c:pt idx="364">
                  <c:v>36</c:v>
                </c:pt>
                <c:pt idx="365">
                  <c:v>36.1</c:v>
                </c:pt>
                <c:pt idx="366">
                  <c:v>36.2</c:v>
                </c:pt>
                <c:pt idx="367">
                  <c:v>36.3</c:v>
                </c:pt>
                <c:pt idx="368">
                  <c:v>36.4</c:v>
                </c:pt>
                <c:pt idx="369">
                  <c:v>36.5</c:v>
                </c:pt>
                <c:pt idx="370">
                  <c:v>36.6</c:v>
                </c:pt>
                <c:pt idx="371">
                  <c:v>36.7</c:v>
                </c:pt>
                <c:pt idx="372">
                  <c:v>36.8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37.2</c:v>
                </c:pt>
                <c:pt idx="377">
                  <c:v>37.3</c:v>
                </c:pt>
                <c:pt idx="378">
                  <c:v>37.4</c:v>
                </c:pt>
                <c:pt idx="379">
                  <c:v>37.5</c:v>
                </c:pt>
                <c:pt idx="380">
                  <c:v>37.6</c:v>
                </c:pt>
                <c:pt idx="381">
                  <c:v>37.7</c:v>
                </c:pt>
                <c:pt idx="382">
                  <c:v>37.8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38.2</c:v>
                </c:pt>
                <c:pt idx="387">
                  <c:v>38.3</c:v>
                </c:pt>
                <c:pt idx="388">
                  <c:v>38.4</c:v>
                </c:pt>
                <c:pt idx="389">
                  <c:v>38.5</c:v>
                </c:pt>
                <c:pt idx="390">
                  <c:v>38.6</c:v>
                </c:pt>
                <c:pt idx="391">
                  <c:v>38.7</c:v>
                </c:pt>
                <c:pt idx="392">
                  <c:v>38.8</c:v>
                </c:pt>
                <c:pt idx="393">
                  <c:v>38.9</c:v>
                </c:pt>
                <c:pt idx="394">
                  <c:v>39</c:v>
                </c:pt>
                <c:pt idx="395">
                  <c:v>39.1</c:v>
                </c:pt>
                <c:pt idx="396">
                  <c:v>39.2</c:v>
                </c:pt>
                <c:pt idx="397">
                  <c:v>39.3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39.7</c:v>
                </c:pt>
                <c:pt idx="402">
                  <c:v>39.8</c:v>
                </c:pt>
                <c:pt idx="403">
                  <c:v>39.9</c:v>
                </c:pt>
                <c:pt idx="404">
                  <c:v>40</c:v>
                </c:pt>
                <c:pt idx="405">
                  <c:v>40.1</c:v>
                </c:pt>
                <c:pt idx="406">
                  <c:v>40.2</c:v>
                </c:pt>
                <c:pt idx="407">
                  <c:v>40.3</c:v>
                </c:pt>
                <c:pt idx="408">
                  <c:v>40.4</c:v>
                </c:pt>
                <c:pt idx="409">
                  <c:v>40.5</c:v>
                </c:pt>
                <c:pt idx="410">
                  <c:v>40.6</c:v>
                </c:pt>
                <c:pt idx="411">
                  <c:v>40.7</c:v>
                </c:pt>
                <c:pt idx="412">
                  <c:v>40.8</c:v>
                </c:pt>
                <c:pt idx="413">
                  <c:v>40.9</c:v>
                </c:pt>
                <c:pt idx="414">
                  <c:v>41</c:v>
                </c:pt>
                <c:pt idx="415">
                  <c:v>41.1</c:v>
                </c:pt>
                <c:pt idx="416">
                  <c:v>41.2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41.6</c:v>
                </c:pt>
                <c:pt idx="421">
                  <c:v>41.7</c:v>
                </c:pt>
                <c:pt idx="422">
                  <c:v>41.8</c:v>
                </c:pt>
                <c:pt idx="423">
                  <c:v>41.9</c:v>
                </c:pt>
                <c:pt idx="424">
                  <c:v>42</c:v>
                </c:pt>
                <c:pt idx="425">
                  <c:v>42.1</c:v>
                </c:pt>
                <c:pt idx="426">
                  <c:v>42.2</c:v>
                </c:pt>
                <c:pt idx="427">
                  <c:v>42.3</c:v>
                </c:pt>
                <c:pt idx="428">
                  <c:v>42.4</c:v>
                </c:pt>
                <c:pt idx="429">
                  <c:v>42.5</c:v>
                </c:pt>
                <c:pt idx="430">
                  <c:v>42.6</c:v>
                </c:pt>
                <c:pt idx="431">
                  <c:v>42.7</c:v>
                </c:pt>
                <c:pt idx="432">
                  <c:v>42.8</c:v>
                </c:pt>
                <c:pt idx="433">
                  <c:v>42.9</c:v>
                </c:pt>
                <c:pt idx="434">
                  <c:v>43</c:v>
                </c:pt>
                <c:pt idx="435">
                  <c:v>43.1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43.9</c:v>
                </c:pt>
                <c:pt idx="444">
                  <c:v>44</c:v>
                </c:pt>
                <c:pt idx="445">
                  <c:v>44.1</c:v>
                </c:pt>
                <c:pt idx="446">
                  <c:v>44.2</c:v>
                </c:pt>
                <c:pt idx="447">
                  <c:v>44.3</c:v>
                </c:pt>
                <c:pt idx="448">
                  <c:v>44.4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45</c:v>
                </c:pt>
                <c:pt idx="455">
                  <c:v>45.1</c:v>
                </c:pt>
                <c:pt idx="456">
                  <c:v>45.2</c:v>
                </c:pt>
                <c:pt idx="457">
                  <c:v>45.3</c:v>
                </c:pt>
                <c:pt idx="458">
                  <c:v>45.4</c:v>
                </c:pt>
                <c:pt idx="459">
                  <c:v>45.5</c:v>
                </c:pt>
                <c:pt idx="460">
                  <c:v>45.6</c:v>
                </c:pt>
                <c:pt idx="461">
                  <c:v>45.7</c:v>
                </c:pt>
                <c:pt idx="462">
                  <c:v>45.8</c:v>
                </c:pt>
                <c:pt idx="463">
                  <c:v>45.9</c:v>
                </c:pt>
                <c:pt idx="464">
                  <c:v>46</c:v>
                </c:pt>
                <c:pt idx="465">
                  <c:v>46.1</c:v>
                </c:pt>
                <c:pt idx="466">
                  <c:v>46.2</c:v>
                </c:pt>
                <c:pt idx="467">
                  <c:v>46.3</c:v>
                </c:pt>
                <c:pt idx="468">
                  <c:v>46.4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46.8</c:v>
                </c:pt>
                <c:pt idx="473">
                  <c:v>46.9</c:v>
                </c:pt>
                <c:pt idx="474">
                  <c:v>47</c:v>
                </c:pt>
                <c:pt idx="475">
                  <c:v>47.1</c:v>
                </c:pt>
                <c:pt idx="476">
                  <c:v>47.2</c:v>
                </c:pt>
                <c:pt idx="477">
                  <c:v>47.3</c:v>
                </c:pt>
                <c:pt idx="478">
                  <c:v>47.4</c:v>
                </c:pt>
                <c:pt idx="479">
                  <c:v>47.5</c:v>
                </c:pt>
                <c:pt idx="480">
                  <c:v>47.6</c:v>
                </c:pt>
                <c:pt idx="481">
                  <c:v>47.7</c:v>
                </c:pt>
                <c:pt idx="482">
                  <c:v>47.8</c:v>
                </c:pt>
                <c:pt idx="483">
                  <c:v>47.9</c:v>
                </c:pt>
                <c:pt idx="484">
                  <c:v>48</c:v>
                </c:pt>
                <c:pt idx="485">
                  <c:v>48.1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48.5</c:v>
                </c:pt>
                <c:pt idx="490">
                  <c:v>48.6</c:v>
                </c:pt>
                <c:pt idx="491">
                  <c:v>48.7</c:v>
                </c:pt>
                <c:pt idx="492">
                  <c:v>48.8</c:v>
                </c:pt>
                <c:pt idx="493">
                  <c:v>48.9</c:v>
                </c:pt>
                <c:pt idx="494">
                  <c:v>49</c:v>
                </c:pt>
                <c:pt idx="495">
                  <c:v>49.1</c:v>
                </c:pt>
                <c:pt idx="496">
                  <c:v>49.2</c:v>
                </c:pt>
                <c:pt idx="497">
                  <c:v>49.3</c:v>
                </c:pt>
                <c:pt idx="498">
                  <c:v>49.4</c:v>
                </c:pt>
                <c:pt idx="499">
                  <c:v>49.5</c:v>
                </c:pt>
                <c:pt idx="500">
                  <c:v>49.6</c:v>
                </c:pt>
                <c:pt idx="501">
                  <c:v>49.7</c:v>
                </c:pt>
                <c:pt idx="502">
                  <c:v>49.8</c:v>
                </c:pt>
                <c:pt idx="503">
                  <c:v>49.9</c:v>
                </c:pt>
                <c:pt idx="504">
                  <c:v>50</c:v>
                </c:pt>
                <c:pt idx="505">
                  <c:v>50.1</c:v>
                </c:pt>
                <c:pt idx="506">
                  <c:v>50.2</c:v>
                </c:pt>
                <c:pt idx="507">
                  <c:v>50.3</c:v>
                </c:pt>
                <c:pt idx="508">
                  <c:v>50.4</c:v>
                </c:pt>
                <c:pt idx="509">
                  <c:v>50.5</c:v>
                </c:pt>
                <c:pt idx="510">
                  <c:v>50.6</c:v>
                </c:pt>
                <c:pt idx="511">
                  <c:v>50.7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51.1</c:v>
                </c:pt>
                <c:pt idx="516">
                  <c:v>51.2</c:v>
                </c:pt>
                <c:pt idx="517">
                  <c:v>51.3</c:v>
                </c:pt>
                <c:pt idx="518">
                  <c:v>51.4</c:v>
                </c:pt>
                <c:pt idx="519">
                  <c:v>51.5</c:v>
                </c:pt>
                <c:pt idx="520">
                  <c:v>51.6</c:v>
                </c:pt>
                <c:pt idx="521">
                  <c:v>51.7</c:v>
                </c:pt>
                <c:pt idx="522">
                  <c:v>51.8</c:v>
                </c:pt>
                <c:pt idx="523">
                  <c:v>51.9</c:v>
                </c:pt>
                <c:pt idx="524">
                  <c:v>52</c:v>
                </c:pt>
                <c:pt idx="525">
                  <c:v>52.1</c:v>
                </c:pt>
                <c:pt idx="526">
                  <c:v>52.2</c:v>
                </c:pt>
                <c:pt idx="527">
                  <c:v>52.3</c:v>
                </c:pt>
                <c:pt idx="528">
                  <c:v>52.4</c:v>
                </c:pt>
                <c:pt idx="529">
                  <c:v>52.5</c:v>
                </c:pt>
                <c:pt idx="530">
                  <c:v>52.6</c:v>
                </c:pt>
                <c:pt idx="531">
                  <c:v>52.7</c:v>
                </c:pt>
                <c:pt idx="532">
                  <c:v>52.8</c:v>
                </c:pt>
                <c:pt idx="533">
                  <c:v>52.9</c:v>
                </c:pt>
                <c:pt idx="534">
                  <c:v>53</c:v>
                </c:pt>
                <c:pt idx="535">
                  <c:v>53.1</c:v>
                </c:pt>
                <c:pt idx="536">
                  <c:v>53.2</c:v>
                </c:pt>
                <c:pt idx="537">
                  <c:v>53.3</c:v>
                </c:pt>
                <c:pt idx="538">
                  <c:v>53.4</c:v>
                </c:pt>
                <c:pt idx="539">
                  <c:v>53.5</c:v>
                </c:pt>
                <c:pt idx="540">
                  <c:v>53.6</c:v>
                </c:pt>
                <c:pt idx="541">
                  <c:v>53.7</c:v>
                </c:pt>
                <c:pt idx="542">
                  <c:v>53.8</c:v>
                </c:pt>
                <c:pt idx="543">
                  <c:v>53.9</c:v>
                </c:pt>
                <c:pt idx="544">
                  <c:v>54</c:v>
                </c:pt>
                <c:pt idx="545">
                  <c:v>54.1</c:v>
                </c:pt>
                <c:pt idx="546">
                  <c:v>54.2</c:v>
                </c:pt>
                <c:pt idx="547">
                  <c:v>54.3</c:v>
                </c:pt>
                <c:pt idx="548">
                  <c:v>54.4</c:v>
                </c:pt>
                <c:pt idx="549">
                  <c:v>54.5</c:v>
                </c:pt>
                <c:pt idx="550">
                  <c:v>54.6</c:v>
                </c:pt>
                <c:pt idx="551">
                  <c:v>54.7</c:v>
                </c:pt>
                <c:pt idx="552">
                  <c:v>54.8</c:v>
                </c:pt>
                <c:pt idx="553">
                  <c:v>54.9</c:v>
                </c:pt>
                <c:pt idx="554">
                  <c:v>55</c:v>
                </c:pt>
                <c:pt idx="555">
                  <c:v>55.1</c:v>
                </c:pt>
                <c:pt idx="556">
                  <c:v>55.2</c:v>
                </c:pt>
                <c:pt idx="557">
                  <c:v>55.3</c:v>
                </c:pt>
                <c:pt idx="558">
                  <c:v>55.4</c:v>
                </c:pt>
                <c:pt idx="559">
                  <c:v>55.5</c:v>
                </c:pt>
                <c:pt idx="560">
                  <c:v>55.6</c:v>
                </c:pt>
                <c:pt idx="561">
                  <c:v>55.7</c:v>
                </c:pt>
                <c:pt idx="562">
                  <c:v>55.8</c:v>
                </c:pt>
                <c:pt idx="563">
                  <c:v>55.9</c:v>
                </c:pt>
                <c:pt idx="564">
                  <c:v>56</c:v>
                </c:pt>
                <c:pt idx="565">
                  <c:v>56.1</c:v>
                </c:pt>
                <c:pt idx="566">
                  <c:v>56.2</c:v>
                </c:pt>
                <c:pt idx="567">
                  <c:v>56.3</c:v>
                </c:pt>
                <c:pt idx="568">
                  <c:v>56.4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56.8</c:v>
                </c:pt>
                <c:pt idx="573">
                  <c:v>56.9</c:v>
                </c:pt>
                <c:pt idx="574">
                  <c:v>57</c:v>
                </c:pt>
                <c:pt idx="575">
                  <c:v>57.1</c:v>
                </c:pt>
                <c:pt idx="576">
                  <c:v>57.2</c:v>
                </c:pt>
                <c:pt idx="577">
                  <c:v>57.3</c:v>
                </c:pt>
                <c:pt idx="578">
                  <c:v>57.4</c:v>
                </c:pt>
                <c:pt idx="579">
                  <c:v>57.5</c:v>
                </c:pt>
                <c:pt idx="580">
                  <c:v>57.6</c:v>
                </c:pt>
                <c:pt idx="581">
                  <c:v>57.7</c:v>
                </c:pt>
                <c:pt idx="582">
                  <c:v>57.8</c:v>
                </c:pt>
                <c:pt idx="583">
                  <c:v>57.9</c:v>
                </c:pt>
                <c:pt idx="584">
                  <c:v>58</c:v>
                </c:pt>
                <c:pt idx="585">
                  <c:v>58.1</c:v>
                </c:pt>
                <c:pt idx="586">
                  <c:v>58.2</c:v>
                </c:pt>
                <c:pt idx="587">
                  <c:v>58.3</c:v>
                </c:pt>
                <c:pt idx="588">
                  <c:v>58.4</c:v>
                </c:pt>
                <c:pt idx="589">
                  <c:v>58.5</c:v>
                </c:pt>
                <c:pt idx="590">
                  <c:v>58.6</c:v>
                </c:pt>
                <c:pt idx="591">
                  <c:v>58.7</c:v>
                </c:pt>
                <c:pt idx="592">
                  <c:v>58.8</c:v>
                </c:pt>
                <c:pt idx="593">
                  <c:v>58.9</c:v>
                </c:pt>
                <c:pt idx="594">
                  <c:v>59</c:v>
                </c:pt>
                <c:pt idx="595">
                  <c:v>59.1</c:v>
                </c:pt>
                <c:pt idx="596">
                  <c:v>59.2</c:v>
                </c:pt>
                <c:pt idx="597">
                  <c:v>59.3</c:v>
                </c:pt>
                <c:pt idx="598">
                  <c:v>59.4</c:v>
                </c:pt>
                <c:pt idx="599">
                  <c:v>59.5</c:v>
                </c:pt>
                <c:pt idx="600">
                  <c:v>59.6</c:v>
                </c:pt>
                <c:pt idx="601">
                  <c:v>59.7</c:v>
                </c:pt>
                <c:pt idx="602">
                  <c:v>59.8</c:v>
                </c:pt>
                <c:pt idx="603">
                  <c:v>59.9</c:v>
                </c:pt>
                <c:pt idx="604">
                  <c:v>60</c:v>
                </c:pt>
                <c:pt idx="605">
                  <c:v>60.1</c:v>
                </c:pt>
              </c:strCache>
            </c:strRef>
          </c:xVal>
          <c:yVal>
            <c:numRef>
              <c:f>'Data In'!$C$4:$C$609</c:f>
              <c:numCache>
                <c:formatCode>General</c:formatCode>
                <c:ptCount val="606"/>
                <c:pt idx="0">
                  <c:v>0</c:v>
                </c:pt>
                <c:pt idx="1">
                  <c:v>80</c:v>
                </c:pt>
                <c:pt idx="3">
                  <c:v>0</c:v>
                </c:pt>
                <c:pt idx="4">
                  <c:v>77</c:v>
                </c:pt>
                <c:pt idx="5">
                  <c:v>80</c:v>
                </c:pt>
                <c:pt idx="6">
                  <c:v>80</c:v>
                </c:pt>
                <c:pt idx="7">
                  <c:v>80</c:v>
                </c:pt>
                <c:pt idx="8">
                  <c:v>80</c:v>
                </c:pt>
                <c:pt idx="9">
                  <c:v>80</c:v>
                </c:pt>
                <c:pt idx="10">
                  <c:v>80</c:v>
                </c:pt>
                <c:pt idx="11">
                  <c:v>80</c:v>
                </c:pt>
                <c:pt idx="12">
                  <c:v>80</c:v>
                </c:pt>
                <c:pt idx="13">
                  <c:v>80</c:v>
                </c:pt>
                <c:pt idx="14">
                  <c:v>80</c:v>
                </c:pt>
                <c:pt idx="15">
                  <c:v>80</c:v>
                </c:pt>
                <c:pt idx="16">
                  <c:v>80</c:v>
                </c:pt>
                <c:pt idx="17">
                  <c:v>80</c:v>
                </c:pt>
                <c:pt idx="18">
                  <c:v>80</c:v>
                </c:pt>
                <c:pt idx="19">
                  <c:v>80</c:v>
                </c:pt>
                <c:pt idx="20">
                  <c:v>80</c:v>
                </c:pt>
                <c:pt idx="21">
                  <c:v>80</c:v>
                </c:pt>
                <c:pt idx="22">
                  <c:v>80</c:v>
                </c:pt>
                <c:pt idx="23">
                  <c:v>80</c:v>
                </c:pt>
                <c:pt idx="24">
                  <c:v>80</c:v>
                </c:pt>
                <c:pt idx="25">
                  <c:v>80</c:v>
                </c:pt>
                <c:pt idx="26">
                  <c:v>80</c:v>
                </c:pt>
                <c:pt idx="27">
                  <c:v>80</c:v>
                </c:pt>
                <c:pt idx="28">
                  <c:v>80</c:v>
                </c:pt>
                <c:pt idx="29">
                  <c:v>80</c:v>
                </c:pt>
                <c:pt idx="30">
                  <c:v>80</c:v>
                </c:pt>
                <c:pt idx="31">
                  <c:v>80</c:v>
                </c:pt>
                <c:pt idx="32">
                  <c:v>80</c:v>
                </c:pt>
                <c:pt idx="33">
                  <c:v>80</c:v>
                </c:pt>
                <c:pt idx="34">
                  <c:v>80</c:v>
                </c:pt>
                <c:pt idx="35">
                  <c:v>80</c:v>
                </c:pt>
                <c:pt idx="36">
                  <c:v>80</c:v>
                </c:pt>
                <c:pt idx="37">
                  <c:v>80</c:v>
                </c:pt>
                <c:pt idx="38">
                  <c:v>80</c:v>
                </c:pt>
                <c:pt idx="39">
                  <c:v>80</c:v>
                </c:pt>
                <c:pt idx="40">
                  <c:v>80</c:v>
                </c:pt>
                <c:pt idx="41">
                  <c:v>80</c:v>
                </c:pt>
                <c:pt idx="42">
                  <c:v>80</c:v>
                </c:pt>
                <c:pt idx="43">
                  <c:v>80</c:v>
                </c:pt>
                <c:pt idx="44">
                  <c:v>80</c:v>
                </c:pt>
                <c:pt idx="45">
                  <c:v>80</c:v>
                </c:pt>
                <c:pt idx="46">
                  <c:v>80</c:v>
                </c:pt>
                <c:pt idx="47">
                  <c:v>80</c:v>
                </c:pt>
                <c:pt idx="48">
                  <c:v>80</c:v>
                </c:pt>
                <c:pt idx="49">
                  <c:v>80</c:v>
                </c:pt>
                <c:pt idx="50">
                  <c:v>80</c:v>
                </c:pt>
                <c:pt idx="51">
                  <c:v>80</c:v>
                </c:pt>
                <c:pt idx="52">
                  <c:v>80</c:v>
                </c:pt>
                <c:pt idx="53">
                  <c:v>80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80</c:v>
                </c:pt>
                <c:pt idx="61">
                  <c:v>80</c:v>
                </c:pt>
                <c:pt idx="62">
                  <c:v>80</c:v>
                </c:pt>
                <c:pt idx="63">
                  <c:v>80</c:v>
                </c:pt>
                <c:pt idx="64">
                  <c:v>80</c:v>
                </c:pt>
                <c:pt idx="65">
                  <c:v>80</c:v>
                </c:pt>
                <c:pt idx="66">
                  <c:v>80</c:v>
                </c:pt>
                <c:pt idx="67">
                  <c:v>80</c:v>
                </c:pt>
                <c:pt idx="68">
                  <c:v>80</c:v>
                </c:pt>
                <c:pt idx="69">
                  <c:v>80</c:v>
                </c:pt>
                <c:pt idx="70">
                  <c:v>80</c:v>
                </c:pt>
                <c:pt idx="71">
                  <c:v>80</c:v>
                </c:pt>
                <c:pt idx="72">
                  <c:v>80</c:v>
                </c:pt>
                <c:pt idx="73">
                  <c:v>80</c:v>
                </c:pt>
                <c:pt idx="74">
                  <c:v>80</c:v>
                </c:pt>
                <c:pt idx="75">
                  <c:v>80</c:v>
                </c:pt>
                <c:pt idx="76">
                  <c:v>80</c:v>
                </c:pt>
                <c:pt idx="77">
                  <c:v>80</c:v>
                </c:pt>
                <c:pt idx="78">
                  <c:v>80</c:v>
                </c:pt>
                <c:pt idx="79">
                  <c:v>80</c:v>
                </c:pt>
                <c:pt idx="80">
                  <c:v>80</c:v>
                </c:pt>
                <c:pt idx="81">
                  <c:v>80</c:v>
                </c:pt>
                <c:pt idx="82">
                  <c:v>80</c:v>
                </c:pt>
                <c:pt idx="83">
                  <c:v>80</c:v>
                </c:pt>
                <c:pt idx="84">
                  <c:v>80</c:v>
                </c:pt>
                <c:pt idx="85">
                  <c:v>80</c:v>
                </c:pt>
                <c:pt idx="86">
                  <c:v>80</c:v>
                </c:pt>
                <c:pt idx="87">
                  <c:v>80</c:v>
                </c:pt>
                <c:pt idx="88">
                  <c:v>80</c:v>
                </c:pt>
                <c:pt idx="89">
                  <c:v>80</c:v>
                </c:pt>
                <c:pt idx="90">
                  <c:v>80</c:v>
                </c:pt>
                <c:pt idx="91">
                  <c:v>80</c:v>
                </c:pt>
                <c:pt idx="92">
                  <c:v>80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80</c:v>
                </c:pt>
                <c:pt idx="97">
                  <c:v>80</c:v>
                </c:pt>
                <c:pt idx="98">
                  <c:v>80</c:v>
                </c:pt>
                <c:pt idx="99">
                  <c:v>80</c:v>
                </c:pt>
                <c:pt idx="100">
                  <c:v>80</c:v>
                </c:pt>
                <c:pt idx="101">
                  <c:v>80</c:v>
                </c:pt>
                <c:pt idx="102">
                  <c:v>80</c:v>
                </c:pt>
                <c:pt idx="103">
                  <c:v>80</c:v>
                </c:pt>
                <c:pt idx="104">
                  <c:v>80</c:v>
                </c:pt>
                <c:pt idx="105">
                  <c:v>80</c:v>
                </c:pt>
                <c:pt idx="106">
                  <c:v>80</c:v>
                </c:pt>
                <c:pt idx="107">
                  <c:v>80</c:v>
                </c:pt>
                <c:pt idx="108">
                  <c:v>80</c:v>
                </c:pt>
                <c:pt idx="109">
                  <c:v>80</c:v>
                </c:pt>
                <c:pt idx="110">
                  <c:v>80</c:v>
                </c:pt>
                <c:pt idx="111">
                  <c:v>80</c:v>
                </c:pt>
                <c:pt idx="112">
                  <c:v>80</c:v>
                </c:pt>
                <c:pt idx="113">
                  <c:v>80</c:v>
                </c:pt>
                <c:pt idx="114">
                  <c:v>80</c:v>
                </c:pt>
                <c:pt idx="115">
                  <c:v>80</c:v>
                </c:pt>
                <c:pt idx="116">
                  <c:v>80</c:v>
                </c:pt>
                <c:pt idx="117">
                  <c:v>80</c:v>
                </c:pt>
                <c:pt idx="118">
                  <c:v>80</c:v>
                </c:pt>
                <c:pt idx="119">
                  <c:v>80</c:v>
                </c:pt>
                <c:pt idx="120">
                  <c:v>80</c:v>
                </c:pt>
                <c:pt idx="121">
                  <c:v>80</c:v>
                </c:pt>
                <c:pt idx="122">
                  <c:v>80</c:v>
                </c:pt>
                <c:pt idx="123">
                  <c:v>80</c:v>
                </c:pt>
                <c:pt idx="124">
                  <c:v>80</c:v>
                </c:pt>
                <c:pt idx="125">
                  <c:v>80</c:v>
                </c:pt>
                <c:pt idx="126">
                  <c:v>80</c:v>
                </c:pt>
                <c:pt idx="127">
                  <c:v>80</c:v>
                </c:pt>
                <c:pt idx="128">
                  <c:v>80</c:v>
                </c:pt>
                <c:pt idx="129">
                  <c:v>80</c:v>
                </c:pt>
                <c:pt idx="130">
                  <c:v>80</c:v>
                </c:pt>
                <c:pt idx="131">
                  <c:v>80</c:v>
                </c:pt>
                <c:pt idx="132">
                  <c:v>80</c:v>
                </c:pt>
                <c:pt idx="133">
                  <c:v>80</c:v>
                </c:pt>
                <c:pt idx="134">
                  <c:v>80</c:v>
                </c:pt>
                <c:pt idx="135">
                  <c:v>80</c:v>
                </c:pt>
                <c:pt idx="136">
                  <c:v>80</c:v>
                </c:pt>
                <c:pt idx="137">
                  <c:v>80</c:v>
                </c:pt>
                <c:pt idx="138">
                  <c:v>80</c:v>
                </c:pt>
                <c:pt idx="139">
                  <c:v>80</c:v>
                </c:pt>
                <c:pt idx="140">
                  <c:v>80</c:v>
                </c:pt>
                <c:pt idx="141">
                  <c:v>80</c:v>
                </c:pt>
                <c:pt idx="142">
                  <c:v>80</c:v>
                </c:pt>
                <c:pt idx="143">
                  <c:v>80</c:v>
                </c:pt>
                <c:pt idx="144">
                  <c:v>80</c:v>
                </c:pt>
                <c:pt idx="145">
                  <c:v>80</c:v>
                </c:pt>
                <c:pt idx="146">
                  <c:v>80</c:v>
                </c:pt>
                <c:pt idx="147">
                  <c:v>80</c:v>
                </c:pt>
                <c:pt idx="148">
                  <c:v>80</c:v>
                </c:pt>
                <c:pt idx="149">
                  <c:v>80</c:v>
                </c:pt>
                <c:pt idx="150">
                  <c:v>80</c:v>
                </c:pt>
                <c:pt idx="151">
                  <c:v>80</c:v>
                </c:pt>
                <c:pt idx="152">
                  <c:v>80</c:v>
                </c:pt>
                <c:pt idx="153">
                  <c:v>80</c:v>
                </c:pt>
                <c:pt idx="154">
                  <c:v>80</c:v>
                </c:pt>
                <c:pt idx="155">
                  <c:v>80</c:v>
                </c:pt>
                <c:pt idx="156">
                  <c:v>80</c:v>
                </c:pt>
                <c:pt idx="157">
                  <c:v>80</c:v>
                </c:pt>
                <c:pt idx="158">
                  <c:v>80</c:v>
                </c:pt>
                <c:pt idx="159">
                  <c:v>80</c:v>
                </c:pt>
                <c:pt idx="160">
                  <c:v>80</c:v>
                </c:pt>
                <c:pt idx="161">
                  <c:v>80</c:v>
                </c:pt>
                <c:pt idx="162">
                  <c:v>80</c:v>
                </c:pt>
                <c:pt idx="163">
                  <c:v>80</c:v>
                </c:pt>
                <c:pt idx="164">
                  <c:v>80</c:v>
                </c:pt>
                <c:pt idx="165">
                  <c:v>80</c:v>
                </c:pt>
                <c:pt idx="166">
                  <c:v>80</c:v>
                </c:pt>
                <c:pt idx="167">
                  <c:v>80</c:v>
                </c:pt>
                <c:pt idx="168">
                  <c:v>80</c:v>
                </c:pt>
                <c:pt idx="169">
                  <c:v>80</c:v>
                </c:pt>
                <c:pt idx="170">
                  <c:v>80</c:v>
                </c:pt>
                <c:pt idx="171">
                  <c:v>80</c:v>
                </c:pt>
                <c:pt idx="172">
                  <c:v>80</c:v>
                </c:pt>
                <c:pt idx="173">
                  <c:v>80</c:v>
                </c:pt>
                <c:pt idx="174">
                  <c:v>80</c:v>
                </c:pt>
                <c:pt idx="175">
                  <c:v>80</c:v>
                </c:pt>
                <c:pt idx="176">
                  <c:v>80</c:v>
                </c:pt>
                <c:pt idx="177">
                  <c:v>80</c:v>
                </c:pt>
                <c:pt idx="178">
                  <c:v>80</c:v>
                </c:pt>
                <c:pt idx="179">
                  <c:v>80</c:v>
                </c:pt>
                <c:pt idx="180">
                  <c:v>80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80</c:v>
                </c:pt>
                <c:pt idx="362">
                  <c:v>80</c:v>
                </c:pt>
                <c:pt idx="363">
                  <c:v>80</c:v>
                </c:pt>
                <c:pt idx="364">
                  <c:v>80</c:v>
                </c:pt>
                <c:pt idx="365">
                  <c:v>80</c:v>
                </c:pt>
                <c:pt idx="366">
                  <c:v>80</c:v>
                </c:pt>
                <c:pt idx="367">
                  <c:v>80</c:v>
                </c:pt>
                <c:pt idx="368">
                  <c:v>80</c:v>
                </c:pt>
                <c:pt idx="369">
                  <c:v>80</c:v>
                </c:pt>
                <c:pt idx="370">
                  <c:v>80</c:v>
                </c:pt>
                <c:pt idx="371">
                  <c:v>80</c:v>
                </c:pt>
                <c:pt idx="372">
                  <c:v>80</c:v>
                </c:pt>
                <c:pt idx="373">
                  <c:v>80</c:v>
                </c:pt>
                <c:pt idx="374">
                  <c:v>80</c:v>
                </c:pt>
                <c:pt idx="375">
                  <c:v>80</c:v>
                </c:pt>
                <c:pt idx="376">
                  <c:v>80</c:v>
                </c:pt>
                <c:pt idx="377">
                  <c:v>80</c:v>
                </c:pt>
                <c:pt idx="378">
                  <c:v>80</c:v>
                </c:pt>
                <c:pt idx="379">
                  <c:v>80</c:v>
                </c:pt>
                <c:pt idx="380">
                  <c:v>80</c:v>
                </c:pt>
                <c:pt idx="381">
                  <c:v>80</c:v>
                </c:pt>
                <c:pt idx="382">
                  <c:v>80</c:v>
                </c:pt>
                <c:pt idx="383">
                  <c:v>80</c:v>
                </c:pt>
                <c:pt idx="384">
                  <c:v>80</c:v>
                </c:pt>
                <c:pt idx="385">
                  <c:v>80</c:v>
                </c:pt>
                <c:pt idx="386">
                  <c:v>80</c:v>
                </c:pt>
                <c:pt idx="387">
                  <c:v>80</c:v>
                </c:pt>
                <c:pt idx="388">
                  <c:v>80</c:v>
                </c:pt>
                <c:pt idx="389">
                  <c:v>80</c:v>
                </c:pt>
                <c:pt idx="390">
                  <c:v>80</c:v>
                </c:pt>
                <c:pt idx="391">
                  <c:v>80</c:v>
                </c:pt>
                <c:pt idx="392">
                  <c:v>80</c:v>
                </c:pt>
                <c:pt idx="393">
                  <c:v>80</c:v>
                </c:pt>
                <c:pt idx="394">
                  <c:v>80</c:v>
                </c:pt>
                <c:pt idx="395">
                  <c:v>80</c:v>
                </c:pt>
                <c:pt idx="396">
                  <c:v>80</c:v>
                </c:pt>
                <c:pt idx="397">
                  <c:v>80</c:v>
                </c:pt>
                <c:pt idx="398">
                  <c:v>80</c:v>
                </c:pt>
                <c:pt idx="399">
                  <c:v>80</c:v>
                </c:pt>
                <c:pt idx="400">
                  <c:v>80</c:v>
                </c:pt>
                <c:pt idx="401">
                  <c:v>80</c:v>
                </c:pt>
                <c:pt idx="402">
                  <c:v>80</c:v>
                </c:pt>
                <c:pt idx="403">
                  <c:v>80</c:v>
                </c:pt>
                <c:pt idx="404">
                  <c:v>80</c:v>
                </c:pt>
                <c:pt idx="405">
                  <c:v>80</c:v>
                </c:pt>
                <c:pt idx="406">
                  <c:v>80</c:v>
                </c:pt>
                <c:pt idx="407">
                  <c:v>80</c:v>
                </c:pt>
                <c:pt idx="408">
                  <c:v>80</c:v>
                </c:pt>
                <c:pt idx="409">
                  <c:v>80</c:v>
                </c:pt>
                <c:pt idx="410">
                  <c:v>80</c:v>
                </c:pt>
                <c:pt idx="411">
                  <c:v>80</c:v>
                </c:pt>
                <c:pt idx="412">
                  <c:v>80</c:v>
                </c:pt>
                <c:pt idx="413">
                  <c:v>80</c:v>
                </c:pt>
                <c:pt idx="414">
                  <c:v>80</c:v>
                </c:pt>
                <c:pt idx="415">
                  <c:v>80</c:v>
                </c:pt>
                <c:pt idx="416">
                  <c:v>80</c:v>
                </c:pt>
                <c:pt idx="417">
                  <c:v>80</c:v>
                </c:pt>
                <c:pt idx="418">
                  <c:v>80</c:v>
                </c:pt>
                <c:pt idx="419">
                  <c:v>80</c:v>
                </c:pt>
                <c:pt idx="420">
                  <c:v>80</c:v>
                </c:pt>
                <c:pt idx="421">
                  <c:v>80</c:v>
                </c:pt>
                <c:pt idx="422">
                  <c:v>80</c:v>
                </c:pt>
                <c:pt idx="423">
                  <c:v>80</c:v>
                </c:pt>
                <c:pt idx="424">
                  <c:v>80</c:v>
                </c:pt>
                <c:pt idx="425">
                  <c:v>80</c:v>
                </c:pt>
                <c:pt idx="426">
                  <c:v>80</c:v>
                </c:pt>
                <c:pt idx="427">
                  <c:v>80</c:v>
                </c:pt>
                <c:pt idx="428">
                  <c:v>80</c:v>
                </c:pt>
                <c:pt idx="429">
                  <c:v>80</c:v>
                </c:pt>
                <c:pt idx="430">
                  <c:v>80</c:v>
                </c:pt>
                <c:pt idx="431">
                  <c:v>80</c:v>
                </c:pt>
                <c:pt idx="432">
                  <c:v>80</c:v>
                </c:pt>
                <c:pt idx="433">
                  <c:v>80</c:v>
                </c:pt>
                <c:pt idx="434">
                  <c:v>80</c:v>
                </c:pt>
                <c:pt idx="435">
                  <c:v>80</c:v>
                </c:pt>
                <c:pt idx="436">
                  <c:v>80</c:v>
                </c:pt>
                <c:pt idx="437">
                  <c:v>80</c:v>
                </c:pt>
                <c:pt idx="438">
                  <c:v>80</c:v>
                </c:pt>
                <c:pt idx="439">
                  <c:v>80</c:v>
                </c:pt>
                <c:pt idx="440">
                  <c:v>80</c:v>
                </c:pt>
                <c:pt idx="441">
                  <c:v>80</c:v>
                </c:pt>
                <c:pt idx="442">
                  <c:v>80</c:v>
                </c:pt>
                <c:pt idx="443">
                  <c:v>80</c:v>
                </c:pt>
                <c:pt idx="444">
                  <c:v>80</c:v>
                </c:pt>
                <c:pt idx="445">
                  <c:v>80</c:v>
                </c:pt>
                <c:pt idx="446">
                  <c:v>80</c:v>
                </c:pt>
                <c:pt idx="447">
                  <c:v>80</c:v>
                </c:pt>
                <c:pt idx="448">
                  <c:v>80</c:v>
                </c:pt>
                <c:pt idx="449">
                  <c:v>80</c:v>
                </c:pt>
                <c:pt idx="450">
                  <c:v>80</c:v>
                </c:pt>
                <c:pt idx="451">
                  <c:v>80</c:v>
                </c:pt>
                <c:pt idx="452">
                  <c:v>80</c:v>
                </c:pt>
                <c:pt idx="453">
                  <c:v>80</c:v>
                </c:pt>
                <c:pt idx="454">
                  <c:v>80</c:v>
                </c:pt>
                <c:pt idx="455">
                  <c:v>80</c:v>
                </c:pt>
                <c:pt idx="456">
                  <c:v>80</c:v>
                </c:pt>
                <c:pt idx="457">
                  <c:v>80</c:v>
                </c:pt>
                <c:pt idx="458">
                  <c:v>80</c:v>
                </c:pt>
                <c:pt idx="459">
                  <c:v>80</c:v>
                </c:pt>
                <c:pt idx="460">
                  <c:v>80</c:v>
                </c:pt>
                <c:pt idx="461">
                  <c:v>80</c:v>
                </c:pt>
                <c:pt idx="462">
                  <c:v>80</c:v>
                </c:pt>
                <c:pt idx="463">
                  <c:v>80</c:v>
                </c:pt>
                <c:pt idx="464">
                  <c:v>80</c:v>
                </c:pt>
                <c:pt idx="465">
                  <c:v>80</c:v>
                </c:pt>
                <c:pt idx="466">
                  <c:v>80</c:v>
                </c:pt>
                <c:pt idx="467">
                  <c:v>80</c:v>
                </c:pt>
                <c:pt idx="468">
                  <c:v>80</c:v>
                </c:pt>
                <c:pt idx="469">
                  <c:v>80</c:v>
                </c:pt>
                <c:pt idx="470">
                  <c:v>80</c:v>
                </c:pt>
                <c:pt idx="471">
                  <c:v>80</c:v>
                </c:pt>
                <c:pt idx="472">
                  <c:v>80</c:v>
                </c:pt>
                <c:pt idx="473">
                  <c:v>80</c:v>
                </c:pt>
                <c:pt idx="474">
                  <c:v>80</c:v>
                </c:pt>
                <c:pt idx="475">
                  <c:v>80</c:v>
                </c:pt>
                <c:pt idx="476">
                  <c:v>80</c:v>
                </c:pt>
                <c:pt idx="477">
                  <c:v>80</c:v>
                </c:pt>
                <c:pt idx="478">
                  <c:v>80</c:v>
                </c:pt>
                <c:pt idx="479">
                  <c:v>80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80</c:v>
                </c:pt>
                <c:pt idx="505">
                  <c:v>80</c:v>
                </c:pt>
                <c:pt idx="506">
                  <c:v>80</c:v>
                </c:pt>
                <c:pt idx="507">
                  <c:v>80</c:v>
                </c:pt>
                <c:pt idx="508">
                  <c:v>80</c:v>
                </c:pt>
                <c:pt idx="509">
                  <c:v>80</c:v>
                </c:pt>
                <c:pt idx="510">
                  <c:v>80</c:v>
                </c:pt>
                <c:pt idx="511">
                  <c:v>80</c:v>
                </c:pt>
                <c:pt idx="512">
                  <c:v>80</c:v>
                </c:pt>
                <c:pt idx="513">
                  <c:v>80</c:v>
                </c:pt>
                <c:pt idx="514">
                  <c:v>80</c:v>
                </c:pt>
                <c:pt idx="515">
                  <c:v>80</c:v>
                </c:pt>
                <c:pt idx="516">
                  <c:v>80</c:v>
                </c:pt>
                <c:pt idx="517">
                  <c:v>80</c:v>
                </c:pt>
                <c:pt idx="518">
                  <c:v>80</c:v>
                </c:pt>
                <c:pt idx="519">
                  <c:v>80</c:v>
                </c:pt>
                <c:pt idx="520">
                  <c:v>80</c:v>
                </c:pt>
                <c:pt idx="521">
                  <c:v>80</c:v>
                </c:pt>
                <c:pt idx="522">
                  <c:v>80</c:v>
                </c:pt>
                <c:pt idx="523">
                  <c:v>80</c:v>
                </c:pt>
                <c:pt idx="524">
                  <c:v>80</c:v>
                </c:pt>
                <c:pt idx="525">
                  <c:v>80</c:v>
                </c:pt>
                <c:pt idx="526">
                  <c:v>80</c:v>
                </c:pt>
                <c:pt idx="527">
                  <c:v>80</c:v>
                </c:pt>
                <c:pt idx="528">
                  <c:v>80</c:v>
                </c:pt>
                <c:pt idx="529">
                  <c:v>80</c:v>
                </c:pt>
                <c:pt idx="530">
                  <c:v>80</c:v>
                </c:pt>
                <c:pt idx="531">
                  <c:v>80</c:v>
                </c:pt>
                <c:pt idx="532">
                  <c:v>80</c:v>
                </c:pt>
                <c:pt idx="533">
                  <c:v>80</c:v>
                </c:pt>
                <c:pt idx="534">
                  <c:v>80</c:v>
                </c:pt>
                <c:pt idx="535">
                  <c:v>80</c:v>
                </c:pt>
                <c:pt idx="536">
                  <c:v>80</c:v>
                </c:pt>
                <c:pt idx="537">
                  <c:v>80</c:v>
                </c:pt>
                <c:pt idx="538">
                  <c:v>80</c:v>
                </c:pt>
                <c:pt idx="539">
                  <c:v>80</c:v>
                </c:pt>
                <c:pt idx="540">
                  <c:v>80</c:v>
                </c:pt>
                <c:pt idx="541">
                  <c:v>80</c:v>
                </c:pt>
                <c:pt idx="542">
                  <c:v>80</c:v>
                </c:pt>
                <c:pt idx="543">
                  <c:v>80</c:v>
                </c:pt>
                <c:pt idx="544">
                  <c:v>80</c:v>
                </c:pt>
                <c:pt idx="545">
                  <c:v>80</c:v>
                </c:pt>
                <c:pt idx="546">
                  <c:v>80</c:v>
                </c:pt>
                <c:pt idx="547">
                  <c:v>80</c:v>
                </c:pt>
                <c:pt idx="548">
                  <c:v>80</c:v>
                </c:pt>
                <c:pt idx="549">
                  <c:v>80</c:v>
                </c:pt>
                <c:pt idx="550">
                  <c:v>80</c:v>
                </c:pt>
                <c:pt idx="551">
                  <c:v>80</c:v>
                </c:pt>
                <c:pt idx="552">
                  <c:v>80</c:v>
                </c:pt>
                <c:pt idx="553">
                  <c:v>80</c:v>
                </c:pt>
                <c:pt idx="554">
                  <c:v>80</c:v>
                </c:pt>
                <c:pt idx="555">
                  <c:v>80</c:v>
                </c:pt>
                <c:pt idx="556">
                  <c:v>80</c:v>
                </c:pt>
                <c:pt idx="557">
                  <c:v>80</c:v>
                </c:pt>
                <c:pt idx="558">
                  <c:v>80</c:v>
                </c:pt>
                <c:pt idx="559">
                  <c:v>80</c:v>
                </c:pt>
                <c:pt idx="560">
                  <c:v>80</c:v>
                </c:pt>
                <c:pt idx="561">
                  <c:v>80</c:v>
                </c:pt>
                <c:pt idx="562">
                  <c:v>80</c:v>
                </c:pt>
                <c:pt idx="563">
                  <c:v>80</c:v>
                </c:pt>
                <c:pt idx="564">
                  <c:v>80</c:v>
                </c:pt>
                <c:pt idx="565">
                  <c:v>80</c:v>
                </c:pt>
                <c:pt idx="566">
                  <c:v>80</c:v>
                </c:pt>
                <c:pt idx="567">
                  <c:v>80</c:v>
                </c:pt>
                <c:pt idx="568">
                  <c:v>80</c:v>
                </c:pt>
                <c:pt idx="569">
                  <c:v>80</c:v>
                </c:pt>
                <c:pt idx="570">
                  <c:v>80</c:v>
                </c:pt>
                <c:pt idx="571">
                  <c:v>80</c:v>
                </c:pt>
                <c:pt idx="572">
                  <c:v>80</c:v>
                </c:pt>
                <c:pt idx="573">
                  <c:v>80</c:v>
                </c:pt>
                <c:pt idx="574">
                  <c:v>80</c:v>
                </c:pt>
                <c:pt idx="575">
                  <c:v>80</c:v>
                </c:pt>
                <c:pt idx="576">
                  <c:v>80</c:v>
                </c:pt>
                <c:pt idx="577">
                  <c:v>80</c:v>
                </c:pt>
                <c:pt idx="578">
                  <c:v>80</c:v>
                </c:pt>
                <c:pt idx="579">
                  <c:v>80</c:v>
                </c:pt>
                <c:pt idx="580">
                  <c:v>80</c:v>
                </c:pt>
                <c:pt idx="581">
                  <c:v>80</c:v>
                </c:pt>
                <c:pt idx="582">
                  <c:v>80</c:v>
                </c:pt>
                <c:pt idx="583">
                  <c:v>80</c:v>
                </c:pt>
                <c:pt idx="584">
                  <c:v>80</c:v>
                </c:pt>
                <c:pt idx="585">
                  <c:v>80</c:v>
                </c:pt>
                <c:pt idx="586">
                  <c:v>80</c:v>
                </c:pt>
                <c:pt idx="587">
                  <c:v>80</c:v>
                </c:pt>
                <c:pt idx="588">
                  <c:v>80</c:v>
                </c:pt>
                <c:pt idx="589">
                  <c:v>80</c:v>
                </c:pt>
                <c:pt idx="590">
                  <c:v>80</c:v>
                </c:pt>
                <c:pt idx="591">
                  <c:v>80</c:v>
                </c:pt>
                <c:pt idx="592">
                  <c:v>80</c:v>
                </c:pt>
                <c:pt idx="593">
                  <c:v>80</c:v>
                </c:pt>
                <c:pt idx="594">
                  <c:v>80</c:v>
                </c:pt>
                <c:pt idx="595">
                  <c:v>80</c:v>
                </c:pt>
                <c:pt idx="596">
                  <c:v>80</c:v>
                </c:pt>
                <c:pt idx="597">
                  <c:v>80</c:v>
                </c:pt>
                <c:pt idx="598">
                  <c:v>80</c:v>
                </c:pt>
                <c:pt idx="599">
                  <c:v>80</c:v>
                </c:pt>
                <c:pt idx="600">
                  <c:v>80</c:v>
                </c:pt>
                <c:pt idx="601">
                  <c:v>80</c:v>
                </c:pt>
                <c:pt idx="602">
                  <c:v>80</c:v>
                </c:pt>
                <c:pt idx="603">
                  <c:v>80</c:v>
                </c:pt>
                <c:pt idx="604">
                  <c:v>80</c:v>
                </c:pt>
                <c:pt idx="605">
                  <c:v>80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F6-40AE-B85D-7092FD659DBA}"/>
            </c:ext>
          </c:extLst>
        </c:ser>
        <c:ser>
          <c:idx val="1"/>
          <c:order val="1"/>
          <c:tx>
            <c:strRef>
              <c:f>'Data In'!$D$1:$D$3</c:f>
              <c:strCache>
                <c:ptCount val="3"/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'Data In'!$B$4:$B$609</c:f>
              <c:strCache>
                <c:ptCount val="606"/>
                <c:pt idx="0">
                  <c:v>CH1</c:v>
                </c:pt>
                <c:pt idx="1">
                  <c:v>60.1</c:v>
                </c:pt>
                <c:pt idx="3">
                  <c:v>CH1</c:v>
                </c:pt>
                <c:pt idx="4">
                  <c:v>60.1</c:v>
                </c:pt>
                <c:pt idx="5">
                  <c:v>0.1</c:v>
                </c:pt>
                <c:pt idx="6">
                  <c:v>0.2</c:v>
                </c:pt>
                <c:pt idx="7">
                  <c:v>0.3</c:v>
                </c:pt>
                <c:pt idx="8">
                  <c:v>0.4</c:v>
                </c:pt>
                <c:pt idx="9">
                  <c:v>0.5</c:v>
                </c:pt>
                <c:pt idx="10">
                  <c:v>0.6</c:v>
                </c:pt>
                <c:pt idx="11">
                  <c:v>0.7</c:v>
                </c:pt>
                <c:pt idx="12">
                  <c:v>0.8</c:v>
                </c:pt>
                <c:pt idx="13">
                  <c:v>0.9</c:v>
                </c:pt>
                <c:pt idx="14">
                  <c:v>1</c:v>
                </c:pt>
                <c:pt idx="15">
                  <c:v>1.1</c:v>
                </c:pt>
                <c:pt idx="16">
                  <c:v>1.2</c:v>
                </c:pt>
                <c:pt idx="17">
                  <c:v>1.3</c:v>
                </c:pt>
                <c:pt idx="18">
                  <c:v>1.4</c:v>
                </c:pt>
                <c:pt idx="19">
                  <c:v>1.5</c:v>
                </c:pt>
                <c:pt idx="20">
                  <c:v>1.6</c:v>
                </c:pt>
                <c:pt idx="21">
                  <c:v>1.7</c:v>
                </c:pt>
                <c:pt idx="22">
                  <c:v>1.8</c:v>
                </c:pt>
                <c:pt idx="23">
                  <c:v>1.9</c:v>
                </c:pt>
                <c:pt idx="24">
                  <c:v>2</c:v>
                </c:pt>
                <c:pt idx="25">
                  <c:v>2.1</c:v>
                </c:pt>
                <c:pt idx="26">
                  <c:v>2.2</c:v>
                </c:pt>
                <c:pt idx="27">
                  <c:v>2.3</c:v>
                </c:pt>
                <c:pt idx="28">
                  <c:v>2.4</c:v>
                </c:pt>
                <c:pt idx="29">
                  <c:v>2.5</c:v>
                </c:pt>
                <c:pt idx="30">
                  <c:v>2.6</c:v>
                </c:pt>
                <c:pt idx="31">
                  <c:v>2.7</c:v>
                </c:pt>
                <c:pt idx="32">
                  <c:v>2.8</c:v>
                </c:pt>
                <c:pt idx="33">
                  <c:v>2.9</c:v>
                </c:pt>
                <c:pt idx="34">
                  <c:v>3</c:v>
                </c:pt>
                <c:pt idx="35">
                  <c:v>3.1</c:v>
                </c:pt>
                <c:pt idx="36">
                  <c:v>3.2</c:v>
                </c:pt>
                <c:pt idx="37">
                  <c:v>3.3</c:v>
                </c:pt>
                <c:pt idx="38">
                  <c:v>3.4</c:v>
                </c:pt>
                <c:pt idx="39">
                  <c:v>3.5</c:v>
                </c:pt>
                <c:pt idx="40">
                  <c:v>3.6</c:v>
                </c:pt>
                <c:pt idx="41">
                  <c:v>3.7</c:v>
                </c:pt>
                <c:pt idx="42">
                  <c:v>3.8</c:v>
                </c:pt>
                <c:pt idx="43">
                  <c:v>3.9</c:v>
                </c:pt>
                <c:pt idx="44">
                  <c:v>4</c:v>
                </c:pt>
                <c:pt idx="45">
                  <c:v>4.1</c:v>
                </c:pt>
                <c:pt idx="46">
                  <c:v>4.2</c:v>
                </c:pt>
                <c:pt idx="47">
                  <c:v>4.3</c:v>
                </c:pt>
                <c:pt idx="48">
                  <c:v>4.4</c:v>
                </c:pt>
                <c:pt idx="49">
                  <c:v>4.5</c:v>
                </c:pt>
                <c:pt idx="50">
                  <c:v>4.6</c:v>
                </c:pt>
                <c:pt idx="51">
                  <c:v>4.7</c:v>
                </c:pt>
                <c:pt idx="52">
                  <c:v>4.8</c:v>
                </c:pt>
                <c:pt idx="53">
                  <c:v>4.9</c:v>
                </c:pt>
                <c:pt idx="54">
                  <c:v>5</c:v>
                </c:pt>
                <c:pt idx="55">
                  <c:v>5.1</c:v>
                </c:pt>
                <c:pt idx="56">
                  <c:v>5.2</c:v>
                </c:pt>
                <c:pt idx="57">
                  <c:v>5.3</c:v>
                </c:pt>
                <c:pt idx="58">
                  <c:v>5.4</c:v>
                </c:pt>
                <c:pt idx="59">
                  <c:v>5.5</c:v>
                </c:pt>
                <c:pt idx="60">
                  <c:v>5.6</c:v>
                </c:pt>
                <c:pt idx="61">
                  <c:v>5.7</c:v>
                </c:pt>
                <c:pt idx="62">
                  <c:v>5.8</c:v>
                </c:pt>
                <c:pt idx="63">
                  <c:v>5.9</c:v>
                </c:pt>
                <c:pt idx="64">
                  <c:v>6</c:v>
                </c:pt>
                <c:pt idx="65">
                  <c:v>6.1</c:v>
                </c:pt>
                <c:pt idx="66">
                  <c:v>6.2</c:v>
                </c:pt>
                <c:pt idx="67">
                  <c:v>6.3</c:v>
                </c:pt>
                <c:pt idx="68">
                  <c:v>6.4</c:v>
                </c:pt>
                <c:pt idx="69">
                  <c:v>6.5</c:v>
                </c:pt>
                <c:pt idx="70">
                  <c:v>6.6</c:v>
                </c:pt>
                <c:pt idx="71">
                  <c:v>6.7</c:v>
                </c:pt>
                <c:pt idx="72">
                  <c:v>6.8</c:v>
                </c:pt>
                <c:pt idx="73">
                  <c:v>6.9</c:v>
                </c:pt>
                <c:pt idx="74">
                  <c:v>7</c:v>
                </c:pt>
                <c:pt idx="75">
                  <c:v>7.1</c:v>
                </c:pt>
                <c:pt idx="76">
                  <c:v>7.2</c:v>
                </c:pt>
                <c:pt idx="77">
                  <c:v>7.3</c:v>
                </c:pt>
                <c:pt idx="78">
                  <c:v>7.4</c:v>
                </c:pt>
                <c:pt idx="79">
                  <c:v>7.5</c:v>
                </c:pt>
                <c:pt idx="80">
                  <c:v>7.6</c:v>
                </c:pt>
                <c:pt idx="81">
                  <c:v>7.7</c:v>
                </c:pt>
                <c:pt idx="82">
                  <c:v>7.8</c:v>
                </c:pt>
                <c:pt idx="83">
                  <c:v>7.9</c:v>
                </c:pt>
                <c:pt idx="84">
                  <c:v>8</c:v>
                </c:pt>
                <c:pt idx="85">
                  <c:v>8.1</c:v>
                </c:pt>
                <c:pt idx="86">
                  <c:v>8.2</c:v>
                </c:pt>
                <c:pt idx="87">
                  <c:v>8.3</c:v>
                </c:pt>
                <c:pt idx="88">
                  <c:v>8.4</c:v>
                </c:pt>
                <c:pt idx="89">
                  <c:v>8.5</c:v>
                </c:pt>
                <c:pt idx="90">
                  <c:v>8.6</c:v>
                </c:pt>
                <c:pt idx="91">
                  <c:v>8.7</c:v>
                </c:pt>
                <c:pt idx="92">
                  <c:v>8.8</c:v>
                </c:pt>
                <c:pt idx="93">
                  <c:v>8.9</c:v>
                </c:pt>
                <c:pt idx="94">
                  <c:v>9</c:v>
                </c:pt>
                <c:pt idx="95">
                  <c:v>9.1</c:v>
                </c:pt>
                <c:pt idx="96">
                  <c:v>9.2</c:v>
                </c:pt>
                <c:pt idx="97">
                  <c:v>9.3</c:v>
                </c:pt>
                <c:pt idx="98">
                  <c:v>9.4</c:v>
                </c:pt>
                <c:pt idx="99">
                  <c:v>9.5</c:v>
                </c:pt>
                <c:pt idx="100">
                  <c:v>9.6</c:v>
                </c:pt>
                <c:pt idx="101">
                  <c:v>9.7</c:v>
                </c:pt>
                <c:pt idx="102">
                  <c:v>9.8</c:v>
                </c:pt>
                <c:pt idx="103">
                  <c:v>9.9</c:v>
                </c:pt>
                <c:pt idx="104">
                  <c:v>10</c:v>
                </c:pt>
                <c:pt idx="105">
                  <c:v>10.1</c:v>
                </c:pt>
                <c:pt idx="106">
                  <c:v>10.2</c:v>
                </c:pt>
                <c:pt idx="107">
                  <c:v>10.3</c:v>
                </c:pt>
                <c:pt idx="108">
                  <c:v>10.4</c:v>
                </c:pt>
                <c:pt idx="109">
                  <c:v>10.5</c:v>
                </c:pt>
                <c:pt idx="110">
                  <c:v>10.6</c:v>
                </c:pt>
                <c:pt idx="111">
                  <c:v>10.7</c:v>
                </c:pt>
                <c:pt idx="112">
                  <c:v>10.8</c:v>
                </c:pt>
                <c:pt idx="113">
                  <c:v>10.9</c:v>
                </c:pt>
                <c:pt idx="114">
                  <c:v>11</c:v>
                </c:pt>
                <c:pt idx="115">
                  <c:v>11.1</c:v>
                </c:pt>
                <c:pt idx="116">
                  <c:v>11.2</c:v>
                </c:pt>
                <c:pt idx="117">
                  <c:v>11.3</c:v>
                </c:pt>
                <c:pt idx="118">
                  <c:v>11.4</c:v>
                </c:pt>
                <c:pt idx="119">
                  <c:v>11.5</c:v>
                </c:pt>
                <c:pt idx="120">
                  <c:v>11.6</c:v>
                </c:pt>
                <c:pt idx="121">
                  <c:v>11.7</c:v>
                </c:pt>
                <c:pt idx="122">
                  <c:v>11.8</c:v>
                </c:pt>
                <c:pt idx="123">
                  <c:v>11.9</c:v>
                </c:pt>
                <c:pt idx="124">
                  <c:v>12</c:v>
                </c:pt>
                <c:pt idx="125">
                  <c:v>12.1</c:v>
                </c:pt>
                <c:pt idx="126">
                  <c:v>12.2</c:v>
                </c:pt>
                <c:pt idx="127">
                  <c:v>12.3</c:v>
                </c:pt>
                <c:pt idx="128">
                  <c:v>12.4</c:v>
                </c:pt>
                <c:pt idx="129">
                  <c:v>12.5</c:v>
                </c:pt>
                <c:pt idx="130">
                  <c:v>12.6</c:v>
                </c:pt>
                <c:pt idx="131">
                  <c:v>12.7</c:v>
                </c:pt>
                <c:pt idx="132">
                  <c:v>12.8</c:v>
                </c:pt>
                <c:pt idx="133">
                  <c:v>12.9</c:v>
                </c:pt>
                <c:pt idx="134">
                  <c:v>13</c:v>
                </c:pt>
                <c:pt idx="135">
                  <c:v>13.1</c:v>
                </c:pt>
                <c:pt idx="136">
                  <c:v>13.2</c:v>
                </c:pt>
                <c:pt idx="137">
                  <c:v>13.3</c:v>
                </c:pt>
                <c:pt idx="138">
                  <c:v>13.4</c:v>
                </c:pt>
                <c:pt idx="139">
                  <c:v>13.5</c:v>
                </c:pt>
                <c:pt idx="140">
                  <c:v>13.6</c:v>
                </c:pt>
                <c:pt idx="141">
                  <c:v>13.7</c:v>
                </c:pt>
                <c:pt idx="142">
                  <c:v>13.8</c:v>
                </c:pt>
                <c:pt idx="143">
                  <c:v>13.9</c:v>
                </c:pt>
                <c:pt idx="144">
                  <c:v>14</c:v>
                </c:pt>
                <c:pt idx="145">
                  <c:v>14.1</c:v>
                </c:pt>
                <c:pt idx="146">
                  <c:v>14.2</c:v>
                </c:pt>
                <c:pt idx="147">
                  <c:v>14.3</c:v>
                </c:pt>
                <c:pt idx="148">
                  <c:v>14.4</c:v>
                </c:pt>
                <c:pt idx="149">
                  <c:v>14.5</c:v>
                </c:pt>
                <c:pt idx="150">
                  <c:v>14.6</c:v>
                </c:pt>
                <c:pt idx="151">
                  <c:v>14.7</c:v>
                </c:pt>
                <c:pt idx="152">
                  <c:v>14.8</c:v>
                </c:pt>
                <c:pt idx="153">
                  <c:v>14.9</c:v>
                </c:pt>
                <c:pt idx="154">
                  <c:v>15</c:v>
                </c:pt>
                <c:pt idx="155">
                  <c:v>15.1</c:v>
                </c:pt>
                <c:pt idx="156">
                  <c:v>15.2</c:v>
                </c:pt>
                <c:pt idx="157">
                  <c:v>15.3</c:v>
                </c:pt>
                <c:pt idx="158">
                  <c:v>15.4</c:v>
                </c:pt>
                <c:pt idx="159">
                  <c:v>15.5</c:v>
                </c:pt>
                <c:pt idx="160">
                  <c:v>15.6</c:v>
                </c:pt>
                <c:pt idx="161">
                  <c:v>15.7</c:v>
                </c:pt>
                <c:pt idx="162">
                  <c:v>15.8</c:v>
                </c:pt>
                <c:pt idx="163">
                  <c:v>15.9</c:v>
                </c:pt>
                <c:pt idx="164">
                  <c:v>16</c:v>
                </c:pt>
                <c:pt idx="165">
                  <c:v>16.1</c:v>
                </c:pt>
                <c:pt idx="166">
                  <c:v>16.2</c:v>
                </c:pt>
                <c:pt idx="167">
                  <c:v>16.3</c:v>
                </c:pt>
                <c:pt idx="168">
                  <c:v>16.4</c:v>
                </c:pt>
                <c:pt idx="169">
                  <c:v>16.5</c:v>
                </c:pt>
                <c:pt idx="170">
                  <c:v>16.6</c:v>
                </c:pt>
                <c:pt idx="171">
                  <c:v>16.7</c:v>
                </c:pt>
                <c:pt idx="172">
                  <c:v>16.8</c:v>
                </c:pt>
                <c:pt idx="173">
                  <c:v>16.9</c:v>
                </c:pt>
                <c:pt idx="174">
                  <c:v>17</c:v>
                </c:pt>
                <c:pt idx="175">
                  <c:v>17.1</c:v>
                </c:pt>
                <c:pt idx="176">
                  <c:v>17.2</c:v>
                </c:pt>
                <c:pt idx="177">
                  <c:v>17.3</c:v>
                </c:pt>
                <c:pt idx="178">
                  <c:v>17.4</c:v>
                </c:pt>
                <c:pt idx="179">
                  <c:v>17.5</c:v>
                </c:pt>
                <c:pt idx="180">
                  <c:v>17.6</c:v>
                </c:pt>
                <c:pt idx="181">
                  <c:v>17.7</c:v>
                </c:pt>
                <c:pt idx="182">
                  <c:v>17.8</c:v>
                </c:pt>
                <c:pt idx="183">
                  <c:v>17.9</c:v>
                </c:pt>
                <c:pt idx="184">
                  <c:v>18</c:v>
                </c:pt>
                <c:pt idx="185">
                  <c:v>18.1</c:v>
                </c:pt>
                <c:pt idx="186">
                  <c:v>18.2</c:v>
                </c:pt>
                <c:pt idx="187">
                  <c:v>18.3</c:v>
                </c:pt>
                <c:pt idx="188">
                  <c:v>18.4</c:v>
                </c:pt>
                <c:pt idx="189">
                  <c:v>18.5</c:v>
                </c:pt>
                <c:pt idx="190">
                  <c:v>18.6</c:v>
                </c:pt>
                <c:pt idx="191">
                  <c:v>18.7</c:v>
                </c:pt>
                <c:pt idx="192">
                  <c:v>18.8</c:v>
                </c:pt>
                <c:pt idx="193">
                  <c:v>18.9</c:v>
                </c:pt>
                <c:pt idx="194">
                  <c:v>19</c:v>
                </c:pt>
                <c:pt idx="195">
                  <c:v>19.1</c:v>
                </c:pt>
                <c:pt idx="196">
                  <c:v>19.2</c:v>
                </c:pt>
                <c:pt idx="197">
                  <c:v>19.3</c:v>
                </c:pt>
                <c:pt idx="198">
                  <c:v>19.4</c:v>
                </c:pt>
                <c:pt idx="199">
                  <c:v>19.5</c:v>
                </c:pt>
                <c:pt idx="200">
                  <c:v>19.6</c:v>
                </c:pt>
                <c:pt idx="201">
                  <c:v>19.7</c:v>
                </c:pt>
                <c:pt idx="202">
                  <c:v>19.8</c:v>
                </c:pt>
                <c:pt idx="203">
                  <c:v>19.9</c:v>
                </c:pt>
                <c:pt idx="204">
                  <c:v>20</c:v>
                </c:pt>
                <c:pt idx="205">
                  <c:v>20.1</c:v>
                </c:pt>
                <c:pt idx="206">
                  <c:v>20.2</c:v>
                </c:pt>
                <c:pt idx="207">
                  <c:v>20.3</c:v>
                </c:pt>
                <c:pt idx="208">
                  <c:v>20.4</c:v>
                </c:pt>
                <c:pt idx="209">
                  <c:v>20.5</c:v>
                </c:pt>
                <c:pt idx="210">
                  <c:v>20.6</c:v>
                </c:pt>
                <c:pt idx="211">
                  <c:v>20.7</c:v>
                </c:pt>
                <c:pt idx="212">
                  <c:v>20.8</c:v>
                </c:pt>
                <c:pt idx="213">
                  <c:v>20.9</c:v>
                </c:pt>
                <c:pt idx="214">
                  <c:v>21</c:v>
                </c:pt>
                <c:pt idx="215">
                  <c:v>21.1</c:v>
                </c:pt>
                <c:pt idx="216">
                  <c:v>21.2</c:v>
                </c:pt>
                <c:pt idx="217">
                  <c:v>21.3</c:v>
                </c:pt>
                <c:pt idx="218">
                  <c:v>21.4</c:v>
                </c:pt>
                <c:pt idx="219">
                  <c:v>21.5</c:v>
                </c:pt>
                <c:pt idx="220">
                  <c:v>21.6</c:v>
                </c:pt>
                <c:pt idx="221">
                  <c:v>21.7</c:v>
                </c:pt>
                <c:pt idx="222">
                  <c:v>21.8</c:v>
                </c:pt>
                <c:pt idx="223">
                  <c:v>21.9</c:v>
                </c:pt>
                <c:pt idx="224">
                  <c:v>22</c:v>
                </c:pt>
                <c:pt idx="225">
                  <c:v>22.1</c:v>
                </c:pt>
                <c:pt idx="226">
                  <c:v>22.2</c:v>
                </c:pt>
                <c:pt idx="227">
                  <c:v>22.3</c:v>
                </c:pt>
                <c:pt idx="228">
                  <c:v>22.4</c:v>
                </c:pt>
                <c:pt idx="229">
                  <c:v>22.5</c:v>
                </c:pt>
                <c:pt idx="230">
                  <c:v>22.6</c:v>
                </c:pt>
                <c:pt idx="231">
                  <c:v>22.7</c:v>
                </c:pt>
                <c:pt idx="232">
                  <c:v>22.8</c:v>
                </c:pt>
                <c:pt idx="233">
                  <c:v>22.9</c:v>
                </c:pt>
                <c:pt idx="234">
                  <c:v>23</c:v>
                </c:pt>
                <c:pt idx="235">
                  <c:v>23.1</c:v>
                </c:pt>
                <c:pt idx="236">
                  <c:v>23.2</c:v>
                </c:pt>
                <c:pt idx="237">
                  <c:v>23.3</c:v>
                </c:pt>
                <c:pt idx="238">
                  <c:v>23.4</c:v>
                </c:pt>
                <c:pt idx="239">
                  <c:v>23.5</c:v>
                </c:pt>
                <c:pt idx="240">
                  <c:v>23.6</c:v>
                </c:pt>
                <c:pt idx="241">
                  <c:v>23.7</c:v>
                </c:pt>
                <c:pt idx="242">
                  <c:v>23.8</c:v>
                </c:pt>
                <c:pt idx="243">
                  <c:v>23.9</c:v>
                </c:pt>
                <c:pt idx="244">
                  <c:v>24</c:v>
                </c:pt>
                <c:pt idx="245">
                  <c:v>24.1</c:v>
                </c:pt>
                <c:pt idx="246">
                  <c:v>24.2</c:v>
                </c:pt>
                <c:pt idx="247">
                  <c:v>24.3</c:v>
                </c:pt>
                <c:pt idx="248">
                  <c:v>24.4</c:v>
                </c:pt>
                <c:pt idx="249">
                  <c:v>24.5</c:v>
                </c:pt>
                <c:pt idx="250">
                  <c:v>24.6</c:v>
                </c:pt>
                <c:pt idx="251">
                  <c:v>24.7</c:v>
                </c:pt>
                <c:pt idx="252">
                  <c:v>24.8</c:v>
                </c:pt>
                <c:pt idx="253">
                  <c:v>24.9</c:v>
                </c:pt>
                <c:pt idx="254">
                  <c:v>25</c:v>
                </c:pt>
                <c:pt idx="255">
                  <c:v>25.1</c:v>
                </c:pt>
                <c:pt idx="256">
                  <c:v>25.2</c:v>
                </c:pt>
                <c:pt idx="257">
                  <c:v>25.3</c:v>
                </c:pt>
                <c:pt idx="258">
                  <c:v>25.4</c:v>
                </c:pt>
                <c:pt idx="259">
                  <c:v>25.5</c:v>
                </c:pt>
                <c:pt idx="260">
                  <c:v>25.6</c:v>
                </c:pt>
                <c:pt idx="261">
                  <c:v>25.7</c:v>
                </c:pt>
                <c:pt idx="262">
                  <c:v>25.8</c:v>
                </c:pt>
                <c:pt idx="263">
                  <c:v>25.9</c:v>
                </c:pt>
                <c:pt idx="264">
                  <c:v>26</c:v>
                </c:pt>
                <c:pt idx="265">
                  <c:v>26.1</c:v>
                </c:pt>
                <c:pt idx="266">
                  <c:v>26.2</c:v>
                </c:pt>
                <c:pt idx="267">
                  <c:v>26.3</c:v>
                </c:pt>
                <c:pt idx="268">
                  <c:v>26.4</c:v>
                </c:pt>
                <c:pt idx="269">
                  <c:v>26.5</c:v>
                </c:pt>
                <c:pt idx="270">
                  <c:v>26.6</c:v>
                </c:pt>
                <c:pt idx="271">
                  <c:v>26.7</c:v>
                </c:pt>
                <c:pt idx="272">
                  <c:v>26.8</c:v>
                </c:pt>
                <c:pt idx="273">
                  <c:v>26.9</c:v>
                </c:pt>
                <c:pt idx="274">
                  <c:v>27</c:v>
                </c:pt>
                <c:pt idx="275">
                  <c:v>27.1</c:v>
                </c:pt>
                <c:pt idx="276">
                  <c:v>27.2</c:v>
                </c:pt>
                <c:pt idx="277">
                  <c:v>27.3</c:v>
                </c:pt>
                <c:pt idx="278">
                  <c:v>27.4</c:v>
                </c:pt>
                <c:pt idx="279">
                  <c:v>27.5</c:v>
                </c:pt>
                <c:pt idx="280">
                  <c:v>27.6</c:v>
                </c:pt>
                <c:pt idx="281">
                  <c:v>27.7</c:v>
                </c:pt>
                <c:pt idx="282">
                  <c:v>27.8</c:v>
                </c:pt>
                <c:pt idx="283">
                  <c:v>27.9</c:v>
                </c:pt>
                <c:pt idx="284">
                  <c:v>28</c:v>
                </c:pt>
                <c:pt idx="285">
                  <c:v>28.1</c:v>
                </c:pt>
                <c:pt idx="286">
                  <c:v>28.2</c:v>
                </c:pt>
                <c:pt idx="287">
                  <c:v>28.3</c:v>
                </c:pt>
                <c:pt idx="288">
                  <c:v>28.4</c:v>
                </c:pt>
                <c:pt idx="289">
                  <c:v>28.5</c:v>
                </c:pt>
                <c:pt idx="290">
                  <c:v>28.6</c:v>
                </c:pt>
                <c:pt idx="291">
                  <c:v>28.7</c:v>
                </c:pt>
                <c:pt idx="292">
                  <c:v>28.8</c:v>
                </c:pt>
                <c:pt idx="293">
                  <c:v>28.9</c:v>
                </c:pt>
                <c:pt idx="294">
                  <c:v>29</c:v>
                </c:pt>
                <c:pt idx="295">
                  <c:v>29.1</c:v>
                </c:pt>
                <c:pt idx="296">
                  <c:v>29.2</c:v>
                </c:pt>
                <c:pt idx="297">
                  <c:v>29.3</c:v>
                </c:pt>
                <c:pt idx="298">
                  <c:v>29.4</c:v>
                </c:pt>
                <c:pt idx="299">
                  <c:v>29.5</c:v>
                </c:pt>
                <c:pt idx="300">
                  <c:v>29.6</c:v>
                </c:pt>
                <c:pt idx="301">
                  <c:v>29.7</c:v>
                </c:pt>
                <c:pt idx="302">
                  <c:v>29.8</c:v>
                </c:pt>
                <c:pt idx="303">
                  <c:v>29.9</c:v>
                </c:pt>
                <c:pt idx="304">
                  <c:v>30</c:v>
                </c:pt>
                <c:pt idx="305">
                  <c:v>30.1</c:v>
                </c:pt>
                <c:pt idx="306">
                  <c:v>30.2</c:v>
                </c:pt>
                <c:pt idx="307">
                  <c:v>30.3</c:v>
                </c:pt>
                <c:pt idx="308">
                  <c:v>30.4</c:v>
                </c:pt>
                <c:pt idx="309">
                  <c:v>30.5</c:v>
                </c:pt>
                <c:pt idx="310">
                  <c:v>30.6</c:v>
                </c:pt>
                <c:pt idx="311">
                  <c:v>30.7</c:v>
                </c:pt>
                <c:pt idx="312">
                  <c:v>30.8</c:v>
                </c:pt>
                <c:pt idx="313">
                  <c:v>30.9</c:v>
                </c:pt>
                <c:pt idx="314">
                  <c:v>31</c:v>
                </c:pt>
                <c:pt idx="315">
                  <c:v>31.1</c:v>
                </c:pt>
                <c:pt idx="316">
                  <c:v>31.2</c:v>
                </c:pt>
                <c:pt idx="317">
                  <c:v>31.3</c:v>
                </c:pt>
                <c:pt idx="318">
                  <c:v>31.4</c:v>
                </c:pt>
                <c:pt idx="319">
                  <c:v>31.5</c:v>
                </c:pt>
                <c:pt idx="320">
                  <c:v>31.6</c:v>
                </c:pt>
                <c:pt idx="321">
                  <c:v>31.7</c:v>
                </c:pt>
                <c:pt idx="322">
                  <c:v>31.8</c:v>
                </c:pt>
                <c:pt idx="323">
                  <c:v>31.9</c:v>
                </c:pt>
                <c:pt idx="324">
                  <c:v>32</c:v>
                </c:pt>
                <c:pt idx="325">
                  <c:v>32.1</c:v>
                </c:pt>
                <c:pt idx="326">
                  <c:v>32.2</c:v>
                </c:pt>
                <c:pt idx="327">
                  <c:v>32.3</c:v>
                </c:pt>
                <c:pt idx="328">
                  <c:v>32.4</c:v>
                </c:pt>
                <c:pt idx="329">
                  <c:v>32.5</c:v>
                </c:pt>
                <c:pt idx="330">
                  <c:v>32.6</c:v>
                </c:pt>
                <c:pt idx="331">
                  <c:v>32.7</c:v>
                </c:pt>
                <c:pt idx="332">
                  <c:v>32.8</c:v>
                </c:pt>
                <c:pt idx="333">
                  <c:v>32.9</c:v>
                </c:pt>
                <c:pt idx="334">
                  <c:v>33</c:v>
                </c:pt>
                <c:pt idx="335">
                  <c:v>33.1</c:v>
                </c:pt>
                <c:pt idx="336">
                  <c:v>33.2</c:v>
                </c:pt>
                <c:pt idx="337">
                  <c:v>33.3</c:v>
                </c:pt>
                <c:pt idx="338">
                  <c:v>33.4</c:v>
                </c:pt>
                <c:pt idx="339">
                  <c:v>33.5</c:v>
                </c:pt>
                <c:pt idx="340">
                  <c:v>33.6</c:v>
                </c:pt>
                <c:pt idx="341">
                  <c:v>33.7</c:v>
                </c:pt>
                <c:pt idx="342">
                  <c:v>33.8</c:v>
                </c:pt>
                <c:pt idx="343">
                  <c:v>33.9</c:v>
                </c:pt>
                <c:pt idx="344">
                  <c:v>34</c:v>
                </c:pt>
                <c:pt idx="345">
                  <c:v>34.1</c:v>
                </c:pt>
                <c:pt idx="346">
                  <c:v>34.2</c:v>
                </c:pt>
                <c:pt idx="347">
                  <c:v>34.3</c:v>
                </c:pt>
                <c:pt idx="348">
                  <c:v>34.4</c:v>
                </c:pt>
                <c:pt idx="349">
                  <c:v>34.5</c:v>
                </c:pt>
                <c:pt idx="350">
                  <c:v>34.6</c:v>
                </c:pt>
                <c:pt idx="351">
                  <c:v>34.7</c:v>
                </c:pt>
                <c:pt idx="352">
                  <c:v>34.8</c:v>
                </c:pt>
                <c:pt idx="353">
                  <c:v>34.9</c:v>
                </c:pt>
                <c:pt idx="354">
                  <c:v>35</c:v>
                </c:pt>
                <c:pt idx="355">
                  <c:v>35.1</c:v>
                </c:pt>
                <c:pt idx="356">
                  <c:v>35.2</c:v>
                </c:pt>
                <c:pt idx="357">
                  <c:v>35.3</c:v>
                </c:pt>
                <c:pt idx="358">
                  <c:v>35.4</c:v>
                </c:pt>
                <c:pt idx="359">
                  <c:v>35.5</c:v>
                </c:pt>
                <c:pt idx="360">
                  <c:v>35.6</c:v>
                </c:pt>
                <c:pt idx="361">
                  <c:v>35.7</c:v>
                </c:pt>
                <c:pt idx="362">
                  <c:v>35.8</c:v>
                </c:pt>
                <c:pt idx="363">
                  <c:v>35.9</c:v>
                </c:pt>
                <c:pt idx="364">
                  <c:v>36</c:v>
                </c:pt>
                <c:pt idx="365">
                  <c:v>36.1</c:v>
                </c:pt>
                <c:pt idx="366">
                  <c:v>36.2</c:v>
                </c:pt>
                <c:pt idx="367">
                  <c:v>36.3</c:v>
                </c:pt>
                <c:pt idx="368">
                  <c:v>36.4</c:v>
                </c:pt>
                <c:pt idx="369">
                  <c:v>36.5</c:v>
                </c:pt>
                <c:pt idx="370">
                  <c:v>36.6</c:v>
                </c:pt>
                <c:pt idx="371">
                  <c:v>36.7</c:v>
                </c:pt>
                <c:pt idx="372">
                  <c:v>36.8</c:v>
                </c:pt>
                <c:pt idx="373">
                  <c:v>36.9</c:v>
                </c:pt>
                <c:pt idx="374">
                  <c:v>37</c:v>
                </c:pt>
                <c:pt idx="375">
                  <c:v>37.1</c:v>
                </c:pt>
                <c:pt idx="376">
                  <c:v>37.2</c:v>
                </c:pt>
                <c:pt idx="377">
                  <c:v>37.3</c:v>
                </c:pt>
                <c:pt idx="378">
                  <c:v>37.4</c:v>
                </c:pt>
                <c:pt idx="379">
                  <c:v>37.5</c:v>
                </c:pt>
                <c:pt idx="380">
                  <c:v>37.6</c:v>
                </c:pt>
                <c:pt idx="381">
                  <c:v>37.7</c:v>
                </c:pt>
                <c:pt idx="382">
                  <c:v>37.8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38.2</c:v>
                </c:pt>
                <c:pt idx="387">
                  <c:v>38.3</c:v>
                </c:pt>
                <c:pt idx="388">
                  <c:v>38.4</c:v>
                </c:pt>
                <c:pt idx="389">
                  <c:v>38.5</c:v>
                </c:pt>
                <c:pt idx="390">
                  <c:v>38.6</c:v>
                </c:pt>
                <c:pt idx="391">
                  <c:v>38.7</c:v>
                </c:pt>
                <c:pt idx="392">
                  <c:v>38.8</c:v>
                </c:pt>
                <c:pt idx="393">
                  <c:v>38.9</c:v>
                </c:pt>
                <c:pt idx="394">
                  <c:v>39</c:v>
                </c:pt>
                <c:pt idx="395">
                  <c:v>39.1</c:v>
                </c:pt>
                <c:pt idx="396">
                  <c:v>39.2</c:v>
                </c:pt>
                <c:pt idx="397">
                  <c:v>39.3</c:v>
                </c:pt>
                <c:pt idx="398">
                  <c:v>39.4</c:v>
                </c:pt>
                <c:pt idx="399">
                  <c:v>39.5</c:v>
                </c:pt>
                <c:pt idx="400">
                  <c:v>39.6</c:v>
                </c:pt>
                <c:pt idx="401">
                  <c:v>39.7</c:v>
                </c:pt>
                <c:pt idx="402">
                  <c:v>39.8</c:v>
                </c:pt>
                <c:pt idx="403">
                  <c:v>39.9</c:v>
                </c:pt>
                <c:pt idx="404">
                  <c:v>40</c:v>
                </c:pt>
                <c:pt idx="405">
                  <c:v>40.1</c:v>
                </c:pt>
                <c:pt idx="406">
                  <c:v>40.2</c:v>
                </c:pt>
                <c:pt idx="407">
                  <c:v>40.3</c:v>
                </c:pt>
                <c:pt idx="408">
                  <c:v>40.4</c:v>
                </c:pt>
                <c:pt idx="409">
                  <c:v>40.5</c:v>
                </c:pt>
                <c:pt idx="410">
                  <c:v>40.6</c:v>
                </c:pt>
                <c:pt idx="411">
                  <c:v>40.7</c:v>
                </c:pt>
                <c:pt idx="412">
                  <c:v>40.8</c:v>
                </c:pt>
                <c:pt idx="413">
                  <c:v>40.9</c:v>
                </c:pt>
                <c:pt idx="414">
                  <c:v>41</c:v>
                </c:pt>
                <c:pt idx="415">
                  <c:v>41.1</c:v>
                </c:pt>
                <c:pt idx="416">
                  <c:v>41.2</c:v>
                </c:pt>
                <c:pt idx="417">
                  <c:v>41.3</c:v>
                </c:pt>
                <c:pt idx="418">
                  <c:v>41.4</c:v>
                </c:pt>
                <c:pt idx="419">
                  <c:v>41.5</c:v>
                </c:pt>
                <c:pt idx="420">
                  <c:v>41.6</c:v>
                </c:pt>
                <c:pt idx="421">
                  <c:v>41.7</c:v>
                </c:pt>
                <c:pt idx="422">
                  <c:v>41.8</c:v>
                </c:pt>
                <c:pt idx="423">
                  <c:v>41.9</c:v>
                </c:pt>
                <c:pt idx="424">
                  <c:v>42</c:v>
                </c:pt>
                <c:pt idx="425">
                  <c:v>42.1</c:v>
                </c:pt>
                <c:pt idx="426">
                  <c:v>42.2</c:v>
                </c:pt>
                <c:pt idx="427">
                  <c:v>42.3</c:v>
                </c:pt>
                <c:pt idx="428">
                  <c:v>42.4</c:v>
                </c:pt>
                <c:pt idx="429">
                  <c:v>42.5</c:v>
                </c:pt>
                <c:pt idx="430">
                  <c:v>42.6</c:v>
                </c:pt>
                <c:pt idx="431">
                  <c:v>42.7</c:v>
                </c:pt>
                <c:pt idx="432">
                  <c:v>42.8</c:v>
                </c:pt>
                <c:pt idx="433">
                  <c:v>42.9</c:v>
                </c:pt>
                <c:pt idx="434">
                  <c:v>43</c:v>
                </c:pt>
                <c:pt idx="435">
                  <c:v>43.1</c:v>
                </c:pt>
                <c:pt idx="436">
                  <c:v>43.2</c:v>
                </c:pt>
                <c:pt idx="437">
                  <c:v>43.3</c:v>
                </c:pt>
                <c:pt idx="438">
                  <c:v>43.4</c:v>
                </c:pt>
                <c:pt idx="439">
                  <c:v>43.5</c:v>
                </c:pt>
                <c:pt idx="440">
                  <c:v>43.6</c:v>
                </c:pt>
                <c:pt idx="441">
                  <c:v>43.7</c:v>
                </c:pt>
                <c:pt idx="442">
                  <c:v>43.8</c:v>
                </c:pt>
                <c:pt idx="443">
                  <c:v>43.9</c:v>
                </c:pt>
                <c:pt idx="444">
                  <c:v>44</c:v>
                </c:pt>
                <c:pt idx="445">
                  <c:v>44.1</c:v>
                </c:pt>
                <c:pt idx="446">
                  <c:v>44.2</c:v>
                </c:pt>
                <c:pt idx="447">
                  <c:v>44.3</c:v>
                </c:pt>
                <c:pt idx="448">
                  <c:v>44.4</c:v>
                </c:pt>
                <c:pt idx="449">
                  <c:v>44.5</c:v>
                </c:pt>
                <c:pt idx="450">
                  <c:v>44.6</c:v>
                </c:pt>
                <c:pt idx="451">
                  <c:v>44.7</c:v>
                </c:pt>
                <c:pt idx="452">
                  <c:v>44.8</c:v>
                </c:pt>
                <c:pt idx="453">
                  <c:v>44.9</c:v>
                </c:pt>
                <c:pt idx="454">
                  <c:v>45</c:v>
                </c:pt>
                <c:pt idx="455">
                  <c:v>45.1</c:v>
                </c:pt>
                <c:pt idx="456">
                  <c:v>45.2</c:v>
                </c:pt>
                <c:pt idx="457">
                  <c:v>45.3</c:v>
                </c:pt>
                <c:pt idx="458">
                  <c:v>45.4</c:v>
                </c:pt>
                <c:pt idx="459">
                  <c:v>45.5</c:v>
                </c:pt>
                <c:pt idx="460">
                  <c:v>45.6</c:v>
                </c:pt>
                <c:pt idx="461">
                  <c:v>45.7</c:v>
                </c:pt>
                <c:pt idx="462">
                  <c:v>45.8</c:v>
                </c:pt>
                <c:pt idx="463">
                  <c:v>45.9</c:v>
                </c:pt>
                <c:pt idx="464">
                  <c:v>46</c:v>
                </c:pt>
                <c:pt idx="465">
                  <c:v>46.1</c:v>
                </c:pt>
                <c:pt idx="466">
                  <c:v>46.2</c:v>
                </c:pt>
                <c:pt idx="467">
                  <c:v>46.3</c:v>
                </c:pt>
                <c:pt idx="468">
                  <c:v>46.4</c:v>
                </c:pt>
                <c:pt idx="469">
                  <c:v>46.5</c:v>
                </c:pt>
                <c:pt idx="470">
                  <c:v>46.6</c:v>
                </c:pt>
                <c:pt idx="471">
                  <c:v>46.7</c:v>
                </c:pt>
                <c:pt idx="472">
                  <c:v>46.8</c:v>
                </c:pt>
                <c:pt idx="473">
                  <c:v>46.9</c:v>
                </c:pt>
                <c:pt idx="474">
                  <c:v>47</c:v>
                </c:pt>
                <c:pt idx="475">
                  <c:v>47.1</c:v>
                </c:pt>
                <c:pt idx="476">
                  <c:v>47.2</c:v>
                </c:pt>
                <c:pt idx="477">
                  <c:v>47.3</c:v>
                </c:pt>
                <c:pt idx="478">
                  <c:v>47.4</c:v>
                </c:pt>
                <c:pt idx="479">
                  <c:v>47.5</c:v>
                </c:pt>
                <c:pt idx="480">
                  <c:v>47.6</c:v>
                </c:pt>
                <c:pt idx="481">
                  <c:v>47.7</c:v>
                </c:pt>
                <c:pt idx="482">
                  <c:v>47.8</c:v>
                </c:pt>
                <c:pt idx="483">
                  <c:v>47.9</c:v>
                </c:pt>
                <c:pt idx="484">
                  <c:v>48</c:v>
                </c:pt>
                <c:pt idx="485">
                  <c:v>48.1</c:v>
                </c:pt>
                <c:pt idx="486">
                  <c:v>48.2</c:v>
                </c:pt>
                <c:pt idx="487">
                  <c:v>48.3</c:v>
                </c:pt>
                <c:pt idx="488">
                  <c:v>48.4</c:v>
                </c:pt>
                <c:pt idx="489">
                  <c:v>48.5</c:v>
                </c:pt>
                <c:pt idx="490">
                  <c:v>48.6</c:v>
                </c:pt>
                <c:pt idx="491">
                  <c:v>48.7</c:v>
                </c:pt>
                <c:pt idx="492">
                  <c:v>48.8</c:v>
                </c:pt>
                <c:pt idx="493">
                  <c:v>48.9</c:v>
                </c:pt>
                <c:pt idx="494">
                  <c:v>49</c:v>
                </c:pt>
                <c:pt idx="495">
                  <c:v>49.1</c:v>
                </c:pt>
                <c:pt idx="496">
                  <c:v>49.2</c:v>
                </c:pt>
                <c:pt idx="497">
                  <c:v>49.3</c:v>
                </c:pt>
                <c:pt idx="498">
                  <c:v>49.4</c:v>
                </c:pt>
                <c:pt idx="499">
                  <c:v>49.5</c:v>
                </c:pt>
                <c:pt idx="500">
                  <c:v>49.6</c:v>
                </c:pt>
                <c:pt idx="501">
                  <c:v>49.7</c:v>
                </c:pt>
                <c:pt idx="502">
                  <c:v>49.8</c:v>
                </c:pt>
                <c:pt idx="503">
                  <c:v>49.9</c:v>
                </c:pt>
                <c:pt idx="504">
                  <c:v>50</c:v>
                </c:pt>
                <c:pt idx="505">
                  <c:v>50.1</c:v>
                </c:pt>
                <c:pt idx="506">
                  <c:v>50.2</c:v>
                </c:pt>
                <c:pt idx="507">
                  <c:v>50.3</c:v>
                </c:pt>
                <c:pt idx="508">
                  <c:v>50.4</c:v>
                </c:pt>
                <c:pt idx="509">
                  <c:v>50.5</c:v>
                </c:pt>
                <c:pt idx="510">
                  <c:v>50.6</c:v>
                </c:pt>
                <c:pt idx="511">
                  <c:v>50.7</c:v>
                </c:pt>
                <c:pt idx="512">
                  <c:v>50.8</c:v>
                </c:pt>
                <c:pt idx="513">
                  <c:v>50.9</c:v>
                </c:pt>
                <c:pt idx="514">
                  <c:v>51</c:v>
                </c:pt>
                <c:pt idx="515">
                  <c:v>51.1</c:v>
                </c:pt>
                <c:pt idx="516">
                  <c:v>51.2</c:v>
                </c:pt>
                <c:pt idx="517">
                  <c:v>51.3</c:v>
                </c:pt>
                <c:pt idx="518">
                  <c:v>51.4</c:v>
                </c:pt>
                <c:pt idx="519">
                  <c:v>51.5</c:v>
                </c:pt>
                <c:pt idx="520">
                  <c:v>51.6</c:v>
                </c:pt>
                <c:pt idx="521">
                  <c:v>51.7</c:v>
                </c:pt>
                <c:pt idx="522">
                  <c:v>51.8</c:v>
                </c:pt>
                <c:pt idx="523">
                  <c:v>51.9</c:v>
                </c:pt>
                <c:pt idx="524">
                  <c:v>52</c:v>
                </c:pt>
                <c:pt idx="525">
                  <c:v>52.1</c:v>
                </c:pt>
                <c:pt idx="526">
                  <c:v>52.2</c:v>
                </c:pt>
                <c:pt idx="527">
                  <c:v>52.3</c:v>
                </c:pt>
                <c:pt idx="528">
                  <c:v>52.4</c:v>
                </c:pt>
                <c:pt idx="529">
                  <c:v>52.5</c:v>
                </c:pt>
                <c:pt idx="530">
                  <c:v>52.6</c:v>
                </c:pt>
                <c:pt idx="531">
                  <c:v>52.7</c:v>
                </c:pt>
                <c:pt idx="532">
                  <c:v>52.8</c:v>
                </c:pt>
                <c:pt idx="533">
                  <c:v>52.9</c:v>
                </c:pt>
                <c:pt idx="534">
                  <c:v>53</c:v>
                </c:pt>
                <c:pt idx="535">
                  <c:v>53.1</c:v>
                </c:pt>
                <c:pt idx="536">
                  <c:v>53.2</c:v>
                </c:pt>
                <c:pt idx="537">
                  <c:v>53.3</c:v>
                </c:pt>
                <c:pt idx="538">
                  <c:v>53.4</c:v>
                </c:pt>
                <c:pt idx="539">
                  <c:v>53.5</c:v>
                </c:pt>
                <c:pt idx="540">
                  <c:v>53.6</c:v>
                </c:pt>
                <c:pt idx="541">
                  <c:v>53.7</c:v>
                </c:pt>
                <c:pt idx="542">
                  <c:v>53.8</c:v>
                </c:pt>
                <c:pt idx="543">
                  <c:v>53.9</c:v>
                </c:pt>
                <c:pt idx="544">
                  <c:v>54</c:v>
                </c:pt>
                <c:pt idx="545">
                  <c:v>54.1</c:v>
                </c:pt>
                <c:pt idx="546">
                  <c:v>54.2</c:v>
                </c:pt>
                <c:pt idx="547">
                  <c:v>54.3</c:v>
                </c:pt>
                <c:pt idx="548">
                  <c:v>54.4</c:v>
                </c:pt>
                <c:pt idx="549">
                  <c:v>54.5</c:v>
                </c:pt>
                <c:pt idx="550">
                  <c:v>54.6</c:v>
                </c:pt>
                <c:pt idx="551">
                  <c:v>54.7</c:v>
                </c:pt>
                <c:pt idx="552">
                  <c:v>54.8</c:v>
                </c:pt>
                <c:pt idx="553">
                  <c:v>54.9</c:v>
                </c:pt>
                <c:pt idx="554">
                  <c:v>55</c:v>
                </c:pt>
                <c:pt idx="555">
                  <c:v>55.1</c:v>
                </c:pt>
                <c:pt idx="556">
                  <c:v>55.2</c:v>
                </c:pt>
                <c:pt idx="557">
                  <c:v>55.3</c:v>
                </c:pt>
                <c:pt idx="558">
                  <c:v>55.4</c:v>
                </c:pt>
                <c:pt idx="559">
                  <c:v>55.5</c:v>
                </c:pt>
                <c:pt idx="560">
                  <c:v>55.6</c:v>
                </c:pt>
                <c:pt idx="561">
                  <c:v>55.7</c:v>
                </c:pt>
                <c:pt idx="562">
                  <c:v>55.8</c:v>
                </c:pt>
                <c:pt idx="563">
                  <c:v>55.9</c:v>
                </c:pt>
                <c:pt idx="564">
                  <c:v>56</c:v>
                </c:pt>
                <c:pt idx="565">
                  <c:v>56.1</c:v>
                </c:pt>
                <c:pt idx="566">
                  <c:v>56.2</c:v>
                </c:pt>
                <c:pt idx="567">
                  <c:v>56.3</c:v>
                </c:pt>
                <c:pt idx="568">
                  <c:v>56.4</c:v>
                </c:pt>
                <c:pt idx="569">
                  <c:v>56.5</c:v>
                </c:pt>
                <c:pt idx="570">
                  <c:v>56.6</c:v>
                </c:pt>
                <c:pt idx="571">
                  <c:v>56.7</c:v>
                </c:pt>
                <c:pt idx="572">
                  <c:v>56.8</c:v>
                </c:pt>
                <c:pt idx="573">
                  <c:v>56.9</c:v>
                </c:pt>
                <c:pt idx="574">
                  <c:v>57</c:v>
                </c:pt>
                <c:pt idx="575">
                  <c:v>57.1</c:v>
                </c:pt>
                <c:pt idx="576">
                  <c:v>57.2</c:v>
                </c:pt>
                <c:pt idx="577">
                  <c:v>57.3</c:v>
                </c:pt>
                <c:pt idx="578">
                  <c:v>57.4</c:v>
                </c:pt>
                <c:pt idx="579">
                  <c:v>57.5</c:v>
                </c:pt>
                <c:pt idx="580">
                  <c:v>57.6</c:v>
                </c:pt>
                <c:pt idx="581">
                  <c:v>57.7</c:v>
                </c:pt>
                <c:pt idx="582">
                  <c:v>57.8</c:v>
                </c:pt>
                <c:pt idx="583">
                  <c:v>57.9</c:v>
                </c:pt>
                <c:pt idx="584">
                  <c:v>58</c:v>
                </c:pt>
                <c:pt idx="585">
                  <c:v>58.1</c:v>
                </c:pt>
                <c:pt idx="586">
                  <c:v>58.2</c:v>
                </c:pt>
                <c:pt idx="587">
                  <c:v>58.3</c:v>
                </c:pt>
                <c:pt idx="588">
                  <c:v>58.4</c:v>
                </c:pt>
                <c:pt idx="589">
                  <c:v>58.5</c:v>
                </c:pt>
                <c:pt idx="590">
                  <c:v>58.6</c:v>
                </c:pt>
                <c:pt idx="591">
                  <c:v>58.7</c:v>
                </c:pt>
                <c:pt idx="592">
                  <c:v>58.8</c:v>
                </c:pt>
                <c:pt idx="593">
                  <c:v>58.9</c:v>
                </c:pt>
                <c:pt idx="594">
                  <c:v>59</c:v>
                </c:pt>
                <c:pt idx="595">
                  <c:v>59.1</c:v>
                </c:pt>
                <c:pt idx="596">
                  <c:v>59.2</c:v>
                </c:pt>
                <c:pt idx="597">
                  <c:v>59.3</c:v>
                </c:pt>
                <c:pt idx="598">
                  <c:v>59.4</c:v>
                </c:pt>
                <c:pt idx="599">
                  <c:v>59.5</c:v>
                </c:pt>
                <c:pt idx="600">
                  <c:v>59.6</c:v>
                </c:pt>
                <c:pt idx="601">
                  <c:v>59.7</c:v>
                </c:pt>
                <c:pt idx="602">
                  <c:v>59.8</c:v>
                </c:pt>
                <c:pt idx="603">
                  <c:v>59.9</c:v>
                </c:pt>
                <c:pt idx="604">
                  <c:v>60</c:v>
                </c:pt>
                <c:pt idx="605">
                  <c:v>60.1</c:v>
                </c:pt>
              </c:strCache>
            </c:strRef>
          </c:xVal>
          <c:yVal>
            <c:numRef>
              <c:f>'Data In'!$D$4:$D$609</c:f>
              <c:numCache>
                <c:formatCode>General</c:formatCode>
                <c:ptCount val="606"/>
                <c:pt idx="0">
                  <c:v>0</c:v>
                </c:pt>
                <c:pt idx="1">
                  <c:v>80.23</c:v>
                </c:pt>
                <c:pt idx="3">
                  <c:v>0</c:v>
                </c:pt>
                <c:pt idx="4">
                  <c:v>77.349999999999994</c:v>
                </c:pt>
                <c:pt idx="5">
                  <c:v>28.43</c:v>
                </c:pt>
                <c:pt idx="6">
                  <c:v>28.43</c:v>
                </c:pt>
                <c:pt idx="7">
                  <c:v>28.59</c:v>
                </c:pt>
                <c:pt idx="8">
                  <c:v>28.52</c:v>
                </c:pt>
                <c:pt idx="9">
                  <c:v>28.53</c:v>
                </c:pt>
                <c:pt idx="10">
                  <c:v>28.63</c:v>
                </c:pt>
                <c:pt idx="11">
                  <c:v>28.71</c:v>
                </c:pt>
                <c:pt idx="12">
                  <c:v>28.81</c:v>
                </c:pt>
                <c:pt idx="13">
                  <c:v>29.01</c:v>
                </c:pt>
                <c:pt idx="14">
                  <c:v>29.13</c:v>
                </c:pt>
                <c:pt idx="15">
                  <c:v>29.41</c:v>
                </c:pt>
                <c:pt idx="16">
                  <c:v>29.64</c:v>
                </c:pt>
                <c:pt idx="17">
                  <c:v>29.93</c:v>
                </c:pt>
                <c:pt idx="18">
                  <c:v>30.22</c:v>
                </c:pt>
                <c:pt idx="19">
                  <c:v>30.5</c:v>
                </c:pt>
                <c:pt idx="20">
                  <c:v>30.87</c:v>
                </c:pt>
                <c:pt idx="21">
                  <c:v>31.19</c:v>
                </c:pt>
                <c:pt idx="22">
                  <c:v>31.54</c:v>
                </c:pt>
                <c:pt idx="23">
                  <c:v>31.91</c:v>
                </c:pt>
                <c:pt idx="24">
                  <c:v>32.270000000000003</c:v>
                </c:pt>
                <c:pt idx="25">
                  <c:v>32.770000000000003</c:v>
                </c:pt>
                <c:pt idx="26">
                  <c:v>33.159999999999997</c:v>
                </c:pt>
                <c:pt idx="27">
                  <c:v>33.58</c:v>
                </c:pt>
                <c:pt idx="28">
                  <c:v>34.04</c:v>
                </c:pt>
                <c:pt idx="29">
                  <c:v>34.47</c:v>
                </c:pt>
                <c:pt idx="30">
                  <c:v>34.97</c:v>
                </c:pt>
                <c:pt idx="31">
                  <c:v>35.43</c:v>
                </c:pt>
                <c:pt idx="32">
                  <c:v>35.89</c:v>
                </c:pt>
                <c:pt idx="33">
                  <c:v>36.33</c:v>
                </c:pt>
                <c:pt idx="34">
                  <c:v>36.799999999999997</c:v>
                </c:pt>
                <c:pt idx="35">
                  <c:v>37.200000000000003</c:v>
                </c:pt>
                <c:pt idx="36">
                  <c:v>37.69</c:v>
                </c:pt>
                <c:pt idx="37">
                  <c:v>38.130000000000003</c:v>
                </c:pt>
                <c:pt idx="38">
                  <c:v>38.47</c:v>
                </c:pt>
                <c:pt idx="39">
                  <c:v>38.950000000000003</c:v>
                </c:pt>
                <c:pt idx="40">
                  <c:v>39.369999999999997</c:v>
                </c:pt>
                <c:pt idx="41">
                  <c:v>39.76</c:v>
                </c:pt>
                <c:pt idx="42">
                  <c:v>40.18</c:v>
                </c:pt>
                <c:pt idx="43">
                  <c:v>40.6</c:v>
                </c:pt>
                <c:pt idx="44">
                  <c:v>40.99</c:v>
                </c:pt>
                <c:pt idx="45">
                  <c:v>41.36</c:v>
                </c:pt>
                <c:pt idx="46">
                  <c:v>41.8</c:v>
                </c:pt>
                <c:pt idx="47">
                  <c:v>42.23</c:v>
                </c:pt>
                <c:pt idx="48">
                  <c:v>42.57</c:v>
                </c:pt>
                <c:pt idx="49">
                  <c:v>43.05</c:v>
                </c:pt>
                <c:pt idx="50">
                  <c:v>43.45</c:v>
                </c:pt>
                <c:pt idx="51">
                  <c:v>43.78</c:v>
                </c:pt>
                <c:pt idx="52">
                  <c:v>44.22</c:v>
                </c:pt>
                <c:pt idx="53">
                  <c:v>44.57</c:v>
                </c:pt>
                <c:pt idx="54">
                  <c:v>44.95</c:v>
                </c:pt>
                <c:pt idx="55">
                  <c:v>45.39</c:v>
                </c:pt>
                <c:pt idx="56">
                  <c:v>45.78</c:v>
                </c:pt>
                <c:pt idx="57">
                  <c:v>46.12</c:v>
                </c:pt>
                <c:pt idx="58">
                  <c:v>46.53</c:v>
                </c:pt>
                <c:pt idx="59">
                  <c:v>46.88</c:v>
                </c:pt>
                <c:pt idx="60">
                  <c:v>47.25</c:v>
                </c:pt>
                <c:pt idx="61">
                  <c:v>47.68</c:v>
                </c:pt>
                <c:pt idx="62">
                  <c:v>48.06</c:v>
                </c:pt>
                <c:pt idx="63">
                  <c:v>48.4</c:v>
                </c:pt>
                <c:pt idx="64">
                  <c:v>48.76</c:v>
                </c:pt>
                <c:pt idx="65">
                  <c:v>49.18</c:v>
                </c:pt>
                <c:pt idx="66">
                  <c:v>49.5</c:v>
                </c:pt>
                <c:pt idx="67">
                  <c:v>49.88</c:v>
                </c:pt>
                <c:pt idx="68">
                  <c:v>50.27</c:v>
                </c:pt>
                <c:pt idx="69">
                  <c:v>50.62</c:v>
                </c:pt>
                <c:pt idx="70">
                  <c:v>50.92</c:v>
                </c:pt>
                <c:pt idx="71">
                  <c:v>51.34</c:v>
                </c:pt>
                <c:pt idx="72">
                  <c:v>51.66</c:v>
                </c:pt>
                <c:pt idx="73">
                  <c:v>51.99</c:v>
                </c:pt>
                <c:pt idx="74">
                  <c:v>52.4</c:v>
                </c:pt>
                <c:pt idx="75">
                  <c:v>52.73</c:v>
                </c:pt>
                <c:pt idx="76">
                  <c:v>53.15</c:v>
                </c:pt>
                <c:pt idx="77">
                  <c:v>53.44</c:v>
                </c:pt>
                <c:pt idx="78">
                  <c:v>53.86</c:v>
                </c:pt>
                <c:pt idx="79">
                  <c:v>54.18</c:v>
                </c:pt>
                <c:pt idx="80">
                  <c:v>54.5</c:v>
                </c:pt>
                <c:pt idx="81">
                  <c:v>54.87</c:v>
                </c:pt>
                <c:pt idx="82">
                  <c:v>55.16</c:v>
                </c:pt>
                <c:pt idx="83">
                  <c:v>55.5</c:v>
                </c:pt>
                <c:pt idx="84">
                  <c:v>55.89</c:v>
                </c:pt>
                <c:pt idx="85">
                  <c:v>56.21</c:v>
                </c:pt>
                <c:pt idx="86">
                  <c:v>56.52</c:v>
                </c:pt>
                <c:pt idx="87">
                  <c:v>56.88</c:v>
                </c:pt>
                <c:pt idx="88">
                  <c:v>57.16</c:v>
                </c:pt>
                <c:pt idx="89">
                  <c:v>57.49</c:v>
                </c:pt>
                <c:pt idx="90">
                  <c:v>57.76</c:v>
                </c:pt>
                <c:pt idx="91">
                  <c:v>58.11</c:v>
                </c:pt>
                <c:pt idx="92">
                  <c:v>58.36</c:v>
                </c:pt>
                <c:pt idx="93">
                  <c:v>58.75</c:v>
                </c:pt>
                <c:pt idx="94">
                  <c:v>59.05</c:v>
                </c:pt>
                <c:pt idx="95">
                  <c:v>59.38</c:v>
                </c:pt>
                <c:pt idx="96">
                  <c:v>59.67</c:v>
                </c:pt>
                <c:pt idx="97">
                  <c:v>59.97</c:v>
                </c:pt>
                <c:pt idx="98">
                  <c:v>60.31</c:v>
                </c:pt>
                <c:pt idx="99">
                  <c:v>60.58</c:v>
                </c:pt>
                <c:pt idx="100">
                  <c:v>60.87</c:v>
                </c:pt>
                <c:pt idx="101">
                  <c:v>61.21</c:v>
                </c:pt>
                <c:pt idx="102">
                  <c:v>61.48</c:v>
                </c:pt>
                <c:pt idx="103">
                  <c:v>61.79</c:v>
                </c:pt>
                <c:pt idx="104">
                  <c:v>62.08</c:v>
                </c:pt>
                <c:pt idx="105">
                  <c:v>62.38</c:v>
                </c:pt>
                <c:pt idx="106">
                  <c:v>62.59</c:v>
                </c:pt>
                <c:pt idx="107">
                  <c:v>62.93</c:v>
                </c:pt>
                <c:pt idx="108">
                  <c:v>63.22</c:v>
                </c:pt>
                <c:pt idx="109">
                  <c:v>63.51</c:v>
                </c:pt>
                <c:pt idx="110">
                  <c:v>63.78</c:v>
                </c:pt>
                <c:pt idx="111">
                  <c:v>64.010000000000005</c:v>
                </c:pt>
                <c:pt idx="112">
                  <c:v>64.27</c:v>
                </c:pt>
                <c:pt idx="113">
                  <c:v>64.569999999999993</c:v>
                </c:pt>
                <c:pt idx="114">
                  <c:v>64.84</c:v>
                </c:pt>
                <c:pt idx="115">
                  <c:v>65.14</c:v>
                </c:pt>
                <c:pt idx="116">
                  <c:v>65.430000000000007</c:v>
                </c:pt>
                <c:pt idx="117">
                  <c:v>65.66</c:v>
                </c:pt>
                <c:pt idx="118">
                  <c:v>66</c:v>
                </c:pt>
                <c:pt idx="119">
                  <c:v>66.25</c:v>
                </c:pt>
                <c:pt idx="120">
                  <c:v>66.45</c:v>
                </c:pt>
                <c:pt idx="121">
                  <c:v>66.78</c:v>
                </c:pt>
                <c:pt idx="122">
                  <c:v>67.010000000000005</c:v>
                </c:pt>
                <c:pt idx="123">
                  <c:v>67.239999999999995</c:v>
                </c:pt>
                <c:pt idx="124">
                  <c:v>67.540000000000006</c:v>
                </c:pt>
                <c:pt idx="125">
                  <c:v>67.760000000000005</c:v>
                </c:pt>
                <c:pt idx="126">
                  <c:v>68.040000000000006</c:v>
                </c:pt>
                <c:pt idx="127">
                  <c:v>68.28</c:v>
                </c:pt>
                <c:pt idx="128">
                  <c:v>68.48</c:v>
                </c:pt>
                <c:pt idx="129">
                  <c:v>68.75</c:v>
                </c:pt>
                <c:pt idx="130">
                  <c:v>69</c:v>
                </c:pt>
                <c:pt idx="131">
                  <c:v>69.16</c:v>
                </c:pt>
                <c:pt idx="132">
                  <c:v>69.44</c:v>
                </c:pt>
                <c:pt idx="133">
                  <c:v>69.62</c:v>
                </c:pt>
                <c:pt idx="134">
                  <c:v>69.84</c:v>
                </c:pt>
                <c:pt idx="135">
                  <c:v>69.98</c:v>
                </c:pt>
                <c:pt idx="136">
                  <c:v>70.19</c:v>
                </c:pt>
                <c:pt idx="137">
                  <c:v>70.34</c:v>
                </c:pt>
                <c:pt idx="138">
                  <c:v>70.569999999999993</c:v>
                </c:pt>
                <c:pt idx="139">
                  <c:v>70.69</c:v>
                </c:pt>
                <c:pt idx="140">
                  <c:v>70.88</c:v>
                </c:pt>
                <c:pt idx="141">
                  <c:v>71.03</c:v>
                </c:pt>
                <c:pt idx="142">
                  <c:v>71.11</c:v>
                </c:pt>
                <c:pt idx="143">
                  <c:v>71.319999999999993</c:v>
                </c:pt>
                <c:pt idx="144">
                  <c:v>71.38</c:v>
                </c:pt>
                <c:pt idx="145">
                  <c:v>71.56</c:v>
                </c:pt>
                <c:pt idx="146">
                  <c:v>71.62</c:v>
                </c:pt>
                <c:pt idx="147">
                  <c:v>71.81</c:v>
                </c:pt>
                <c:pt idx="148">
                  <c:v>71.87</c:v>
                </c:pt>
                <c:pt idx="149">
                  <c:v>71.95</c:v>
                </c:pt>
                <c:pt idx="150">
                  <c:v>72.09</c:v>
                </c:pt>
                <c:pt idx="151">
                  <c:v>72.17</c:v>
                </c:pt>
                <c:pt idx="152">
                  <c:v>72.25</c:v>
                </c:pt>
                <c:pt idx="153">
                  <c:v>72.39</c:v>
                </c:pt>
                <c:pt idx="154">
                  <c:v>72.45</c:v>
                </c:pt>
                <c:pt idx="155">
                  <c:v>72.61</c:v>
                </c:pt>
                <c:pt idx="156">
                  <c:v>72.73</c:v>
                </c:pt>
                <c:pt idx="157">
                  <c:v>72.77</c:v>
                </c:pt>
                <c:pt idx="158">
                  <c:v>72.900000000000006</c:v>
                </c:pt>
                <c:pt idx="159">
                  <c:v>72.97</c:v>
                </c:pt>
                <c:pt idx="160">
                  <c:v>73.069999999999993</c:v>
                </c:pt>
                <c:pt idx="161">
                  <c:v>73.209999999999994</c:v>
                </c:pt>
                <c:pt idx="162">
                  <c:v>73.25</c:v>
                </c:pt>
                <c:pt idx="163">
                  <c:v>73.41</c:v>
                </c:pt>
                <c:pt idx="164">
                  <c:v>73.5</c:v>
                </c:pt>
                <c:pt idx="165">
                  <c:v>73.569999999999993</c:v>
                </c:pt>
                <c:pt idx="166">
                  <c:v>73.709999999999994</c:v>
                </c:pt>
                <c:pt idx="167">
                  <c:v>73.790000000000006</c:v>
                </c:pt>
                <c:pt idx="168">
                  <c:v>73.819999999999993</c:v>
                </c:pt>
                <c:pt idx="169">
                  <c:v>73.959999999999994</c:v>
                </c:pt>
                <c:pt idx="170">
                  <c:v>74.08</c:v>
                </c:pt>
                <c:pt idx="171">
                  <c:v>74.12</c:v>
                </c:pt>
                <c:pt idx="172">
                  <c:v>74.22</c:v>
                </c:pt>
                <c:pt idx="173">
                  <c:v>74.319999999999993</c:v>
                </c:pt>
                <c:pt idx="174">
                  <c:v>74.400000000000006</c:v>
                </c:pt>
                <c:pt idx="175">
                  <c:v>74.459999999999994</c:v>
                </c:pt>
                <c:pt idx="176">
                  <c:v>74.55</c:v>
                </c:pt>
                <c:pt idx="177">
                  <c:v>74.63</c:v>
                </c:pt>
                <c:pt idx="178">
                  <c:v>74.69</c:v>
                </c:pt>
                <c:pt idx="179">
                  <c:v>74.739999999999995</c:v>
                </c:pt>
                <c:pt idx="180">
                  <c:v>74.87</c:v>
                </c:pt>
                <c:pt idx="181">
                  <c:v>74.95</c:v>
                </c:pt>
                <c:pt idx="182">
                  <c:v>75</c:v>
                </c:pt>
                <c:pt idx="183">
                  <c:v>75.099999999999994</c:v>
                </c:pt>
                <c:pt idx="184">
                  <c:v>75.180000000000007</c:v>
                </c:pt>
                <c:pt idx="185">
                  <c:v>75.22</c:v>
                </c:pt>
                <c:pt idx="186">
                  <c:v>75.28</c:v>
                </c:pt>
                <c:pt idx="187">
                  <c:v>75.319999999999993</c:v>
                </c:pt>
                <c:pt idx="188">
                  <c:v>75.319999999999993</c:v>
                </c:pt>
                <c:pt idx="189">
                  <c:v>75.48</c:v>
                </c:pt>
                <c:pt idx="190">
                  <c:v>75.5</c:v>
                </c:pt>
                <c:pt idx="191">
                  <c:v>75.569999999999993</c:v>
                </c:pt>
                <c:pt idx="192">
                  <c:v>75.64</c:v>
                </c:pt>
                <c:pt idx="193">
                  <c:v>75.650000000000006</c:v>
                </c:pt>
                <c:pt idx="194">
                  <c:v>75.739999999999995</c:v>
                </c:pt>
                <c:pt idx="195">
                  <c:v>75.83</c:v>
                </c:pt>
                <c:pt idx="196">
                  <c:v>75.88</c:v>
                </c:pt>
                <c:pt idx="197">
                  <c:v>75.92</c:v>
                </c:pt>
                <c:pt idx="198">
                  <c:v>75.97</c:v>
                </c:pt>
                <c:pt idx="199">
                  <c:v>76.040000000000006</c:v>
                </c:pt>
                <c:pt idx="200">
                  <c:v>76.14</c:v>
                </c:pt>
                <c:pt idx="201">
                  <c:v>76.17</c:v>
                </c:pt>
                <c:pt idx="202">
                  <c:v>76.23</c:v>
                </c:pt>
                <c:pt idx="203">
                  <c:v>76.31</c:v>
                </c:pt>
                <c:pt idx="204">
                  <c:v>76.39</c:v>
                </c:pt>
                <c:pt idx="205">
                  <c:v>76.44</c:v>
                </c:pt>
                <c:pt idx="206">
                  <c:v>76.5</c:v>
                </c:pt>
                <c:pt idx="207">
                  <c:v>76.52</c:v>
                </c:pt>
                <c:pt idx="208">
                  <c:v>76.56</c:v>
                </c:pt>
                <c:pt idx="209">
                  <c:v>76.650000000000006</c:v>
                </c:pt>
                <c:pt idx="210">
                  <c:v>76.709999999999994</c:v>
                </c:pt>
                <c:pt idx="211">
                  <c:v>76.77</c:v>
                </c:pt>
                <c:pt idx="212">
                  <c:v>76.86</c:v>
                </c:pt>
                <c:pt idx="213">
                  <c:v>76.930000000000007</c:v>
                </c:pt>
                <c:pt idx="214">
                  <c:v>76.97</c:v>
                </c:pt>
                <c:pt idx="215">
                  <c:v>77.05</c:v>
                </c:pt>
                <c:pt idx="216">
                  <c:v>77.09</c:v>
                </c:pt>
                <c:pt idx="217">
                  <c:v>77.12</c:v>
                </c:pt>
                <c:pt idx="218">
                  <c:v>77.16</c:v>
                </c:pt>
                <c:pt idx="219">
                  <c:v>77.27</c:v>
                </c:pt>
                <c:pt idx="220">
                  <c:v>77.36</c:v>
                </c:pt>
                <c:pt idx="221">
                  <c:v>77.36</c:v>
                </c:pt>
                <c:pt idx="222">
                  <c:v>77.430000000000007</c:v>
                </c:pt>
                <c:pt idx="223">
                  <c:v>77.48</c:v>
                </c:pt>
                <c:pt idx="224">
                  <c:v>77.59</c:v>
                </c:pt>
                <c:pt idx="225">
                  <c:v>77.58</c:v>
                </c:pt>
                <c:pt idx="226">
                  <c:v>77.680000000000007</c:v>
                </c:pt>
                <c:pt idx="227">
                  <c:v>77.73</c:v>
                </c:pt>
                <c:pt idx="228">
                  <c:v>77.8</c:v>
                </c:pt>
                <c:pt idx="229">
                  <c:v>77.88</c:v>
                </c:pt>
                <c:pt idx="230">
                  <c:v>77.959999999999994</c:v>
                </c:pt>
                <c:pt idx="231">
                  <c:v>78.02</c:v>
                </c:pt>
                <c:pt idx="232">
                  <c:v>78.05</c:v>
                </c:pt>
                <c:pt idx="233">
                  <c:v>78.17</c:v>
                </c:pt>
                <c:pt idx="234">
                  <c:v>78.22</c:v>
                </c:pt>
                <c:pt idx="235">
                  <c:v>78.28</c:v>
                </c:pt>
                <c:pt idx="236">
                  <c:v>78.33</c:v>
                </c:pt>
                <c:pt idx="237">
                  <c:v>78.45</c:v>
                </c:pt>
                <c:pt idx="238">
                  <c:v>78.459999999999994</c:v>
                </c:pt>
                <c:pt idx="239">
                  <c:v>78.510000000000005</c:v>
                </c:pt>
                <c:pt idx="240">
                  <c:v>78.63</c:v>
                </c:pt>
                <c:pt idx="241">
                  <c:v>78.680000000000007</c:v>
                </c:pt>
                <c:pt idx="242">
                  <c:v>78.739999999999995</c:v>
                </c:pt>
                <c:pt idx="243">
                  <c:v>78.81</c:v>
                </c:pt>
                <c:pt idx="244">
                  <c:v>78.849999999999994</c:v>
                </c:pt>
                <c:pt idx="245">
                  <c:v>78.989999999999995</c:v>
                </c:pt>
                <c:pt idx="246">
                  <c:v>78.98</c:v>
                </c:pt>
                <c:pt idx="247">
                  <c:v>79.08</c:v>
                </c:pt>
                <c:pt idx="248">
                  <c:v>79.17</c:v>
                </c:pt>
                <c:pt idx="249">
                  <c:v>79.260000000000005</c:v>
                </c:pt>
                <c:pt idx="250">
                  <c:v>79.27</c:v>
                </c:pt>
                <c:pt idx="251">
                  <c:v>79.41</c:v>
                </c:pt>
                <c:pt idx="252">
                  <c:v>79.44</c:v>
                </c:pt>
                <c:pt idx="253">
                  <c:v>79.489999999999995</c:v>
                </c:pt>
                <c:pt idx="254">
                  <c:v>79.59</c:v>
                </c:pt>
                <c:pt idx="255">
                  <c:v>79.64</c:v>
                </c:pt>
                <c:pt idx="256">
                  <c:v>79.67</c:v>
                </c:pt>
                <c:pt idx="257">
                  <c:v>79.77</c:v>
                </c:pt>
                <c:pt idx="258">
                  <c:v>79.83</c:v>
                </c:pt>
                <c:pt idx="259">
                  <c:v>79.87</c:v>
                </c:pt>
                <c:pt idx="260">
                  <c:v>79.959999999999994</c:v>
                </c:pt>
                <c:pt idx="261">
                  <c:v>80.010000000000005</c:v>
                </c:pt>
                <c:pt idx="262">
                  <c:v>80.02</c:v>
                </c:pt>
                <c:pt idx="263">
                  <c:v>80.150000000000006</c:v>
                </c:pt>
                <c:pt idx="264">
                  <c:v>80.2</c:v>
                </c:pt>
                <c:pt idx="265">
                  <c:v>80.239999999999995</c:v>
                </c:pt>
                <c:pt idx="266">
                  <c:v>80.3</c:v>
                </c:pt>
                <c:pt idx="267">
                  <c:v>80.33</c:v>
                </c:pt>
                <c:pt idx="268">
                  <c:v>80.36</c:v>
                </c:pt>
                <c:pt idx="269">
                  <c:v>80.36</c:v>
                </c:pt>
                <c:pt idx="270">
                  <c:v>80.37</c:v>
                </c:pt>
                <c:pt idx="271">
                  <c:v>80.42</c:v>
                </c:pt>
                <c:pt idx="272">
                  <c:v>80.41</c:v>
                </c:pt>
                <c:pt idx="273">
                  <c:v>80.37</c:v>
                </c:pt>
                <c:pt idx="274">
                  <c:v>80.37</c:v>
                </c:pt>
                <c:pt idx="275">
                  <c:v>80.400000000000006</c:v>
                </c:pt>
                <c:pt idx="276">
                  <c:v>80.3</c:v>
                </c:pt>
                <c:pt idx="277">
                  <c:v>80.34</c:v>
                </c:pt>
                <c:pt idx="278">
                  <c:v>80.290000000000006</c:v>
                </c:pt>
                <c:pt idx="279">
                  <c:v>80.22</c:v>
                </c:pt>
                <c:pt idx="280">
                  <c:v>80.22</c:v>
                </c:pt>
                <c:pt idx="281">
                  <c:v>80.150000000000006</c:v>
                </c:pt>
                <c:pt idx="282">
                  <c:v>80.11</c:v>
                </c:pt>
                <c:pt idx="283">
                  <c:v>80.08</c:v>
                </c:pt>
                <c:pt idx="284">
                  <c:v>80.03</c:v>
                </c:pt>
                <c:pt idx="285">
                  <c:v>80.05</c:v>
                </c:pt>
                <c:pt idx="286">
                  <c:v>79.989999999999995</c:v>
                </c:pt>
                <c:pt idx="287">
                  <c:v>79.97</c:v>
                </c:pt>
                <c:pt idx="288">
                  <c:v>79.95</c:v>
                </c:pt>
                <c:pt idx="289">
                  <c:v>79.95</c:v>
                </c:pt>
                <c:pt idx="290">
                  <c:v>79.95</c:v>
                </c:pt>
                <c:pt idx="291">
                  <c:v>79.95</c:v>
                </c:pt>
                <c:pt idx="292">
                  <c:v>79.98</c:v>
                </c:pt>
                <c:pt idx="293">
                  <c:v>79.989999999999995</c:v>
                </c:pt>
                <c:pt idx="294">
                  <c:v>79.989999999999995</c:v>
                </c:pt>
                <c:pt idx="295">
                  <c:v>79.989999999999995</c:v>
                </c:pt>
                <c:pt idx="296">
                  <c:v>80.03</c:v>
                </c:pt>
                <c:pt idx="297">
                  <c:v>80</c:v>
                </c:pt>
                <c:pt idx="298">
                  <c:v>80.099999999999994</c:v>
                </c:pt>
                <c:pt idx="299">
                  <c:v>80.069999999999993</c:v>
                </c:pt>
                <c:pt idx="300">
                  <c:v>80.12</c:v>
                </c:pt>
                <c:pt idx="301">
                  <c:v>80.13</c:v>
                </c:pt>
                <c:pt idx="302">
                  <c:v>80.2</c:v>
                </c:pt>
                <c:pt idx="303">
                  <c:v>80.22</c:v>
                </c:pt>
                <c:pt idx="304">
                  <c:v>80.17</c:v>
                </c:pt>
                <c:pt idx="305">
                  <c:v>80.180000000000007</c:v>
                </c:pt>
                <c:pt idx="306">
                  <c:v>80.239999999999995</c:v>
                </c:pt>
                <c:pt idx="307">
                  <c:v>80.239999999999995</c:v>
                </c:pt>
                <c:pt idx="308">
                  <c:v>80.239999999999995</c:v>
                </c:pt>
                <c:pt idx="309">
                  <c:v>80.22</c:v>
                </c:pt>
                <c:pt idx="310">
                  <c:v>80.209999999999994</c:v>
                </c:pt>
                <c:pt idx="311">
                  <c:v>80.239999999999995</c:v>
                </c:pt>
                <c:pt idx="312">
                  <c:v>80.2</c:v>
                </c:pt>
                <c:pt idx="313">
                  <c:v>80.209999999999994</c:v>
                </c:pt>
                <c:pt idx="314">
                  <c:v>80.22</c:v>
                </c:pt>
                <c:pt idx="315">
                  <c:v>80.239999999999995</c:v>
                </c:pt>
                <c:pt idx="316">
                  <c:v>80.25</c:v>
                </c:pt>
                <c:pt idx="317">
                  <c:v>80.209999999999994</c:v>
                </c:pt>
                <c:pt idx="318">
                  <c:v>80.22</c:v>
                </c:pt>
                <c:pt idx="319">
                  <c:v>80.180000000000007</c:v>
                </c:pt>
                <c:pt idx="320">
                  <c:v>80.2</c:v>
                </c:pt>
                <c:pt idx="321">
                  <c:v>80.14</c:v>
                </c:pt>
                <c:pt idx="322">
                  <c:v>80.11</c:v>
                </c:pt>
                <c:pt idx="323">
                  <c:v>80.09</c:v>
                </c:pt>
                <c:pt idx="324">
                  <c:v>80.14</c:v>
                </c:pt>
                <c:pt idx="325">
                  <c:v>80.13</c:v>
                </c:pt>
                <c:pt idx="326">
                  <c:v>80.13</c:v>
                </c:pt>
                <c:pt idx="327">
                  <c:v>80.069999999999993</c:v>
                </c:pt>
                <c:pt idx="328">
                  <c:v>80.03</c:v>
                </c:pt>
                <c:pt idx="329">
                  <c:v>80.069999999999993</c:v>
                </c:pt>
                <c:pt idx="330">
                  <c:v>80</c:v>
                </c:pt>
                <c:pt idx="331">
                  <c:v>80.069999999999993</c:v>
                </c:pt>
                <c:pt idx="332">
                  <c:v>80.03</c:v>
                </c:pt>
                <c:pt idx="333">
                  <c:v>80.03</c:v>
                </c:pt>
                <c:pt idx="334">
                  <c:v>80.08</c:v>
                </c:pt>
                <c:pt idx="335">
                  <c:v>80.09</c:v>
                </c:pt>
                <c:pt idx="336">
                  <c:v>80.06</c:v>
                </c:pt>
                <c:pt idx="337">
                  <c:v>80.11</c:v>
                </c:pt>
                <c:pt idx="338">
                  <c:v>80.069999999999993</c:v>
                </c:pt>
                <c:pt idx="339">
                  <c:v>80.099999999999994</c:v>
                </c:pt>
                <c:pt idx="340">
                  <c:v>80.19</c:v>
                </c:pt>
                <c:pt idx="341">
                  <c:v>80.13</c:v>
                </c:pt>
                <c:pt idx="342">
                  <c:v>80.17</c:v>
                </c:pt>
                <c:pt idx="343">
                  <c:v>80.209999999999994</c:v>
                </c:pt>
                <c:pt idx="344">
                  <c:v>80.209999999999994</c:v>
                </c:pt>
                <c:pt idx="345">
                  <c:v>80.22</c:v>
                </c:pt>
                <c:pt idx="346">
                  <c:v>80.209999999999994</c:v>
                </c:pt>
                <c:pt idx="347">
                  <c:v>80.22</c:v>
                </c:pt>
                <c:pt idx="348">
                  <c:v>80.209999999999994</c:v>
                </c:pt>
                <c:pt idx="349">
                  <c:v>80.22</c:v>
                </c:pt>
                <c:pt idx="350">
                  <c:v>80.239999999999995</c:v>
                </c:pt>
                <c:pt idx="351">
                  <c:v>80.22</c:v>
                </c:pt>
                <c:pt idx="352">
                  <c:v>80.209999999999994</c:v>
                </c:pt>
                <c:pt idx="353">
                  <c:v>80.25</c:v>
                </c:pt>
                <c:pt idx="354">
                  <c:v>80.23</c:v>
                </c:pt>
                <c:pt idx="355">
                  <c:v>80.19</c:v>
                </c:pt>
                <c:pt idx="356">
                  <c:v>80.180000000000007</c:v>
                </c:pt>
                <c:pt idx="357">
                  <c:v>80.19</c:v>
                </c:pt>
                <c:pt idx="358">
                  <c:v>80.14</c:v>
                </c:pt>
                <c:pt idx="359">
                  <c:v>80.209999999999994</c:v>
                </c:pt>
                <c:pt idx="360">
                  <c:v>80.17</c:v>
                </c:pt>
                <c:pt idx="361">
                  <c:v>80.16</c:v>
                </c:pt>
                <c:pt idx="362">
                  <c:v>80.16</c:v>
                </c:pt>
                <c:pt idx="363">
                  <c:v>80.099999999999994</c:v>
                </c:pt>
                <c:pt idx="364">
                  <c:v>80.150000000000006</c:v>
                </c:pt>
                <c:pt idx="365">
                  <c:v>80.11</c:v>
                </c:pt>
                <c:pt idx="366">
                  <c:v>80.13</c:v>
                </c:pt>
                <c:pt idx="367">
                  <c:v>80.11</c:v>
                </c:pt>
                <c:pt idx="368">
                  <c:v>80.13</c:v>
                </c:pt>
                <c:pt idx="369">
                  <c:v>80.05</c:v>
                </c:pt>
                <c:pt idx="370">
                  <c:v>80.13</c:v>
                </c:pt>
                <c:pt idx="371">
                  <c:v>80.12</c:v>
                </c:pt>
                <c:pt idx="372">
                  <c:v>80.09</c:v>
                </c:pt>
                <c:pt idx="373">
                  <c:v>80.06</c:v>
                </c:pt>
                <c:pt idx="374">
                  <c:v>80.14</c:v>
                </c:pt>
                <c:pt idx="375">
                  <c:v>80.069999999999993</c:v>
                </c:pt>
                <c:pt idx="376">
                  <c:v>80.06</c:v>
                </c:pt>
                <c:pt idx="377">
                  <c:v>80.06</c:v>
                </c:pt>
                <c:pt idx="378">
                  <c:v>80.12</c:v>
                </c:pt>
                <c:pt idx="379">
                  <c:v>80.069999999999993</c:v>
                </c:pt>
                <c:pt idx="380">
                  <c:v>80.069999999999993</c:v>
                </c:pt>
                <c:pt idx="381">
                  <c:v>80.069999999999993</c:v>
                </c:pt>
                <c:pt idx="382">
                  <c:v>80.150000000000006</c:v>
                </c:pt>
                <c:pt idx="383">
                  <c:v>80.11</c:v>
                </c:pt>
                <c:pt idx="384">
                  <c:v>80.13</c:v>
                </c:pt>
                <c:pt idx="385">
                  <c:v>80.17</c:v>
                </c:pt>
                <c:pt idx="386">
                  <c:v>80.22</c:v>
                </c:pt>
                <c:pt idx="387">
                  <c:v>80.27</c:v>
                </c:pt>
                <c:pt idx="388">
                  <c:v>80.25</c:v>
                </c:pt>
                <c:pt idx="389">
                  <c:v>80.319999999999993</c:v>
                </c:pt>
                <c:pt idx="390">
                  <c:v>80.290000000000006</c:v>
                </c:pt>
                <c:pt idx="391">
                  <c:v>80.31</c:v>
                </c:pt>
                <c:pt idx="392">
                  <c:v>80.33</c:v>
                </c:pt>
                <c:pt idx="393">
                  <c:v>80.31</c:v>
                </c:pt>
                <c:pt idx="394">
                  <c:v>80.36</c:v>
                </c:pt>
                <c:pt idx="395">
                  <c:v>80.290000000000006</c:v>
                </c:pt>
                <c:pt idx="396">
                  <c:v>80.3</c:v>
                </c:pt>
                <c:pt idx="397">
                  <c:v>80.239999999999995</c:v>
                </c:pt>
                <c:pt idx="398">
                  <c:v>80.27</c:v>
                </c:pt>
                <c:pt idx="399">
                  <c:v>80.17</c:v>
                </c:pt>
                <c:pt idx="400">
                  <c:v>80.209999999999994</c:v>
                </c:pt>
                <c:pt idx="401">
                  <c:v>80.19</c:v>
                </c:pt>
                <c:pt idx="402">
                  <c:v>80.150000000000006</c:v>
                </c:pt>
                <c:pt idx="403">
                  <c:v>80.09</c:v>
                </c:pt>
                <c:pt idx="404">
                  <c:v>80.069999999999993</c:v>
                </c:pt>
                <c:pt idx="405">
                  <c:v>80.08</c:v>
                </c:pt>
                <c:pt idx="406">
                  <c:v>80.09</c:v>
                </c:pt>
                <c:pt idx="407">
                  <c:v>80.040000000000006</c:v>
                </c:pt>
                <c:pt idx="408">
                  <c:v>80.05</c:v>
                </c:pt>
                <c:pt idx="409">
                  <c:v>80.069999999999993</c:v>
                </c:pt>
                <c:pt idx="410">
                  <c:v>80.069999999999993</c:v>
                </c:pt>
                <c:pt idx="411">
                  <c:v>80.08</c:v>
                </c:pt>
                <c:pt idx="412">
                  <c:v>80.09</c:v>
                </c:pt>
                <c:pt idx="413">
                  <c:v>80.06</c:v>
                </c:pt>
                <c:pt idx="414">
                  <c:v>80.13</c:v>
                </c:pt>
                <c:pt idx="415">
                  <c:v>80.13</c:v>
                </c:pt>
                <c:pt idx="416">
                  <c:v>80.16</c:v>
                </c:pt>
                <c:pt idx="417">
                  <c:v>80.17</c:v>
                </c:pt>
                <c:pt idx="418">
                  <c:v>80.17</c:v>
                </c:pt>
                <c:pt idx="419">
                  <c:v>80.19</c:v>
                </c:pt>
                <c:pt idx="420">
                  <c:v>80.22</c:v>
                </c:pt>
                <c:pt idx="421">
                  <c:v>80.19</c:v>
                </c:pt>
                <c:pt idx="422">
                  <c:v>80.27</c:v>
                </c:pt>
                <c:pt idx="423">
                  <c:v>80.25</c:v>
                </c:pt>
                <c:pt idx="424">
                  <c:v>80.290000000000006</c:v>
                </c:pt>
                <c:pt idx="425">
                  <c:v>80.28</c:v>
                </c:pt>
                <c:pt idx="426">
                  <c:v>80.319999999999993</c:v>
                </c:pt>
                <c:pt idx="427">
                  <c:v>80.28</c:v>
                </c:pt>
                <c:pt idx="428">
                  <c:v>80.31</c:v>
                </c:pt>
                <c:pt idx="429">
                  <c:v>80.290000000000006</c:v>
                </c:pt>
                <c:pt idx="430">
                  <c:v>80.33</c:v>
                </c:pt>
                <c:pt idx="431">
                  <c:v>80.28</c:v>
                </c:pt>
                <c:pt idx="432">
                  <c:v>80.23</c:v>
                </c:pt>
                <c:pt idx="433">
                  <c:v>80.28</c:v>
                </c:pt>
                <c:pt idx="434">
                  <c:v>80.260000000000005</c:v>
                </c:pt>
                <c:pt idx="435">
                  <c:v>80.239999999999995</c:v>
                </c:pt>
                <c:pt idx="436">
                  <c:v>80.16</c:v>
                </c:pt>
                <c:pt idx="437">
                  <c:v>80.19</c:v>
                </c:pt>
                <c:pt idx="438">
                  <c:v>80.19</c:v>
                </c:pt>
                <c:pt idx="439">
                  <c:v>80.2</c:v>
                </c:pt>
                <c:pt idx="440">
                  <c:v>80.17</c:v>
                </c:pt>
                <c:pt idx="441">
                  <c:v>80.150000000000006</c:v>
                </c:pt>
                <c:pt idx="442">
                  <c:v>80.16</c:v>
                </c:pt>
                <c:pt idx="443">
                  <c:v>80.11</c:v>
                </c:pt>
                <c:pt idx="444">
                  <c:v>80.17</c:v>
                </c:pt>
                <c:pt idx="445">
                  <c:v>80.150000000000006</c:v>
                </c:pt>
                <c:pt idx="446">
                  <c:v>80.2</c:v>
                </c:pt>
                <c:pt idx="447">
                  <c:v>80.12</c:v>
                </c:pt>
                <c:pt idx="448">
                  <c:v>80.09</c:v>
                </c:pt>
                <c:pt idx="449">
                  <c:v>80.099999999999994</c:v>
                </c:pt>
                <c:pt idx="450">
                  <c:v>80.14</c:v>
                </c:pt>
                <c:pt idx="451">
                  <c:v>80.09</c:v>
                </c:pt>
                <c:pt idx="452">
                  <c:v>80.150000000000006</c:v>
                </c:pt>
                <c:pt idx="453">
                  <c:v>80.16</c:v>
                </c:pt>
                <c:pt idx="454">
                  <c:v>80.09</c:v>
                </c:pt>
                <c:pt idx="455">
                  <c:v>80.150000000000006</c:v>
                </c:pt>
                <c:pt idx="456">
                  <c:v>80.13</c:v>
                </c:pt>
                <c:pt idx="457">
                  <c:v>80.180000000000007</c:v>
                </c:pt>
                <c:pt idx="458">
                  <c:v>80.2</c:v>
                </c:pt>
                <c:pt idx="459">
                  <c:v>80.209999999999994</c:v>
                </c:pt>
                <c:pt idx="460">
                  <c:v>80.150000000000006</c:v>
                </c:pt>
                <c:pt idx="461">
                  <c:v>80.19</c:v>
                </c:pt>
                <c:pt idx="462">
                  <c:v>80.2</c:v>
                </c:pt>
                <c:pt idx="463">
                  <c:v>80.23</c:v>
                </c:pt>
                <c:pt idx="464">
                  <c:v>80.17</c:v>
                </c:pt>
                <c:pt idx="465">
                  <c:v>80.17</c:v>
                </c:pt>
                <c:pt idx="466">
                  <c:v>80.22</c:v>
                </c:pt>
                <c:pt idx="467">
                  <c:v>80.17</c:v>
                </c:pt>
                <c:pt idx="468">
                  <c:v>80.209999999999994</c:v>
                </c:pt>
                <c:pt idx="469">
                  <c:v>80.19</c:v>
                </c:pt>
                <c:pt idx="470">
                  <c:v>80.180000000000007</c:v>
                </c:pt>
                <c:pt idx="471">
                  <c:v>80.180000000000007</c:v>
                </c:pt>
                <c:pt idx="472">
                  <c:v>80.16</c:v>
                </c:pt>
                <c:pt idx="473">
                  <c:v>80.12</c:v>
                </c:pt>
                <c:pt idx="474">
                  <c:v>80.19</c:v>
                </c:pt>
                <c:pt idx="475">
                  <c:v>80.13</c:v>
                </c:pt>
                <c:pt idx="476">
                  <c:v>80.150000000000006</c:v>
                </c:pt>
                <c:pt idx="477">
                  <c:v>80.11</c:v>
                </c:pt>
                <c:pt idx="478">
                  <c:v>80.13</c:v>
                </c:pt>
                <c:pt idx="479">
                  <c:v>80.13</c:v>
                </c:pt>
                <c:pt idx="480">
                  <c:v>80.17</c:v>
                </c:pt>
                <c:pt idx="481">
                  <c:v>80.099999999999994</c:v>
                </c:pt>
                <c:pt idx="482">
                  <c:v>80.2</c:v>
                </c:pt>
                <c:pt idx="483">
                  <c:v>80.150000000000006</c:v>
                </c:pt>
                <c:pt idx="484">
                  <c:v>80.19</c:v>
                </c:pt>
                <c:pt idx="485">
                  <c:v>80.150000000000006</c:v>
                </c:pt>
                <c:pt idx="486">
                  <c:v>80.13</c:v>
                </c:pt>
                <c:pt idx="487">
                  <c:v>80.11</c:v>
                </c:pt>
                <c:pt idx="488">
                  <c:v>80.180000000000007</c:v>
                </c:pt>
                <c:pt idx="489">
                  <c:v>80.150000000000006</c:v>
                </c:pt>
                <c:pt idx="490">
                  <c:v>80.13</c:v>
                </c:pt>
                <c:pt idx="491">
                  <c:v>80.12</c:v>
                </c:pt>
                <c:pt idx="492">
                  <c:v>80.150000000000006</c:v>
                </c:pt>
                <c:pt idx="493">
                  <c:v>80.150000000000006</c:v>
                </c:pt>
                <c:pt idx="494">
                  <c:v>80.13</c:v>
                </c:pt>
                <c:pt idx="495">
                  <c:v>80.12</c:v>
                </c:pt>
                <c:pt idx="496">
                  <c:v>80.17</c:v>
                </c:pt>
                <c:pt idx="497">
                  <c:v>80.150000000000006</c:v>
                </c:pt>
                <c:pt idx="498">
                  <c:v>80.13</c:v>
                </c:pt>
                <c:pt idx="499">
                  <c:v>80.150000000000006</c:v>
                </c:pt>
                <c:pt idx="500">
                  <c:v>80.150000000000006</c:v>
                </c:pt>
                <c:pt idx="501">
                  <c:v>80.19</c:v>
                </c:pt>
                <c:pt idx="502">
                  <c:v>80.150000000000006</c:v>
                </c:pt>
                <c:pt idx="503">
                  <c:v>80.19</c:v>
                </c:pt>
                <c:pt idx="504">
                  <c:v>80.13</c:v>
                </c:pt>
                <c:pt idx="505">
                  <c:v>80.180000000000007</c:v>
                </c:pt>
                <c:pt idx="506">
                  <c:v>80.19</c:v>
                </c:pt>
                <c:pt idx="507">
                  <c:v>80.209999999999994</c:v>
                </c:pt>
                <c:pt idx="508">
                  <c:v>80.2</c:v>
                </c:pt>
                <c:pt idx="509">
                  <c:v>80.150000000000006</c:v>
                </c:pt>
                <c:pt idx="510">
                  <c:v>80.19</c:v>
                </c:pt>
                <c:pt idx="511">
                  <c:v>80.22</c:v>
                </c:pt>
                <c:pt idx="512">
                  <c:v>80.17</c:v>
                </c:pt>
                <c:pt idx="513">
                  <c:v>80.16</c:v>
                </c:pt>
                <c:pt idx="514">
                  <c:v>80.150000000000006</c:v>
                </c:pt>
                <c:pt idx="515">
                  <c:v>80.12</c:v>
                </c:pt>
                <c:pt idx="516">
                  <c:v>80.09</c:v>
                </c:pt>
                <c:pt idx="517">
                  <c:v>80.17</c:v>
                </c:pt>
                <c:pt idx="518">
                  <c:v>80.16</c:v>
                </c:pt>
                <c:pt idx="519">
                  <c:v>80.16</c:v>
                </c:pt>
                <c:pt idx="520">
                  <c:v>80.11</c:v>
                </c:pt>
                <c:pt idx="521">
                  <c:v>80.180000000000007</c:v>
                </c:pt>
                <c:pt idx="522">
                  <c:v>80.11</c:v>
                </c:pt>
                <c:pt idx="523">
                  <c:v>80.13</c:v>
                </c:pt>
                <c:pt idx="524">
                  <c:v>80.11</c:v>
                </c:pt>
                <c:pt idx="525">
                  <c:v>80.069999999999993</c:v>
                </c:pt>
                <c:pt idx="526">
                  <c:v>80.11</c:v>
                </c:pt>
                <c:pt idx="527">
                  <c:v>80.11</c:v>
                </c:pt>
                <c:pt idx="528">
                  <c:v>80.11</c:v>
                </c:pt>
                <c:pt idx="529">
                  <c:v>80.08</c:v>
                </c:pt>
                <c:pt idx="530">
                  <c:v>80.08</c:v>
                </c:pt>
                <c:pt idx="531">
                  <c:v>80.099999999999994</c:v>
                </c:pt>
                <c:pt idx="532">
                  <c:v>80.12</c:v>
                </c:pt>
                <c:pt idx="533">
                  <c:v>80.08</c:v>
                </c:pt>
                <c:pt idx="534">
                  <c:v>80.06</c:v>
                </c:pt>
                <c:pt idx="535">
                  <c:v>80.08</c:v>
                </c:pt>
                <c:pt idx="536">
                  <c:v>80.17</c:v>
                </c:pt>
                <c:pt idx="537">
                  <c:v>80.2</c:v>
                </c:pt>
                <c:pt idx="538">
                  <c:v>80.19</c:v>
                </c:pt>
                <c:pt idx="539">
                  <c:v>80.11</c:v>
                </c:pt>
                <c:pt idx="540">
                  <c:v>80.16</c:v>
                </c:pt>
                <c:pt idx="541">
                  <c:v>80.180000000000007</c:v>
                </c:pt>
                <c:pt idx="542">
                  <c:v>80.19</c:v>
                </c:pt>
                <c:pt idx="543">
                  <c:v>80.23</c:v>
                </c:pt>
                <c:pt idx="544">
                  <c:v>80.239999999999995</c:v>
                </c:pt>
                <c:pt idx="545">
                  <c:v>80.209999999999994</c:v>
                </c:pt>
                <c:pt idx="546">
                  <c:v>80.209999999999994</c:v>
                </c:pt>
                <c:pt idx="547">
                  <c:v>80.2</c:v>
                </c:pt>
                <c:pt idx="548">
                  <c:v>80.180000000000007</c:v>
                </c:pt>
                <c:pt idx="549">
                  <c:v>80.25</c:v>
                </c:pt>
                <c:pt idx="550">
                  <c:v>80.23</c:v>
                </c:pt>
                <c:pt idx="551">
                  <c:v>80.2</c:v>
                </c:pt>
                <c:pt idx="552">
                  <c:v>80.19</c:v>
                </c:pt>
                <c:pt idx="553">
                  <c:v>80.19</c:v>
                </c:pt>
                <c:pt idx="554">
                  <c:v>80.239999999999995</c:v>
                </c:pt>
                <c:pt idx="555">
                  <c:v>80.239999999999995</c:v>
                </c:pt>
                <c:pt idx="556">
                  <c:v>80.19</c:v>
                </c:pt>
                <c:pt idx="557">
                  <c:v>80.209999999999994</c:v>
                </c:pt>
                <c:pt idx="558">
                  <c:v>80.16</c:v>
                </c:pt>
                <c:pt idx="559">
                  <c:v>80.2</c:v>
                </c:pt>
                <c:pt idx="560">
                  <c:v>80.19</c:v>
                </c:pt>
                <c:pt idx="561">
                  <c:v>80.209999999999994</c:v>
                </c:pt>
                <c:pt idx="562">
                  <c:v>80.13</c:v>
                </c:pt>
                <c:pt idx="563">
                  <c:v>80.16</c:v>
                </c:pt>
                <c:pt idx="564">
                  <c:v>80.16</c:v>
                </c:pt>
                <c:pt idx="565">
                  <c:v>80.13</c:v>
                </c:pt>
                <c:pt idx="566">
                  <c:v>80.150000000000006</c:v>
                </c:pt>
                <c:pt idx="567">
                  <c:v>80.11</c:v>
                </c:pt>
                <c:pt idx="568">
                  <c:v>80.150000000000006</c:v>
                </c:pt>
                <c:pt idx="569">
                  <c:v>80.09</c:v>
                </c:pt>
                <c:pt idx="570">
                  <c:v>80.06</c:v>
                </c:pt>
                <c:pt idx="571">
                  <c:v>80.08</c:v>
                </c:pt>
                <c:pt idx="572">
                  <c:v>80.08</c:v>
                </c:pt>
                <c:pt idx="573">
                  <c:v>80.12</c:v>
                </c:pt>
                <c:pt idx="574">
                  <c:v>80.17</c:v>
                </c:pt>
                <c:pt idx="575">
                  <c:v>80.11</c:v>
                </c:pt>
                <c:pt idx="576">
                  <c:v>80.150000000000006</c:v>
                </c:pt>
                <c:pt idx="577">
                  <c:v>80.17</c:v>
                </c:pt>
                <c:pt idx="578">
                  <c:v>80.11</c:v>
                </c:pt>
                <c:pt idx="579">
                  <c:v>80.08</c:v>
                </c:pt>
                <c:pt idx="580">
                  <c:v>80.13</c:v>
                </c:pt>
                <c:pt idx="581">
                  <c:v>80.14</c:v>
                </c:pt>
                <c:pt idx="582">
                  <c:v>80.150000000000006</c:v>
                </c:pt>
                <c:pt idx="583">
                  <c:v>80.17</c:v>
                </c:pt>
                <c:pt idx="584">
                  <c:v>80.2</c:v>
                </c:pt>
                <c:pt idx="585">
                  <c:v>80.209999999999994</c:v>
                </c:pt>
                <c:pt idx="586">
                  <c:v>80.22</c:v>
                </c:pt>
                <c:pt idx="587">
                  <c:v>80.16</c:v>
                </c:pt>
                <c:pt idx="588">
                  <c:v>80.19</c:v>
                </c:pt>
                <c:pt idx="589">
                  <c:v>80.22</c:v>
                </c:pt>
                <c:pt idx="590">
                  <c:v>80.23</c:v>
                </c:pt>
                <c:pt idx="591">
                  <c:v>80.22</c:v>
                </c:pt>
                <c:pt idx="592">
                  <c:v>80.19</c:v>
                </c:pt>
                <c:pt idx="593">
                  <c:v>80.180000000000007</c:v>
                </c:pt>
                <c:pt idx="594">
                  <c:v>80.22</c:v>
                </c:pt>
                <c:pt idx="595">
                  <c:v>80.19</c:v>
                </c:pt>
                <c:pt idx="596">
                  <c:v>80.239999999999995</c:v>
                </c:pt>
                <c:pt idx="597">
                  <c:v>80.239999999999995</c:v>
                </c:pt>
                <c:pt idx="598">
                  <c:v>80.2</c:v>
                </c:pt>
                <c:pt idx="599">
                  <c:v>80.23</c:v>
                </c:pt>
                <c:pt idx="600">
                  <c:v>80.22</c:v>
                </c:pt>
                <c:pt idx="601">
                  <c:v>80.25</c:v>
                </c:pt>
                <c:pt idx="602">
                  <c:v>80.17</c:v>
                </c:pt>
                <c:pt idx="603">
                  <c:v>80.16</c:v>
                </c:pt>
                <c:pt idx="604">
                  <c:v>80.209999999999994</c:v>
                </c:pt>
                <c:pt idx="605">
                  <c:v>80.23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F6-40AE-B85D-7092FD659D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86799"/>
        <c:axId val="137679599"/>
      </c:scatterChart>
      <c:valAx>
        <c:axId val="13768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79599"/>
        <c:crosses val="autoZero"/>
        <c:crossBetween val="midCat"/>
      </c:valAx>
      <c:valAx>
        <c:axId val="13767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6867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chart" Target="../charts/chart34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chart" Target="../charts/chart33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301395</xdr:colOff>
      <xdr:row>0</xdr:row>
      <xdr:rowOff>176955</xdr:rowOff>
    </xdr:from>
    <xdr:to>
      <xdr:col>27</xdr:col>
      <xdr:colOff>363178</xdr:colOff>
      <xdr:row>13</xdr:row>
      <xdr:rowOff>141016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FA4B193-9DB8-AA03-D4EB-523040147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240307</xdr:colOff>
      <xdr:row>0</xdr:row>
      <xdr:rowOff>72631</xdr:rowOff>
    </xdr:from>
    <xdr:to>
      <xdr:col>11</xdr:col>
      <xdr:colOff>518075</xdr:colOff>
      <xdr:row>13</xdr:row>
      <xdr:rowOff>87961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69C0C99-5727-5F6B-FED0-72BCA136C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521970</xdr:colOff>
      <xdr:row>0</xdr:row>
      <xdr:rowOff>156210</xdr:rowOff>
    </xdr:from>
    <xdr:to>
      <xdr:col>12</xdr:col>
      <xdr:colOff>156210</xdr:colOff>
      <xdr:row>13</xdr:row>
      <xdr:rowOff>156210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ADE4E-34B0-0604-F591-D400B71DD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377190</xdr:colOff>
      <xdr:row>1</xdr:row>
      <xdr:rowOff>110490</xdr:rowOff>
    </xdr:from>
    <xdr:to>
      <xdr:col>28</xdr:col>
      <xdr:colOff>491490</xdr:colOff>
      <xdr:row>14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978811-60BA-58E7-D64F-6DE438674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92110</xdr:colOff>
      <xdr:row>2</xdr:row>
      <xdr:rowOff>10049</xdr:rowOff>
    </xdr:from>
    <xdr:to>
      <xdr:col>11</xdr:col>
      <xdr:colOff>92110</xdr:colOff>
      <xdr:row>15</xdr:row>
      <xdr:rowOff>31820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F766C33-24E7-E6DC-288D-F52CE2431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235618</xdr:colOff>
      <xdr:row>1</xdr:row>
      <xdr:rowOff>172453</xdr:rowOff>
    </xdr:from>
    <xdr:to>
      <xdr:col>27</xdr:col>
      <xdr:colOff>5013</xdr:colOff>
      <xdr:row>14</xdr:row>
      <xdr:rowOff>178469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37CF79-0F66-8DE7-EC9D-12325057AF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501316</xdr:colOff>
      <xdr:row>0</xdr:row>
      <xdr:rowOff>0</xdr:rowOff>
    </xdr:from>
    <xdr:to>
      <xdr:col>11</xdr:col>
      <xdr:colOff>431132</xdr:colOff>
      <xdr:row>13</xdr:row>
      <xdr:rowOff>36095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6766BD-A550-764D-E6B2-EAE3EEF6A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491289</xdr:colOff>
      <xdr:row>0</xdr:row>
      <xdr:rowOff>112295</xdr:rowOff>
    </xdr:from>
    <xdr:to>
      <xdr:col>27</xdr:col>
      <xdr:colOff>360947</xdr:colOff>
      <xdr:row>13</xdr:row>
      <xdr:rowOff>148390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32C6D7-452C-CD21-41EA-62E5C74B6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480060</xdr:colOff>
      <xdr:row>2</xdr:row>
      <xdr:rowOff>41910</xdr:rowOff>
    </xdr:from>
    <xdr:to>
      <xdr:col>12</xdr:col>
      <xdr:colOff>495300</xdr:colOff>
      <xdr:row>15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C20C5-EA7F-8050-15AF-A1972FC4C1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200025</xdr:colOff>
      <xdr:row>2</xdr:row>
      <xdr:rowOff>33338</xdr:rowOff>
    </xdr:from>
    <xdr:to>
      <xdr:col>27</xdr:col>
      <xdr:colOff>190500</xdr:colOff>
      <xdr:row>15</xdr:row>
      <xdr:rowOff>52388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AE30AF-A731-58F4-1867-F3E469E89D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472440</xdr:colOff>
      <xdr:row>1</xdr:row>
      <xdr:rowOff>125730</xdr:rowOff>
    </xdr:from>
    <xdr:to>
      <xdr:col>10</xdr:col>
      <xdr:colOff>1089660</xdr:colOff>
      <xdr:row>14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221E590-BD03-F1B7-EBC0-EC9BCFCAA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82379</xdr:colOff>
      <xdr:row>1</xdr:row>
      <xdr:rowOff>152401</xdr:rowOff>
    </xdr:from>
    <xdr:to>
      <xdr:col>26</xdr:col>
      <xdr:colOff>762000</xdr:colOff>
      <xdr:row>14</xdr:row>
      <xdr:rowOff>84438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10F10F-45DA-2520-75E9-C190498FB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1</xdr:row>
      <xdr:rowOff>179070</xdr:rowOff>
    </xdr:from>
    <xdr:to>
      <xdr:col>10</xdr:col>
      <xdr:colOff>1554480</xdr:colOff>
      <xdr:row>14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FE3D11-D209-56A2-9287-26DCB68C74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342900</xdr:colOff>
      <xdr:row>1</xdr:row>
      <xdr:rowOff>140970</xdr:rowOff>
    </xdr:from>
    <xdr:to>
      <xdr:col>27</xdr:col>
      <xdr:colOff>365760</xdr:colOff>
      <xdr:row>14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2D7682A-EE2A-20D3-398A-06782CC7D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416922</xdr:colOff>
      <xdr:row>1</xdr:row>
      <xdr:rowOff>72390</xdr:rowOff>
    </xdr:from>
    <xdr:to>
      <xdr:col>11</xdr:col>
      <xdr:colOff>538842</xdr:colOff>
      <xdr:row>14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96142D-0AB3-71AB-64C7-E151E5214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297180</xdr:colOff>
      <xdr:row>2</xdr:row>
      <xdr:rowOff>49530</xdr:rowOff>
    </xdr:from>
    <xdr:to>
      <xdr:col>27</xdr:col>
      <xdr:colOff>281940</xdr:colOff>
      <xdr:row>15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D0E76D-BFA1-C687-D7DA-E1C0D6EC5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2</xdr:row>
      <xdr:rowOff>110490</xdr:rowOff>
    </xdr:from>
    <xdr:to>
      <xdr:col>13</xdr:col>
      <xdr:colOff>129540</xdr:colOff>
      <xdr:row>15</xdr:row>
      <xdr:rowOff>80010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6F2FDD-456D-14F5-6D02-F467859731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137160</xdr:colOff>
      <xdr:row>1</xdr:row>
      <xdr:rowOff>171450</xdr:rowOff>
    </xdr:from>
    <xdr:to>
      <xdr:col>29</xdr:col>
      <xdr:colOff>441960</xdr:colOff>
      <xdr:row>14</xdr:row>
      <xdr:rowOff>140970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653EB6-AF15-1F66-A786-BA96B7831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446049</xdr:colOff>
      <xdr:row>0</xdr:row>
      <xdr:rowOff>0</xdr:rowOff>
    </xdr:from>
    <xdr:to>
      <xdr:col>11</xdr:col>
      <xdr:colOff>520390</xdr:colOff>
      <xdr:row>12</xdr:row>
      <xdr:rowOff>185854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1B75E2-69A8-63D2-E08B-4796BABC5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441402</xdr:colOff>
      <xdr:row>0</xdr:row>
      <xdr:rowOff>45534</xdr:rowOff>
    </xdr:from>
    <xdr:to>
      <xdr:col>26</xdr:col>
      <xdr:colOff>404232</xdr:colOff>
      <xdr:row>13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3912B8-B30C-93E9-9152-C87BF2C3D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100642</xdr:colOff>
      <xdr:row>1</xdr:row>
      <xdr:rowOff>23003</xdr:rowOff>
    </xdr:from>
    <xdr:to>
      <xdr:col>11</xdr:col>
      <xdr:colOff>86264</xdr:colOff>
      <xdr:row>13</xdr:row>
      <xdr:rowOff>178278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561423-DE31-D1D0-E82F-DA7BEDAD1B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276138</xdr:colOff>
      <xdr:row>0</xdr:row>
      <xdr:rowOff>176866</xdr:rowOff>
    </xdr:from>
    <xdr:to>
      <xdr:col>28</xdr:col>
      <xdr:colOff>116703</xdr:colOff>
      <xdr:row>16</xdr:row>
      <xdr:rowOff>6863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F0CC3C-F1A2-E614-6C41-AFBAC5E86A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198120</xdr:colOff>
      <xdr:row>0</xdr:row>
      <xdr:rowOff>179070</xdr:rowOff>
    </xdr:from>
    <xdr:to>
      <xdr:col>14</xdr:col>
      <xdr:colOff>502920</xdr:colOff>
      <xdr:row>12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590D89-0FD5-B461-4FA8-4DE1BAE62D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175260</xdr:colOff>
      <xdr:row>14</xdr:row>
      <xdr:rowOff>133350</xdr:rowOff>
    </xdr:from>
    <xdr:to>
      <xdr:col>14</xdr:col>
      <xdr:colOff>480060</xdr:colOff>
      <xdr:row>26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7432AB-1A2A-9550-2BF7-5F0A4E8DE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304800</xdr:colOff>
      <xdr:row>0</xdr:row>
      <xdr:rowOff>176213</xdr:rowOff>
    </xdr:from>
    <xdr:to>
      <xdr:col>26</xdr:col>
      <xdr:colOff>0</xdr:colOff>
      <xdr:row>12</xdr:row>
      <xdr:rowOff>23813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1C4A249-0A23-DA15-FB0A-095EC17FF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359351</xdr:colOff>
      <xdr:row>14</xdr:row>
      <xdr:rowOff>152400</xdr:rowOff>
    </xdr:from>
    <xdr:to>
      <xdr:col>26</xdr:col>
      <xdr:colOff>82261</xdr:colOff>
      <xdr:row>26</xdr:row>
      <xdr:rowOff>29441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D5B34D8-DF0E-3A9C-8D63-76387AC6BA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184150</xdr:colOff>
      <xdr:row>0</xdr:row>
      <xdr:rowOff>146050</xdr:rowOff>
    </xdr:from>
    <xdr:to>
      <xdr:col>36</xdr:col>
      <xdr:colOff>488950</xdr:colOff>
      <xdr:row>12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644B8-70D6-40FE-81D5-FF2C27EA8A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273050</xdr:colOff>
      <xdr:row>14</xdr:row>
      <xdr:rowOff>120650</xdr:rowOff>
    </xdr:from>
    <xdr:to>
      <xdr:col>36</xdr:col>
      <xdr:colOff>577850</xdr:colOff>
      <xdr:row>26</xdr:row>
      <xdr:rowOff>44450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A33975E-375A-3DC0-30D6-60E4DAF32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9769</xdr:colOff>
      <xdr:row>17</xdr:row>
      <xdr:rowOff>5861</xdr:rowOff>
    </xdr:from>
    <xdr:to>
      <xdr:col>57</xdr:col>
      <xdr:colOff>48846</xdr:colOff>
      <xdr:row>32</xdr:row>
      <xdr:rowOff>107460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07B4FEF-6707-C913-584B-BBC8BE136B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61</xdr:col>
      <xdr:colOff>312615</xdr:colOff>
      <xdr:row>18</xdr:row>
      <xdr:rowOff>142631</xdr:rowOff>
    </xdr:from>
    <xdr:to>
      <xdr:col>69</xdr:col>
      <xdr:colOff>39077</xdr:colOff>
      <xdr:row>32</xdr:row>
      <xdr:rowOff>13677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6A8B9E7-1758-5BB0-23BB-5FB88B0C0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517770</xdr:colOff>
      <xdr:row>34</xdr:row>
      <xdr:rowOff>64476</xdr:rowOff>
    </xdr:from>
    <xdr:to>
      <xdr:col>55</xdr:col>
      <xdr:colOff>244231</xdr:colOff>
      <xdr:row>47</xdr:row>
      <xdr:rowOff>179753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4E99C2B-6DF3-D2DC-F6D1-823D19B9E0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87923</xdr:colOff>
      <xdr:row>34</xdr:row>
      <xdr:rowOff>93784</xdr:rowOff>
    </xdr:from>
    <xdr:to>
      <xdr:col>69</xdr:col>
      <xdr:colOff>420077</xdr:colOff>
      <xdr:row>48</xdr:row>
      <xdr:rowOff>3907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89516B1-53EF-FD07-486F-6540DAFD4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64</xdr:col>
      <xdr:colOff>361462</xdr:colOff>
      <xdr:row>0</xdr:row>
      <xdr:rowOff>181708</xdr:rowOff>
    </xdr:from>
    <xdr:to>
      <xdr:col>72</xdr:col>
      <xdr:colOff>87924</xdr:colOff>
      <xdr:row>12</xdr:row>
      <xdr:rowOff>72293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261A6C7-98AC-7D5C-4AD6-474A97E2F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69</xdr:col>
      <xdr:colOff>527539</xdr:colOff>
      <xdr:row>14</xdr:row>
      <xdr:rowOff>123092</xdr:rowOff>
    </xdr:from>
    <xdr:to>
      <xdr:col>77</xdr:col>
      <xdr:colOff>254000</xdr:colOff>
      <xdr:row>26</xdr:row>
      <xdr:rowOff>23446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9E0553-7D46-00AB-CD99-D382D8DA03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607</xdr:row>
      <xdr:rowOff>243835</xdr:rowOff>
    </xdr:from>
    <xdr:to>
      <xdr:col>12</xdr:col>
      <xdr:colOff>0</xdr:colOff>
      <xdr:row>608</xdr:row>
      <xdr:rowOff>243838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D55BE27-87FE-8D78-D72E-A90660B78CFA}"/>
            </a:ext>
          </a:extLst>
        </xdr:cNvPr>
        <xdr:cNvSpPr/>
      </xdr:nvSpPr>
      <xdr:spPr>
        <a:xfrm>
          <a:off x="8404860" y="148597615"/>
          <a:ext cx="609600" cy="243843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  <xdr:twoCellAnchor>
    <xdr:from>
      <xdr:col>6</xdr:col>
      <xdr:colOff>341690</xdr:colOff>
      <xdr:row>2</xdr:row>
      <xdr:rowOff>191710</xdr:rowOff>
    </xdr:from>
    <xdr:to>
      <xdr:col>13</xdr:col>
      <xdr:colOff>205620</xdr:colOff>
      <xdr:row>14</xdr:row>
      <xdr:rowOff>217715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45CFF24D-8B52-EB39-E8B9-389178264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FC75E0-ECD8-4624-8DD2-D42FADE1A1E6}" name="TBL_CUR" displayName="TBL_CUR" ref="A4:K5" totalsRowShown="0" headerRowDxfId="25" dataDxfId="24">
  <autoFilter ref="A4:K5" xr:uid="{E1FC75E0-ECD8-4624-8DD2-D42FADE1A1E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54FD0533-ACA3-410B-8F20-E69D122EB58C}" name="TIME" dataDxfId="23"/>
    <tableColumn id="2" xr3:uid="{58516F52-AEC4-49F0-9330-9EC542D14A60}" name="CH1" dataDxfId="22"/>
    <tableColumn id="3" xr3:uid="{39C79202-7B04-4477-A675-1F8A801B3364}" name="CH2" dataDxfId="21"/>
    <tableColumn id="4" xr3:uid="{3FD39819-5AC9-4A2C-8341-C3843BDE08D6}" name="CH3" dataDxfId="20"/>
    <tableColumn id="5" xr3:uid="{63C234B7-1E4C-4E89-9AE7-84E16064620D}" name="CH4" dataDxfId="19"/>
    <tableColumn id="6" xr3:uid="{4FA52B1D-7B94-4926-872A-FB365BB1C713}" name="CH5" dataDxfId="18"/>
    <tableColumn id="7" xr3:uid="{093E748B-AD47-4E81-8205-D92BDD31561A}" name="CH6" dataDxfId="17"/>
    <tableColumn id="8" xr3:uid="{A61650F2-F702-4ED9-B660-26B35BFDE55C}" name="CH7" dataDxfId="16"/>
    <tableColumn id="9" xr3:uid="{46BB5C35-4727-421F-9791-B92FBE197555}" name="CH8" dataDxfId="15"/>
    <tableColumn id="10" xr3:uid="{0761EA13-0D4D-478D-8CA1-457FF9D1F9BE}" name="CH9" dataDxfId="14"/>
    <tableColumn id="11" xr3:uid="{6C5414FC-A40A-4617-9E99-E6DA49E25AB9}" name="CH10" dataDxfId="13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E33D16-D098-4846-BE64-1D225BCEDF27}" name="TBL_HST" displayName="TBL_HST" ref="A7:K609" totalsRowShown="0" headerRowDxfId="12" dataDxfId="11">
  <autoFilter ref="A7:K609" xr:uid="{06E33D16-D098-4846-BE64-1D225BCEDF2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450AA11-41E9-43C4-89D9-16FA4333142E}" name="TIME" dataDxfId="10"/>
    <tableColumn id="2" xr3:uid="{39ED9E91-A7CB-41ED-8C80-A9D64E1026EF}" name="CH1" dataDxfId="9"/>
    <tableColumn id="3" xr3:uid="{79ACF37F-E713-40BD-87F5-06452DC784A5}" name="CH2" dataDxfId="8"/>
    <tableColumn id="4" xr3:uid="{02FFC5F9-4C47-4B9B-A5E2-B0608D5BBA6B}" name="CH3" dataDxfId="7"/>
    <tableColumn id="5" xr3:uid="{1A9A0EDA-A3C7-4583-804D-05768EBB2567}" name="CH4" dataDxfId="6"/>
    <tableColumn id="6" xr3:uid="{E5512738-8CF2-475E-A6FB-8CAE1DFF27D4}" name="CH5" dataDxfId="5"/>
    <tableColumn id="7" xr3:uid="{E123FBC4-8A16-4AB2-9067-D1380684D4D6}" name="CH6" dataDxfId="4"/>
    <tableColumn id="8" xr3:uid="{426EE34F-ACB0-4D60-A98F-EB59BC0FA98D}" name="CH7" dataDxfId="3"/>
    <tableColumn id="9" xr3:uid="{8BD0F303-6D43-4AFD-9306-6D6B7313C0EE}" name="CH8" dataDxfId="2"/>
    <tableColumn id="10" xr3:uid="{ABE600B0-AACF-4D1F-BC49-8AD31399802D}" name="CH9" dataDxfId="1"/>
    <tableColumn id="11" xr3:uid="{BA154BF6-5A2C-47A0-9C24-38364AEB771C}" name="CH10" dataDxfId="0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86F42-2EC9-4BBB-99ED-C79096206D9A}">
  <dimension ref="A1:AA602"/>
  <sheetViews>
    <sheetView tabSelected="1" topLeftCell="C1" zoomScaleNormal="97" workbookViewId="0">
      <selection activeCell="N16" sqref="N16"/>
    </sheetView>
  </sheetViews>
  <sheetFormatPr defaultRowHeight="14.4" x14ac:dyDescent="0.3"/>
  <cols>
    <col min="1" max="1" width="9" style="29" customWidth="1"/>
    <col min="2" max="5" width="9" style="29" bestFit="1" customWidth="1"/>
    <col min="6" max="6" width="9.77734375" style="29" bestFit="1" customWidth="1"/>
    <col min="7" max="7" width="7.33203125" customWidth="1"/>
    <col min="8" max="8" width="24" customWidth="1"/>
    <col min="9" max="9" width="13.44140625" customWidth="1"/>
    <col min="17" max="21" width="9" bestFit="1" customWidth="1"/>
    <col min="22" max="22" width="9.77734375" bestFit="1" customWidth="1"/>
    <col min="24" max="24" width="10.77734375" customWidth="1"/>
    <col min="25" max="25" width="15.6640625" customWidth="1"/>
    <col min="26" max="26" width="21.6640625" customWidth="1"/>
  </cols>
  <sheetData>
    <row r="1" spans="1:27" x14ac:dyDescent="0.3">
      <c r="A1" s="29" t="s">
        <v>36</v>
      </c>
      <c r="B1" s="29" t="s">
        <v>37</v>
      </c>
      <c r="C1" s="29" t="s">
        <v>38</v>
      </c>
      <c r="D1" s="29" t="s">
        <v>39</v>
      </c>
      <c r="E1" s="29" t="s">
        <v>40</v>
      </c>
      <c r="F1" s="29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ht="16.8" x14ac:dyDescent="0.3">
      <c r="A2" s="20">
        <v>0.1</v>
      </c>
      <c r="B2" s="20">
        <v>50</v>
      </c>
      <c r="C2" s="20">
        <v>26.46</v>
      </c>
      <c r="D2" s="20">
        <v>23.54</v>
      </c>
      <c r="E2" s="20">
        <v>6</v>
      </c>
      <c r="F2" s="20">
        <v>2048</v>
      </c>
      <c r="Q2" s="33">
        <v>0.1</v>
      </c>
      <c r="R2" s="33">
        <v>34.770000000000003</v>
      </c>
      <c r="S2" s="38">
        <v>50</v>
      </c>
      <c r="T2" s="33">
        <v>15.23</v>
      </c>
      <c r="U2" s="38">
        <v>15.23</v>
      </c>
      <c r="V2" s="33">
        <v>2665.51</v>
      </c>
    </row>
    <row r="3" spans="1:27" ht="16.8" x14ac:dyDescent="0.3">
      <c r="A3" s="20">
        <v>0.2</v>
      </c>
      <c r="B3" s="20">
        <v>50</v>
      </c>
      <c r="C3" s="20">
        <v>26.47</v>
      </c>
      <c r="D3" s="20">
        <v>23.53</v>
      </c>
      <c r="E3" s="20">
        <v>-0.02</v>
      </c>
      <c r="F3" s="20">
        <v>3445.83</v>
      </c>
      <c r="Q3" s="33">
        <v>0.2</v>
      </c>
      <c r="R3" s="33">
        <v>35.49</v>
      </c>
      <c r="S3" s="33">
        <v>50</v>
      </c>
      <c r="T3" s="33">
        <v>14.51</v>
      </c>
      <c r="U3" s="38">
        <v>-0.73</v>
      </c>
      <c r="V3" s="33">
        <v>2265.9499999999998</v>
      </c>
    </row>
    <row r="4" spans="1:27" ht="16.8" x14ac:dyDescent="0.3">
      <c r="A4" s="20">
        <v>0.3</v>
      </c>
      <c r="B4" s="20">
        <v>50</v>
      </c>
      <c r="C4" s="20">
        <v>26.59</v>
      </c>
      <c r="D4" s="20">
        <v>23.41</v>
      </c>
      <c r="E4" s="20">
        <v>-0.12</v>
      </c>
      <c r="F4" s="20">
        <v>3420.83</v>
      </c>
      <c r="Q4" s="33">
        <v>0.3</v>
      </c>
      <c r="R4" s="33">
        <v>35.53</v>
      </c>
      <c r="S4" s="38">
        <v>50</v>
      </c>
      <c r="T4" s="33">
        <v>14.47</v>
      </c>
      <c r="U4" s="38">
        <v>-0.03</v>
      </c>
      <c r="V4" s="33">
        <v>2305.27</v>
      </c>
    </row>
    <row r="5" spans="1:27" ht="16.8" x14ac:dyDescent="0.3">
      <c r="A5" s="20">
        <v>0.4</v>
      </c>
      <c r="B5" s="20">
        <v>50</v>
      </c>
      <c r="C5" s="20">
        <v>26.57</v>
      </c>
      <c r="D5" s="20">
        <v>23.43</v>
      </c>
      <c r="E5" s="20">
        <v>0.02</v>
      </c>
      <c r="F5" s="20">
        <v>3443.95</v>
      </c>
      <c r="Q5" s="33">
        <v>0.4</v>
      </c>
      <c r="R5" s="33">
        <v>35.61</v>
      </c>
      <c r="S5" s="33">
        <v>50</v>
      </c>
      <c r="T5" s="38">
        <v>14.39</v>
      </c>
      <c r="U5" s="38">
        <v>-0.09</v>
      </c>
      <c r="V5" s="33">
        <v>2320.8000000000002</v>
      </c>
    </row>
    <row r="6" spans="1:27" ht="16.8" x14ac:dyDescent="0.3">
      <c r="A6" s="20">
        <v>0.5</v>
      </c>
      <c r="B6" s="20">
        <v>50</v>
      </c>
      <c r="C6" s="20">
        <v>26.65</v>
      </c>
      <c r="D6" s="20">
        <v>23.35</v>
      </c>
      <c r="E6" s="20">
        <v>-0.08</v>
      </c>
      <c r="F6" s="20">
        <v>3430.57</v>
      </c>
      <c r="Q6" s="33">
        <v>0.5</v>
      </c>
      <c r="R6" s="33">
        <v>35.67</v>
      </c>
      <c r="S6" s="33">
        <v>50</v>
      </c>
      <c r="T6" s="33">
        <v>14.33</v>
      </c>
      <c r="U6" s="38">
        <v>-0.06</v>
      </c>
      <c r="V6" s="33">
        <v>2342.91</v>
      </c>
    </row>
    <row r="7" spans="1:27" ht="16.8" x14ac:dyDescent="0.3">
      <c r="A7" s="20">
        <v>0.6</v>
      </c>
      <c r="B7" s="20">
        <v>50</v>
      </c>
      <c r="C7" s="20">
        <v>26.73</v>
      </c>
      <c r="D7" s="20">
        <v>23.27</v>
      </c>
      <c r="E7" s="20">
        <v>-0.08</v>
      </c>
      <c r="F7" s="20">
        <v>3429.61</v>
      </c>
      <c r="Q7" s="33">
        <v>0.6</v>
      </c>
      <c r="R7" s="33">
        <v>35.78</v>
      </c>
      <c r="S7" s="38">
        <v>50</v>
      </c>
      <c r="T7" s="38">
        <v>14.22</v>
      </c>
      <c r="U7" s="38">
        <v>-0.11</v>
      </c>
      <c r="V7" s="33">
        <v>2354.39</v>
      </c>
    </row>
    <row r="8" spans="1:27" ht="16.8" x14ac:dyDescent="0.3">
      <c r="A8" s="20">
        <v>0.7</v>
      </c>
      <c r="B8" s="20">
        <v>50</v>
      </c>
      <c r="C8" s="20">
        <v>26.85</v>
      </c>
      <c r="D8" s="20">
        <v>23.15</v>
      </c>
      <c r="E8" s="20">
        <v>-0.12</v>
      </c>
      <c r="F8" s="20">
        <v>3421.8</v>
      </c>
      <c r="Q8" s="33">
        <v>0.7</v>
      </c>
      <c r="R8" s="33">
        <v>36.07</v>
      </c>
      <c r="S8" s="33">
        <v>50</v>
      </c>
      <c r="T8" s="33">
        <v>13.93</v>
      </c>
      <c r="U8" s="33">
        <v>-0.28000000000000003</v>
      </c>
      <c r="V8" s="33">
        <v>2337.14</v>
      </c>
    </row>
    <row r="9" spans="1:27" ht="16.8" x14ac:dyDescent="0.3">
      <c r="A9" s="20">
        <v>0.8</v>
      </c>
      <c r="B9" s="20">
        <v>50</v>
      </c>
      <c r="C9" s="20">
        <v>27.08</v>
      </c>
      <c r="D9" s="20">
        <v>22.92</v>
      </c>
      <c r="E9" s="20">
        <v>-0.23</v>
      </c>
      <c r="F9" s="20">
        <v>3392.66</v>
      </c>
      <c r="Q9" s="33">
        <v>0.8</v>
      </c>
      <c r="R9" s="33">
        <v>36.270000000000003</v>
      </c>
      <c r="S9" s="38">
        <v>50</v>
      </c>
      <c r="T9" s="38">
        <v>13.73</v>
      </c>
      <c r="U9" s="38">
        <v>-0.2</v>
      </c>
      <c r="V9" s="33">
        <v>2336.7800000000002</v>
      </c>
    </row>
    <row r="10" spans="1:27" ht="16.8" x14ac:dyDescent="0.3">
      <c r="A10" s="20">
        <v>0.9</v>
      </c>
      <c r="B10" s="20">
        <v>50</v>
      </c>
      <c r="C10" s="20">
        <v>27.39</v>
      </c>
      <c r="D10" s="20">
        <v>22.61</v>
      </c>
      <c r="E10" s="20">
        <v>-0.31</v>
      </c>
      <c r="F10" s="20">
        <v>3373.97</v>
      </c>
      <c r="Q10" s="33">
        <v>0.9</v>
      </c>
      <c r="R10" s="33">
        <v>36.61</v>
      </c>
      <c r="S10" s="33">
        <v>50</v>
      </c>
      <c r="T10" s="33">
        <v>13.39</v>
      </c>
      <c r="U10" s="33">
        <v>-0.34</v>
      </c>
      <c r="V10" s="33">
        <v>2310.42</v>
      </c>
    </row>
    <row r="11" spans="1:27" ht="16.8" x14ac:dyDescent="0.3">
      <c r="A11" s="20">
        <v>1</v>
      </c>
      <c r="B11" s="20">
        <v>50</v>
      </c>
      <c r="C11" s="20">
        <v>27.71</v>
      </c>
      <c r="D11" s="20">
        <v>22.29</v>
      </c>
      <c r="E11" s="20">
        <v>-0.31</v>
      </c>
      <c r="F11" s="20">
        <v>3374.66</v>
      </c>
      <c r="Q11" s="33">
        <v>1</v>
      </c>
      <c r="R11" s="33">
        <v>36.880000000000003</v>
      </c>
      <c r="S11" s="38">
        <v>50</v>
      </c>
      <c r="T11" s="38">
        <v>13.12</v>
      </c>
      <c r="U11" s="38">
        <v>-0.27</v>
      </c>
      <c r="V11" s="33">
        <v>2297.37</v>
      </c>
    </row>
    <row r="12" spans="1:27" ht="16.8" x14ac:dyDescent="0.3">
      <c r="A12" s="20">
        <v>1.1000000000000001</v>
      </c>
      <c r="B12" s="20">
        <v>50</v>
      </c>
      <c r="C12" s="20">
        <v>28.14</v>
      </c>
      <c r="D12" s="20">
        <v>21.86</v>
      </c>
      <c r="E12" s="20">
        <v>-0.43</v>
      </c>
      <c r="F12" s="20">
        <v>3393.49</v>
      </c>
      <c r="Q12" s="33">
        <v>1.1000000000000001</v>
      </c>
      <c r="R12" s="33">
        <v>37.200000000000003</v>
      </c>
      <c r="S12" s="33">
        <v>50</v>
      </c>
      <c r="T12" s="33">
        <v>12.8</v>
      </c>
      <c r="U12" s="38">
        <v>-0.32</v>
      </c>
      <c r="V12" s="33">
        <v>2273.9899999999998</v>
      </c>
    </row>
    <row r="13" spans="1:27" ht="16.8" x14ac:dyDescent="0.3">
      <c r="A13" s="20">
        <v>1.2</v>
      </c>
      <c r="B13" s="20">
        <v>50</v>
      </c>
      <c r="C13" s="20">
        <v>28.54</v>
      </c>
      <c r="D13" s="20">
        <v>21.46</v>
      </c>
      <c r="E13" s="20">
        <v>-0.41</v>
      </c>
      <c r="F13" s="20">
        <v>3389.63</v>
      </c>
      <c r="Q13" s="33">
        <v>1.2</v>
      </c>
      <c r="R13" s="33">
        <v>37.56</v>
      </c>
      <c r="S13" s="38">
        <v>50</v>
      </c>
      <c r="T13" s="38">
        <v>12.44</v>
      </c>
      <c r="U13" s="38">
        <v>-0.35</v>
      </c>
      <c r="V13" s="33">
        <v>2245.2600000000002</v>
      </c>
    </row>
    <row r="14" spans="1:27" ht="16.8" x14ac:dyDescent="0.3">
      <c r="A14" s="33">
        <v>1.3</v>
      </c>
      <c r="B14" s="20">
        <v>50</v>
      </c>
      <c r="C14" s="20">
        <v>29.01</v>
      </c>
      <c r="D14" s="20">
        <v>20.99</v>
      </c>
      <c r="E14" s="20">
        <v>-0.46</v>
      </c>
      <c r="F14" s="20">
        <v>3398.57</v>
      </c>
      <c r="Q14" s="33">
        <v>1.3</v>
      </c>
      <c r="R14" s="33">
        <v>37.93</v>
      </c>
      <c r="S14" s="33">
        <v>50</v>
      </c>
      <c r="T14" s="33">
        <v>12.07</v>
      </c>
      <c r="U14" s="38">
        <v>-0.37</v>
      </c>
      <c r="V14" s="33">
        <v>2213.61</v>
      </c>
    </row>
    <row r="15" spans="1:27" ht="16.8" x14ac:dyDescent="0.3">
      <c r="A15" s="20">
        <v>1.4</v>
      </c>
      <c r="B15" s="20">
        <v>50</v>
      </c>
      <c r="C15" s="20">
        <v>29.48</v>
      </c>
      <c r="D15" s="20">
        <v>20.52</v>
      </c>
      <c r="E15" s="20">
        <v>-0.47</v>
      </c>
      <c r="F15" s="20">
        <v>3399.86</v>
      </c>
      <c r="H15" s="55" t="s">
        <v>46</v>
      </c>
      <c r="I15" s="56"/>
      <c r="J15" s="56"/>
      <c r="K15" s="57"/>
      <c r="Q15" s="33">
        <v>1.4</v>
      </c>
      <c r="R15" s="33">
        <v>38.39</v>
      </c>
      <c r="S15" s="38">
        <v>50</v>
      </c>
      <c r="T15" s="33">
        <v>11.61</v>
      </c>
      <c r="U15" s="38">
        <v>-0.46</v>
      </c>
      <c r="V15" s="33">
        <v>2165.9899999999998</v>
      </c>
      <c r="X15" s="55" t="s">
        <v>46</v>
      </c>
      <c r="Y15" s="56"/>
      <c r="Z15" s="56"/>
      <c r="AA15" s="57"/>
    </row>
    <row r="16" spans="1:27" ht="16.8" x14ac:dyDescent="0.3">
      <c r="A16" s="20">
        <v>1.5</v>
      </c>
      <c r="B16" s="20">
        <v>50</v>
      </c>
      <c r="C16" s="20">
        <v>30.01</v>
      </c>
      <c r="D16" s="20">
        <v>19.989999999999998</v>
      </c>
      <c r="E16" s="20">
        <v>-0.54</v>
      </c>
      <c r="F16" s="20">
        <v>3409.94</v>
      </c>
      <c r="H16" s="30" t="s">
        <v>47</v>
      </c>
      <c r="I16" s="30" t="s">
        <v>48</v>
      </c>
      <c r="J16" s="55" t="s">
        <v>49</v>
      </c>
      <c r="K16" s="57"/>
      <c r="Q16" s="33">
        <v>1.5</v>
      </c>
      <c r="R16" s="33">
        <v>38.770000000000003</v>
      </c>
      <c r="S16" s="33">
        <v>50</v>
      </c>
      <c r="T16" s="38">
        <v>11.23</v>
      </c>
      <c r="U16" s="38">
        <v>-0.39</v>
      </c>
      <c r="V16" s="33">
        <v>2131.88</v>
      </c>
      <c r="X16" s="30" t="s">
        <v>47</v>
      </c>
      <c r="Y16" s="30" t="s">
        <v>48</v>
      </c>
      <c r="Z16" s="55" t="s">
        <v>49</v>
      </c>
      <c r="AA16" s="57"/>
    </row>
    <row r="17" spans="1:27" ht="16.8" x14ac:dyDescent="0.3">
      <c r="A17" s="20">
        <v>1.6</v>
      </c>
      <c r="B17" s="20">
        <v>50</v>
      </c>
      <c r="C17" s="20">
        <v>30.53</v>
      </c>
      <c r="D17" s="20">
        <v>19.47</v>
      </c>
      <c r="E17" s="20">
        <v>-0.52</v>
      </c>
      <c r="F17" s="20">
        <v>3407.44</v>
      </c>
      <c r="H17" s="30">
        <f xml:space="preserve"> C2 + 0.1 *(B2-C2)</f>
        <v>28.814</v>
      </c>
      <c r="I17" s="30">
        <f>C2+0.9*(B2-C2)</f>
        <v>47.646000000000001</v>
      </c>
      <c r="J17" s="55">
        <f>A51-A27</f>
        <v>2.4</v>
      </c>
      <c r="K17" s="57"/>
      <c r="Q17" s="33">
        <v>1.6</v>
      </c>
      <c r="R17" s="33">
        <v>39.18</v>
      </c>
      <c r="S17" s="38">
        <v>50</v>
      </c>
      <c r="T17" s="33">
        <v>10.82</v>
      </c>
      <c r="U17" s="33">
        <v>-0.41</v>
      </c>
      <c r="V17" s="33">
        <v>2091.27</v>
      </c>
      <c r="X17" s="30">
        <f>R2+0.1*(S2-R2)</f>
        <v>36.293000000000006</v>
      </c>
      <c r="Y17" s="30">
        <f>R2+0.9*(S2-R2)</f>
        <v>48.477000000000004</v>
      </c>
      <c r="Z17" s="55">
        <f>Q50-Q10</f>
        <v>4</v>
      </c>
      <c r="AA17" s="57"/>
    </row>
    <row r="18" spans="1:27" ht="16.8" x14ac:dyDescent="0.3">
      <c r="A18" s="20">
        <v>1.7</v>
      </c>
      <c r="B18" s="20">
        <v>50</v>
      </c>
      <c r="C18" s="20">
        <v>31.09</v>
      </c>
      <c r="D18" s="20">
        <v>18.91</v>
      </c>
      <c r="E18" s="20">
        <v>-0.56000000000000005</v>
      </c>
      <c r="F18" s="20">
        <v>3413.68</v>
      </c>
      <c r="Q18" s="33">
        <v>1.7</v>
      </c>
      <c r="R18" s="33">
        <v>39.6</v>
      </c>
      <c r="S18" s="33">
        <v>50</v>
      </c>
      <c r="T18" s="38">
        <v>10.4</v>
      </c>
      <c r="U18" s="38">
        <v>-0.41</v>
      </c>
      <c r="V18" s="33">
        <v>2050.27</v>
      </c>
    </row>
    <row r="19" spans="1:27" ht="16.8" x14ac:dyDescent="0.3">
      <c r="A19" s="20">
        <v>1.8</v>
      </c>
      <c r="B19" s="20">
        <v>50</v>
      </c>
      <c r="C19" s="20">
        <v>31.63</v>
      </c>
      <c r="D19" s="20">
        <v>18.37</v>
      </c>
      <c r="E19" s="20">
        <v>-0.54</v>
      </c>
      <c r="F19" s="20">
        <v>3410.59</v>
      </c>
      <c r="H19" s="55" t="s">
        <v>50</v>
      </c>
      <c r="I19" s="56"/>
      <c r="J19" s="57"/>
      <c r="Q19" s="33">
        <v>1.8</v>
      </c>
      <c r="R19" s="33">
        <v>39.97</v>
      </c>
      <c r="S19" s="38">
        <v>50</v>
      </c>
      <c r="T19" s="33">
        <v>10.029999999999999</v>
      </c>
      <c r="U19" s="33">
        <v>-0.38</v>
      </c>
      <c r="V19" s="33">
        <v>2014.06</v>
      </c>
      <c r="X19" s="55" t="s">
        <v>50</v>
      </c>
      <c r="Y19" s="56"/>
      <c r="Z19" s="57"/>
    </row>
    <row r="20" spans="1:27" ht="16.8" x14ac:dyDescent="0.3">
      <c r="A20" s="20">
        <v>1.9</v>
      </c>
      <c r="B20" s="20">
        <v>50</v>
      </c>
      <c r="C20" s="20">
        <v>32.22</v>
      </c>
      <c r="D20" s="20">
        <v>17.78</v>
      </c>
      <c r="E20" s="20">
        <v>-0.59</v>
      </c>
      <c r="F20" s="20">
        <v>3418.02</v>
      </c>
      <c r="H20" s="58">
        <f>((MAX(C2:C127)-B2)/B2)*100</f>
        <v>3.5400000000000063</v>
      </c>
      <c r="I20" s="58"/>
      <c r="J20" s="58"/>
      <c r="Q20" s="33">
        <v>1.9</v>
      </c>
      <c r="R20" s="33">
        <v>40.43</v>
      </c>
      <c r="S20" s="33">
        <v>50</v>
      </c>
      <c r="T20" s="38">
        <v>9.57</v>
      </c>
      <c r="U20" s="38">
        <v>-0.45</v>
      </c>
      <c r="V20" s="33">
        <v>1963.72</v>
      </c>
      <c r="X20" s="58">
        <f>((MAX(R2:R151)-S2)/S2)*100</f>
        <v>1.3400000000000034</v>
      </c>
      <c r="Y20" s="58"/>
      <c r="Z20" s="58"/>
    </row>
    <row r="21" spans="1:27" ht="16.8" x14ac:dyDescent="0.3">
      <c r="A21" s="20">
        <v>2</v>
      </c>
      <c r="B21" s="20">
        <v>50</v>
      </c>
      <c r="C21" s="20">
        <v>32.81</v>
      </c>
      <c r="D21" s="20">
        <v>17.190000000000001</v>
      </c>
      <c r="E21" s="20">
        <v>-0.59</v>
      </c>
      <c r="F21" s="20">
        <v>3418.66</v>
      </c>
      <c r="Q21" s="33">
        <v>2</v>
      </c>
      <c r="R21" s="33">
        <v>40.81</v>
      </c>
      <c r="S21" s="38">
        <v>50</v>
      </c>
      <c r="T21" s="33">
        <v>9.19</v>
      </c>
      <c r="U21" s="33">
        <v>-0.39</v>
      </c>
      <c r="V21" s="33">
        <v>1925.15</v>
      </c>
    </row>
    <row r="22" spans="1:27" ht="16.8" x14ac:dyDescent="0.3">
      <c r="A22" s="20">
        <v>2.1</v>
      </c>
      <c r="B22" s="20">
        <v>50</v>
      </c>
      <c r="C22" s="20">
        <v>33.380000000000003</v>
      </c>
      <c r="D22" s="20">
        <v>16.62</v>
      </c>
      <c r="E22" s="20">
        <v>-0.56999999999999995</v>
      </c>
      <c r="F22" s="20">
        <v>3414.93</v>
      </c>
      <c r="H22" s="54"/>
      <c r="I22" s="54"/>
      <c r="J22" s="54"/>
      <c r="K22" s="54"/>
      <c r="Q22" s="33">
        <v>2.1</v>
      </c>
      <c r="R22" s="33">
        <v>41.22</v>
      </c>
      <c r="S22" s="33">
        <v>50</v>
      </c>
      <c r="T22" s="38">
        <v>8.7799999999999994</v>
      </c>
      <c r="U22" s="38">
        <v>-0.4</v>
      </c>
      <c r="V22" s="33">
        <v>1881.67</v>
      </c>
      <c r="X22" s="54"/>
      <c r="Y22" s="54"/>
      <c r="Z22" s="54"/>
      <c r="AA22" s="54"/>
    </row>
    <row r="23" spans="1:27" ht="16.8" x14ac:dyDescent="0.3">
      <c r="A23" s="20">
        <v>2.2000000000000002</v>
      </c>
      <c r="B23" s="20">
        <v>50</v>
      </c>
      <c r="C23" s="20">
        <v>33.94</v>
      </c>
      <c r="D23" s="20">
        <v>16.059999999999999</v>
      </c>
      <c r="E23" s="20">
        <v>-0.56000000000000005</v>
      </c>
      <c r="F23" s="20">
        <v>3413.68</v>
      </c>
      <c r="J23" s="54"/>
      <c r="K23" s="54"/>
      <c r="Q23" s="33">
        <v>2.2000000000000002</v>
      </c>
      <c r="R23" s="33">
        <v>41.58</v>
      </c>
      <c r="S23" s="33">
        <v>50</v>
      </c>
      <c r="T23" s="33">
        <v>8.42</v>
      </c>
      <c r="U23" s="38">
        <v>-0.36</v>
      </c>
      <c r="V23" s="33">
        <v>1844.72</v>
      </c>
      <c r="Z23" s="54"/>
      <c r="AA23" s="54"/>
    </row>
    <row r="24" spans="1:27" ht="16.8" x14ac:dyDescent="0.3">
      <c r="A24" s="20">
        <v>2.2999999999999998</v>
      </c>
      <c r="B24" s="20">
        <v>50</v>
      </c>
      <c r="C24" s="20">
        <v>34.53</v>
      </c>
      <c r="D24" s="20">
        <v>15.47</v>
      </c>
      <c r="E24" s="20">
        <v>-0.59</v>
      </c>
      <c r="F24" s="20">
        <v>3411.65</v>
      </c>
      <c r="H24" s="31"/>
      <c r="I24" s="31"/>
      <c r="J24" s="54"/>
      <c r="K24" s="54"/>
      <c r="Q24" s="33">
        <v>2.2999999999999998</v>
      </c>
      <c r="R24" s="33">
        <v>41.99</v>
      </c>
      <c r="S24" s="38">
        <v>50</v>
      </c>
      <c r="T24" s="38">
        <v>8.01</v>
      </c>
      <c r="U24" s="38">
        <v>-0.41</v>
      </c>
      <c r="V24" s="33">
        <v>1797.73</v>
      </c>
      <c r="X24" s="31"/>
      <c r="Y24" s="31"/>
      <c r="Z24" s="54"/>
      <c r="AA24" s="54"/>
    </row>
    <row r="25" spans="1:27" ht="16.8" x14ac:dyDescent="0.3">
      <c r="A25" s="20">
        <v>2.4</v>
      </c>
      <c r="B25" s="20">
        <v>50</v>
      </c>
      <c r="C25" s="20">
        <v>35.130000000000003</v>
      </c>
      <c r="D25" s="20">
        <v>14.87</v>
      </c>
      <c r="E25" s="20">
        <v>-0.6</v>
      </c>
      <c r="F25" s="20">
        <v>3402.34</v>
      </c>
      <c r="Q25" s="33">
        <v>2.4</v>
      </c>
      <c r="R25" s="33">
        <v>42.34</v>
      </c>
      <c r="S25" s="33">
        <v>50</v>
      </c>
      <c r="T25" s="33">
        <v>7.66</v>
      </c>
      <c r="U25" s="38">
        <v>-0.35</v>
      </c>
      <c r="V25" s="33">
        <v>1760.72</v>
      </c>
    </row>
    <row r="26" spans="1:27" ht="16.8" x14ac:dyDescent="0.3">
      <c r="A26" s="20">
        <v>2.5</v>
      </c>
      <c r="B26" s="20">
        <v>50</v>
      </c>
      <c r="C26" s="20">
        <v>35.71</v>
      </c>
      <c r="D26" s="20">
        <v>14.29</v>
      </c>
      <c r="E26" s="20">
        <v>-0.57999999999999996</v>
      </c>
      <c r="F26" s="20">
        <v>3393.17</v>
      </c>
      <c r="H26" s="29" t="s">
        <v>51</v>
      </c>
      <c r="I26" s="29">
        <f>ABS(AVERAGE(C301:C602))</f>
        <v>50.161622516556257</v>
      </c>
      <c r="Q26" s="33">
        <v>2.5</v>
      </c>
      <c r="R26" s="33">
        <v>42.75</v>
      </c>
      <c r="S26" s="38">
        <v>50</v>
      </c>
      <c r="T26" s="33">
        <v>7.25</v>
      </c>
      <c r="U26" s="38">
        <v>-0.4</v>
      </c>
      <c r="V26" s="33">
        <v>1713.38</v>
      </c>
      <c r="X26" s="29" t="s">
        <v>51</v>
      </c>
      <c r="Y26" s="29">
        <f>ABS(AVERAGE(R301:R602))</f>
        <v>50.096622516556366</v>
      </c>
    </row>
    <row r="27" spans="1:27" ht="16.8" x14ac:dyDescent="0.3">
      <c r="A27" s="32">
        <v>2.6</v>
      </c>
      <c r="B27" s="20">
        <v>50</v>
      </c>
      <c r="C27" s="20">
        <v>36.229999999999997</v>
      </c>
      <c r="D27" s="20">
        <v>13.77</v>
      </c>
      <c r="E27" s="20">
        <v>-0.52</v>
      </c>
      <c r="F27" s="20">
        <v>3392.15</v>
      </c>
      <c r="H27" s="29" t="s">
        <v>52</v>
      </c>
      <c r="I27" s="29">
        <f>((I26-50)/50)*100</f>
        <v>0.32324503311251362</v>
      </c>
      <c r="Q27" s="33">
        <v>2.6</v>
      </c>
      <c r="R27" s="33">
        <v>43.1</v>
      </c>
      <c r="S27" s="33">
        <v>50</v>
      </c>
      <c r="T27" s="38">
        <v>6.9</v>
      </c>
      <c r="U27" s="38">
        <v>-0.35</v>
      </c>
      <c r="V27" s="33">
        <v>1674.62</v>
      </c>
      <c r="X27" s="29" t="s">
        <v>52</v>
      </c>
      <c r="Y27" s="29">
        <f>((Y26-50)/50)*100</f>
        <v>0.19324503311273133</v>
      </c>
    </row>
    <row r="28" spans="1:27" ht="16.8" x14ac:dyDescent="0.3">
      <c r="A28" s="20">
        <v>2.7</v>
      </c>
      <c r="B28" s="20">
        <v>50</v>
      </c>
      <c r="C28" s="20">
        <v>36.78</v>
      </c>
      <c r="D28" s="20">
        <v>13.22</v>
      </c>
      <c r="E28" s="20">
        <v>-0.55000000000000004</v>
      </c>
      <c r="F28" s="20">
        <v>3400.87</v>
      </c>
      <c r="Q28" s="33">
        <v>2.7</v>
      </c>
      <c r="R28" s="33">
        <v>43.44</v>
      </c>
      <c r="S28" s="38">
        <v>50</v>
      </c>
      <c r="T28" s="33">
        <v>6.56</v>
      </c>
      <c r="U28" s="33">
        <v>-0.34</v>
      </c>
      <c r="V28" s="33">
        <v>1636.97</v>
      </c>
    </row>
    <row r="29" spans="1:27" ht="16.8" x14ac:dyDescent="0.3">
      <c r="A29" s="20">
        <v>2.8</v>
      </c>
      <c r="B29" s="20">
        <v>50</v>
      </c>
      <c r="C29" s="20">
        <v>37.35</v>
      </c>
      <c r="D29" s="20">
        <v>12.65</v>
      </c>
      <c r="E29" s="20">
        <v>-0.56999999999999995</v>
      </c>
      <c r="F29" s="20">
        <v>3409.76</v>
      </c>
      <c r="H29" s="58" t="s">
        <v>53</v>
      </c>
      <c r="I29" s="58"/>
      <c r="Q29" s="33">
        <v>2.8</v>
      </c>
      <c r="R29" s="33">
        <v>43.76</v>
      </c>
      <c r="S29" s="33">
        <v>50</v>
      </c>
      <c r="T29" s="38">
        <v>6.24</v>
      </c>
      <c r="U29" s="38">
        <v>-0.32</v>
      </c>
      <c r="V29" s="33">
        <v>1601.11</v>
      </c>
      <c r="X29" s="58" t="s">
        <v>53</v>
      </c>
      <c r="Y29" s="58"/>
    </row>
    <row r="30" spans="1:27" ht="16.8" x14ac:dyDescent="0.3">
      <c r="A30" s="20">
        <v>2.9</v>
      </c>
      <c r="B30" s="20">
        <v>50</v>
      </c>
      <c r="C30" s="20">
        <v>37.9</v>
      </c>
      <c r="D30" s="20">
        <v>12.1</v>
      </c>
      <c r="E30" s="20">
        <v>-0.55000000000000004</v>
      </c>
      <c r="F30" s="20">
        <v>3412.46</v>
      </c>
      <c r="H30" s="58" cm="1">
        <f t="array" ref="H30">SUMPRODUCT(ABS(D2:D602)*0.1)</f>
        <v>79.395000000000522</v>
      </c>
      <c r="I30" s="58"/>
      <c r="Q30" s="33">
        <v>2.9</v>
      </c>
      <c r="R30" s="33">
        <v>44.12</v>
      </c>
      <c r="S30" s="38">
        <v>50</v>
      </c>
      <c r="T30" s="33">
        <v>5.88</v>
      </c>
      <c r="U30" s="33">
        <v>-0.36</v>
      </c>
      <c r="V30" s="33">
        <v>1557.19</v>
      </c>
      <c r="X30" s="58" cm="1">
        <f t="array" ref="X30">SUMPRODUCT(ABS(T2:T602)*0.1)</f>
        <v>46.4720000000002</v>
      </c>
      <c r="Y30" s="58"/>
    </row>
    <row r="31" spans="1:27" ht="16.8" x14ac:dyDescent="0.3">
      <c r="A31" s="20">
        <v>3</v>
      </c>
      <c r="B31" s="20">
        <v>50</v>
      </c>
      <c r="C31" s="20">
        <v>38.44</v>
      </c>
      <c r="D31" s="20">
        <v>11.56</v>
      </c>
      <c r="E31" s="20">
        <v>-0.54</v>
      </c>
      <c r="F31" s="20">
        <v>3411.19</v>
      </c>
      <c r="Q31" s="33">
        <v>3</v>
      </c>
      <c r="R31" s="33">
        <v>44.42</v>
      </c>
      <c r="S31" s="33">
        <v>50</v>
      </c>
      <c r="T31" s="38">
        <v>5.58</v>
      </c>
      <c r="U31" s="38">
        <v>-0.3</v>
      </c>
      <c r="V31" s="33">
        <v>1524.6</v>
      </c>
    </row>
    <row r="32" spans="1:27" ht="16.8" x14ac:dyDescent="0.3">
      <c r="A32" s="20">
        <v>3.1</v>
      </c>
      <c r="B32" s="20">
        <v>50</v>
      </c>
      <c r="C32" s="20">
        <v>39</v>
      </c>
      <c r="D32" s="20">
        <v>11</v>
      </c>
      <c r="E32" s="20">
        <v>-0.55000000000000004</v>
      </c>
      <c r="F32" s="20">
        <v>3412.45</v>
      </c>
      <c r="H32" s="58" t="s">
        <v>54</v>
      </c>
      <c r="I32" s="58"/>
      <c r="Q32" s="33">
        <v>3.1</v>
      </c>
      <c r="R32" s="33">
        <v>44.71</v>
      </c>
      <c r="S32" s="38">
        <v>50</v>
      </c>
      <c r="T32" s="33">
        <v>5.29</v>
      </c>
      <c r="U32" s="33">
        <v>-0.28999999999999998</v>
      </c>
      <c r="V32" s="33">
        <v>1491.51</v>
      </c>
      <c r="X32" s="58" t="s">
        <v>54</v>
      </c>
      <c r="Y32" s="58"/>
    </row>
    <row r="33" spans="1:26" ht="16.8" x14ac:dyDescent="0.3">
      <c r="A33" s="20">
        <v>3.2</v>
      </c>
      <c r="B33" s="20">
        <v>50</v>
      </c>
      <c r="C33" s="20">
        <v>39.549999999999997</v>
      </c>
      <c r="D33" s="20">
        <v>10.45</v>
      </c>
      <c r="E33" s="20">
        <v>-0.56000000000000005</v>
      </c>
      <c r="F33" s="20">
        <v>3413.05</v>
      </c>
      <c r="H33" s="58" cm="1">
        <f t="array" ref="H33">SUMPRODUCT(((D2:D602)^2)*0.1)</f>
        <v>1221.5789699999955</v>
      </c>
      <c r="I33" s="58"/>
      <c r="Q33" s="33">
        <v>3.2</v>
      </c>
      <c r="R33" s="33">
        <v>44.99</v>
      </c>
      <c r="S33" s="33">
        <v>50</v>
      </c>
      <c r="T33" s="38">
        <v>5.01</v>
      </c>
      <c r="U33" s="38">
        <v>-0.28000000000000003</v>
      </c>
      <c r="V33" s="33">
        <v>1459.06</v>
      </c>
      <c r="X33" s="58" cm="1">
        <f t="array" ref="X33">SUMPRODUCT(((T2:T602)^2)*0.1)</f>
        <v>398.98617999999925</v>
      </c>
      <c r="Y33" s="58"/>
    </row>
    <row r="34" spans="1:26" ht="16.8" x14ac:dyDescent="0.3">
      <c r="A34" s="20">
        <v>3.3</v>
      </c>
      <c r="B34" s="20">
        <v>50</v>
      </c>
      <c r="C34" s="20">
        <v>40.049999999999997</v>
      </c>
      <c r="D34" s="20">
        <v>9.9499999999999993</v>
      </c>
      <c r="E34" s="20">
        <v>-0.5</v>
      </c>
      <c r="F34" s="20">
        <v>3404.28</v>
      </c>
      <c r="Q34" s="33">
        <v>3.3</v>
      </c>
      <c r="R34" s="33">
        <v>45.3</v>
      </c>
      <c r="S34" s="33">
        <v>50</v>
      </c>
      <c r="T34" s="33">
        <v>4.7</v>
      </c>
      <c r="U34" s="33">
        <v>-0.31</v>
      </c>
      <c r="V34" s="33">
        <v>1421.62</v>
      </c>
    </row>
    <row r="35" spans="1:26" ht="16.8" x14ac:dyDescent="0.3">
      <c r="A35" s="20">
        <v>3.4</v>
      </c>
      <c r="B35" s="20">
        <v>50</v>
      </c>
      <c r="C35" s="20">
        <v>40.619999999999997</v>
      </c>
      <c r="D35" s="20">
        <v>9.3800000000000008</v>
      </c>
      <c r="E35" s="20">
        <v>-0.56999999999999995</v>
      </c>
      <c r="F35" s="20">
        <v>3414.93</v>
      </c>
      <c r="H35" s="58" t="s">
        <v>55</v>
      </c>
      <c r="I35" s="58"/>
      <c r="J35" s="58"/>
      <c r="Q35" s="33">
        <v>3.4</v>
      </c>
      <c r="R35" s="33">
        <v>45.58</v>
      </c>
      <c r="S35" s="38">
        <v>50</v>
      </c>
      <c r="T35" s="38">
        <v>4.42</v>
      </c>
      <c r="U35" s="38">
        <v>-0.27</v>
      </c>
      <c r="V35" s="33">
        <v>1389.66</v>
      </c>
      <c r="X35" s="58" t="s">
        <v>55</v>
      </c>
      <c r="Y35" s="58"/>
      <c r="Z35" s="58"/>
    </row>
    <row r="36" spans="1:26" ht="16.8" x14ac:dyDescent="0.3">
      <c r="A36" s="20">
        <v>3.5</v>
      </c>
      <c r="B36" s="20">
        <v>50</v>
      </c>
      <c r="C36" s="20">
        <v>41.11</v>
      </c>
      <c r="D36" s="20">
        <v>8.89</v>
      </c>
      <c r="E36" s="20">
        <v>-0.49</v>
      </c>
      <c r="F36" s="20">
        <v>3402.4</v>
      </c>
      <c r="H36" s="58" cm="1">
        <f t="array" ref="H36">SUMPRODUCT(A2:A602 * ABS(D2:D602) * 0.1)</f>
        <v>416.33440000000007</v>
      </c>
      <c r="I36" s="58"/>
      <c r="J36" s="58"/>
      <c r="Q36" s="33">
        <v>3.5</v>
      </c>
      <c r="R36" s="33">
        <v>45.86</v>
      </c>
      <c r="S36" s="33">
        <v>50</v>
      </c>
      <c r="T36" s="33">
        <v>4.1399999999999997</v>
      </c>
      <c r="U36" s="33">
        <v>-0.28000000000000003</v>
      </c>
      <c r="V36" s="33">
        <v>1355.07</v>
      </c>
      <c r="X36" s="58" cm="1">
        <f t="array" ref="X36">SUMPRODUCT(Q2:Q602 * ABS(T2:T602) * 0.1)</f>
        <v>288.00340000000023</v>
      </c>
      <c r="Y36" s="58"/>
      <c r="Z36" s="58"/>
    </row>
    <row r="37" spans="1:26" ht="16.8" x14ac:dyDescent="0.3">
      <c r="A37" s="20">
        <v>3.6</v>
      </c>
      <c r="B37" s="20">
        <v>50</v>
      </c>
      <c r="C37" s="20">
        <v>41.63</v>
      </c>
      <c r="D37" s="20">
        <v>8.3699999999999992</v>
      </c>
      <c r="E37" s="20">
        <v>-0.52</v>
      </c>
      <c r="F37" s="20">
        <v>3407.44</v>
      </c>
      <c r="Q37" s="33">
        <v>3.6</v>
      </c>
      <c r="R37" s="33">
        <v>46.07</v>
      </c>
      <c r="S37" s="38">
        <v>50</v>
      </c>
      <c r="T37" s="38">
        <v>3.93</v>
      </c>
      <c r="U37" s="33">
        <v>-0.21</v>
      </c>
      <c r="V37" s="33">
        <v>1332.75</v>
      </c>
    </row>
    <row r="38" spans="1:26" ht="16.8" x14ac:dyDescent="0.3">
      <c r="A38" s="20">
        <v>3.7</v>
      </c>
      <c r="B38" s="20">
        <v>50</v>
      </c>
      <c r="C38" s="20">
        <v>42.13</v>
      </c>
      <c r="D38" s="20">
        <v>7.87</v>
      </c>
      <c r="E38" s="20">
        <v>-0.5</v>
      </c>
      <c r="F38" s="20">
        <v>3404.3</v>
      </c>
      <c r="Q38" s="33">
        <v>3.7</v>
      </c>
      <c r="R38" s="33">
        <v>46.3</v>
      </c>
      <c r="S38" s="33">
        <v>50</v>
      </c>
      <c r="T38" s="33">
        <v>3.7</v>
      </c>
      <c r="U38" s="38">
        <v>-0.23</v>
      </c>
      <c r="V38" s="33">
        <v>1304.3</v>
      </c>
    </row>
    <row r="39" spans="1:26" ht="16.8" x14ac:dyDescent="0.3">
      <c r="A39" s="20">
        <v>3.8</v>
      </c>
      <c r="B39" s="20">
        <v>50</v>
      </c>
      <c r="C39" s="20">
        <v>42.68</v>
      </c>
      <c r="D39" s="20">
        <v>7.32</v>
      </c>
      <c r="E39" s="20">
        <v>-0.56000000000000005</v>
      </c>
      <c r="F39" s="20">
        <v>3413.05</v>
      </c>
      <c r="Q39" s="33">
        <v>3.8</v>
      </c>
      <c r="R39" s="33">
        <v>46.57</v>
      </c>
      <c r="S39" s="38">
        <v>50</v>
      </c>
      <c r="T39" s="38">
        <v>3.43</v>
      </c>
      <c r="U39" s="33">
        <v>-0.27</v>
      </c>
      <c r="V39" s="33">
        <v>1268.8</v>
      </c>
    </row>
    <row r="40" spans="1:26" ht="16.8" x14ac:dyDescent="0.3">
      <c r="A40" s="20">
        <v>3.9</v>
      </c>
      <c r="B40" s="20">
        <v>50</v>
      </c>
      <c r="C40" s="20">
        <v>43.2</v>
      </c>
      <c r="D40" s="20">
        <v>6.8</v>
      </c>
      <c r="E40" s="20">
        <v>-0.52</v>
      </c>
      <c r="F40" s="20">
        <v>3406.8</v>
      </c>
      <c r="Q40" s="33">
        <v>3.9</v>
      </c>
      <c r="R40" s="33">
        <v>46.78</v>
      </c>
      <c r="S40" s="33">
        <v>50</v>
      </c>
      <c r="T40" s="33">
        <v>3.22</v>
      </c>
      <c r="U40" s="38">
        <v>-0.21</v>
      </c>
      <c r="V40" s="33">
        <v>1244.8</v>
      </c>
    </row>
    <row r="41" spans="1:26" ht="16.8" x14ac:dyDescent="0.3">
      <c r="A41" s="20">
        <v>4</v>
      </c>
      <c r="B41" s="20">
        <v>50</v>
      </c>
      <c r="C41" s="20">
        <v>43.71</v>
      </c>
      <c r="D41" s="20">
        <v>6.29</v>
      </c>
      <c r="E41" s="20">
        <v>-0.51</v>
      </c>
      <c r="F41" s="20">
        <v>3405.56</v>
      </c>
      <c r="Q41" s="33">
        <v>4</v>
      </c>
      <c r="R41" s="33">
        <v>47.01</v>
      </c>
      <c r="S41" s="38">
        <v>50</v>
      </c>
      <c r="T41" s="38">
        <v>2.99</v>
      </c>
      <c r="U41" s="33">
        <v>-0.23</v>
      </c>
      <c r="V41" s="33">
        <v>1216.26</v>
      </c>
    </row>
    <row r="42" spans="1:26" ht="16.8" x14ac:dyDescent="0.3">
      <c r="A42" s="20">
        <v>4.0999999999999996</v>
      </c>
      <c r="B42" s="20">
        <v>50</v>
      </c>
      <c r="C42" s="20">
        <v>44.18</v>
      </c>
      <c r="D42" s="20">
        <v>5.82</v>
      </c>
      <c r="E42" s="20">
        <v>-0.48</v>
      </c>
      <c r="F42" s="20">
        <v>3400.5</v>
      </c>
      <c r="Q42" s="33">
        <v>4.0999999999999996</v>
      </c>
      <c r="R42" s="33">
        <v>47.19</v>
      </c>
      <c r="S42" s="33">
        <v>50</v>
      </c>
      <c r="T42" s="33">
        <v>2.81</v>
      </c>
      <c r="U42" s="38">
        <v>-0.18</v>
      </c>
      <c r="V42" s="33">
        <v>1196.03</v>
      </c>
    </row>
    <row r="43" spans="1:26" ht="16.8" x14ac:dyDescent="0.3">
      <c r="A43" s="20">
        <v>4.2</v>
      </c>
      <c r="B43" s="20">
        <v>50</v>
      </c>
      <c r="C43" s="20">
        <v>44.7</v>
      </c>
      <c r="D43" s="20">
        <v>5.3</v>
      </c>
      <c r="E43" s="20">
        <v>-0.52</v>
      </c>
      <c r="F43" s="20">
        <v>3408.06</v>
      </c>
      <c r="Q43" s="33">
        <v>4.2</v>
      </c>
      <c r="R43" s="33">
        <v>47.34</v>
      </c>
      <c r="S43" s="33">
        <v>50</v>
      </c>
      <c r="T43" s="38">
        <v>2.66</v>
      </c>
      <c r="U43" s="33">
        <v>-0.15</v>
      </c>
      <c r="V43" s="33">
        <v>1178.69</v>
      </c>
    </row>
    <row r="44" spans="1:26" ht="16.8" x14ac:dyDescent="0.3">
      <c r="A44" s="20">
        <v>4.3</v>
      </c>
      <c r="B44" s="20">
        <v>50</v>
      </c>
      <c r="C44" s="20">
        <v>45.2</v>
      </c>
      <c r="D44" s="20">
        <v>4.8</v>
      </c>
      <c r="E44" s="20">
        <v>-0.5</v>
      </c>
      <c r="F44" s="20">
        <v>3404.29</v>
      </c>
      <c r="Q44" s="33">
        <v>4.3</v>
      </c>
      <c r="R44" s="33">
        <v>47.54</v>
      </c>
      <c r="S44" s="38">
        <v>50</v>
      </c>
      <c r="T44" s="33">
        <v>2.46</v>
      </c>
      <c r="U44" s="38">
        <v>-0.2</v>
      </c>
      <c r="V44" s="33">
        <v>1152.08</v>
      </c>
    </row>
    <row r="45" spans="1:26" ht="16.8" x14ac:dyDescent="0.3">
      <c r="A45" s="20">
        <v>4.4000000000000004</v>
      </c>
      <c r="B45" s="20">
        <v>50</v>
      </c>
      <c r="C45" s="20">
        <v>45.7</v>
      </c>
      <c r="D45" s="20">
        <v>4.3</v>
      </c>
      <c r="E45" s="20">
        <v>-0.49</v>
      </c>
      <c r="F45" s="20">
        <v>3403.03</v>
      </c>
      <c r="Q45" s="33">
        <v>4.4000000000000004</v>
      </c>
      <c r="R45" s="33">
        <v>47.73</v>
      </c>
      <c r="S45" s="33">
        <v>50</v>
      </c>
      <c r="T45" s="33">
        <v>2.27</v>
      </c>
      <c r="U45" s="33">
        <v>-0.19</v>
      </c>
      <c r="V45" s="33">
        <v>1127.42</v>
      </c>
    </row>
    <row r="46" spans="1:26" ht="16.8" x14ac:dyDescent="0.3">
      <c r="A46" s="20">
        <v>4.5</v>
      </c>
      <c r="B46" s="20">
        <v>50</v>
      </c>
      <c r="C46" s="20">
        <v>46.18</v>
      </c>
      <c r="D46" s="20">
        <v>3.82</v>
      </c>
      <c r="E46" s="20">
        <v>-0.49</v>
      </c>
      <c r="F46" s="20">
        <v>3402.4</v>
      </c>
      <c r="Q46" s="33">
        <v>4.5</v>
      </c>
      <c r="R46" s="33">
        <v>47.92</v>
      </c>
      <c r="S46" s="38">
        <v>50</v>
      </c>
      <c r="T46" s="38">
        <v>2.08</v>
      </c>
      <c r="U46" s="38">
        <v>-0.19</v>
      </c>
      <c r="V46" s="33">
        <v>1103.6099999999999</v>
      </c>
    </row>
    <row r="47" spans="1:26" ht="16.8" x14ac:dyDescent="0.3">
      <c r="A47" s="20">
        <v>4.5999999999999996</v>
      </c>
      <c r="B47" s="20">
        <v>50</v>
      </c>
      <c r="C47" s="20">
        <v>46.68</v>
      </c>
      <c r="D47" s="20">
        <v>3.32</v>
      </c>
      <c r="E47" s="20">
        <v>-0.5</v>
      </c>
      <c r="F47" s="20">
        <v>3403.67</v>
      </c>
      <c r="Q47" s="33">
        <v>4.5999999999999996</v>
      </c>
      <c r="R47" s="33">
        <v>48.13</v>
      </c>
      <c r="S47" s="33">
        <v>50</v>
      </c>
      <c r="T47" s="33">
        <v>1.87</v>
      </c>
      <c r="U47" s="33">
        <v>-0.21</v>
      </c>
      <c r="V47" s="33">
        <v>1075.02</v>
      </c>
    </row>
    <row r="48" spans="1:26" ht="16.8" x14ac:dyDescent="0.3">
      <c r="A48" s="20">
        <v>4.7</v>
      </c>
      <c r="B48" s="20">
        <v>50</v>
      </c>
      <c r="C48" s="20">
        <v>47.14</v>
      </c>
      <c r="D48" s="20">
        <v>2.86</v>
      </c>
      <c r="E48" s="20">
        <v>-0.46</v>
      </c>
      <c r="F48" s="20">
        <v>3236.54</v>
      </c>
      <c r="Q48" s="33">
        <v>4.7</v>
      </c>
      <c r="R48" s="33">
        <v>48.19</v>
      </c>
      <c r="S48" s="38">
        <v>50</v>
      </c>
      <c r="T48" s="38">
        <v>1.81</v>
      </c>
      <c r="U48" s="33">
        <v>-0.06</v>
      </c>
      <c r="V48" s="33">
        <v>1071.8599999999999</v>
      </c>
    </row>
    <row r="49" spans="1:22" ht="16.8" x14ac:dyDescent="0.3">
      <c r="A49" s="33">
        <v>4.8</v>
      </c>
      <c r="B49" s="20">
        <v>50</v>
      </c>
      <c r="C49" s="20">
        <v>47.57</v>
      </c>
      <c r="D49" s="20">
        <v>2.4300000000000002</v>
      </c>
      <c r="E49" s="20">
        <v>-0.43</v>
      </c>
      <c r="F49" s="20">
        <v>2927.75</v>
      </c>
      <c r="Q49" s="33">
        <v>4.8</v>
      </c>
      <c r="R49" s="33">
        <v>48.35</v>
      </c>
      <c r="S49" s="33">
        <v>50</v>
      </c>
      <c r="T49" s="33">
        <v>1.65</v>
      </c>
      <c r="U49" s="38">
        <v>-0.15</v>
      </c>
      <c r="V49" s="33">
        <v>1050.1400000000001</v>
      </c>
    </row>
    <row r="50" spans="1:22" ht="16.8" x14ac:dyDescent="0.3">
      <c r="A50" s="20">
        <v>4.9000000000000004</v>
      </c>
      <c r="B50" s="20">
        <v>50</v>
      </c>
      <c r="C50" s="20">
        <v>48.04</v>
      </c>
      <c r="D50" s="20">
        <v>1.96</v>
      </c>
      <c r="E50" s="20">
        <v>-0.47</v>
      </c>
      <c r="F50" s="20">
        <v>2609.77</v>
      </c>
      <c r="Q50" s="33">
        <v>4.9000000000000004</v>
      </c>
      <c r="R50" s="33">
        <v>48.49</v>
      </c>
      <c r="S50" s="38">
        <v>50</v>
      </c>
      <c r="T50" s="38">
        <v>1.51</v>
      </c>
      <c r="U50" s="33">
        <v>-0.15</v>
      </c>
      <c r="V50" s="33">
        <v>1031.29</v>
      </c>
    </row>
    <row r="51" spans="1:22" ht="16.8" x14ac:dyDescent="0.3">
      <c r="A51" s="32">
        <v>5</v>
      </c>
      <c r="B51" s="20">
        <v>50</v>
      </c>
      <c r="C51" s="20">
        <v>48.52</v>
      </c>
      <c r="D51" s="20">
        <v>1.48</v>
      </c>
      <c r="E51" s="20">
        <v>-0.48</v>
      </c>
      <c r="F51" s="20">
        <v>1800</v>
      </c>
      <c r="Q51" s="33">
        <v>5</v>
      </c>
      <c r="R51" s="33">
        <v>48.63</v>
      </c>
      <c r="S51" s="33">
        <v>50</v>
      </c>
      <c r="T51" s="33">
        <v>1.37</v>
      </c>
      <c r="U51" s="38">
        <v>-0.14000000000000001</v>
      </c>
      <c r="V51" s="33">
        <v>1013.39</v>
      </c>
    </row>
    <row r="52" spans="1:22" ht="16.8" x14ac:dyDescent="0.3">
      <c r="A52" s="20">
        <v>5.0999999999999996</v>
      </c>
      <c r="B52" s="20">
        <v>50</v>
      </c>
      <c r="C52" s="20">
        <v>48.98</v>
      </c>
      <c r="D52" s="20">
        <v>1.02</v>
      </c>
      <c r="E52" s="20">
        <v>-0.46</v>
      </c>
      <c r="F52" s="20">
        <v>1800</v>
      </c>
      <c r="Q52" s="33">
        <v>5.0999999999999996</v>
      </c>
      <c r="R52" s="33">
        <v>48.73</v>
      </c>
      <c r="S52" s="38">
        <v>50</v>
      </c>
      <c r="T52" s="38">
        <v>1.27</v>
      </c>
      <c r="U52" s="33">
        <v>-0.1</v>
      </c>
      <c r="V52" s="33">
        <v>1002.08</v>
      </c>
    </row>
    <row r="53" spans="1:22" ht="16.8" x14ac:dyDescent="0.3">
      <c r="A53" s="20">
        <v>5.2</v>
      </c>
      <c r="B53" s="20">
        <v>50</v>
      </c>
      <c r="C53" s="20">
        <v>49.41</v>
      </c>
      <c r="D53" s="20">
        <v>0.59</v>
      </c>
      <c r="E53" s="20">
        <v>-0.42</v>
      </c>
      <c r="F53" s="20">
        <v>1553.08</v>
      </c>
      <c r="Q53" s="33">
        <v>5.2</v>
      </c>
      <c r="R53" s="33">
        <v>48.88</v>
      </c>
      <c r="S53" s="33">
        <v>50</v>
      </c>
      <c r="T53" s="33">
        <v>1.1200000000000001</v>
      </c>
      <c r="U53" s="38">
        <v>-0.15</v>
      </c>
      <c r="V53" s="33">
        <v>979.9</v>
      </c>
    </row>
    <row r="54" spans="1:22" ht="16.8" x14ac:dyDescent="0.3">
      <c r="A54" s="20">
        <v>5.3</v>
      </c>
      <c r="B54" s="20">
        <v>50</v>
      </c>
      <c r="C54" s="20">
        <v>49.81</v>
      </c>
      <c r="D54" s="20">
        <v>0.19</v>
      </c>
      <c r="E54" s="20">
        <v>-0.4</v>
      </c>
      <c r="F54" s="20">
        <v>1293.03</v>
      </c>
      <c r="Q54" s="33">
        <v>5.3</v>
      </c>
      <c r="R54" s="33">
        <v>49</v>
      </c>
      <c r="S54" s="38">
        <v>50</v>
      </c>
      <c r="T54" s="38">
        <v>1</v>
      </c>
      <c r="U54" s="33">
        <v>-0.12</v>
      </c>
      <c r="V54" s="33">
        <v>964.16</v>
      </c>
    </row>
    <row r="55" spans="1:22" ht="16.8" x14ac:dyDescent="0.3">
      <c r="A55" s="20">
        <v>5.4</v>
      </c>
      <c r="B55" s="20">
        <v>50</v>
      </c>
      <c r="C55" s="20">
        <v>50.2</v>
      </c>
      <c r="D55" s="20">
        <v>-0.2</v>
      </c>
      <c r="E55" s="20">
        <v>-0.39</v>
      </c>
      <c r="F55" s="20">
        <v>1040.1400000000001</v>
      </c>
      <c r="Q55" s="33">
        <v>5.4</v>
      </c>
      <c r="R55" s="33">
        <v>49.15</v>
      </c>
      <c r="S55" s="33">
        <v>50</v>
      </c>
      <c r="T55" s="33">
        <v>0.85</v>
      </c>
      <c r="U55" s="38">
        <v>-0.15</v>
      </c>
      <c r="V55" s="33">
        <v>943.29</v>
      </c>
    </row>
    <row r="56" spans="1:22" ht="16.8" x14ac:dyDescent="0.3">
      <c r="A56" s="20">
        <v>5.5</v>
      </c>
      <c r="B56" s="20">
        <v>50</v>
      </c>
      <c r="C56" s="20">
        <v>50.6</v>
      </c>
      <c r="D56" s="20">
        <v>-0.6</v>
      </c>
      <c r="E56" s="20">
        <v>-0.41</v>
      </c>
      <c r="F56" s="20">
        <v>875.98</v>
      </c>
      <c r="Q56" s="33">
        <v>5.5</v>
      </c>
      <c r="R56" s="33">
        <v>49.12</v>
      </c>
      <c r="S56" s="38">
        <v>50</v>
      </c>
      <c r="T56" s="38">
        <v>0.88</v>
      </c>
      <c r="U56" s="33">
        <v>0.02</v>
      </c>
      <c r="V56" s="33">
        <v>952.22</v>
      </c>
    </row>
    <row r="57" spans="1:22" ht="16.8" x14ac:dyDescent="0.3">
      <c r="A57" s="20">
        <v>5.6</v>
      </c>
      <c r="B57" s="20">
        <v>50</v>
      </c>
      <c r="C57" s="20">
        <v>50.89</v>
      </c>
      <c r="D57" s="20">
        <v>-0.89</v>
      </c>
      <c r="E57" s="20">
        <v>-0.28999999999999998</v>
      </c>
      <c r="F57" s="20">
        <v>61.45</v>
      </c>
      <c r="Q57" s="37">
        <v>5.6</v>
      </c>
      <c r="R57" s="37">
        <v>49.31</v>
      </c>
      <c r="S57" s="37">
        <v>50</v>
      </c>
      <c r="T57" s="37">
        <v>0.69</v>
      </c>
      <c r="U57" s="37">
        <v>-0.19</v>
      </c>
      <c r="V57" s="37">
        <v>919.73</v>
      </c>
    </row>
    <row r="58" spans="1:22" ht="16.8" x14ac:dyDescent="0.3">
      <c r="A58" s="20">
        <v>5.7</v>
      </c>
      <c r="B58" s="20">
        <v>50</v>
      </c>
      <c r="C58" s="20">
        <v>51.04</v>
      </c>
      <c r="D58" s="20">
        <v>-1.04</v>
      </c>
      <c r="E58" s="20">
        <v>-0.15</v>
      </c>
      <c r="F58" s="20">
        <v>54.7</v>
      </c>
      <c r="Q58" s="33">
        <v>5.7</v>
      </c>
      <c r="R58" s="33">
        <v>49.38</v>
      </c>
      <c r="S58" s="38">
        <v>50</v>
      </c>
      <c r="T58" s="38">
        <v>0.62</v>
      </c>
      <c r="U58" s="38">
        <v>-0.06</v>
      </c>
      <c r="V58" s="33">
        <v>913.76</v>
      </c>
    </row>
    <row r="59" spans="1:22" ht="16.8" x14ac:dyDescent="0.3">
      <c r="A59" s="20">
        <v>5.8</v>
      </c>
      <c r="B59" s="20">
        <v>50</v>
      </c>
      <c r="C59" s="20">
        <v>51.27</v>
      </c>
      <c r="D59" s="20">
        <v>-1.27</v>
      </c>
      <c r="E59" s="20">
        <v>-0.23</v>
      </c>
      <c r="F59" s="20">
        <v>58.29</v>
      </c>
      <c r="Q59" s="33">
        <v>5.8</v>
      </c>
      <c r="R59" s="33">
        <v>49.47</v>
      </c>
      <c r="S59" s="33">
        <v>50</v>
      </c>
      <c r="T59" s="33">
        <v>0.53</v>
      </c>
      <c r="U59" s="33">
        <v>-0.09</v>
      </c>
      <c r="V59" s="33">
        <v>900.84</v>
      </c>
    </row>
    <row r="60" spans="1:22" ht="16.8" x14ac:dyDescent="0.3">
      <c r="A60" s="20">
        <v>5.9</v>
      </c>
      <c r="B60" s="20">
        <v>50</v>
      </c>
      <c r="C60" s="20">
        <v>51.46</v>
      </c>
      <c r="D60" s="20">
        <v>-1.46</v>
      </c>
      <c r="E60" s="20">
        <v>-0.19</v>
      </c>
      <c r="F60" s="20">
        <v>56.28</v>
      </c>
      <c r="Q60" s="33">
        <v>5.9</v>
      </c>
      <c r="R60" s="33">
        <v>49.55</v>
      </c>
      <c r="S60" s="38">
        <v>50</v>
      </c>
      <c r="T60" s="38">
        <v>0.45</v>
      </c>
      <c r="U60" s="38">
        <v>-0.08</v>
      </c>
      <c r="V60" s="33">
        <v>889.63</v>
      </c>
    </row>
    <row r="61" spans="1:22" ht="16.8" x14ac:dyDescent="0.3">
      <c r="A61" s="20">
        <v>6</v>
      </c>
      <c r="B61" s="20">
        <v>50</v>
      </c>
      <c r="C61" s="20">
        <v>51.6</v>
      </c>
      <c r="D61" s="20">
        <v>-1.6</v>
      </c>
      <c r="E61" s="20">
        <v>-0.14000000000000001</v>
      </c>
      <c r="F61" s="20">
        <v>54.07</v>
      </c>
      <c r="Q61" s="33">
        <v>6</v>
      </c>
      <c r="R61" s="33">
        <v>49.64</v>
      </c>
      <c r="S61" s="33">
        <v>50</v>
      </c>
      <c r="T61" s="33">
        <v>0.36</v>
      </c>
      <c r="U61" s="33">
        <v>-0.09</v>
      </c>
      <c r="V61" s="33">
        <v>876.68</v>
      </c>
    </row>
    <row r="62" spans="1:22" ht="16.8" x14ac:dyDescent="0.3">
      <c r="A62" s="20">
        <v>6.1</v>
      </c>
      <c r="B62" s="20">
        <v>50</v>
      </c>
      <c r="C62" s="20">
        <v>51.68</v>
      </c>
      <c r="D62" s="20">
        <v>-1.68</v>
      </c>
      <c r="E62" s="20">
        <v>-0.08</v>
      </c>
      <c r="F62" s="20">
        <v>52.22</v>
      </c>
      <c r="Q62" s="33">
        <v>6.1</v>
      </c>
      <c r="R62" s="33">
        <v>49.68</v>
      </c>
      <c r="S62" s="38">
        <v>50</v>
      </c>
      <c r="T62" s="33">
        <v>0.32</v>
      </c>
      <c r="U62" s="38">
        <v>-0.05</v>
      </c>
      <c r="V62" s="33">
        <v>870.75</v>
      </c>
    </row>
    <row r="63" spans="1:22" ht="16.8" x14ac:dyDescent="0.3">
      <c r="A63" s="20">
        <v>6.2</v>
      </c>
      <c r="B63" s="20">
        <v>50</v>
      </c>
      <c r="C63" s="20">
        <v>51.77</v>
      </c>
      <c r="D63" s="20">
        <v>-1.77</v>
      </c>
      <c r="E63" s="20">
        <v>-0.09</v>
      </c>
      <c r="F63" s="20">
        <v>52.62</v>
      </c>
      <c r="Q63" s="33">
        <v>6.2</v>
      </c>
      <c r="R63" s="33">
        <v>49.77</v>
      </c>
      <c r="S63" s="33">
        <v>50</v>
      </c>
      <c r="T63" s="38">
        <v>0.23</v>
      </c>
      <c r="U63" s="33">
        <v>-0.08</v>
      </c>
      <c r="V63" s="33">
        <v>858.28</v>
      </c>
    </row>
    <row r="64" spans="1:22" ht="16.8" x14ac:dyDescent="0.3">
      <c r="A64" s="20">
        <v>6.3</v>
      </c>
      <c r="B64" s="20">
        <v>50</v>
      </c>
      <c r="C64" s="20">
        <v>51.75</v>
      </c>
      <c r="D64" s="20">
        <v>-1.75</v>
      </c>
      <c r="E64" s="20">
        <v>0.02</v>
      </c>
      <c r="F64" s="20">
        <v>52.36</v>
      </c>
      <c r="Q64" s="33">
        <v>6.3</v>
      </c>
      <c r="R64" s="33">
        <v>49.81</v>
      </c>
      <c r="S64" s="38">
        <v>50</v>
      </c>
      <c r="T64" s="33">
        <v>0.19</v>
      </c>
      <c r="U64" s="38">
        <v>-0.05</v>
      </c>
      <c r="V64" s="33">
        <v>851.92</v>
      </c>
    </row>
    <row r="65" spans="1:22" ht="16.8" x14ac:dyDescent="0.3">
      <c r="A65" s="20">
        <v>6.4</v>
      </c>
      <c r="B65" s="20">
        <v>50</v>
      </c>
      <c r="C65" s="20">
        <v>51.7</v>
      </c>
      <c r="D65" s="20">
        <v>-1.7</v>
      </c>
      <c r="E65" s="20">
        <v>0.05</v>
      </c>
      <c r="F65" s="20">
        <v>51.99</v>
      </c>
      <c r="Q65" s="33">
        <v>6.4</v>
      </c>
      <c r="R65" s="33">
        <v>49.85</v>
      </c>
      <c r="S65" s="33">
        <v>50</v>
      </c>
      <c r="T65" s="38">
        <v>0.15</v>
      </c>
      <c r="U65" s="33">
        <v>-0.03</v>
      </c>
      <c r="V65" s="33">
        <v>847.64</v>
      </c>
    </row>
    <row r="66" spans="1:22" ht="16.8" x14ac:dyDescent="0.3">
      <c r="A66" s="20">
        <v>6.5</v>
      </c>
      <c r="B66" s="20">
        <v>50</v>
      </c>
      <c r="C66" s="20">
        <v>51.68</v>
      </c>
      <c r="D66" s="20">
        <v>-1.68</v>
      </c>
      <c r="E66" s="20">
        <v>0.02</v>
      </c>
      <c r="F66" s="20">
        <v>51.84</v>
      </c>
      <c r="Q66" s="33">
        <v>6.5</v>
      </c>
      <c r="R66" s="33">
        <v>49.94</v>
      </c>
      <c r="S66" s="38">
        <v>50</v>
      </c>
      <c r="T66" s="33">
        <v>0.06</v>
      </c>
      <c r="U66" s="38">
        <v>-0.1</v>
      </c>
      <c r="V66" s="33">
        <v>831.68</v>
      </c>
    </row>
    <row r="67" spans="1:22" ht="16.8" x14ac:dyDescent="0.3">
      <c r="A67" s="20">
        <v>6.6</v>
      </c>
      <c r="B67" s="20">
        <v>50</v>
      </c>
      <c r="C67" s="20">
        <v>51.57</v>
      </c>
      <c r="D67" s="20">
        <v>-1.57</v>
      </c>
      <c r="E67" s="20">
        <v>0.1</v>
      </c>
      <c r="F67" s="20">
        <v>52.97</v>
      </c>
      <c r="Q67" s="33">
        <v>6.6</v>
      </c>
      <c r="R67" s="33">
        <v>50.02</v>
      </c>
      <c r="S67" s="33">
        <v>50</v>
      </c>
      <c r="T67" s="38">
        <v>-0.02</v>
      </c>
      <c r="U67" s="33">
        <v>-7.0000000000000007E-2</v>
      </c>
      <c r="V67" s="33">
        <v>821.05</v>
      </c>
    </row>
    <row r="68" spans="1:22" ht="16.8" x14ac:dyDescent="0.3">
      <c r="A68" s="20">
        <v>6.7</v>
      </c>
      <c r="B68" s="20">
        <v>50</v>
      </c>
      <c r="C68" s="20">
        <v>51.45</v>
      </c>
      <c r="D68" s="20">
        <v>-1.45</v>
      </c>
      <c r="E68" s="20">
        <v>0.12</v>
      </c>
      <c r="F68" s="20">
        <v>53.36</v>
      </c>
      <c r="Q68" s="33">
        <v>6.7</v>
      </c>
      <c r="R68" s="33">
        <v>50.06</v>
      </c>
      <c r="S68" s="38">
        <v>50</v>
      </c>
      <c r="T68" s="33">
        <v>-0.06</v>
      </c>
      <c r="U68" s="38">
        <v>-0.05</v>
      </c>
      <c r="V68" s="33">
        <v>814</v>
      </c>
    </row>
    <row r="69" spans="1:22" ht="16.8" x14ac:dyDescent="0.3">
      <c r="A69" s="20">
        <v>6.8</v>
      </c>
      <c r="B69" s="20">
        <v>50</v>
      </c>
      <c r="C69" s="20">
        <v>51.34</v>
      </c>
      <c r="D69" s="20">
        <v>-1.34</v>
      </c>
      <c r="E69" s="20">
        <v>0.12</v>
      </c>
      <c r="F69" s="20">
        <v>53.36</v>
      </c>
      <c r="Q69" s="33">
        <v>6.8</v>
      </c>
      <c r="R69" s="33">
        <v>50.1</v>
      </c>
      <c r="S69" s="33">
        <v>50</v>
      </c>
      <c r="T69" s="38">
        <v>-0.1</v>
      </c>
      <c r="U69" s="33">
        <v>-0.03</v>
      </c>
      <c r="V69" s="33">
        <v>809.19</v>
      </c>
    </row>
    <row r="70" spans="1:22" ht="16.8" x14ac:dyDescent="0.3">
      <c r="A70" s="20">
        <v>6.9</v>
      </c>
      <c r="B70" s="20">
        <v>50</v>
      </c>
      <c r="C70" s="20">
        <v>51.21</v>
      </c>
      <c r="D70" s="20">
        <v>-1.21</v>
      </c>
      <c r="E70" s="20">
        <v>0.12</v>
      </c>
      <c r="F70" s="20">
        <v>53.63</v>
      </c>
      <c r="Q70" s="33">
        <v>6.9</v>
      </c>
      <c r="R70" s="33">
        <v>50.12</v>
      </c>
      <c r="S70" s="38">
        <v>50</v>
      </c>
      <c r="T70" s="33">
        <v>-0.12</v>
      </c>
      <c r="U70" s="33">
        <v>-0.02</v>
      </c>
      <c r="V70" s="33">
        <v>805.41</v>
      </c>
    </row>
    <row r="71" spans="1:22" ht="16.8" x14ac:dyDescent="0.3">
      <c r="A71" s="20">
        <v>7</v>
      </c>
      <c r="B71" s="20">
        <v>50</v>
      </c>
      <c r="C71" s="20">
        <v>51.05</v>
      </c>
      <c r="D71" s="20">
        <v>-1.05</v>
      </c>
      <c r="E71" s="20">
        <v>0.16</v>
      </c>
      <c r="F71" s="20">
        <v>54.86</v>
      </c>
      <c r="Q71" s="33">
        <v>7</v>
      </c>
      <c r="R71" s="33">
        <v>50.17</v>
      </c>
      <c r="S71" s="33">
        <v>50</v>
      </c>
      <c r="T71" s="38">
        <v>-0.17</v>
      </c>
      <c r="U71" s="38">
        <v>-0.05</v>
      </c>
      <c r="V71" s="33">
        <v>797.18</v>
      </c>
    </row>
    <row r="72" spans="1:22" ht="16.8" x14ac:dyDescent="0.3">
      <c r="A72" s="20">
        <v>7.1</v>
      </c>
      <c r="B72" s="20">
        <v>50</v>
      </c>
      <c r="C72" s="20">
        <v>50.91</v>
      </c>
      <c r="D72" s="20">
        <v>-0.91</v>
      </c>
      <c r="E72" s="20">
        <v>0.15</v>
      </c>
      <c r="F72" s="20">
        <v>56.7</v>
      </c>
      <c r="Q72" s="33">
        <v>7.1</v>
      </c>
      <c r="R72" s="33">
        <v>50.25</v>
      </c>
      <c r="S72" s="38">
        <v>50</v>
      </c>
      <c r="T72" s="33">
        <v>-0.25</v>
      </c>
      <c r="U72" s="33">
        <v>-0.08</v>
      </c>
      <c r="V72" s="33">
        <v>783.69</v>
      </c>
    </row>
    <row r="73" spans="1:22" ht="16.8" x14ac:dyDescent="0.3">
      <c r="A73" s="20">
        <v>7.2</v>
      </c>
      <c r="B73" s="20">
        <v>50</v>
      </c>
      <c r="C73" s="20">
        <v>50.73</v>
      </c>
      <c r="D73" s="20">
        <v>-0.73</v>
      </c>
      <c r="E73" s="20">
        <v>0.18</v>
      </c>
      <c r="F73" s="20">
        <v>1094.97</v>
      </c>
      <c r="Q73" s="33">
        <v>7.2</v>
      </c>
      <c r="R73" s="33">
        <v>50.26</v>
      </c>
      <c r="S73" s="33">
        <v>50</v>
      </c>
      <c r="T73" s="38">
        <v>-0.26</v>
      </c>
      <c r="U73" s="38">
        <v>-0.01</v>
      </c>
      <c r="V73" s="33">
        <v>783.36</v>
      </c>
    </row>
    <row r="74" spans="1:22" ht="16.8" x14ac:dyDescent="0.3">
      <c r="A74" s="20">
        <v>7.3</v>
      </c>
      <c r="B74" s="20">
        <v>50</v>
      </c>
      <c r="C74" s="20">
        <v>50.72</v>
      </c>
      <c r="D74" s="20">
        <v>-0.72</v>
      </c>
      <c r="E74" s="20">
        <v>0</v>
      </c>
      <c r="F74" s="20">
        <v>692.42</v>
      </c>
      <c r="Q74" s="33">
        <v>7.3</v>
      </c>
      <c r="R74" s="33">
        <v>50.27</v>
      </c>
      <c r="S74" s="33">
        <v>50</v>
      </c>
      <c r="T74" s="33">
        <v>-0.27</v>
      </c>
      <c r="U74" s="33">
        <v>-0.02</v>
      </c>
      <c r="V74" s="33">
        <v>780.16</v>
      </c>
    </row>
    <row r="75" spans="1:22" ht="16.8" x14ac:dyDescent="0.3">
      <c r="A75" s="20">
        <v>7.4</v>
      </c>
      <c r="B75" s="20">
        <v>50</v>
      </c>
      <c r="C75" s="20">
        <v>50.39</v>
      </c>
      <c r="D75" s="20">
        <v>-0.39</v>
      </c>
      <c r="E75" s="20">
        <v>0.33</v>
      </c>
      <c r="F75" s="20">
        <v>1432.69</v>
      </c>
      <c r="Q75" s="33">
        <v>7.4</v>
      </c>
      <c r="R75" s="33">
        <v>50.32</v>
      </c>
      <c r="S75" s="38">
        <v>50</v>
      </c>
      <c r="T75" s="33">
        <v>-0.32</v>
      </c>
      <c r="U75" s="38">
        <v>-0.05</v>
      </c>
      <c r="V75" s="33">
        <v>771.45</v>
      </c>
    </row>
    <row r="76" spans="1:22" ht="16.8" x14ac:dyDescent="0.3">
      <c r="A76" s="20">
        <v>7.5</v>
      </c>
      <c r="B76" s="20">
        <v>50</v>
      </c>
      <c r="C76" s="20">
        <v>50.4</v>
      </c>
      <c r="D76" s="20">
        <v>-0.4</v>
      </c>
      <c r="E76" s="20">
        <v>-0.01</v>
      </c>
      <c r="F76" s="20">
        <v>993.63</v>
      </c>
      <c r="Q76" s="33">
        <v>7.5</v>
      </c>
      <c r="R76" s="33">
        <v>50.34</v>
      </c>
      <c r="S76" s="33">
        <v>50</v>
      </c>
      <c r="T76" s="38">
        <v>-0.34</v>
      </c>
      <c r="U76" s="33">
        <v>-0.02</v>
      </c>
      <c r="V76" s="33">
        <v>768.92</v>
      </c>
    </row>
    <row r="77" spans="1:22" ht="16.8" x14ac:dyDescent="0.3">
      <c r="A77" s="20">
        <v>7.6</v>
      </c>
      <c r="B77" s="20">
        <v>50</v>
      </c>
      <c r="C77" s="20">
        <v>50.22</v>
      </c>
      <c r="D77" s="20">
        <v>-0.22</v>
      </c>
      <c r="E77" s="20">
        <v>0.18</v>
      </c>
      <c r="F77" s="20">
        <v>1301.96</v>
      </c>
      <c r="Q77" s="33">
        <v>7.6</v>
      </c>
      <c r="R77" s="33">
        <v>50.42</v>
      </c>
      <c r="S77" s="38">
        <v>50</v>
      </c>
      <c r="T77" s="33">
        <v>-0.42</v>
      </c>
      <c r="U77" s="38">
        <v>-0.08</v>
      </c>
      <c r="V77" s="33">
        <v>754.43</v>
      </c>
    </row>
    <row r="78" spans="1:22" ht="16.8" x14ac:dyDescent="0.3">
      <c r="A78" s="20">
        <v>7.7</v>
      </c>
      <c r="B78" s="20">
        <v>50</v>
      </c>
      <c r="C78" s="20">
        <v>50.1</v>
      </c>
      <c r="D78" s="20">
        <v>-0.1</v>
      </c>
      <c r="E78" s="20">
        <v>0.12</v>
      </c>
      <c r="F78" s="20">
        <v>1266.8800000000001</v>
      </c>
      <c r="Q78" s="33">
        <v>7.7</v>
      </c>
      <c r="R78" s="33">
        <v>50.39</v>
      </c>
      <c r="S78" s="33">
        <v>50</v>
      </c>
      <c r="T78" s="38">
        <v>-0.39</v>
      </c>
      <c r="U78" s="33">
        <v>0.03</v>
      </c>
      <c r="V78" s="33">
        <v>760.81</v>
      </c>
    </row>
    <row r="79" spans="1:22" ht="16.8" x14ac:dyDescent="0.3">
      <c r="A79" s="20">
        <v>7.8</v>
      </c>
      <c r="B79" s="20">
        <v>50</v>
      </c>
      <c r="C79" s="20">
        <v>50</v>
      </c>
      <c r="D79" s="20">
        <v>0</v>
      </c>
      <c r="E79" s="20">
        <v>0.1</v>
      </c>
      <c r="F79" s="20">
        <v>1264.6400000000001</v>
      </c>
      <c r="Q79" s="33">
        <v>7.8</v>
      </c>
      <c r="R79" s="33">
        <v>50.42</v>
      </c>
      <c r="S79" s="38">
        <v>50</v>
      </c>
      <c r="T79" s="33">
        <v>-0.42</v>
      </c>
      <c r="U79" s="38">
        <v>-0.03</v>
      </c>
      <c r="V79" s="33">
        <v>753.71</v>
      </c>
    </row>
    <row r="80" spans="1:22" ht="16.8" x14ac:dyDescent="0.3">
      <c r="A80" s="20">
        <v>7.9</v>
      </c>
      <c r="B80" s="20">
        <v>50</v>
      </c>
      <c r="C80" s="20">
        <v>49.85</v>
      </c>
      <c r="D80" s="20">
        <v>0.15</v>
      </c>
      <c r="E80" s="20">
        <v>0.15</v>
      </c>
      <c r="F80" s="20">
        <v>1313.61</v>
      </c>
      <c r="Q80" s="33">
        <v>7.9</v>
      </c>
      <c r="R80" s="33">
        <v>50.43</v>
      </c>
      <c r="S80" s="33">
        <v>50</v>
      </c>
      <c r="T80" s="38">
        <v>-0.43</v>
      </c>
      <c r="U80" s="33">
        <v>-0.02</v>
      </c>
      <c r="V80" s="33">
        <v>750.66</v>
      </c>
    </row>
    <row r="81" spans="1:22" ht="16.8" x14ac:dyDescent="0.3">
      <c r="A81" s="20">
        <v>8</v>
      </c>
      <c r="B81" s="20">
        <v>50</v>
      </c>
      <c r="C81" s="20">
        <v>49.79</v>
      </c>
      <c r="D81" s="20">
        <v>0.21</v>
      </c>
      <c r="E81" s="20">
        <v>0.06</v>
      </c>
      <c r="F81" s="20">
        <v>1279.5</v>
      </c>
      <c r="Q81" s="33">
        <v>8</v>
      </c>
      <c r="R81" s="33">
        <v>50.49</v>
      </c>
      <c r="S81" s="38">
        <v>50</v>
      </c>
      <c r="T81" s="33">
        <v>-0.49</v>
      </c>
      <c r="U81" s="38">
        <v>-0.06</v>
      </c>
      <c r="V81" s="33">
        <v>740.2</v>
      </c>
    </row>
    <row r="82" spans="1:22" ht="16.8" x14ac:dyDescent="0.3">
      <c r="A82" s="20">
        <v>8.1</v>
      </c>
      <c r="B82" s="20">
        <v>50</v>
      </c>
      <c r="C82" s="20">
        <v>49.74</v>
      </c>
      <c r="D82" s="20">
        <v>0.26</v>
      </c>
      <c r="E82" s="20">
        <v>0.04</v>
      </c>
      <c r="F82" s="20">
        <v>1310.01</v>
      </c>
      <c r="Q82" s="33">
        <v>8.1</v>
      </c>
      <c r="R82" s="33">
        <v>50.47</v>
      </c>
      <c r="S82" s="33">
        <v>50</v>
      </c>
      <c r="T82" s="38">
        <v>-0.47</v>
      </c>
      <c r="U82" s="33">
        <v>0.02</v>
      </c>
      <c r="V82" s="33">
        <v>744.52</v>
      </c>
    </row>
    <row r="83" spans="1:22" ht="16.8" x14ac:dyDescent="0.3">
      <c r="A83" s="20">
        <v>8.1999999999999993</v>
      </c>
      <c r="B83" s="20">
        <v>50</v>
      </c>
      <c r="C83" s="20">
        <v>49.68</v>
      </c>
      <c r="D83" s="20">
        <v>0.32</v>
      </c>
      <c r="E83" s="20">
        <v>0.06</v>
      </c>
      <c r="F83" s="20">
        <v>1353.18</v>
      </c>
      <c r="Q83" s="33">
        <v>8.1999999999999993</v>
      </c>
      <c r="R83" s="33">
        <v>50.47</v>
      </c>
      <c r="S83" s="38">
        <v>50</v>
      </c>
      <c r="T83" s="33">
        <v>-0.47</v>
      </c>
      <c r="U83" s="38">
        <v>-0.01</v>
      </c>
      <c r="V83" s="33">
        <v>741.65</v>
      </c>
    </row>
    <row r="84" spans="1:22" ht="16.8" x14ac:dyDescent="0.3">
      <c r="A84" s="20">
        <v>8.3000000000000007</v>
      </c>
      <c r="B84" s="20">
        <v>50</v>
      </c>
      <c r="C84" s="20">
        <v>49.67</v>
      </c>
      <c r="D84" s="20">
        <v>0.33</v>
      </c>
      <c r="E84" s="20">
        <v>0.01</v>
      </c>
      <c r="F84" s="20">
        <v>1358.53</v>
      </c>
      <c r="Q84" s="33">
        <v>8.3000000000000007</v>
      </c>
      <c r="R84" s="33">
        <v>50.52</v>
      </c>
      <c r="S84" s="33">
        <v>50</v>
      </c>
      <c r="T84" s="38">
        <v>-0.52</v>
      </c>
      <c r="U84" s="38">
        <v>-0.04</v>
      </c>
      <c r="V84" s="33">
        <v>733.76</v>
      </c>
    </row>
    <row r="85" spans="1:22" ht="16.8" x14ac:dyDescent="0.3">
      <c r="A85" s="20">
        <v>8.4</v>
      </c>
      <c r="B85" s="20">
        <v>50</v>
      </c>
      <c r="C85" s="20">
        <v>49.62</v>
      </c>
      <c r="D85" s="20">
        <v>0.38</v>
      </c>
      <c r="E85" s="20">
        <v>0.05</v>
      </c>
      <c r="F85" s="20">
        <v>1393.5</v>
      </c>
      <c r="Q85" s="33">
        <v>8.4</v>
      </c>
      <c r="R85" s="33">
        <v>50.52</v>
      </c>
      <c r="S85" s="38">
        <v>50</v>
      </c>
      <c r="T85" s="33">
        <v>-0.52</v>
      </c>
      <c r="U85" s="38">
        <v>-0.01</v>
      </c>
      <c r="V85" s="33">
        <v>732.08</v>
      </c>
    </row>
    <row r="86" spans="1:22" ht="16.8" x14ac:dyDescent="0.3">
      <c r="A86" s="20">
        <v>8.5</v>
      </c>
      <c r="B86" s="20">
        <v>50</v>
      </c>
      <c r="C86" s="20">
        <v>49.62</v>
      </c>
      <c r="D86" s="20">
        <v>0.38</v>
      </c>
      <c r="E86" s="20">
        <v>-0.01</v>
      </c>
      <c r="F86" s="20">
        <v>1388.08</v>
      </c>
      <c r="Q86" s="33">
        <v>8.5</v>
      </c>
      <c r="R86" s="33">
        <v>50.52</v>
      </c>
      <c r="S86" s="33">
        <v>50</v>
      </c>
      <c r="T86" s="38">
        <v>-0.52</v>
      </c>
      <c r="U86" s="38">
        <v>0.01</v>
      </c>
      <c r="V86" s="33">
        <v>732.55</v>
      </c>
    </row>
    <row r="87" spans="1:22" ht="16.8" x14ac:dyDescent="0.3">
      <c r="A87" s="20">
        <v>8.6</v>
      </c>
      <c r="B87" s="20">
        <v>50</v>
      </c>
      <c r="C87" s="20">
        <v>49.66</v>
      </c>
      <c r="D87" s="20">
        <v>0.34</v>
      </c>
      <c r="E87" s="20">
        <v>-0.04</v>
      </c>
      <c r="F87" s="20">
        <v>1363.9</v>
      </c>
      <c r="Q87" s="33">
        <v>8.6</v>
      </c>
      <c r="R87" s="33">
        <v>50.51</v>
      </c>
      <c r="S87" s="33">
        <v>50</v>
      </c>
      <c r="T87" s="33">
        <v>-0.51</v>
      </c>
      <c r="U87" s="33">
        <v>0.01</v>
      </c>
      <c r="V87" s="33">
        <v>732.72</v>
      </c>
    </row>
    <row r="88" spans="1:22" ht="16.8" x14ac:dyDescent="0.3">
      <c r="A88" s="20">
        <v>8.6999999999999993</v>
      </c>
      <c r="B88" s="20">
        <v>50</v>
      </c>
      <c r="C88" s="20">
        <v>49.66</v>
      </c>
      <c r="D88" s="20">
        <v>0.34</v>
      </c>
      <c r="E88" s="20">
        <v>0</v>
      </c>
      <c r="F88" s="20">
        <v>1363.9</v>
      </c>
      <c r="Q88" s="33">
        <v>8.6999999999999993</v>
      </c>
      <c r="R88" s="33">
        <v>50.51</v>
      </c>
      <c r="S88" s="38">
        <v>50</v>
      </c>
      <c r="T88" s="38">
        <v>-0.51</v>
      </c>
      <c r="U88" s="38">
        <v>0</v>
      </c>
      <c r="V88" s="33">
        <v>731.49</v>
      </c>
    </row>
    <row r="89" spans="1:22" ht="16.8" x14ac:dyDescent="0.3">
      <c r="A89" s="20">
        <v>8.8000000000000007</v>
      </c>
      <c r="B89" s="20">
        <v>50</v>
      </c>
      <c r="C89" s="20">
        <v>49.7</v>
      </c>
      <c r="D89" s="20">
        <v>0.3</v>
      </c>
      <c r="E89" s="20">
        <v>-0.04</v>
      </c>
      <c r="F89" s="20">
        <v>1337.08</v>
      </c>
      <c r="Q89" s="33">
        <v>8.8000000000000007</v>
      </c>
      <c r="R89" s="33">
        <v>50.45</v>
      </c>
      <c r="S89" s="33">
        <v>50</v>
      </c>
      <c r="T89" s="33">
        <v>-0.45</v>
      </c>
      <c r="U89" s="33">
        <v>0.06</v>
      </c>
      <c r="V89" s="33">
        <v>740.3</v>
      </c>
    </row>
    <row r="90" spans="1:22" ht="16.8" x14ac:dyDescent="0.3">
      <c r="A90" s="20">
        <v>8.9</v>
      </c>
      <c r="B90" s="20">
        <v>50</v>
      </c>
      <c r="C90" s="20">
        <v>49.72</v>
      </c>
      <c r="D90" s="20">
        <v>0.28000000000000003</v>
      </c>
      <c r="E90" s="20">
        <v>-0.02</v>
      </c>
      <c r="F90" s="20">
        <v>1326.29</v>
      </c>
      <c r="Q90" s="33">
        <v>8.9</v>
      </c>
      <c r="R90" s="33">
        <v>50.5</v>
      </c>
      <c r="S90" s="38">
        <v>50</v>
      </c>
      <c r="T90" s="33">
        <v>-0.5</v>
      </c>
      <c r="U90" s="38">
        <v>-0.05</v>
      </c>
      <c r="V90" s="33">
        <v>729.76</v>
      </c>
    </row>
    <row r="91" spans="1:22" ht="16.8" x14ac:dyDescent="0.3">
      <c r="A91" s="20">
        <v>9</v>
      </c>
      <c r="B91" s="20">
        <v>50</v>
      </c>
      <c r="C91" s="20">
        <v>49.78</v>
      </c>
      <c r="D91" s="20">
        <v>0.22</v>
      </c>
      <c r="E91" s="20">
        <v>-0.06</v>
      </c>
      <c r="F91" s="20">
        <v>1282.32</v>
      </c>
      <c r="Q91" s="33">
        <v>9</v>
      </c>
      <c r="R91" s="33">
        <v>50.27</v>
      </c>
      <c r="S91" s="33">
        <v>50</v>
      </c>
      <c r="T91" s="38">
        <v>-0.27</v>
      </c>
      <c r="U91" s="33">
        <v>0.23</v>
      </c>
      <c r="V91" s="33">
        <v>769.17</v>
      </c>
    </row>
    <row r="92" spans="1:22" ht="16.8" x14ac:dyDescent="0.3">
      <c r="A92" s="20">
        <v>9.1</v>
      </c>
      <c r="B92" s="20">
        <v>50</v>
      </c>
      <c r="C92" s="20">
        <v>49.74</v>
      </c>
      <c r="D92" s="20">
        <v>0.26</v>
      </c>
      <c r="E92" s="20">
        <v>0.04</v>
      </c>
      <c r="F92" s="20">
        <v>1310.01</v>
      </c>
      <c r="Q92" s="33">
        <v>9.1</v>
      </c>
      <c r="R92" s="33">
        <v>50.59</v>
      </c>
      <c r="S92" s="38">
        <v>50</v>
      </c>
      <c r="T92" s="33">
        <v>-0.59</v>
      </c>
      <c r="U92" s="38">
        <v>-0.31</v>
      </c>
      <c r="V92" s="33">
        <v>709.08</v>
      </c>
    </row>
    <row r="93" spans="1:22" ht="16.8" x14ac:dyDescent="0.3">
      <c r="A93" s="20">
        <v>9.1999999999999993</v>
      </c>
      <c r="B93" s="20">
        <v>50</v>
      </c>
      <c r="C93" s="20">
        <v>49.84</v>
      </c>
      <c r="D93" s="20">
        <v>0.16</v>
      </c>
      <c r="E93" s="20">
        <v>-0.1</v>
      </c>
      <c r="F93" s="20">
        <v>1241.75</v>
      </c>
      <c r="Q93" s="33">
        <v>9.1999999999999993</v>
      </c>
      <c r="R93" s="33">
        <v>50.06</v>
      </c>
      <c r="S93" s="33">
        <v>50</v>
      </c>
      <c r="T93" s="38">
        <v>-0.06</v>
      </c>
      <c r="U93" s="33">
        <v>0.52</v>
      </c>
      <c r="V93" s="33">
        <v>805.8</v>
      </c>
    </row>
    <row r="94" spans="1:22" ht="16.8" x14ac:dyDescent="0.3">
      <c r="A94" s="20">
        <v>9.3000000000000007</v>
      </c>
      <c r="B94" s="20">
        <v>50</v>
      </c>
      <c r="C94" s="20">
        <v>49.89</v>
      </c>
      <c r="D94" s="20">
        <v>0.11</v>
      </c>
      <c r="E94" s="20">
        <v>-0.05</v>
      </c>
      <c r="F94" s="20">
        <v>1204.3599999999999</v>
      </c>
      <c r="Q94" s="33">
        <v>9.3000000000000007</v>
      </c>
      <c r="R94" s="33">
        <v>50.67</v>
      </c>
      <c r="S94" s="38">
        <v>50</v>
      </c>
      <c r="T94" s="33">
        <v>-0.67</v>
      </c>
      <c r="U94" s="38">
        <v>-0.6</v>
      </c>
      <c r="V94" s="33">
        <v>689.42</v>
      </c>
    </row>
    <row r="95" spans="1:22" ht="16.8" x14ac:dyDescent="0.3">
      <c r="A95" s="20">
        <v>9.4</v>
      </c>
      <c r="B95" s="20">
        <v>50</v>
      </c>
      <c r="C95" s="20">
        <v>49.91</v>
      </c>
      <c r="D95" s="20">
        <v>0.09</v>
      </c>
      <c r="E95" s="20">
        <v>-0.03</v>
      </c>
      <c r="F95" s="20">
        <v>1181</v>
      </c>
      <c r="Q95" s="33">
        <v>9.4</v>
      </c>
      <c r="R95" s="33">
        <v>49.98</v>
      </c>
      <c r="S95" s="33">
        <v>50</v>
      </c>
      <c r="T95" s="38">
        <v>0.02</v>
      </c>
      <c r="U95" s="38">
        <v>0.69</v>
      </c>
      <c r="V95" s="33">
        <v>821.39</v>
      </c>
    </row>
    <row r="96" spans="1:22" ht="16.8" x14ac:dyDescent="0.3">
      <c r="A96" s="20">
        <v>9.5</v>
      </c>
      <c r="B96" s="20">
        <v>50</v>
      </c>
      <c r="C96" s="20">
        <v>49.98</v>
      </c>
      <c r="D96" s="20">
        <v>0.02</v>
      </c>
      <c r="E96" s="20">
        <v>-0.06</v>
      </c>
      <c r="F96" s="20">
        <v>1121.9100000000001</v>
      </c>
      <c r="Q96" s="33">
        <v>9.5</v>
      </c>
      <c r="R96" s="33">
        <v>50.67</v>
      </c>
      <c r="S96" s="38">
        <v>50</v>
      </c>
      <c r="T96" s="33">
        <v>-0.67</v>
      </c>
      <c r="U96" s="38">
        <v>-0.69</v>
      </c>
      <c r="V96" s="33">
        <v>686.3</v>
      </c>
    </row>
    <row r="97" spans="1:22" ht="16.8" x14ac:dyDescent="0.3">
      <c r="A97" s="20">
        <v>9.6</v>
      </c>
      <c r="B97" s="20">
        <v>50</v>
      </c>
      <c r="C97" s="20">
        <v>49.97</v>
      </c>
      <c r="D97" s="20">
        <v>0.03</v>
      </c>
      <c r="E97" s="20">
        <v>0.01</v>
      </c>
      <c r="F97" s="20">
        <v>1133.47</v>
      </c>
      <c r="Q97" s="33">
        <v>9.6</v>
      </c>
      <c r="R97" s="33">
        <v>50.06</v>
      </c>
      <c r="S97" s="33">
        <v>50</v>
      </c>
      <c r="T97" s="33">
        <v>-0.06</v>
      </c>
      <c r="U97" s="38">
        <v>0.61</v>
      </c>
      <c r="V97" s="33">
        <v>805.94</v>
      </c>
    </row>
    <row r="98" spans="1:22" ht="16.8" x14ac:dyDescent="0.3">
      <c r="A98" s="20">
        <v>9.6999999999999993</v>
      </c>
      <c r="B98" s="20">
        <v>50</v>
      </c>
      <c r="C98" s="20">
        <v>50.02</v>
      </c>
      <c r="D98" s="20">
        <v>-0.02</v>
      </c>
      <c r="E98" s="20">
        <v>-0.05</v>
      </c>
      <c r="F98" s="20">
        <v>1095.07</v>
      </c>
      <c r="Q98" s="33">
        <v>9.6999999999999993</v>
      </c>
      <c r="R98" s="33">
        <v>50.57</v>
      </c>
      <c r="S98" s="38">
        <v>50</v>
      </c>
      <c r="T98" s="38">
        <v>-0.56999999999999995</v>
      </c>
      <c r="U98" s="38">
        <v>-0.52</v>
      </c>
      <c r="V98" s="33">
        <v>703.31</v>
      </c>
    </row>
    <row r="99" spans="1:22" ht="16.8" x14ac:dyDescent="0.3">
      <c r="A99" s="20">
        <v>9.8000000000000007</v>
      </c>
      <c r="B99" s="20">
        <v>50</v>
      </c>
      <c r="C99" s="20">
        <v>49.99</v>
      </c>
      <c r="D99" s="20">
        <v>0.01</v>
      </c>
      <c r="E99" s="20">
        <v>0.03</v>
      </c>
      <c r="F99" s="20">
        <v>1159.0999999999999</v>
      </c>
      <c r="Q99" s="33">
        <v>9.8000000000000007</v>
      </c>
      <c r="R99" s="33">
        <v>50.05</v>
      </c>
      <c r="S99" s="33">
        <v>50</v>
      </c>
      <c r="T99" s="33">
        <v>-0.05</v>
      </c>
      <c r="U99" s="38">
        <v>0.52</v>
      </c>
      <c r="V99" s="33">
        <v>804.1</v>
      </c>
    </row>
    <row r="100" spans="1:22" ht="16.8" x14ac:dyDescent="0.3">
      <c r="A100" s="20">
        <v>9.9</v>
      </c>
      <c r="B100" s="20">
        <v>50</v>
      </c>
      <c r="C100" s="20">
        <v>50.1</v>
      </c>
      <c r="D100" s="20">
        <v>-0.1</v>
      </c>
      <c r="E100" s="20">
        <v>-0.12</v>
      </c>
      <c r="F100" s="20">
        <v>1073.78</v>
      </c>
      <c r="Q100" s="33">
        <v>9.9</v>
      </c>
      <c r="R100" s="33">
        <v>50.44</v>
      </c>
      <c r="S100" s="38">
        <v>50</v>
      </c>
      <c r="T100" s="38">
        <v>-0.44</v>
      </c>
      <c r="U100" s="38">
        <v>-0.39</v>
      </c>
      <c r="V100" s="33">
        <v>724.42</v>
      </c>
    </row>
    <row r="101" spans="1:22" ht="16.8" x14ac:dyDescent="0.3">
      <c r="A101" s="20">
        <v>10</v>
      </c>
      <c r="B101" s="20">
        <v>50</v>
      </c>
      <c r="C101" s="20">
        <v>49.99</v>
      </c>
      <c r="D101" s="20">
        <v>0.01</v>
      </c>
      <c r="E101" s="20">
        <v>0.12</v>
      </c>
      <c r="F101" s="20">
        <v>1279.8499999999999</v>
      </c>
      <c r="Q101" s="33">
        <v>10</v>
      </c>
      <c r="R101" s="33">
        <v>50.08</v>
      </c>
      <c r="S101" s="33">
        <v>50</v>
      </c>
      <c r="T101" s="33">
        <v>-0.08</v>
      </c>
      <c r="U101" s="38">
        <v>0.36</v>
      </c>
      <c r="V101" s="33">
        <v>794.85</v>
      </c>
    </row>
    <row r="102" spans="1:22" ht="16.8" x14ac:dyDescent="0.3">
      <c r="A102" s="20">
        <v>10.1</v>
      </c>
      <c r="B102" s="20">
        <v>50</v>
      </c>
      <c r="C102" s="20">
        <v>50.18</v>
      </c>
      <c r="D102" s="20">
        <v>-0.18</v>
      </c>
      <c r="E102" s="20">
        <v>-0.19</v>
      </c>
      <c r="F102" s="20">
        <v>1053.05</v>
      </c>
      <c r="Q102" s="33">
        <v>10.1</v>
      </c>
      <c r="R102" s="33">
        <v>50.19</v>
      </c>
      <c r="S102" s="33">
        <v>50</v>
      </c>
      <c r="T102" s="38">
        <v>-0.19</v>
      </c>
      <c r="U102" s="33">
        <v>-0.11</v>
      </c>
      <c r="V102" s="33">
        <v>767.68</v>
      </c>
    </row>
    <row r="103" spans="1:22" ht="16.8" x14ac:dyDescent="0.3">
      <c r="A103" s="20">
        <v>10.199999999999999</v>
      </c>
      <c r="B103" s="20">
        <v>50</v>
      </c>
      <c r="C103" s="20">
        <v>50.04</v>
      </c>
      <c r="D103" s="20">
        <v>-0.04</v>
      </c>
      <c r="E103" s="20">
        <v>0.14000000000000001</v>
      </c>
      <c r="F103" s="20">
        <v>1300.57</v>
      </c>
      <c r="Q103" s="33">
        <v>10.199999999999999</v>
      </c>
      <c r="R103" s="33">
        <v>50.1</v>
      </c>
      <c r="S103" s="38">
        <v>50</v>
      </c>
      <c r="T103" s="33">
        <v>-0.1</v>
      </c>
      <c r="U103" s="38">
        <v>0.09</v>
      </c>
      <c r="V103" s="33">
        <v>785.05</v>
      </c>
    </row>
    <row r="104" spans="1:22" ht="16.8" x14ac:dyDescent="0.3">
      <c r="A104" s="20">
        <v>10.3</v>
      </c>
      <c r="B104" s="20">
        <v>50</v>
      </c>
      <c r="C104" s="20">
        <v>50.21</v>
      </c>
      <c r="D104" s="20">
        <v>-0.21</v>
      </c>
      <c r="E104" s="20">
        <v>-0.17</v>
      </c>
      <c r="F104" s="20">
        <v>1046.9000000000001</v>
      </c>
      <c r="Q104" s="33">
        <v>10.3</v>
      </c>
      <c r="R104" s="33">
        <v>50.11</v>
      </c>
      <c r="S104" s="33">
        <v>50</v>
      </c>
      <c r="T104" s="38">
        <v>-0.11</v>
      </c>
      <c r="U104" s="33">
        <v>-0.01</v>
      </c>
      <c r="V104" s="33">
        <v>781.64</v>
      </c>
    </row>
    <row r="105" spans="1:22" ht="16.8" x14ac:dyDescent="0.3">
      <c r="A105" s="20">
        <v>10.4</v>
      </c>
      <c r="B105" s="20">
        <v>50</v>
      </c>
      <c r="C105" s="20">
        <v>50.09</v>
      </c>
      <c r="D105" s="20">
        <v>-0.09</v>
      </c>
      <c r="E105" s="20">
        <v>0.12</v>
      </c>
      <c r="F105" s="20">
        <v>1264.6199999999999</v>
      </c>
      <c r="Q105" s="33">
        <v>10.4</v>
      </c>
      <c r="R105" s="33">
        <v>50.16</v>
      </c>
      <c r="S105" s="38">
        <v>50</v>
      </c>
      <c r="T105" s="33">
        <v>-0.16</v>
      </c>
      <c r="U105" s="38">
        <v>-0.05</v>
      </c>
      <c r="V105" s="33">
        <v>773.11</v>
      </c>
    </row>
    <row r="106" spans="1:22" ht="16.8" x14ac:dyDescent="0.3">
      <c r="A106" s="20">
        <v>10.5</v>
      </c>
      <c r="B106" s="20">
        <v>50</v>
      </c>
      <c r="C106" s="20">
        <v>50.26</v>
      </c>
      <c r="D106" s="20">
        <v>-0.26</v>
      </c>
      <c r="E106" s="20">
        <v>-0.17</v>
      </c>
      <c r="F106" s="20">
        <v>1036.73</v>
      </c>
      <c r="Q106" s="33">
        <v>10.5</v>
      </c>
      <c r="R106" s="33">
        <v>50.13</v>
      </c>
      <c r="S106" s="33">
        <v>50</v>
      </c>
      <c r="T106" s="38">
        <v>-0.13</v>
      </c>
      <c r="U106" s="38">
        <v>0.03</v>
      </c>
      <c r="V106" s="33">
        <v>779.38</v>
      </c>
    </row>
    <row r="107" spans="1:22" ht="16.8" x14ac:dyDescent="0.3">
      <c r="A107" s="20">
        <v>10.6</v>
      </c>
      <c r="B107" s="20">
        <v>50</v>
      </c>
      <c r="C107" s="20">
        <v>50.15</v>
      </c>
      <c r="D107" s="20">
        <v>-0.15</v>
      </c>
      <c r="E107" s="20">
        <v>0.1</v>
      </c>
      <c r="F107" s="20">
        <v>1230.6500000000001</v>
      </c>
      <c r="Q107" s="33">
        <v>10.6</v>
      </c>
      <c r="R107" s="33">
        <v>50.13</v>
      </c>
      <c r="S107" s="38">
        <v>50</v>
      </c>
      <c r="T107" s="33">
        <v>-0.13</v>
      </c>
      <c r="U107" s="38">
        <v>0</v>
      </c>
      <c r="V107" s="33">
        <v>778.47</v>
      </c>
    </row>
    <row r="108" spans="1:22" ht="16.8" x14ac:dyDescent="0.3">
      <c r="A108" s="20">
        <v>10.7</v>
      </c>
      <c r="B108" s="20">
        <v>50</v>
      </c>
      <c r="C108" s="20">
        <v>50.29</v>
      </c>
      <c r="D108" s="20">
        <v>-0.28999999999999998</v>
      </c>
      <c r="E108" s="20">
        <v>-0.14000000000000001</v>
      </c>
      <c r="F108" s="20">
        <v>1028.8699999999999</v>
      </c>
      <c r="Q108" s="33">
        <v>10.7</v>
      </c>
      <c r="R108" s="33">
        <v>50.14</v>
      </c>
      <c r="S108" s="33">
        <v>50</v>
      </c>
      <c r="T108" s="33">
        <v>-0.14000000000000001</v>
      </c>
      <c r="U108" s="38">
        <v>-0.02</v>
      </c>
      <c r="V108" s="33">
        <v>775.38</v>
      </c>
    </row>
    <row r="109" spans="1:22" ht="16.8" x14ac:dyDescent="0.3">
      <c r="A109" s="20">
        <v>10.8</v>
      </c>
      <c r="B109" s="20">
        <v>50</v>
      </c>
      <c r="C109" s="20">
        <v>50.16</v>
      </c>
      <c r="D109" s="20">
        <v>-0.16</v>
      </c>
      <c r="E109" s="20">
        <v>0.13</v>
      </c>
      <c r="F109" s="20">
        <v>1259.1199999999999</v>
      </c>
      <c r="Q109" s="33">
        <v>10.8</v>
      </c>
      <c r="R109" s="33">
        <v>50.15</v>
      </c>
      <c r="S109" s="38">
        <v>50</v>
      </c>
      <c r="T109" s="38">
        <v>-0.15</v>
      </c>
      <c r="U109" s="38">
        <v>-0.01</v>
      </c>
      <c r="V109" s="33">
        <v>773.98</v>
      </c>
    </row>
    <row r="110" spans="1:22" ht="16.8" x14ac:dyDescent="0.3">
      <c r="A110" s="20">
        <v>10.9</v>
      </c>
      <c r="B110" s="20">
        <v>50</v>
      </c>
      <c r="C110" s="20">
        <v>50.37</v>
      </c>
      <c r="D110" s="20">
        <v>-0.37</v>
      </c>
      <c r="E110" s="20">
        <v>-0.21</v>
      </c>
      <c r="F110" s="20">
        <v>1006.09</v>
      </c>
      <c r="Q110" s="33">
        <v>10.9</v>
      </c>
      <c r="R110" s="33">
        <v>50.18</v>
      </c>
      <c r="S110" s="33">
        <v>50</v>
      </c>
      <c r="T110" s="33">
        <v>-0.18</v>
      </c>
      <c r="U110" s="38">
        <v>-0.03</v>
      </c>
      <c r="V110" s="33">
        <v>768.19</v>
      </c>
    </row>
    <row r="111" spans="1:22" ht="16.8" x14ac:dyDescent="0.3">
      <c r="A111" s="20">
        <v>11</v>
      </c>
      <c r="B111" s="20">
        <v>50</v>
      </c>
      <c r="C111" s="20">
        <v>50.22</v>
      </c>
      <c r="D111" s="20">
        <v>-0.22</v>
      </c>
      <c r="E111" s="20">
        <v>0.14000000000000001</v>
      </c>
      <c r="F111" s="20">
        <v>1260.8399999999999</v>
      </c>
      <c r="Q111" s="33">
        <v>11</v>
      </c>
      <c r="R111" s="33">
        <v>50.12</v>
      </c>
      <c r="S111" s="38">
        <v>50</v>
      </c>
      <c r="T111" s="38">
        <v>-0.12</v>
      </c>
      <c r="U111" s="38">
        <v>0.06</v>
      </c>
      <c r="V111" s="33">
        <v>779.72</v>
      </c>
    </row>
    <row r="112" spans="1:22" ht="16.8" x14ac:dyDescent="0.3">
      <c r="A112" s="20">
        <v>11.1</v>
      </c>
      <c r="B112" s="20">
        <v>50</v>
      </c>
      <c r="C112" s="20">
        <v>50.34</v>
      </c>
      <c r="D112" s="20">
        <v>-0.34</v>
      </c>
      <c r="E112" s="20">
        <v>-0.11</v>
      </c>
      <c r="F112" s="20">
        <v>1014.92</v>
      </c>
      <c r="Q112" s="33">
        <v>11.1</v>
      </c>
      <c r="R112" s="33">
        <v>50.11</v>
      </c>
      <c r="S112" s="33">
        <v>50</v>
      </c>
      <c r="T112" s="33">
        <v>-0.11</v>
      </c>
      <c r="U112" s="38">
        <v>0.01</v>
      </c>
      <c r="V112" s="33">
        <v>779.59</v>
      </c>
    </row>
    <row r="113" spans="1:22" ht="16.8" x14ac:dyDescent="0.3">
      <c r="A113" s="20">
        <v>11.2</v>
      </c>
      <c r="B113" s="20">
        <v>50</v>
      </c>
      <c r="C113" s="20">
        <v>50.22</v>
      </c>
      <c r="D113" s="20">
        <v>-0.22</v>
      </c>
      <c r="E113" s="20">
        <v>0.12</v>
      </c>
      <c r="F113" s="20">
        <v>1239.78</v>
      </c>
      <c r="Q113" s="33">
        <v>11.2</v>
      </c>
      <c r="R113" s="33">
        <v>50.14</v>
      </c>
      <c r="S113" s="38">
        <v>50</v>
      </c>
      <c r="T113" s="38">
        <v>-0.14000000000000001</v>
      </c>
      <c r="U113" s="38">
        <v>-0.03</v>
      </c>
      <c r="V113" s="33">
        <v>773.56</v>
      </c>
    </row>
    <row r="114" spans="1:22" ht="16.8" x14ac:dyDescent="0.3">
      <c r="A114" s="20">
        <v>11.3</v>
      </c>
      <c r="B114" s="20">
        <v>50</v>
      </c>
      <c r="C114" s="20">
        <v>50.32</v>
      </c>
      <c r="D114" s="20">
        <v>-0.32</v>
      </c>
      <c r="E114" s="20">
        <v>-0.1</v>
      </c>
      <c r="F114" s="20">
        <v>1019.75</v>
      </c>
      <c r="Q114" s="33">
        <v>11.3</v>
      </c>
      <c r="R114" s="33">
        <v>50.18</v>
      </c>
      <c r="S114" s="33">
        <v>50</v>
      </c>
      <c r="T114" s="33">
        <v>-0.18</v>
      </c>
      <c r="U114" s="33">
        <v>-0.04</v>
      </c>
      <c r="V114" s="33">
        <v>766.85</v>
      </c>
    </row>
    <row r="115" spans="1:22" ht="16.8" x14ac:dyDescent="0.3">
      <c r="A115" s="20">
        <v>11.4</v>
      </c>
      <c r="B115" s="20">
        <v>50</v>
      </c>
      <c r="C115" s="20">
        <v>50.23</v>
      </c>
      <c r="D115" s="20">
        <v>-0.23</v>
      </c>
      <c r="E115" s="20">
        <v>0.09</v>
      </c>
      <c r="F115" s="20">
        <v>1197.68</v>
      </c>
      <c r="Q115" s="33">
        <v>11.4</v>
      </c>
      <c r="R115" s="33">
        <v>50.17</v>
      </c>
      <c r="S115" s="38">
        <v>50</v>
      </c>
      <c r="T115" s="38">
        <v>-0.17</v>
      </c>
      <c r="U115" s="38">
        <v>0.02</v>
      </c>
      <c r="V115" s="33">
        <v>770.08</v>
      </c>
    </row>
    <row r="116" spans="1:22" ht="16.8" x14ac:dyDescent="0.3">
      <c r="A116" s="20">
        <v>11.5</v>
      </c>
      <c r="B116" s="20">
        <v>50</v>
      </c>
      <c r="C116" s="20">
        <v>50.29</v>
      </c>
      <c r="D116" s="20">
        <v>-0.28999999999999998</v>
      </c>
      <c r="E116" s="20">
        <v>-0.05</v>
      </c>
      <c r="F116" s="20">
        <v>1029.98</v>
      </c>
      <c r="Q116" s="33">
        <v>11.5</v>
      </c>
      <c r="R116" s="33">
        <v>50.19</v>
      </c>
      <c r="S116" s="33">
        <v>50</v>
      </c>
      <c r="T116" s="33">
        <v>-0.19</v>
      </c>
      <c r="U116" s="33">
        <v>-0.02</v>
      </c>
      <c r="V116" s="33">
        <v>765.18</v>
      </c>
    </row>
    <row r="117" spans="1:22" ht="16.8" x14ac:dyDescent="0.3">
      <c r="A117" s="20">
        <v>11.6</v>
      </c>
      <c r="B117" s="20">
        <v>50</v>
      </c>
      <c r="C117" s="20">
        <v>50.29</v>
      </c>
      <c r="D117" s="20">
        <v>-0.28999999999999998</v>
      </c>
      <c r="E117" s="20">
        <v>0</v>
      </c>
      <c r="F117" s="20">
        <v>1028.8699999999999</v>
      </c>
      <c r="Q117" s="33">
        <v>11.6</v>
      </c>
      <c r="R117" s="33">
        <v>50.17</v>
      </c>
      <c r="S117" s="33">
        <v>50</v>
      </c>
      <c r="T117" s="38">
        <v>-0.17</v>
      </c>
      <c r="U117" s="38">
        <v>0.02</v>
      </c>
      <c r="V117" s="33">
        <v>769.49</v>
      </c>
    </row>
    <row r="118" spans="1:22" ht="16.8" x14ac:dyDescent="0.3">
      <c r="A118" s="20">
        <v>11.7</v>
      </c>
      <c r="B118" s="20">
        <v>50</v>
      </c>
      <c r="C118" s="20">
        <v>50.31</v>
      </c>
      <c r="D118" s="20">
        <v>-0.31</v>
      </c>
      <c r="E118" s="20">
        <v>-0.02</v>
      </c>
      <c r="F118" s="20">
        <v>1023.23</v>
      </c>
      <c r="Q118" s="33">
        <v>11.7</v>
      </c>
      <c r="R118" s="33">
        <v>50.16</v>
      </c>
      <c r="S118" s="38">
        <v>50</v>
      </c>
      <c r="T118" s="33">
        <v>-0.16</v>
      </c>
      <c r="U118" s="38">
        <v>0.01</v>
      </c>
      <c r="V118" s="33">
        <v>770.06</v>
      </c>
    </row>
    <row r="119" spans="1:22" ht="16.8" x14ac:dyDescent="0.3">
      <c r="A119" s="20">
        <v>11.8</v>
      </c>
      <c r="B119" s="20">
        <v>50</v>
      </c>
      <c r="C119" s="20">
        <v>50.29</v>
      </c>
      <c r="D119" s="20">
        <v>-0.28999999999999998</v>
      </c>
      <c r="E119" s="20">
        <v>0.02</v>
      </c>
      <c r="F119" s="20">
        <v>1063.7</v>
      </c>
      <c r="Q119" s="33">
        <v>11.8</v>
      </c>
      <c r="R119" s="33">
        <v>50.11</v>
      </c>
      <c r="S119" s="33">
        <v>50</v>
      </c>
      <c r="T119" s="33">
        <v>-0.11</v>
      </c>
      <c r="U119" s="38">
        <v>0.05</v>
      </c>
      <c r="V119" s="33">
        <v>778.02</v>
      </c>
    </row>
    <row r="120" spans="1:22" ht="16.8" x14ac:dyDescent="0.3">
      <c r="A120" s="20">
        <v>11.9</v>
      </c>
      <c r="B120" s="20">
        <v>50</v>
      </c>
      <c r="C120" s="20">
        <v>50.32</v>
      </c>
      <c r="D120" s="20">
        <v>-0.32</v>
      </c>
      <c r="E120" s="20">
        <v>-0.02</v>
      </c>
      <c r="F120" s="20">
        <v>1020.93</v>
      </c>
      <c r="Q120" s="33">
        <v>11.9</v>
      </c>
      <c r="R120" s="33">
        <v>50.15</v>
      </c>
      <c r="S120" s="38">
        <v>50</v>
      </c>
      <c r="T120" s="38">
        <v>-0.15</v>
      </c>
      <c r="U120" s="38">
        <v>-0.04</v>
      </c>
      <c r="V120" s="33">
        <v>769.77</v>
      </c>
    </row>
    <row r="121" spans="1:22" ht="16.8" x14ac:dyDescent="0.3">
      <c r="A121" s="20">
        <v>12</v>
      </c>
      <c r="B121" s="20">
        <v>50</v>
      </c>
      <c r="C121" s="20">
        <v>50.31</v>
      </c>
      <c r="D121" s="20">
        <v>-0.31</v>
      </c>
      <c r="E121" s="20">
        <v>0.01</v>
      </c>
      <c r="F121" s="20">
        <v>1041.97</v>
      </c>
      <c r="Q121" s="33">
        <v>12</v>
      </c>
      <c r="R121" s="33">
        <v>50.16</v>
      </c>
      <c r="S121" s="33">
        <v>50</v>
      </c>
      <c r="T121" s="33">
        <v>-0.16</v>
      </c>
      <c r="U121" s="33">
        <v>-0.01</v>
      </c>
      <c r="V121" s="33">
        <v>768.85</v>
      </c>
    </row>
    <row r="122" spans="1:22" ht="16.8" x14ac:dyDescent="0.3">
      <c r="A122" s="20">
        <v>12.1</v>
      </c>
      <c r="B122" s="20">
        <v>50</v>
      </c>
      <c r="C122" s="20">
        <v>50.29</v>
      </c>
      <c r="D122" s="20">
        <v>-0.28999999999999998</v>
      </c>
      <c r="E122" s="20">
        <v>0.02</v>
      </c>
      <c r="F122" s="20">
        <v>1082.21</v>
      </c>
      <c r="Q122" s="33">
        <v>12.1</v>
      </c>
      <c r="R122" s="33">
        <v>50.15</v>
      </c>
      <c r="S122" s="38">
        <v>50</v>
      </c>
      <c r="T122" s="38">
        <v>-0.15</v>
      </c>
      <c r="U122" s="38">
        <v>0.01</v>
      </c>
      <c r="V122" s="33">
        <v>770.08</v>
      </c>
    </row>
    <row r="123" spans="1:22" ht="16.8" x14ac:dyDescent="0.3">
      <c r="A123" s="20">
        <v>12.2</v>
      </c>
      <c r="B123" s="20">
        <v>50</v>
      </c>
      <c r="C123" s="20">
        <v>50.32</v>
      </c>
      <c r="D123" s="20">
        <v>-0.32</v>
      </c>
      <c r="E123" s="20">
        <v>-0.03</v>
      </c>
      <c r="F123" s="20">
        <v>1020.93</v>
      </c>
      <c r="Q123" s="33">
        <v>12.2</v>
      </c>
      <c r="R123" s="33">
        <v>50.16</v>
      </c>
      <c r="S123" s="33">
        <v>50</v>
      </c>
      <c r="T123" s="33">
        <v>-0.16</v>
      </c>
      <c r="U123" s="33">
        <v>-0.01</v>
      </c>
      <c r="V123" s="33">
        <v>768.19</v>
      </c>
    </row>
    <row r="124" spans="1:22" ht="16.8" x14ac:dyDescent="0.3">
      <c r="A124" s="20">
        <v>12.3</v>
      </c>
      <c r="B124" s="20">
        <v>50</v>
      </c>
      <c r="C124" s="20">
        <v>50.33</v>
      </c>
      <c r="D124" s="20">
        <v>-0.33</v>
      </c>
      <c r="E124" s="20">
        <v>-0.01</v>
      </c>
      <c r="F124" s="20">
        <v>1017.36</v>
      </c>
      <c r="Q124" s="33">
        <v>12.3</v>
      </c>
      <c r="R124" s="33">
        <v>50.16</v>
      </c>
      <c r="S124" s="38">
        <v>50</v>
      </c>
      <c r="T124" s="38">
        <v>-0.16</v>
      </c>
      <c r="U124" s="38">
        <v>0</v>
      </c>
      <c r="V124" s="33">
        <v>768.01</v>
      </c>
    </row>
    <row r="125" spans="1:22" ht="16.8" x14ac:dyDescent="0.3">
      <c r="A125" s="20">
        <v>12.4</v>
      </c>
      <c r="B125" s="20">
        <v>50</v>
      </c>
      <c r="C125" s="20">
        <v>50.29</v>
      </c>
      <c r="D125" s="20">
        <v>-0.28999999999999998</v>
      </c>
      <c r="E125" s="20">
        <v>0.04</v>
      </c>
      <c r="F125" s="20">
        <v>1104.07</v>
      </c>
      <c r="Q125" s="33">
        <v>12.4</v>
      </c>
      <c r="R125" s="33">
        <v>50.16</v>
      </c>
      <c r="S125" s="33">
        <v>50</v>
      </c>
      <c r="T125" s="33">
        <v>-0.16</v>
      </c>
      <c r="U125" s="38">
        <v>0</v>
      </c>
      <c r="V125" s="33">
        <v>767.68</v>
      </c>
    </row>
    <row r="126" spans="1:22" ht="16.8" x14ac:dyDescent="0.3">
      <c r="A126" s="20">
        <v>12.5</v>
      </c>
      <c r="B126" s="20">
        <v>50</v>
      </c>
      <c r="C126" s="20">
        <v>50.31</v>
      </c>
      <c r="D126" s="20">
        <v>-0.31</v>
      </c>
      <c r="E126" s="20">
        <v>-0.02</v>
      </c>
      <c r="F126" s="20">
        <v>1022.08</v>
      </c>
      <c r="Q126" s="33">
        <v>12.5</v>
      </c>
      <c r="R126" s="33">
        <v>50.17</v>
      </c>
      <c r="S126" s="38">
        <v>50</v>
      </c>
      <c r="T126" s="38">
        <v>-0.17</v>
      </c>
      <c r="U126" s="38">
        <v>-0.01</v>
      </c>
      <c r="V126" s="33">
        <v>765.93</v>
      </c>
    </row>
    <row r="127" spans="1:22" ht="16.8" x14ac:dyDescent="0.3">
      <c r="A127" s="20">
        <v>12.6</v>
      </c>
      <c r="B127" s="20">
        <v>50</v>
      </c>
      <c r="C127" s="20">
        <v>50.29</v>
      </c>
      <c r="D127" s="20">
        <v>-0.28999999999999998</v>
      </c>
      <c r="E127" s="20">
        <v>0.02</v>
      </c>
      <c r="F127" s="20">
        <v>1081.33</v>
      </c>
      <c r="Q127" s="33">
        <v>12.6</v>
      </c>
      <c r="R127" s="33">
        <v>50.17</v>
      </c>
      <c r="S127" s="33">
        <v>50</v>
      </c>
      <c r="T127" s="33">
        <v>-0.17</v>
      </c>
      <c r="U127" s="38">
        <v>0</v>
      </c>
      <c r="V127" s="33">
        <v>765.74</v>
      </c>
    </row>
    <row r="128" spans="1:22" ht="16.8" x14ac:dyDescent="0.3">
      <c r="A128" s="20">
        <v>12.7</v>
      </c>
      <c r="B128" s="20">
        <v>50</v>
      </c>
      <c r="C128" s="20">
        <v>50.27</v>
      </c>
      <c r="D128" s="20">
        <v>-0.27</v>
      </c>
      <c r="E128" s="20">
        <v>0.02</v>
      </c>
      <c r="F128" s="20">
        <v>1077.6500000000001</v>
      </c>
      <c r="Q128" s="33">
        <v>12.7</v>
      </c>
      <c r="R128" s="33">
        <v>50.2</v>
      </c>
      <c r="S128" s="38">
        <v>50</v>
      </c>
      <c r="T128" s="33">
        <v>-0.2</v>
      </c>
      <c r="U128" s="33">
        <v>-0.03</v>
      </c>
      <c r="V128" s="33">
        <v>759.74</v>
      </c>
    </row>
    <row r="129" spans="1:22" ht="16.8" x14ac:dyDescent="0.3">
      <c r="A129" s="20">
        <v>12.8</v>
      </c>
      <c r="B129" s="20">
        <v>50</v>
      </c>
      <c r="C129" s="20">
        <v>50.27</v>
      </c>
      <c r="D129" s="20">
        <v>-0.27</v>
      </c>
      <c r="E129" s="20">
        <v>0</v>
      </c>
      <c r="F129" s="20">
        <v>1034.3</v>
      </c>
      <c r="Q129" s="33">
        <v>12.8</v>
      </c>
      <c r="R129" s="33">
        <v>50.21</v>
      </c>
      <c r="S129" s="33">
        <v>50</v>
      </c>
      <c r="T129" s="38">
        <v>-0.21</v>
      </c>
      <c r="U129" s="38">
        <v>-0.01</v>
      </c>
      <c r="V129" s="33">
        <v>758.56</v>
      </c>
    </row>
    <row r="130" spans="1:22" ht="16.8" x14ac:dyDescent="0.3">
      <c r="A130" s="20">
        <v>12.9</v>
      </c>
      <c r="B130" s="20">
        <v>50</v>
      </c>
      <c r="C130" s="20">
        <v>50.25</v>
      </c>
      <c r="D130" s="20">
        <v>-0.25</v>
      </c>
      <c r="E130" s="20">
        <v>0.02</v>
      </c>
      <c r="F130" s="20">
        <v>1073.08</v>
      </c>
      <c r="Q130" s="33">
        <v>12.9</v>
      </c>
      <c r="R130" s="33">
        <v>50.17</v>
      </c>
      <c r="S130" s="38">
        <v>50</v>
      </c>
      <c r="T130" s="33">
        <v>-0.17</v>
      </c>
      <c r="U130" s="33">
        <v>0.04</v>
      </c>
      <c r="V130" s="33">
        <v>765.33</v>
      </c>
    </row>
    <row r="131" spans="1:22" ht="16.8" x14ac:dyDescent="0.3">
      <c r="A131" s="20">
        <v>13</v>
      </c>
      <c r="B131" s="20">
        <v>50</v>
      </c>
      <c r="C131" s="20">
        <v>50.25</v>
      </c>
      <c r="D131" s="20">
        <v>-0.25</v>
      </c>
      <c r="E131" s="20">
        <v>0.01</v>
      </c>
      <c r="F131" s="20">
        <v>1058.22</v>
      </c>
      <c r="Q131" s="33">
        <v>13</v>
      </c>
      <c r="R131" s="33">
        <v>50.18</v>
      </c>
      <c r="S131" s="33">
        <v>50</v>
      </c>
      <c r="T131" s="38">
        <v>-0.18</v>
      </c>
      <c r="U131" s="38">
        <v>-0.02</v>
      </c>
      <c r="V131" s="33">
        <v>761.35</v>
      </c>
    </row>
    <row r="132" spans="1:22" ht="16.8" x14ac:dyDescent="0.3">
      <c r="A132" s="20">
        <v>13.1</v>
      </c>
      <c r="B132" s="20">
        <v>50</v>
      </c>
      <c r="C132" s="20">
        <v>50.27</v>
      </c>
      <c r="D132" s="20">
        <v>-0.27</v>
      </c>
      <c r="E132" s="20">
        <v>-0.02</v>
      </c>
      <c r="F132" s="20">
        <v>1035.3599999999999</v>
      </c>
      <c r="Q132" s="33">
        <v>13.1</v>
      </c>
      <c r="R132" s="33">
        <v>50.25</v>
      </c>
      <c r="S132" s="33">
        <v>50</v>
      </c>
      <c r="T132" s="33">
        <v>-0.25</v>
      </c>
      <c r="U132" s="33">
        <v>-0.06</v>
      </c>
      <c r="V132" s="33">
        <v>750</v>
      </c>
    </row>
    <row r="133" spans="1:22" ht="16.8" x14ac:dyDescent="0.3">
      <c r="A133" s="20">
        <v>13.2</v>
      </c>
      <c r="B133" s="20">
        <v>50</v>
      </c>
      <c r="C133" s="20">
        <v>50.2</v>
      </c>
      <c r="D133" s="20">
        <v>-0.2</v>
      </c>
      <c r="E133" s="20">
        <v>7.0000000000000007E-2</v>
      </c>
      <c r="F133" s="20">
        <v>1174.77</v>
      </c>
      <c r="Q133" s="33">
        <v>13.2</v>
      </c>
      <c r="R133" s="33">
        <v>50.22</v>
      </c>
      <c r="S133" s="38">
        <v>50</v>
      </c>
      <c r="T133" s="38">
        <v>-0.22</v>
      </c>
      <c r="U133" s="38">
        <v>0.03</v>
      </c>
      <c r="V133" s="33">
        <v>756.41</v>
      </c>
    </row>
    <row r="134" spans="1:22" ht="16.8" x14ac:dyDescent="0.3">
      <c r="A134" s="20">
        <v>13.3</v>
      </c>
      <c r="B134" s="20">
        <v>50</v>
      </c>
      <c r="C134" s="20">
        <v>50.19</v>
      </c>
      <c r="D134" s="20">
        <v>-0.19</v>
      </c>
      <c r="E134" s="20">
        <v>0</v>
      </c>
      <c r="F134" s="20">
        <v>1062.19</v>
      </c>
      <c r="Q134" s="33">
        <v>13.3</v>
      </c>
      <c r="R134" s="33">
        <v>50.17</v>
      </c>
      <c r="S134" s="33">
        <v>50</v>
      </c>
      <c r="T134" s="33">
        <v>-0.17</v>
      </c>
      <c r="U134" s="33">
        <v>0.05</v>
      </c>
      <c r="V134" s="33">
        <v>763.77</v>
      </c>
    </row>
    <row r="135" spans="1:22" ht="16.8" x14ac:dyDescent="0.3">
      <c r="A135" s="20">
        <v>13.4</v>
      </c>
      <c r="B135" s="20">
        <v>50</v>
      </c>
      <c r="C135" s="20">
        <v>50.2</v>
      </c>
      <c r="D135" s="20">
        <v>-0.2</v>
      </c>
      <c r="E135" s="20">
        <v>0</v>
      </c>
      <c r="F135" s="20">
        <v>1052.68</v>
      </c>
      <c r="Q135" s="33">
        <v>13.4</v>
      </c>
      <c r="R135" s="33">
        <v>50.26</v>
      </c>
      <c r="S135" s="38">
        <v>50</v>
      </c>
      <c r="T135" s="38">
        <v>-0.26</v>
      </c>
      <c r="U135" s="38">
        <v>-0.09</v>
      </c>
      <c r="V135" s="33">
        <v>746.94</v>
      </c>
    </row>
    <row r="136" spans="1:22" ht="16.8" x14ac:dyDescent="0.3">
      <c r="A136" s="20">
        <v>13.5</v>
      </c>
      <c r="B136" s="20">
        <v>50</v>
      </c>
      <c r="C136" s="20">
        <v>50.18</v>
      </c>
      <c r="D136" s="20">
        <v>-0.18</v>
      </c>
      <c r="E136" s="20">
        <v>0.02</v>
      </c>
      <c r="F136" s="20">
        <v>1089.28</v>
      </c>
      <c r="Q136" s="33">
        <v>13.5</v>
      </c>
      <c r="R136" s="33">
        <v>50.19</v>
      </c>
      <c r="S136" s="33">
        <v>50</v>
      </c>
      <c r="T136" s="33">
        <v>-0.19</v>
      </c>
      <c r="U136" s="33">
        <v>0.06</v>
      </c>
      <c r="V136" s="33">
        <v>759.45</v>
      </c>
    </row>
    <row r="137" spans="1:22" ht="16.8" x14ac:dyDescent="0.3">
      <c r="A137" s="20">
        <v>13.6</v>
      </c>
      <c r="B137" s="20">
        <v>50</v>
      </c>
      <c r="C137" s="20">
        <v>50.2</v>
      </c>
      <c r="D137" s="20">
        <v>-0.2</v>
      </c>
      <c r="E137" s="20">
        <v>-0.02</v>
      </c>
      <c r="F137" s="20">
        <v>1051.7</v>
      </c>
      <c r="Q137" s="33">
        <v>13.6</v>
      </c>
      <c r="R137" s="33">
        <v>50.22</v>
      </c>
      <c r="S137" s="38">
        <v>50</v>
      </c>
      <c r="T137" s="38">
        <v>-0.22</v>
      </c>
      <c r="U137" s="38">
        <v>-0.03</v>
      </c>
      <c r="V137" s="33">
        <v>752.12</v>
      </c>
    </row>
    <row r="138" spans="1:22" ht="16.8" x14ac:dyDescent="0.3">
      <c r="A138" s="20">
        <v>13.7</v>
      </c>
      <c r="B138" s="20">
        <v>50</v>
      </c>
      <c r="C138" s="20">
        <v>50.2</v>
      </c>
      <c r="D138" s="20">
        <v>-0.2</v>
      </c>
      <c r="E138" s="20">
        <v>0</v>
      </c>
      <c r="F138" s="20">
        <v>1050.71</v>
      </c>
      <c r="Q138" s="33">
        <v>13.7</v>
      </c>
      <c r="R138" s="33">
        <v>50.18</v>
      </c>
      <c r="S138" s="33">
        <v>50</v>
      </c>
      <c r="T138" s="33">
        <v>-0.18</v>
      </c>
      <c r="U138" s="38">
        <v>0.05</v>
      </c>
      <c r="V138" s="33">
        <v>760.75</v>
      </c>
    </row>
    <row r="139" spans="1:22" ht="16.8" x14ac:dyDescent="0.3">
      <c r="A139" s="20">
        <v>13.8</v>
      </c>
      <c r="B139" s="20">
        <v>50</v>
      </c>
      <c r="C139" s="20">
        <v>50.18</v>
      </c>
      <c r="D139" s="20">
        <v>-0.18</v>
      </c>
      <c r="E139" s="20">
        <v>0.02</v>
      </c>
      <c r="F139" s="20">
        <v>1096.17</v>
      </c>
      <c r="Q139" s="33">
        <v>13.8</v>
      </c>
      <c r="R139" s="33">
        <v>50.25</v>
      </c>
      <c r="S139" s="38">
        <v>50</v>
      </c>
      <c r="T139" s="33">
        <v>-0.25</v>
      </c>
      <c r="U139" s="38">
        <v>-7.0000000000000007E-2</v>
      </c>
      <c r="V139" s="33">
        <v>746.72</v>
      </c>
    </row>
    <row r="140" spans="1:22" ht="16.8" x14ac:dyDescent="0.3">
      <c r="A140" s="20">
        <v>13.9</v>
      </c>
      <c r="B140" s="20">
        <v>50</v>
      </c>
      <c r="C140" s="20">
        <v>50.14</v>
      </c>
      <c r="D140" s="20">
        <v>-0.14000000000000001</v>
      </c>
      <c r="E140" s="20">
        <v>0.04</v>
      </c>
      <c r="F140" s="20">
        <v>1140.27</v>
      </c>
      <c r="Q140" s="33">
        <v>13.9</v>
      </c>
      <c r="R140" s="33">
        <v>50.25</v>
      </c>
      <c r="S140" s="33">
        <v>50</v>
      </c>
      <c r="T140" s="38">
        <v>-0.25</v>
      </c>
      <c r="U140" s="33">
        <v>0</v>
      </c>
      <c r="V140" s="33">
        <v>747.65</v>
      </c>
    </row>
    <row r="141" spans="1:22" ht="16.8" x14ac:dyDescent="0.3">
      <c r="A141" s="20">
        <v>14</v>
      </c>
      <c r="B141" s="20">
        <v>50</v>
      </c>
      <c r="C141" s="20">
        <v>50.17</v>
      </c>
      <c r="D141" s="20">
        <v>-0.17</v>
      </c>
      <c r="E141" s="20">
        <v>-0.02</v>
      </c>
      <c r="F141" s="20">
        <v>1059.49</v>
      </c>
      <c r="Q141" s="33">
        <v>14</v>
      </c>
      <c r="R141" s="33">
        <v>50.22</v>
      </c>
      <c r="S141" s="33">
        <v>50</v>
      </c>
      <c r="T141" s="38">
        <v>-0.22</v>
      </c>
      <c r="U141" s="38">
        <v>0.03</v>
      </c>
      <c r="V141" s="33">
        <v>752.77</v>
      </c>
    </row>
    <row r="142" spans="1:22" ht="16.8" x14ac:dyDescent="0.3">
      <c r="A142" s="20">
        <v>14.1</v>
      </c>
      <c r="B142" s="20">
        <v>50</v>
      </c>
      <c r="C142" s="20">
        <v>50.15</v>
      </c>
      <c r="D142" s="20">
        <v>-0.15</v>
      </c>
      <c r="E142" s="20">
        <v>0.02</v>
      </c>
      <c r="F142" s="20">
        <v>1095.52</v>
      </c>
      <c r="Q142" s="33">
        <v>14.1</v>
      </c>
      <c r="R142" s="33">
        <v>50.22</v>
      </c>
      <c r="S142" s="38">
        <v>50</v>
      </c>
      <c r="T142" s="33">
        <v>-0.22</v>
      </c>
      <c r="U142" s="33">
        <v>-0.01</v>
      </c>
      <c r="V142" s="33">
        <v>750.26</v>
      </c>
    </row>
    <row r="143" spans="1:22" ht="16.8" x14ac:dyDescent="0.3">
      <c r="A143" s="20">
        <v>14.2</v>
      </c>
      <c r="B143" s="20">
        <v>50</v>
      </c>
      <c r="C143" s="20">
        <v>50.13</v>
      </c>
      <c r="D143" s="20">
        <v>-0.13</v>
      </c>
      <c r="E143" s="20">
        <v>0.02</v>
      </c>
      <c r="F143" s="20">
        <v>1107.51</v>
      </c>
      <c r="Q143" s="33">
        <v>14.2</v>
      </c>
      <c r="R143" s="33">
        <v>50.22</v>
      </c>
      <c r="S143" s="33">
        <v>50</v>
      </c>
      <c r="T143" s="38">
        <v>-0.22</v>
      </c>
      <c r="U143" s="38">
        <v>0.01</v>
      </c>
      <c r="V143" s="33">
        <v>751.35</v>
      </c>
    </row>
    <row r="144" spans="1:22" ht="16.8" x14ac:dyDescent="0.3">
      <c r="A144" s="20">
        <v>14.3</v>
      </c>
      <c r="B144" s="20">
        <v>50</v>
      </c>
      <c r="C144" s="20">
        <v>50.12</v>
      </c>
      <c r="D144" s="20">
        <v>-0.12</v>
      </c>
      <c r="E144" s="20">
        <v>0.01</v>
      </c>
      <c r="F144" s="20">
        <v>1086.3</v>
      </c>
      <c r="Q144" s="33">
        <v>14.3</v>
      </c>
      <c r="R144" s="33">
        <v>50.23</v>
      </c>
      <c r="S144" s="38">
        <v>50</v>
      </c>
      <c r="T144" s="33">
        <v>-0.23</v>
      </c>
      <c r="U144" s="33">
        <v>-0.02</v>
      </c>
      <c r="V144" s="33">
        <v>747.92</v>
      </c>
    </row>
    <row r="145" spans="1:22" ht="16.8" x14ac:dyDescent="0.3">
      <c r="A145" s="20">
        <v>14.4</v>
      </c>
      <c r="B145" s="20">
        <v>50</v>
      </c>
      <c r="C145" s="20">
        <v>50.15</v>
      </c>
      <c r="D145" s="20">
        <v>-0.15</v>
      </c>
      <c r="E145" s="20">
        <v>-0.02</v>
      </c>
      <c r="F145" s="20">
        <v>1064.28</v>
      </c>
      <c r="Q145" s="33">
        <v>14.4</v>
      </c>
      <c r="R145" s="33">
        <v>50.24</v>
      </c>
      <c r="S145" s="33">
        <v>50</v>
      </c>
      <c r="T145" s="33">
        <v>-0.24</v>
      </c>
      <c r="U145" s="38">
        <v>-0.01</v>
      </c>
      <c r="V145" s="33">
        <v>746.34</v>
      </c>
    </row>
    <row r="146" spans="1:22" ht="16.8" x14ac:dyDescent="0.3">
      <c r="A146" s="20">
        <v>14.5</v>
      </c>
      <c r="B146" s="20">
        <v>50</v>
      </c>
      <c r="C146" s="20">
        <v>50.12</v>
      </c>
      <c r="D146" s="20">
        <v>-0.12</v>
      </c>
      <c r="E146" s="20">
        <v>0.03</v>
      </c>
      <c r="F146" s="20">
        <v>1124.6500000000001</v>
      </c>
      <c r="Q146" s="33">
        <v>14.5</v>
      </c>
      <c r="R146" s="33">
        <v>50.25</v>
      </c>
      <c r="S146" s="38">
        <v>50</v>
      </c>
      <c r="T146" s="38">
        <v>-0.25</v>
      </c>
      <c r="U146" s="33">
        <v>-0.01</v>
      </c>
      <c r="V146" s="33">
        <v>744.58</v>
      </c>
    </row>
    <row r="147" spans="1:22" ht="16.8" x14ac:dyDescent="0.3">
      <c r="A147" s="20">
        <v>14.6</v>
      </c>
      <c r="B147" s="20">
        <v>50</v>
      </c>
      <c r="C147" s="20">
        <v>50.13</v>
      </c>
      <c r="D147" s="20">
        <v>-0.13</v>
      </c>
      <c r="E147" s="20">
        <v>-0.01</v>
      </c>
      <c r="F147" s="20">
        <v>1069.06</v>
      </c>
      <c r="Q147" s="33">
        <v>14.6</v>
      </c>
      <c r="R147" s="33">
        <v>50.33</v>
      </c>
      <c r="S147" s="33">
        <v>50</v>
      </c>
      <c r="T147" s="33">
        <v>-0.33</v>
      </c>
      <c r="U147" s="38">
        <v>-0.08</v>
      </c>
      <c r="V147" s="33">
        <v>730.12</v>
      </c>
    </row>
    <row r="148" spans="1:22" ht="16.8" x14ac:dyDescent="0.3">
      <c r="A148" s="20">
        <v>14.7</v>
      </c>
      <c r="B148" s="20">
        <v>50</v>
      </c>
      <c r="C148" s="20">
        <v>50.12</v>
      </c>
      <c r="D148" s="20">
        <v>-0.12</v>
      </c>
      <c r="E148" s="20">
        <v>0</v>
      </c>
      <c r="F148" s="20">
        <v>1078.25</v>
      </c>
      <c r="Q148" s="33">
        <v>14.7</v>
      </c>
      <c r="R148" s="33">
        <v>50.26</v>
      </c>
      <c r="S148" s="38">
        <v>50</v>
      </c>
      <c r="T148" s="38">
        <v>-0.26</v>
      </c>
      <c r="U148" s="33">
        <v>7.0000000000000007E-2</v>
      </c>
      <c r="V148" s="33">
        <v>743.73</v>
      </c>
    </row>
    <row r="149" spans="1:22" ht="16.8" x14ac:dyDescent="0.3">
      <c r="A149" s="20">
        <v>14.8</v>
      </c>
      <c r="B149" s="20">
        <v>50</v>
      </c>
      <c r="C149" s="20">
        <v>50.09</v>
      </c>
      <c r="D149" s="20">
        <v>-0.09</v>
      </c>
      <c r="E149" s="20">
        <v>0.03</v>
      </c>
      <c r="F149" s="20">
        <v>1137.6400000000001</v>
      </c>
      <c r="Q149" s="33">
        <v>14.8</v>
      </c>
      <c r="R149" s="33">
        <v>50.28</v>
      </c>
      <c r="S149" s="33">
        <v>50</v>
      </c>
      <c r="T149" s="33">
        <v>-0.28000000000000003</v>
      </c>
      <c r="U149" s="33">
        <v>-0.02</v>
      </c>
      <c r="V149" s="33">
        <v>737.51</v>
      </c>
    </row>
    <row r="150" spans="1:22" ht="16.8" x14ac:dyDescent="0.3">
      <c r="A150" s="20">
        <v>14.9</v>
      </c>
      <c r="B150" s="20">
        <v>50</v>
      </c>
      <c r="C150" s="20">
        <v>50.1</v>
      </c>
      <c r="D150" s="20">
        <v>-0.1</v>
      </c>
      <c r="E150" s="20">
        <v>0</v>
      </c>
      <c r="F150" s="20">
        <v>1076.67</v>
      </c>
      <c r="Q150" s="33">
        <v>14.9</v>
      </c>
      <c r="R150" s="33">
        <v>50.31</v>
      </c>
      <c r="S150" s="38">
        <v>50</v>
      </c>
      <c r="T150" s="38">
        <v>-0.31</v>
      </c>
      <c r="U150" s="38">
        <v>-0.03</v>
      </c>
      <c r="V150" s="33">
        <v>731.76</v>
      </c>
    </row>
    <row r="151" spans="1:22" ht="16.8" x14ac:dyDescent="0.3">
      <c r="A151" s="20">
        <v>15</v>
      </c>
      <c r="B151" s="20">
        <v>50</v>
      </c>
      <c r="C151" s="20">
        <v>50.11</v>
      </c>
      <c r="D151" s="20">
        <v>-0.11</v>
      </c>
      <c r="E151" s="20">
        <v>-0.01</v>
      </c>
      <c r="F151" s="20">
        <v>1073.82</v>
      </c>
      <c r="Q151" s="33">
        <v>15</v>
      </c>
      <c r="R151" s="33">
        <v>50.27</v>
      </c>
      <c r="S151" s="33">
        <v>50</v>
      </c>
      <c r="T151" s="33">
        <v>-0.27</v>
      </c>
      <c r="U151" s="33">
        <v>0.05</v>
      </c>
      <c r="V151" s="33">
        <v>740.21</v>
      </c>
    </row>
    <row r="152" spans="1:22" ht="16.8" x14ac:dyDescent="0.3">
      <c r="A152" s="20">
        <v>15.1</v>
      </c>
      <c r="B152" s="20">
        <v>50</v>
      </c>
      <c r="C152" s="20">
        <v>50.07</v>
      </c>
      <c r="D152" s="20">
        <v>-7.0000000000000007E-2</v>
      </c>
      <c r="E152" s="20">
        <v>0.04</v>
      </c>
      <c r="F152" s="20">
        <v>1156.24</v>
      </c>
      <c r="Q152" s="33">
        <v>15.1</v>
      </c>
      <c r="R152" s="33">
        <v>50.27</v>
      </c>
      <c r="S152" s="38">
        <v>50</v>
      </c>
      <c r="T152" s="38">
        <v>-0.27</v>
      </c>
      <c r="U152" s="38">
        <v>-0.01</v>
      </c>
      <c r="V152" s="33">
        <v>737.27</v>
      </c>
    </row>
    <row r="153" spans="1:22" ht="16.8" x14ac:dyDescent="0.3">
      <c r="A153" s="20">
        <v>15.2</v>
      </c>
      <c r="B153" s="20">
        <v>50</v>
      </c>
      <c r="C153" s="20">
        <v>50.06</v>
      </c>
      <c r="D153" s="20">
        <v>-0.06</v>
      </c>
      <c r="E153" s="20">
        <v>0.01</v>
      </c>
      <c r="F153" s="20">
        <v>1109.8499999999999</v>
      </c>
      <c r="Q153" s="33">
        <v>15.2</v>
      </c>
      <c r="R153" s="33">
        <v>50.29</v>
      </c>
      <c r="S153" s="33">
        <v>50</v>
      </c>
      <c r="T153" s="33">
        <v>-0.28999999999999998</v>
      </c>
      <c r="U153" s="38">
        <v>-0.02</v>
      </c>
      <c r="V153" s="33">
        <v>734.04</v>
      </c>
    </row>
    <row r="154" spans="1:22" ht="16.8" x14ac:dyDescent="0.3">
      <c r="A154" s="20">
        <v>15.3</v>
      </c>
      <c r="B154" s="20">
        <v>50</v>
      </c>
      <c r="C154" s="20">
        <v>50.08</v>
      </c>
      <c r="D154" s="20">
        <v>-0.08</v>
      </c>
      <c r="E154" s="20">
        <v>-0.02</v>
      </c>
      <c r="F154" s="20">
        <v>1081.47</v>
      </c>
      <c r="Q154" s="33">
        <v>15.3</v>
      </c>
      <c r="R154" s="33">
        <v>50.28</v>
      </c>
      <c r="S154" s="33">
        <v>50</v>
      </c>
      <c r="T154" s="38">
        <v>-0.28000000000000003</v>
      </c>
      <c r="U154" s="38">
        <v>0.01</v>
      </c>
      <c r="V154" s="33">
        <v>735.17</v>
      </c>
    </row>
    <row r="155" spans="1:22" ht="16.8" x14ac:dyDescent="0.3">
      <c r="A155" s="20">
        <v>15.4</v>
      </c>
      <c r="B155" s="20">
        <v>50</v>
      </c>
      <c r="C155" s="20">
        <v>50.09</v>
      </c>
      <c r="D155" s="20">
        <v>-0.09</v>
      </c>
      <c r="E155" s="20">
        <v>-0.01</v>
      </c>
      <c r="F155" s="20">
        <v>1078.5999999999999</v>
      </c>
      <c r="Q155" s="33">
        <v>15.4</v>
      </c>
      <c r="R155" s="33">
        <v>50.21</v>
      </c>
      <c r="S155" s="38">
        <v>50</v>
      </c>
      <c r="T155" s="33">
        <v>-0.21</v>
      </c>
      <c r="U155" s="38">
        <v>7.0000000000000007E-2</v>
      </c>
      <c r="V155" s="33">
        <v>747.11</v>
      </c>
    </row>
    <row r="156" spans="1:22" ht="16.8" x14ac:dyDescent="0.3">
      <c r="A156" s="20">
        <v>15.5</v>
      </c>
      <c r="B156" s="20">
        <v>50</v>
      </c>
      <c r="C156" s="20">
        <v>50.08</v>
      </c>
      <c r="D156" s="20">
        <v>-0.08</v>
      </c>
      <c r="E156" s="20">
        <v>0.01</v>
      </c>
      <c r="F156" s="20">
        <v>1096.49</v>
      </c>
      <c r="Q156" s="33">
        <v>15.5</v>
      </c>
      <c r="R156" s="33">
        <v>50.31</v>
      </c>
      <c r="S156" s="33">
        <v>50</v>
      </c>
      <c r="T156" s="38">
        <v>-0.31</v>
      </c>
      <c r="U156" s="38">
        <v>-0.1</v>
      </c>
      <c r="V156" s="33">
        <v>728.3</v>
      </c>
    </row>
    <row r="157" spans="1:22" ht="16.8" x14ac:dyDescent="0.3">
      <c r="A157" s="20">
        <v>15.6</v>
      </c>
      <c r="B157" s="20">
        <v>50</v>
      </c>
      <c r="C157" s="20">
        <v>50.06</v>
      </c>
      <c r="D157" s="20">
        <v>-0.06</v>
      </c>
      <c r="E157" s="20">
        <v>0.02</v>
      </c>
      <c r="F157" s="20">
        <v>1123.7</v>
      </c>
      <c r="Q157" s="33">
        <v>15.6</v>
      </c>
      <c r="R157" s="33">
        <v>50.23</v>
      </c>
      <c r="S157" s="38">
        <v>50</v>
      </c>
      <c r="T157" s="33">
        <v>-0.23</v>
      </c>
      <c r="U157" s="38">
        <v>7.0000000000000007E-2</v>
      </c>
      <c r="V157" s="33">
        <v>742.28</v>
      </c>
    </row>
    <row r="158" spans="1:22" ht="16.8" x14ac:dyDescent="0.3">
      <c r="A158" s="20">
        <v>15.7</v>
      </c>
      <c r="B158" s="20">
        <v>50</v>
      </c>
      <c r="C158" s="20">
        <v>50.04</v>
      </c>
      <c r="D158" s="20">
        <v>-0.04</v>
      </c>
      <c r="E158" s="20">
        <v>0.02</v>
      </c>
      <c r="F158" s="20">
        <v>1136.54</v>
      </c>
      <c r="Q158" s="33">
        <v>15.7</v>
      </c>
      <c r="R158" s="33">
        <v>50.27</v>
      </c>
      <c r="S158" s="33">
        <v>50</v>
      </c>
      <c r="T158" s="33">
        <v>-0.27</v>
      </c>
      <c r="U158" s="38">
        <v>-0.03</v>
      </c>
      <c r="V158" s="33">
        <v>734.7</v>
      </c>
    </row>
    <row r="159" spans="1:22" ht="16.8" x14ac:dyDescent="0.3">
      <c r="A159" s="20">
        <v>15.8</v>
      </c>
      <c r="B159" s="20">
        <v>50</v>
      </c>
      <c r="C159" s="20">
        <v>50.06</v>
      </c>
      <c r="D159" s="20">
        <v>-0.06</v>
      </c>
      <c r="E159" s="20">
        <v>-0.03</v>
      </c>
      <c r="F159" s="20">
        <v>1084.3499999999999</v>
      </c>
      <c r="Q159" s="33">
        <v>15.8</v>
      </c>
      <c r="R159" s="33">
        <v>50.31</v>
      </c>
      <c r="S159" s="38">
        <v>50</v>
      </c>
      <c r="T159" s="38">
        <v>-0.31</v>
      </c>
      <c r="U159" s="33">
        <v>-0.04</v>
      </c>
      <c r="V159" s="33">
        <v>727.74</v>
      </c>
    </row>
    <row r="160" spans="1:22" ht="16.8" x14ac:dyDescent="0.3">
      <c r="A160" s="20">
        <v>15.9</v>
      </c>
      <c r="B160" s="20">
        <v>50</v>
      </c>
      <c r="C160" s="20">
        <v>50.04</v>
      </c>
      <c r="D160" s="20">
        <v>-0.04</v>
      </c>
      <c r="E160" s="20">
        <v>0.03</v>
      </c>
      <c r="F160" s="20">
        <v>1143.53</v>
      </c>
      <c r="Q160" s="33">
        <v>15.9</v>
      </c>
      <c r="R160" s="33">
        <v>50.31</v>
      </c>
      <c r="S160" s="33">
        <v>50</v>
      </c>
      <c r="T160" s="33">
        <v>-0.31</v>
      </c>
      <c r="U160" s="38">
        <v>-0.01</v>
      </c>
      <c r="V160" s="33">
        <v>726.49</v>
      </c>
    </row>
    <row r="161" spans="1:22" ht="16.8" x14ac:dyDescent="0.3">
      <c r="A161" s="20">
        <v>16</v>
      </c>
      <c r="B161" s="20">
        <v>50</v>
      </c>
      <c r="C161" s="20">
        <v>50.03</v>
      </c>
      <c r="D161" s="20">
        <v>-0.03</v>
      </c>
      <c r="E161" s="20">
        <v>0.01</v>
      </c>
      <c r="F161" s="20">
        <v>1108.93</v>
      </c>
      <c r="Q161" s="33">
        <v>16</v>
      </c>
      <c r="R161" s="33">
        <v>50.31</v>
      </c>
      <c r="S161" s="38">
        <v>50</v>
      </c>
      <c r="T161" s="38">
        <v>-0.31</v>
      </c>
      <c r="U161" s="38">
        <v>0</v>
      </c>
      <c r="V161" s="33">
        <v>725.99</v>
      </c>
    </row>
    <row r="162" spans="1:22" ht="16.8" x14ac:dyDescent="0.3">
      <c r="A162" s="20">
        <v>16.100000000000001</v>
      </c>
      <c r="B162" s="20">
        <v>50</v>
      </c>
      <c r="C162" s="20">
        <v>50.03</v>
      </c>
      <c r="D162" s="20">
        <v>-0.03</v>
      </c>
      <c r="E162" s="20">
        <v>0</v>
      </c>
      <c r="F162" s="20">
        <v>1092.1600000000001</v>
      </c>
      <c r="Q162" s="33">
        <v>16.100000000000001</v>
      </c>
      <c r="R162" s="33">
        <v>50.27</v>
      </c>
      <c r="S162" s="33">
        <v>50</v>
      </c>
      <c r="T162" s="33">
        <v>-0.27</v>
      </c>
      <c r="U162" s="33">
        <v>0.04</v>
      </c>
      <c r="V162" s="33">
        <v>732.39</v>
      </c>
    </row>
    <row r="163" spans="1:22" ht="16.8" x14ac:dyDescent="0.3">
      <c r="A163" s="20">
        <v>16.2</v>
      </c>
      <c r="B163" s="20">
        <v>50</v>
      </c>
      <c r="C163" s="20">
        <v>50.02</v>
      </c>
      <c r="D163" s="20">
        <v>-0.02</v>
      </c>
      <c r="E163" s="20">
        <v>0.01</v>
      </c>
      <c r="F163" s="20">
        <v>1118.51</v>
      </c>
      <c r="Q163" s="33">
        <v>16.2</v>
      </c>
      <c r="R163" s="33">
        <v>50.3</v>
      </c>
      <c r="S163" s="33">
        <v>50</v>
      </c>
      <c r="T163" s="38">
        <v>-0.3</v>
      </c>
      <c r="U163" s="38">
        <v>-0.02</v>
      </c>
      <c r="V163" s="33">
        <v>726.78</v>
      </c>
    </row>
    <row r="164" spans="1:22" ht="16.8" x14ac:dyDescent="0.3">
      <c r="A164" s="20">
        <v>16.3</v>
      </c>
      <c r="B164" s="20">
        <v>50</v>
      </c>
      <c r="C164" s="20">
        <v>50.04</v>
      </c>
      <c r="D164" s="20">
        <v>-0.04</v>
      </c>
      <c r="E164" s="20">
        <v>-0.02</v>
      </c>
      <c r="F164" s="20">
        <v>1089.22</v>
      </c>
      <c r="Q164" s="33">
        <v>16.3</v>
      </c>
      <c r="R164" s="33">
        <v>50.31</v>
      </c>
      <c r="S164" s="38">
        <v>50</v>
      </c>
      <c r="T164" s="33">
        <v>-0.31</v>
      </c>
      <c r="U164" s="33">
        <v>-0.02</v>
      </c>
      <c r="V164" s="33">
        <v>723.81</v>
      </c>
    </row>
    <row r="165" spans="1:22" ht="16.8" x14ac:dyDescent="0.3">
      <c r="A165" s="20">
        <v>16.399999999999999</v>
      </c>
      <c r="B165" s="20">
        <v>50</v>
      </c>
      <c r="C165" s="20">
        <v>50.04</v>
      </c>
      <c r="D165" s="20">
        <v>-0.04</v>
      </c>
      <c r="E165" s="20">
        <v>0</v>
      </c>
      <c r="F165" s="20">
        <v>1089.22</v>
      </c>
      <c r="Q165" s="33">
        <v>16.399999999999999</v>
      </c>
      <c r="R165" s="33">
        <v>50.29</v>
      </c>
      <c r="S165" s="33">
        <v>50</v>
      </c>
      <c r="T165" s="38">
        <v>-0.28999999999999998</v>
      </c>
      <c r="U165" s="38">
        <v>0.02</v>
      </c>
      <c r="V165" s="33">
        <v>727.71</v>
      </c>
    </row>
    <row r="166" spans="1:22" ht="16.8" x14ac:dyDescent="0.3">
      <c r="A166" s="20">
        <v>16.5</v>
      </c>
      <c r="B166" s="20">
        <v>50</v>
      </c>
      <c r="C166" s="20">
        <v>50.06</v>
      </c>
      <c r="D166" s="20">
        <v>-0.06</v>
      </c>
      <c r="E166" s="20">
        <v>-0.01</v>
      </c>
      <c r="F166" s="20">
        <v>1086.28</v>
      </c>
      <c r="Q166" s="33">
        <v>16.5</v>
      </c>
      <c r="R166" s="33">
        <v>50.23</v>
      </c>
      <c r="S166" s="38">
        <v>50</v>
      </c>
      <c r="T166" s="33">
        <v>-0.23</v>
      </c>
      <c r="U166" s="33">
        <v>0.06</v>
      </c>
      <c r="V166" s="33">
        <v>736.49</v>
      </c>
    </row>
    <row r="167" spans="1:22" ht="16.8" x14ac:dyDescent="0.3">
      <c r="A167" s="20">
        <v>16.600000000000001</v>
      </c>
      <c r="B167" s="20">
        <v>50</v>
      </c>
      <c r="C167" s="20">
        <v>50.02</v>
      </c>
      <c r="D167" s="20">
        <v>-0.02</v>
      </c>
      <c r="E167" s="20">
        <v>0.04</v>
      </c>
      <c r="F167" s="20">
        <v>1160.99</v>
      </c>
      <c r="Q167" s="33">
        <v>16.600000000000001</v>
      </c>
      <c r="R167" s="33">
        <v>50.26</v>
      </c>
      <c r="S167" s="33">
        <v>50</v>
      </c>
      <c r="T167" s="38">
        <v>-0.26</v>
      </c>
      <c r="U167" s="38">
        <v>-0.02</v>
      </c>
      <c r="V167" s="33">
        <v>730.64</v>
      </c>
    </row>
    <row r="168" spans="1:22" ht="16.8" x14ac:dyDescent="0.3">
      <c r="A168" s="20">
        <v>16.7</v>
      </c>
      <c r="B168" s="20">
        <v>50</v>
      </c>
      <c r="C168" s="20">
        <v>50.02</v>
      </c>
      <c r="D168" s="20">
        <v>-0.02</v>
      </c>
      <c r="E168" s="20">
        <v>0</v>
      </c>
      <c r="F168" s="20">
        <v>1094.1300000000001</v>
      </c>
      <c r="Q168" s="33">
        <v>16.7</v>
      </c>
      <c r="R168" s="33">
        <v>50.27</v>
      </c>
      <c r="S168" s="38">
        <v>50</v>
      </c>
      <c r="T168" s="33">
        <v>-0.27</v>
      </c>
      <c r="U168" s="33">
        <v>-0.01</v>
      </c>
      <c r="V168" s="33">
        <v>729.17</v>
      </c>
    </row>
    <row r="169" spans="1:22" ht="16.8" x14ac:dyDescent="0.3">
      <c r="A169" s="20">
        <v>16.8</v>
      </c>
      <c r="B169" s="20">
        <v>50</v>
      </c>
      <c r="C169" s="20">
        <v>50.04</v>
      </c>
      <c r="D169" s="20">
        <v>-0.04</v>
      </c>
      <c r="E169" s="20">
        <v>-0.01</v>
      </c>
      <c r="F169" s="20">
        <v>1091.18</v>
      </c>
      <c r="Q169" s="33">
        <v>16.8</v>
      </c>
      <c r="R169" s="33">
        <v>50.26</v>
      </c>
      <c r="S169" s="33">
        <v>50</v>
      </c>
      <c r="T169" s="38">
        <v>-0.26</v>
      </c>
      <c r="U169" s="38">
        <v>0.01</v>
      </c>
      <c r="V169" s="33">
        <v>730.19</v>
      </c>
    </row>
    <row r="170" spans="1:22" ht="16.8" x14ac:dyDescent="0.3">
      <c r="A170" s="20">
        <v>16.899999999999999</v>
      </c>
      <c r="B170" s="20">
        <v>50</v>
      </c>
      <c r="C170" s="20">
        <v>50.02</v>
      </c>
      <c r="D170" s="20">
        <v>-0.02</v>
      </c>
      <c r="E170" s="20">
        <v>0.02</v>
      </c>
      <c r="F170" s="20">
        <v>1125.95</v>
      </c>
      <c r="Q170" s="33">
        <v>16.899999999999999</v>
      </c>
      <c r="R170" s="33">
        <v>50.23</v>
      </c>
      <c r="S170" s="38">
        <v>50</v>
      </c>
      <c r="T170" s="33">
        <v>-0.23</v>
      </c>
      <c r="U170" s="38">
        <v>0.02</v>
      </c>
      <c r="V170" s="33">
        <v>733.72</v>
      </c>
    </row>
    <row r="171" spans="1:22" ht="16.8" x14ac:dyDescent="0.3">
      <c r="A171" s="20">
        <v>17</v>
      </c>
      <c r="B171" s="20">
        <v>50</v>
      </c>
      <c r="C171" s="20">
        <v>49.99</v>
      </c>
      <c r="D171" s="20">
        <v>0.01</v>
      </c>
      <c r="E171" s="20">
        <v>0.03</v>
      </c>
      <c r="F171" s="20">
        <v>1159.0999999999999</v>
      </c>
      <c r="Q171" s="33">
        <v>17</v>
      </c>
      <c r="R171" s="33">
        <v>50.22</v>
      </c>
      <c r="S171" s="33">
        <v>50</v>
      </c>
      <c r="T171" s="33">
        <v>-0.22</v>
      </c>
      <c r="U171" s="38">
        <v>0.01</v>
      </c>
      <c r="V171" s="33">
        <v>734.16</v>
      </c>
    </row>
    <row r="172" spans="1:22" ht="16.8" x14ac:dyDescent="0.3">
      <c r="A172" s="20">
        <v>17.100000000000001</v>
      </c>
      <c r="B172" s="20">
        <v>50</v>
      </c>
      <c r="C172" s="20">
        <v>50.02</v>
      </c>
      <c r="D172" s="20">
        <v>-0.02</v>
      </c>
      <c r="E172" s="20">
        <v>-0.03</v>
      </c>
      <c r="F172" s="20">
        <v>1095.0999999999999</v>
      </c>
      <c r="Q172" s="33">
        <v>17.100000000000001</v>
      </c>
      <c r="R172" s="33">
        <v>50.2</v>
      </c>
      <c r="S172" s="33">
        <v>50</v>
      </c>
      <c r="T172" s="38">
        <v>-0.2</v>
      </c>
      <c r="U172" s="38">
        <v>0.02</v>
      </c>
      <c r="V172" s="33">
        <v>737.75</v>
      </c>
    </row>
    <row r="173" spans="1:22" ht="16.8" x14ac:dyDescent="0.3">
      <c r="A173" s="20">
        <v>17.2</v>
      </c>
      <c r="B173" s="20">
        <v>50</v>
      </c>
      <c r="C173" s="20">
        <v>50.04</v>
      </c>
      <c r="D173" s="20">
        <v>-0.04</v>
      </c>
      <c r="E173" s="20">
        <v>-0.02</v>
      </c>
      <c r="F173" s="20">
        <v>1090.2</v>
      </c>
      <c r="Q173" s="33">
        <v>17.2</v>
      </c>
      <c r="R173" s="33">
        <v>50.22</v>
      </c>
      <c r="S173" s="38">
        <v>50</v>
      </c>
      <c r="T173" s="33">
        <v>-0.22</v>
      </c>
      <c r="U173" s="38">
        <v>-0.02</v>
      </c>
      <c r="V173" s="33">
        <v>734.03</v>
      </c>
    </row>
    <row r="174" spans="1:22" ht="16.8" x14ac:dyDescent="0.3">
      <c r="A174" s="20">
        <v>17.3</v>
      </c>
      <c r="B174" s="20">
        <v>50</v>
      </c>
      <c r="C174" s="20">
        <v>50.01</v>
      </c>
      <c r="D174" s="20">
        <v>-0.01</v>
      </c>
      <c r="E174" s="20">
        <v>0.03</v>
      </c>
      <c r="F174" s="20">
        <v>1149.3900000000001</v>
      </c>
      <c r="Q174" s="33">
        <v>17.3</v>
      </c>
      <c r="R174" s="33">
        <v>50.25</v>
      </c>
      <c r="S174" s="33">
        <v>50</v>
      </c>
      <c r="T174" s="38">
        <v>-0.25</v>
      </c>
      <c r="U174" s="38">
        <v>-0.03</v>
      </c>
      <c r="V174" s="33">
        <v>728.25</v>
      </c>
    </row>
    <row r="175" spans="1:22" ht="16.8" x14ac:dyDescent="0.3">
      <c r="A175" s="20">
        <v>17.399999999999999</v>
      </c>
      <c r="B175" s="20">
        <v>50</v>
      </c>
      <c r="C175" s="20">
        <v>49.98</v>
      </c>
      <c r="D175" s="20">
        <v>0.02</v>
      </c>
      <c r="E175" s="20">
        <v>0.03</v>
      </c>
      <c r="F175" s="20">
        <v>1152.24</v>
      </c>
      <c r="Q175" s="33">
        <v>17.399999999999999</v>
      </c>
      <c r="R175" s="33">
        <v>50.24</v>
      </c>
      <c r="S175" s="38">
        <v>50</v>
      </c>
      <c r="T175" s="33">
        <v>-0.24</v>
      </c>
      <c r="U175" s="38">
        <v>0.01</v>
      </c>
      <c r="V175" s="33">
        <v>729.78</v>
      </c>
    </row>
    <row r="176" spans="1:22" ht="16.8" x14ac:dyDescent="0.3">
      <c r="A176" s="20">
        <v>17.5</v>
      </c>
      <c r="B176" s="20">
        <v>50</v>
      </c>
      <c r="C176" s="20">
        <v>50.02</v>
      </c>
      <c r="D176" s="20">
        <v>-0.02</v>
      </c>
      <c r="E176" s="20">
        <v>-0.04</v>
      </c>
      <c r="F176" s="20">
        <v>1095.0899999999999</v>
      </c>
      <c r="Q176" s="33">
        <v>17.5</v>
      </c>
      <c r="R176" s="33">
        <v>50.22</v>
      </c>
      <c r="S176" s="33">
        <v>50</v>
      </c>
      <c r="T176" s="38">
        <v>-0.22</v>
      </c>
      <c r="U176" s="38">
        <v>0.02</v>
      </c>
      <c r="V176" s="33">
        <v>731.94</v>
      </c>
    </row>
    <row r="177" spans="1:22" ht="16.8" x14ac:dyDescent="0.3">
      <c r="A177" s="20">
        <v>17.600000000000001</v>
      </c>
      <c r="B177" s="20">
        <v>50</v>
      </c>
      <c r="C177" s="20">
        <v>50.02</v>
      </c>
      <c r="D177" s="20">
        <v>-0.02</v>
      </c>
      <c r="E177" s="20">
        <v>0</v>
      </c>
      <c r="F177" s="20">
        <v>1095.1199999999999</v>
      </c>
      <c r="Q177" s="33">
        <v>17.600000000000001</v>
      </c>
      <c r="R177" s="33">
        <v>50.19</v>
      </c>
      <c r="S177" s="38">
        <v>50</v>
      </c>
      <c r="T177" s="33">
        <v>-0.19</v>
      </c>
      <c r="U177" s="38">
        <v>0.03</v>
      </c>
      <c r="V177" s="33">
        <v>736.78</v>
      </c>
    </row>
    <row r="178" spans="1:22" ht="16.8" x14ac:dyDescent="0.3">
      <c r="A178" s="20">
        <v>17.7</v>
      </c>
      <c r="B178" s="20">
        <v>50</v>
      </c>
      <c r="C178" s="20">
        <v>50.03</v>
      </c>
      <c r="D178" s="20">
        <v>-0.03</v>
      </c>
      <c r="E178" s="20">
        <v>-0.01</v>
      </c>
      <c r="F178" s="20">
        <v>1093.1500000000001</v>
      </c>
      <c r="Q178" s="33">
        <v>17.7</v>
      </c>
      <c r="R178" s="33">
        <v>50.22</v>
      </c>
      <c r="S178" s="33">
        <v>50</v>
      </c>
      <c r="T178" s="38">
        <v>-0.22</v>
      </c>
      <c r="U178" s="38">
        <v>-0.02</v>
      </c>
      <c r="V178" s="33">
        <v>731.51</v>
      </c>
    </row>
    <row r="179" spans="1:22" ht="16.8" x14ac:dyDescent="0.3">
      <c r="A179" s="20">
        <v>17.8</v>
      </c>
      <c r="B179" s="20">
        <v>50</v>
      </c>
      <c r="C179" s="20">
        <v>50.02</v>
      </c>
      <c r="D179" s="20">
        <v>-0.02</v>
      </c>
      <c r="E179" s="20">
        <v>0</v>
      </c>
      <c r="F179" s="20">
        <v>1102.1300000000001</v>
      </c>
      <c r="Q179" s="33">
        <v>17.8</v>
      </c>
      <c r="R179" s="33">
        <v>50.23</v>
      </c>
      <c r="S179" s="38">
        <v>50</v>
      </c>
      <c r="T179" s="33">
        <v>-0.23</v>
      </c>
      <c r="U179" s="38">
        <v>-0.02</v>
      </c>
      <c r="V179" s="33">
        <v>728.71</v>
      </c>
    </row>
    <row r="180" spans="1:22" ht="16.8" x14ac:dyDescent="0.3">
      <c r="A180" s="20">
        <v>17.899999999999999</v>
      </c>
      <c r="B180" s="20">
        <v>50</v>
      </c>
      <c r="C180" s="20">
        <v>50.05</v>
      </c>
      <c r="D180" s="20">
        <v>-0.05</v>
      </c>
      <c r="E180" s="20">
        <v>-0.02</v>
      </c>
      <c r="F180" s="20">
        <v>1088.24</v>
      </c>
      <c r="Q180" s="33">
        <v>17.899999999999999</v>
      </c>
      <c r="R180" s="33">
        <v>50.27</v>
      </c>
      <c r="S180" s="33">
        <v>50</v>
      </c>
      <c r="T180" s="33">
        <v>-0.27</v>
      </c>
      <c r="U180" s="38">
        <v>-0.03</v>
      </c>
      <c r="V180" s="33">
        <v>722.91</v>
      </c>
    </row>
    <row r="181" spans="1:22" ht="16.8" x14ac:dyDescent="0.3">
      <c r="A181" s="20">
        <v>18</v>
      </c>
      <c r="B181" s="20">
        <v>50</v>
      </c>
      <c r="C181" s="20">
        <v>50.06</v>
      </c>
      <c r="D181" s="20">
        <v>-0.06</v>
      </c>
      <c r="E181" s="20">
        <v>-0.01</v>
      </c>
      <c r="F181" s="20">
        <v>1085.3</v>
      </c>
      <c r="Q181" s="33">
        <v>18</v>
      </c>
      <c r="R181" s="33">
        <v>50.22</v>
      </c>
      <c r="S181" s="38">
        <v>50</v>
      </c>
      <c r="T181" s="38">
        <v>-0.22</v>
      </c>
      <c r="U181" s="38">
        <v>0.05</v>
      </c>
      <c r="V181" s="33">
        <v>731.45</v>
      </c>
    </row>
    <row r="182" spans="1:22" ht="16.8" x14ac:dyDescent="0.3">
      <c r="A182" s="20">
        <v>18.100000000000001</v>
      </c>
      <c r="B182" s="20">
        <v>50</v>
      </c>
      <c r="C182" s="20">
        <v>50.02</v>
      </c>
      <c r="D182" s="20">
        <v>-0.02</v>
      </c>
      <c r="E182" s="20">
        <v>0.04</v>
      </c>
      <c r="F182" s="20">
        <v>1160.06</v>
      </c>
      <c r="Q182" s="33">
        <v>18.100000000000001</v>
      </c>
      <c r="R182" s="33">
        <v>50.23</v>
      </c>
      <c r="S182" s="33">
        <v>50</v>
      </c>
      <c r="T182" s="33">
        <v>-0.23</v>
      </c>
      <c r="U182" s="33">
        <v>-0.02</v>
      </c>
      <c r="V182" s="33">
        <v>727.21</v>
      </c>
    </row>
    <row r="183" spans="1:22" ht="16.8" x14ac:dyDescent="0.3">
      <c r="A183" s="20">
        <v>18.2</v>
      </c>
      <c r="B183" s="20">
        <v>50</v>
      </c>
      <c r="C183" s="20">
        <v>50.07</v>
      </c>
      <c r="D183" s="20">
        <v>-7.0000000000000007E-2</v>
      </c>
      <c r="E183" s="20">
        <v>-0.04</v>
      </c>
      <c r="F183" s="20">
        <v>1083.3800000000001</v>
      </c>
      <c r="Q183" s="33">
        <v>18.2</v>
      </c>
      <c r="R183" s="33">
        <v>50.25</v>
      </c>
      <c r="S183" s="33">
        <v>50</v>
      </c>
      <c r="T183" s="38">
        <v>-0.25</v>
      </c>
      <c r="U183" s="38">
        <v>-0.02</v>
      </c>
      <c r="V183" s="33">
        <v>724.22</v>
      </c>
    </row>
    <row r="184" spans="1:22" ht="16.8" x14ac:dyDescent="0.3">
      <c r="A184" s="20">
        <v>18.3</v>
      </c>
      <c r="B184" s="20">
        <v>50</v>
      </c>
      <c r="C184" s="20">
        <v>50.04</v>
      </c>
      <c r="D184" s="20">
        <v>-0.04</v>
      </c>
      <c r="E184" s="20">
        <v>0.02</v>
      </c>
      <c r="F184" s="20">
        <v>1134.6400000000001</v>
      </c>
      <c r="Q184" s="33">
        <v>18.3</v>
      </c>
      <c r="R184" s="33">
        <v>50.24</v>
      </c>
      <c r="S184" s="38">
        <v>50</v>
      </c>
      <c r="T184" s="33">
        <v>-0.24</v>
      </c>
      <c r="U184" s="33">
        <v>0.01</v>
      </c>
      <c r="V184" s="33">
        <v>725.43</v>
      </c>
    </row>
    <row r="185" spans="1:22" ht="16.8" x14ac:dyDescent="0.3">
      <c r="A185" s="20">
        <v>18.399999999999999</v>
      </c>
      <c r="B185" s="20">
        <v>50</v>
      </c>
      <c r="C185" s="20">
        <v>50.06</v>
      </c>
      <c r="D185" s="20">
        <v>-0.06</v>
      </c>
      <c r="E185" s="20">
        <v>-0.01</v>
      </c>
      <c r="F185" s="20">
        <v>1086.28</v>
      </c>
      <c r="Q185" s="33">
        <v>18.399999999999999</v>
      </c>
      <c r="R185" s="33">
        <v>50.21</v>
      </c>
      <c r="S185" s="33">
        <v>50</v>
      </c>
      <c r="T185" s="38">
        <v>-0.21</v>
      </c>
      <c r="U185" s="38">
        <v>0.03</v>
      </c>
      <c r="V185" s="33">
        <v>730.41</v>
      </c>
    </row>
    <row r="186" spans="1:22" ht="16.8" x14ac:dyDescent="0.3">
      <c r="A186" s="20">
        <v>18.5</v>
      </c>
      <c r="B186" s="20">
        <v>50</v>
      </c>
      <c r="C186" s="20">
        <v>50.06</v>
      </c>
      <c r="D186" s="20">
        <v>-0.06</v>
      </c>
      <c r="E186" s="20">
        <v>0</v>
      </c>
      <c r="F186" s="20">
        <v>1086.28</v>
      </c>
      <c r="Q186" s="33">
        <v>18.5</v>
      </c>
      <c r="R186" s="33">
        <v>50.18</v>
      </c>
      <c r="S186" s="38">
        <v>50</v>
      </c>
      <c r="T186" s="33">
        <v>-0.18</v>
      </c>
      <c r="U186" s="33">
        <v>0.02</v>
      </c>
      <c r="V186" s="33">
        <v>733.55</v>
      </c>
    </row>
    <row r="187" spans="1:22" ht="16.8" x14ac:dyDescent="0.3">
      <c r="A187" s="20">
        <v>18.600000000000001</v>
      </c>
      <c r="B187" s="20">
        <v>50</v>
      </c>
      <c r="C187" s="20">
        <v>50.06</v>
      </c>
      <c r="D187" s="20">
        <v>-0.06</v>
      </c>
      <c r="E187" s="20">
        <v>0</v>
      </c>
      <c r="F187" s="20">
        <v>1085.3</v>
      </c>
      <c r="Q187" s="33">
        <v>18.600000000000001</v>
      </c>
      <c r="R187" s="33">
        <v>50.24</v>
      </c>
      <c r="S187" s="33">
        <v>50</v>
      </c>
      <c r="T187" s="38">
        <v>-0.24</v>
      </c>
      <c r="U187" s="38">
        <v>-0.06</v>
      </c>
      <c r="V187" s="33">
        <v>722.81</v>
      </c>
    </row>
    <row r="188" spans="1:22" ht="16.8" x14ac:dyDescent="0.3">
      <c r="A188" s="20">
        <v>18.7</v>
      </c>
      <c r="B188" s="20">
        <v>50</v>
      </c>
      <c r="C188" s="20">
        <v>50.07</v>
      </c>
      <c r="D188" s="20">
        <v>-7.0000000000000007E-2</v>
      </c>
      <c r="E188" s="20">
        <v>-0.01</v>
      </c>
      <c r="F188" s="20">
        <v>1083.3900000000001</v>
      </c>
      <c r="Q188" s="33">
        <v>18.7</v>
      </c>
      <c r="R188" s="33">
        <v>50.19</v>
      </c>
      <c r="S188" s="38">
        <v>50</v>
      </c>
      <c r="T188" s="33">
        <v>-0.19</v>
      </c>
      <c r="U188" s="33">
        <v>0.05</v>
      </c>
      <c r="V188" s="33">
        <v>731.89</v>
      </c>
    </row>
    <row r="189" spans="1:22" ht="16.8" x14ac:dyDescent="0.3">
      <c r="A189" s="20">
        <v>18.8</v>
      </c>
      <c r="B189" s="20">
        <v>50</v>
      </c>
      <c r="C189" s="20">
        <v>50.06</v>
      </c>
      <c r="D189" s="20">
        <v>-0.06</v>
      </c>
      <c r="E189" s="20">
        <v>0.01</v>
      </c>
      <c r="F189" s="20">
        <v>1109.8499999999999</v>
      </c>
      <c r="Q189" s="33">
        <v>18.8</v>
      </c>
      <c r="R189" s="33">
        <v>50.21</v>
      </c>
      <c r="S189" s="33">
        <v>50</v>
      </c>
      <c r="T189" s="38">
        <v>-0.21</v>
      </c>
      <c r="U189" s="38">
        <v>-0.02</v>
      </c>
      <c r="V189" s="33">
        <v>727.7</v>
      </c>
    </row>
    <row r="190" spans="1:22" ht="16.8" x14ac:dyDescent="0.3">
      <c r="A190" s="20">
        <v>18.899999999999999</v>
      </c>
      <c r="B190" s="20">
        <v>50</v>
      </c>
      <c r="C190" s="20">
        <v>50.09</v>
      </c>
      <c r="D190" s="20">
        <v>-0.09</v>
      </c>
      <c r="E190" s="20">
        <v>-0.04</v>
      </c>
      <c r="F190" s="20">
        <v>1077.6300000000001</v>
      </c>
      <c r="Q190" s="33">
        <v>18.899999999999999</v>
      </c>
      <c r="R190" s="33">
        <v>50.19</v>
      </c>
      <c r="S190" s="38">
        <v>50</v>
      </c>
      <c r="T190" s="33">
        <v>-0.19</v>
      </c>
      <c r="U190" s="33">
        <v>0.02</v>
      </c>
      <c r="V190" s="33">
        <v>730.41</v>
      </c>
    </row>
    <row r="191" spans="1:22" ht="16.8" x14ac:dyDescent="0.3">
      <c r="A191" s="20">
        <v>19</v>
      </c>
      <c r="B191" s="20">
        <v>50</v>
      </c>
      <c r="C191" s="20">
        <v>50.08</v>
      </c>
      <c r="D191" s="20">
        <v>-0.08</v>
      </c>
      <c r="E191" s="20">
        <v>0.02</v>
      </c>
      <c r="F191" s="20">
        <v>1112.67</v>
      </c>
      <c r="Q191" s="33">
        <v>19</v>
      </c>
      <c r="R191" s="33">
        <v>50.21</v>
      </c>
      <c r="S191" s="33">
        <v>50</v>
      </c>
      <c r="T191" s="38">
        <v>-0.21</v>
      </c>
      <c r="U191" s="38">
        <v>-0.02</v>
      </c>
      <c r="V191" s="33">
        <v>726.86</v>
      </c>
    </row>
    <row r="192" spans="1:22" ht="16.8" x14ac:dyDescent="0.3">
      <c r="A192" s="20">
        <v>19.100000000000001</v>
      </c>
      <c r="B192" s="20">
        <v>50</v>
      </c>
      <c r="C192" s="20">
        <v>50.06</v>
      </c>
      <c r="D192" s="20">
        <v>-0.06</v>
      </c>
      <c r="E192" s="20">
        <v>0.01</v>
      </c>
      <c r="F192" s="20">
        <v>1107.96</v>
      </c>
      <c r="Q192" s="33">
        <v>19.100000000000001</v>
      </c>
      <c r="R192" s="33">
        <v>50.19</v>
      </c>
      <c r="S192" s="33">
        <v>50</v>
      </c>
      <c r="T192" s="33">
        <v>-0.19</v>
      </c>
      <c r="U192" s="33">
        <v>0.02</v>
      </c>
      <c r="V192" s="33">
        <v>729.56</v>
      </c>
    </row>
    <row r="193" spans="1:22" ht="16.8" x14ac:dyDescent="0.3">
      <c r="A193" s="20">
        <v>19.2</v>
      </c>
      <c r="B193" s="20">
        <v>50</v>
      </c>
      <c r="C193" s="20">
        <v>50.1</v>
      </c>
      <c r="D193" s="20">
        <v>-0.1</v>
      </c>
      <c r="E193" s="20">
        <v>-0.03</v>
      </c>
      <c r="F193" s="20">
        <v>1076.67</v>
      </c>
      <c r="Q193" s="33">
        <v>19.2</v>
      </c>
      <c r="R193" s="33">
        <v>50.15</v>
      </c>
      <c r="S193" s="38">
        <v>50</v>
      </c>
      <c r="T193" s="33">
        <v>-0.15</v>
      </c>
      <c r="U193" s="38">
        <v>0.04</v>
      </c>
      <c r="V193" s="33">
        <v>735.89</v>
      </c>
    </row>
    <row r="194" spans="1:22" ht="16.8" x14ac:dyDescent="0.3">
      <c r="A194" s="20">
        <v>19.3</v>
      </c>
      <c r="B194" s="20">
        <v>50</v>
      </c>
      <c r="C194" s="20">
        <v>50.09</v>
      </c>
      <c r="D194" s="20">
        <v>-0.09</v>
      </c>
      <c r="E194" s="20">
        <v>0.01</v>
      </c>
      <c r="F194" s="20">
        <v>1094.6099999999999</v>
      </c>
      <c r="Q194" s="33">
        <v>19.3</v>
      </c>
      <c r="R194" s="33">
        <v>50.18</v>
      </c>
      <c r="S194" s="33">
        <v>50</v>
      </c>
      <c r="T194" s="38">
        <v>-0.18</v>
      </c>
      <c r="U194" s="33">
        <v>-0.02</v>
      </c>
      <c r="V194" s="33">
        <v>730.53</v>
      </c>
    </row>
    <row r="195" spans="1:22" ht="16.8" x14ac:dyDescent="0.3">
      <c r="A195" s="20">
        <v>19.399999999999999</v>
      </c>
      <c r="B195" s="20">
        <v>50</v>
      </c>
      <c r="C195" s="20">
        <v>50.08</v>
      </c>
      <c r="D195" s="20">
        <v>-0.08</v>
      </c>
      <c r="E195" s="20">
        <v>0</v>
      </c>
      <c r="F195" s="20">
        <v>1087.6500000000001</v>
      </c>
      <c r="Q195" s="33">
        <v>19.399999999999999</v>
      </c>
      <c r="R195" s="33">
        <v>50.21</v>
      </c>
      <c r="S195" s="38">
        <v>50</v>
      </c>
      <c r="T195" s="33">
        <v>-0.21</v>
      </c>
      <c r="U195" s="38">
        <v>-0.03</v>
      </c>
      <c r="V195" s="33">
        <v>725</v>
      </c>
    </row>
    <row r="196" spans="1:22" ht="16.8" x14ac:dyDescent="0.3">
      <c r="A196" s="20">
        <v>19.5</v>
      </c>
      <c r="B196" s="20">
        <v>50</v>
      </c>
      <c r="C196" s="20">
        <v>50.09</v>
      </c>
      <c r="D196" s="20">
        <v>-0.09</v>
      </c>
      <c r="E196" s="20">
        <v>-0.01</v>
      </c>
      <c r="F196" s="20">
        <v>1077.6300000000001</v>
      </c>
      <c r="Q196" s="33">
        <v>19.5</v>
      </c>
      <c r="R196" s="33">
        <v>50.19</v>
      </c>
      <c r="S196" s="33">
        <v>50</v>
      </c>
      <c r="T196" s="38">
        <v>-0.19</v>
      </c>
      <c r="U196" s="33">
        <v>0.02</v>
      </c>
      <c r="V196" s="33">
        <v>728.03</v>
      </c>
    </row>
    <row r="197" spans="1:22" ht="16.8" x14ac:dyDescent="0.3">
      <c r="A197" s="20">
        <v>19.600000000000001</v>
      </c>
      <c r="B197" s="20">
        <v>50</v>
      </c>
      <c r="C197" s="20">
        <v>50.12</v>
      </c>
      <c r="D197" s="20">
        <v>-0.12</v>
      </c>
      <c r="E197" s="20">
        <v>-0.02</v>
      </c>
      <c r="F197" s="20">
        <v>1071.92</v>
      </c>
      <c r="Q197" s="33">
        <v>19.600000000000001</v>
      </c>
      <c r="R197" s="33">
        <v>50.14</v>
      </c>
      <c r="S197" s="38">
        <v>50</v>
      </c>
      <c r="T197" s="33">
        <v>-0.14000000000000001</v>
      </c>
      <c r="U197" s="38">
        <v>0.05</v>
      </c>
      <c r="V197" s="33">
        <v>735.77</v>
      </c>
    </row>
    <row r="198" spans="1:22" ht="16.8" x14ac:dyDescent="0.3">
      <c r="A198" s="20">
        <v>19.7</v>
      </c>
      <c r="B198" s="20">
        <v>50</v>
      </c>
      <c r="C198" s="20">
        <v>50.08</v>
      </c>
      <c r="D198" s="20">
        <v>-0.08</v>
      </c>
      <c r="E198" s="20">
        <v>0.03</v>
      </c>
      <c r="F198" s="20">
        <v>1139.4100000000001</v>
      </c>
      <c r="Q198" s="33">
        <v>19.7</v>
      </c>
      <c r="R198" s="33">
        <v>50.14</v>
      </c>
      <c r="S198" s="33">
        <v>50</v>
      </c>
      <c r="T198" s="38">
        <v>-0.14000000000000001</v>
      </c>
      <c r="U198" s="38">
        <v>0.01</v>
      </c>
      <c r="V198" s="33">
        <v>735.91</v>
      </c>
    </row>
    <row r="199" spans="1:22" ht="16.8" x14ac:dyDescent="0.3">
      <c r="A199" s="20">
        <v>19.8</v>
      </c>
      <c r="B199" s="20">
        <v>50</v>
      </c>
      <c r="C199" s="20">
        <v>50.12</v>
      </c>
      <c r="D199" s="20">
        <v>-0.12</v>
      </c>
      <c r="E199" s="20">
        <v>-0.04</v>
      </c>
      <c r="F199" s="20">
        <v>1070.97</v>
      </c>
      <c r="Q199" s="33">
        <v>19.8</v>
      </c>
      <c r="R199" s="33">
        <v>50.19</v>
      </c>
      <c r="S199" s="38">
        <v>50</v>
      </c>
      <c r="T199" s="33">
        <v>-0.19</v>
      </c>
      <c r="U199" s="38">
        <v>-0.06</v>
      </c>
      <c r="V199" s="33">
        <v>725.59</v>
      </c>
    </row>
    <row r="200" spans="1:22" ht="16.8" x14ac:dyDescent="0.3">
      <c r="A200" s="20">
        <v>19.899999999999999</v>
      </c>
      <c r="B200" s="20">
        <v>50</v>
      </c>
      <c r="C200" s="20">
        <v>50.1</v>
      </c>
      <c r="D200" s="20">
        <v>-0.1</v>
      </c>
      <c r="E200" s="20">
        <v>0.02</v>
      </c>
      <c r="F200" s="20">
        <v>1114.5999999999999</v>
      </c>
      <c r="Q200" s="33">
        <v>19.899999999999999</v>
      </c>
      <c r="R200" s="33">
        <v>50.14</v>
      </c>
      <c r="S200" s="33">
        <v>50</v>
      </c>
      <c r="T200" s="38">
        <v>-0.14000000000000001</v>
      </c>
      <c r="U200" s="38">
        <v>0.06</v>
      </c>
      <c r="V200" s="33">
        <v>736.18</v>
      </c>
    </row>
    <row r="201" spans="1:22" ht="16.8" x14ac:dyDescent="0.3">
      <c r="A201" s="20">
        <v>20</v>
      </c>
      <c r="B201" s="20">
        <v>50</v>
      </c>
      <c r="C201" s="20">
        <v>50.06</v>
      </c>
      <c r="D201" s="20">
        <v>-0.06</v>
      </c>
      <c r="E201" s="20">
        <v>0.04</v>
      </c>
      <c r="F201" s="20">
        <v>1150.57</v>
      </c>
      <c r="Q201" s="33">
        <v>20</v>
      </c>
      <c r="R201" s="33">
        <v>50.18</v>
      </c>
      <c r="S201" s="38">
        <v>50</v>
      </c>
      <c r="T201" s="33">
        <v>-0.18</v>
      </c>
      <c r="U201" s="33">
        <v>-0.05</v>
      </c>
      <c r="V201" s="33">
        <v>726.31</v>
      </c>
    </row>
    <row r="202" spans="1:22" ht="16.8" x14ac:dyDescent="0.3">
      <c r="A202" s="20">
        <v>20.100000000000001</v>
      </c>
      <c r="B202" s="20">
        <v>50</v>
      </c>
      <c r="C202" s="20">
        <v>50.04</v>
      </c>
      <c r="D202" s="20">
        <v>-0.04</v>
      </c>
      <c r="E202" s="20">
        <v>0.02</v>
      </c>
      <c r="F202" s="20">
        <v>1127.48</v>
      </c>
      <c r="Q202" s="33">
        <v>20.100000000000001</v>
      </c>
      <c r="R202" s="33">
        <v>50.12</v>
      </c>
      <c r="S202" s="33">
        <v>50</v>
      </c>
      <c r="T202" s="38">
        <v>-0.12</v>
      </c>
      <c r="U202" s="38">
        <v>0.06</v>
      </c>
      <c r="V202" s="33">
        <v>738.17</v>
      </c>
    </row>
    <row r="203" spans="1:22" ht="16.8" x14ac:dyDescent="0.3">
      <c r="A203" s="20">
        <v>20.2</v>
      </c>
      <c r="B203" s="20">
        <v>50</v>
      </c>
      <c r="C203" s="20">
        <v>50.06</v>
      </c>
      <c r="D203" s="20">
        <v>-0.06</v>
      </c>
      <c r="E203" s="20">
        <v>-0.02</v>
      </c>
      <c r="F203" s="20">
        <v>1085.3</v>
      </c>
      <c r="Q203" s="33">
        <v>20.2</v>
      </c>
      <c r="R203" s="33">
        <v>50.14</v>
      </c>
      <c r="S203" s="33">
        <v>50</v>
      </c>
      <c r="T203" s="33">
        <v>-0.14000000000000001</v>
      </c>
      <c r="U203" s="33">
        <v>-0.02</v>
      </c>
      <c r="V203" s="33">
        <v>732.39</v>
      </c>
    </row>
    <row r="204" spans="1:22" ht="16.8" x14ac:dyDescent="0.3">
      <c r="A204" s="20">
        <v>20.3</v>
      </c>
      <c r="B204" s="20">
        <v>50</v>
      </c>
      <c r="C204" s="20">
        <v>50.06</v>
      </c>
      <c r="D204" s="20">
        <v>-0.06</v>
      </c>
      <c r="E204" s="20">
        <v>0</v>
      </c>
      <c r="F204" s="20">
        <v>1084.3499999999999</v>
      </c>
      <c r="Q204" s="33">
        <v>20.3</v>
      </c>
      <c r="R204" s="33">
        <v>50.17</v>
      </c>
      <c r="S204" s="38">
        <v>50</v>
      </c>
      <c r="T204" s="33">
        <v>-0.17</v>
      </c>
      <c r="U204" s="38">
        <v>-0.02</v>
      </c>
      <c r="V204" s="33">
        <v>728.34</v>
      </c>
    </row>
    <row r="205" spans="1:22" ht="16.8" x14ac:dyDescent="0.3">
      <c r="A205" s="20">
        <v>20.399999999999999</v>
      </c>
      <c r="B205" s="20">
        <v>50</v>
      </c>
      <c r="C205" s="20">
        <v>50.06</v>
      </c>
      <c r="D205" s="20">
        <v>-0.06</v>
      </c>
      <c r="E205" s="20">
        <v>0</v>
      </c>
      <c r="F205" s="20">
        <v>1084.3499999999999</v>
      </c>
      <c r="Q205" s="33">
        <v>20.399999999999999</v>
      </c>
      <c r="R205" s="33">
        <v>50.09</v>
      </c>
      <c r="S205" s="33">
        <v>50</v>
      </c>
      <c r="T205" s="38">
        <v>-0.09</v>
      </c>
      <c r="U205" s="38">
        <v>0.08</v>
      </c>
      <c r="V205" s="33">
        <v>742.58</v>
      </c>
    </row>
    <row r="206" spans="1:22" ht="16.8" x14ac:dyDescent="0.3">
      <c r="A206" s="20">
        <v>20.5</v>
      </c>
      <c r="B206" s="20">
        <v>50</v>
      </c>
      <c r="C206" s="20">
        <v>50.09</v>
      </c>
      <c r="D206" s="20">
        <v>-0.09</v>
      </c>
      <c r="E206" s="20">
        <v>-0.03</v>
      </c>
      <c r="F206" s="20">
        <v>1077.6300000000001</v>
      </c>
      <c r="Q206" s="33">
        <v>20.5</v>
      </c>
      <c r="R206" s="33">
        <v>50.12</v>
      </c>
      <c r="S206" s="38">
        <v>50</v>
      </c>
      <c r="T206" s="33">
        <v>-0.12</v>
      </c>
      <c r="U206" s="38">
        <v>-0.03</v>
      </c>
      <c r="V206" s="33">
        <v>735.14</v>
      </c>
    </row>
    <row r="207" spans="1:22" ht="16.8" x14ac:dyDescent="0.3">
      <c r="A207" s="20">
        <v>20.6</v>
      </c>
      <c r="B207" s="20">
        <v>50</v>
      </c>
      <c r="C207" s="20">
        <v>50.04</v>
      </c>
      <c r="D207" s="20">
        <v>-0.04</v>
      </c>
      <c r="E207" s="20">
        <v>0.05</v>
      </c>
      <c r="F207" s="20">
        <v>1181.96</v>
      </c>
      <c r="Q207" s="33">
        <v>20.6</v>
      </c>
      <c r="R207" s="33">
        <v>50.11</v>
      </c>
      <c r="S207" s="33">
        <v>50</v>
      </c>
      <c r="T207" s="38">
        <v>-0.11</v>
      </c>
      <c r="U207" s="38">
        <v>0.01</v>
      </c>
      <c r="V207" s="33">
        <v>736.94</v>
      </c>
    </row>
    <row r="208" spans="1:22" ht="16.8" x14ac:dyDescent="0.3">
      <c r="A208" s="20">
        <v>20.7</v>
      </c>
      <c r="B208" s="20">
        <v>50</v>
      </c>
      <c r="C208" s="20">
        <v>50.06</v>
      </c>
      <c r="D208" s="20">
        <v>-0.06</v>
      </c>
      <c r="E208" s="20">
        <v>-0.02</v>
      </c>
      <c r="F208" s="20">
        <v>1085.3</v>
      </c>
      <c r="Q208" s="33">
        <v>20.7</v>
      </c>
      <c r="R208" s="33">
        <v>50.14</v>
      </c>
      <c r="S208" s="38">
        <v>50</v>
      </c>
      <c r="T208" s="33">
        <v>-0.14000000000000001</v>
      </c>
      <c r="U208" s="38">
        <v>-0.03</v>
      </c>
      <c r="V208" s="33">
        <v>730.9</v>
      </c>
    </row>
    <row r="209" spans="1:22" ht="16.8" x14ac:dyDescent="0.3">
      <c r="A209" s="20">
        <v>20.8</v>
      </c>
      <c r="B209" s="20">
        <v>50</v>
      </c>
      <c r="C209" s="20">
        <v>50.08</v>
      </c>
      <c r="D209" s="20">
        <v>-0.08</v>
      </c>
      <c r="E209" s="20">
        <v>-0.02</v>
      </c>
      <c r="F209" s="20">
        <v>1080.52</v>
      </c>
      <c r="Q209" s="33">
        <v>20.8</v>
      </c>
      <c r="R209" s="33">
        <v>50.13</v>
      </c>
      <c r="S209" s="33">
        <v>50</v>
      </c>
      <c r="T209" s="38">
        <v>-0.13</v>
      </c>
      <c r="U209" s="38">
        <v>0.02</v>
      </c>
      <c r="V209" s="33">
        <v>734.07</v>
      </c>
    </row>
    <row r="210" spans="1:22" ht="16.8" x14ac:dyDescent="0.3">
      <c r="A210" s="20">
        <v>20.9</v>
      </c>
      <c r="B210" s="20">
        <v>50</v>
      </c>
      <c r="C210" s="20">
        <v>50.09</v>
      </c>
      <c r="D210" s="20">
        <v>-0.09</v>
      </c>
      <c r="E210" s="20">
        <v>-0.01</v>
      </c>
      <c r="F210" s="20">
        <v>1077.6300000000001</v>
      </c>
      <c r="Q210" s="33">
        <v>20.9</v>
      </c>
      <c r="R210" s="33">
        <v>50.15</v>
      </c>
      <c r="S210" s="38">
        <v>50</v>
      </c>
      <c r="T210" s="33">
        <v>-0.15</v>
      </c>
      <c r="U210" s="38">
        <v>-0.02</v>
      </c>
      <c r="V210" s="33">
        <v>729.24</v>
      </c>
    </row>
    <row r="211" spans="1:22" ht="16.8" x14ac:dyDescent="0.3">
      <c r="A211" s="20">
        <v>21</v>
      </c>
      <c r="B211" s="20">
        <v>50</v>
      </c>
      <c r="C211" s="20">
        <v>50.06</v>
      </c>
      <c r="D211" s="20">
        <v>-0.06</v>
      </c>
      <c r="E211" s="20">
        <v>0.03</v>
      </c>
      <c r="F211" s="20">
        <v>1144.74</v>
      </c>
      <c r="Q211" s="33">
        <v>21</v>
      </c>
      <c r="R211" s="33">
        <v>50.11</v>
      </c>
      <c r="S211" s="33">
        <v>50</v>
      </c>
      <c r="T211" s="38">
        <v>-0.11</v>
      </c>
      <c r="U211" s="38">
        <v>0.04</v>
      </c>
      <c r="V211" s="33">
        <v>736.46</v>
      </c>
    </row>
    <row r="212" spans="1:22" ht="16.8" x14ac:dyDescent="0.3">
      <c r="A212" s="20">
        <v>21.1</v>
      </c>
      <c r="B212" s="20">
        <v>50</v>
      </c>
      <c r="C212" s="20">
        <v>50.04</v>
      </c>
      <c r="D212" s="20">
        <v>-0.04</v>
      </c>
      <c r="E212" s="20">
        <v>0.02</v>
      </c>
      <c r="F212" s="20">
        <v>1120.19</v>
      </c>
      <c r="Q212" s="33">
        <v>21.1</v>
      </c>
      <c r="R212" s="33">
        <v>50.12</v>
      </c>
      <c r="S212" s="38">
        <v>50</v>
      </c>
      <c r="T212" s="33">
        <v>-0.12</v>
      </c>
      <c r="U212" s="38">
        <v>-0.01</v>
      </c>
      <c r="V212" s="33">
        <v>734.01</v>
      </c>
    </row>
    <row r="213" spans="1:22" ht="16.8" x14ac:dyDescent="0.3">
      <c r="A213" s="20">
        <v>21.2</v>
      </c>
      <c r="B213" s="20">
        <v>50</v>
      </c>
      <c r="C213" s="20">
        <v>50.08</v>
      </c>
      <c r="D213" s="20">
        <v>-0.08</v>
      </c>
      <c r="E213" s="20">
        <v>-0.03</v>
      </c>
      <c r="F213" s="20">
        <v>1081.47</v>
      </c>
      <c r="Q213" s="33">
        <v>21.2</v>
      </c>
      <c r="R213" s="33">
        <v>50.14</v>
      </c>
      <c r="S213" s="33">
        <v>50</v>
      </c>
      <c r="T213" s="33">
        <v>-0.14000000000000001</v>
      </c>
      <c r="U213" s="38">
        <v>-0.02</v>
      </c>
      <c r="V213" s="33">
        <v>731.1</v>
      </c>
    </row>
    <row r="214" spans="1:22" ht="16.8" x14ac:dyDescent="0.3">
      <c r="A214" s="20">
        <v>21.3</v>
      </c>
      <c r="B214" s="20">
        <v>50</v>
      </c>
      <c r="C214" s="20">
        <v>50.05</v>
      </c>
      <c r="D214" s="20">
        <v>-0.05</v>
      </c>
      <c r="E214" s="20">
        <v>0.02</v>
      </c>
      <c r="F214" s="20">
        <v>1132.74</v>
      </c>
      <c r="Q214" s="33">
        <v>21.3</v>
      </c>
      <c r="R214" s="33">
        <v>50.12</v>
      </c>
      <c r="S214" s="38">
        <v>50</v>
      </c>
      <c r="T214" s="38">
        <v>-0.12</v>
      </c>
      <c r="U214" s="33">
        <v>0.02</v>
      </c>
      <c r="V214" s="33">
        <v>733.95</v>
      </c>
    </row>
    <row r="215" spans="1:22" ht="16.8" x14ac:dyDescent="0.3">
      <c r="A215" s="20">
        <v>21.4</v>
      </c>
      <c r="B215" s="20">
        <v>50</v>
      </c>
      <c r="C215" s="20">
        <v>50.05</v>
      </c>
      <c r="D215" s="20">
        <v>-0.05</v>
      </c>
      <c r="E215" s="20">
        <v>0</v>
      </c>
      <c r="F215" s="20">
        <v>1087.26</v>
      </c>
      <c r="Q215" s="33">
        <v>21.4</v>
      </c>
      <c r="R215" s="33">
        <v>50.06</v>
      </c>
      <c r="S215" s="33">
        <v>50</v>
      </c>
      <c r="T215" s="33">
        <v>-0.06</v>
      </c>
      <c r="U215" s="38">
        <v>0.06</v>
      </c>
      <c r="V215" s="33">
        <v>743.25</v>
      </c>
    </row>
    <row r="216" spans="1:22" ht="16.8" x14ac:dyDescent="0.3">
      <c r="A216" s="20">
        <v>21.5</v>
      </c>
      <c r="B216" s="20">
        <v>50</v>
      </c>
      <c r="C216" s="20">
        <v>50.1</v>
      </c>
      <c r="D216" s="20">
        <v>-0.1</v>
      </c>
      <c r="E216" s="20">
        <v>-0.04</v>
      </c>
      <c r="F216" s="20">
        <v>1076.67</v>
      </c>
      <c r="Q216" s="33">
        <v>21.5</v>
      </c>
      <c r="R216" s="33">
        <v>50.11</v>
      </c>
      <c r="S216" s="38">
        <v>50</v>
      </c>
      <c r="T216" s="38">
        <v>-0.11</v>
      </c>
      <c r="U216" s="33">
        <v>-0.05</v>
      </c>
      <c r="V216" s="33">
        <v>733.52</v>
      </c>
    </row>
    <row r="217" spans="1:22" ht="16.8" x14ac:dyDescent="0.3">
      <c r="A217" s="20">
        <v>21.6</v>
      </c>
      <c r="B217" s="20">
        <v>50</v>
      </c>
      <c r="C217" s="20">
        <v>50.08</v>
      </c>
      <c r="D217" s="20">
        <v>-0.08</v>
      </c>
      <c r="E217" s="20">
        <v>0.01</v>
      </c>
      <c r="F217" s="20">
        <v>1103.29</v>
      </c>
      <c r="Q217" s="33">
        <v>21.6</v>
      </c>
      <c r="R217" s="33">
        <v>50.16</v>
      </c>
      <c r="S217" s="33">
        <v>50</v>
      </c>
      <c r="T217" s="33">
        <v>-0.16</v>
      </c>
      <c r="U217" s="38">
        <v>-0.05</v>
      </c>
      <c r="V217" s="33">
        <v>725.8</v>
      </c>
    </row>
    <row r="218" spans="1:22" ht="16.8" x14ac:dyDescent="0.3">
      <c r="A218" s="20">
        <v>21.7</v>
      </c>
      <c r="B218" s="20">
        <v>50</v>
      </c>
      <c r="C218" s="20">
        <v>50.08</v>
      </c>
      <c r="D218" s="20">
        <v>-0.08</v>
      </c>
      <c r="E218" s="20">
        <v>0</v>
      </c>
      <c r="F218" s="20">
        <v>1088.5899999999999</v>
      </c>
      <c r="Q218" s="33">
        <v>21.7</v>
      </c>
      <c r="R218" s="33">
        <v>50.15</v>
      </c>
      <c r="S218" s="33">
        <v>50</v>
      </c>
      <c r="T218" s="38">
        <v>-0.15</v>
      </c>
      <c r="U218" s="38">
        <v>0.01</v>
      </c>
      <c r="V218" s="33">
        <v>727.84</v>
      </c>
    </row>
    <row r="219" spans="1:22" ht="16.8" x14ac:dyDescent="0.3">
      <c r="A219" s="20">
        <v>21.8</v>
      </c>
      <c r="B219" s="20">
        <v>50</v>
      </c>
      <c r="C219" s="20">
        <v>50.08</v>
      </c>
      <c r="D219" s="20">
        <v>-0.08</v>
      </c>
      <c r="E219" s="20">
        <v>0</v>
      </c>
      <c r="F219" s="20">
        <v>1080.52</v>
      </c>
      <c r="Q219" s="33">
        <v>21.8</v>
      </c>
      <c r="R219" s="33">
        <v>50.11</v>
      </c>
      <c r="S219" s="38">
        <v>50</v>
      </c>
      <c r="T219" s="33">
        <v>-0.11</v>
      </c>
      <c r="U219" s="38">
        <v>0.04</v>
      </c>
      <c r="V219" s="33">
        <v>734.41</v>
      </c>
    </row>
    <row r="220" spans="1:22" ht="16.8" x14ac:dyDescent="0.3">
      <c r="A220" s="20">
        <v>21.9</v>
      </c>
      <c r="B220" s="20">
        <v>50</v>
      </c>
      <c r="C220" s="20">
        <v>50.09</v>
      </c>
      <c r="D220" s="20">
        <v>-0.09</v>
      </c>
      <c r="E220" s="20">
        <v>-0.01</v>
      </c>
      <c r="F220" s="20">
        <v>1077.6300000000001</v>
      </c>
      <c r="Q220" s="33">
        <v>21.9</v>
      </c>
      <c r="R220" s="33">
        <v>50.14</v>
      </c>
      <c r="S220" s="33">
        <v>50</v>
      </c>
      <c r="T220" s="38">
        <v>-0.14000000000000001</v>
      </c>
      <c r="U220" s="33">
        <v>-0.03</v>
      </c>
      <c r="V220" s="33">
        <v>727.72</v>
      </c>
    </row>
    <row r="221" spans="1:22" ht="16.8" x14ac:dyDescent="0.3">
      <c r="A221" s="20">
        <v>22</v>
      </c>
      <c r="B221" s="20">
        <v>50</v>
      </c>
      <c r="C221" s="20">
        <v>50.09</v>
      </c>
      <c r="D221" s="20">
        <v>-0.09</v>
      </c>
      <c r="E221" s="20">
        <v>0</v>
      </c>
      <c r="F221" s="20">
        <v>1086.69</v>
      </c>
      <c r="Q221" s="33">
        <v>22</v>
      </c>
      <c r="R221" s="33">
        <v>50.11</v>
      </c>
      <c r="S221" s="38">
        <v>50</v>
      </c>
      <c r="T221" s="33">
        <v>-0.11</v>
      </c>
      <c r="U221" s="38">
        <v>0.03</v>
      </c>
      <c r="V221" s="33">
        <v>733.71</v>
      </c>
    </row>
    <row r="222" spans="1:22" ht="16.8" x14ac:dyDescent="0.3">
      <c r="A222" s="20">
        <v>22.1</v>
      </c>
      <c r="B222" s="20">
        <v>50</v>
      </c>
      <c r="C222" s="20">
        <v>50.08</v>
      </c>
      <c r="D222" s="20">
        <v>-0.08</v>
      </c>
      <c r="E222" s="20">
        <v>0.01</v>
      </c>
      <c r="F222" s="20">
        <v>1105.1500000000001</v>
      </c>
      <c r="Q222" s="33">
        <v>22.1</v>
      </c>
      <c r="R222" s="33">
        <v>50.1</v>
      </c>
      <c r="S222" s="33">
        <v>50</v>
      </c>
      <c r="T222" s="38">
        <v>-0.1</v>
      </c>
      <c r="U222" s="33">
        <v>0.02</v>
      </c>
      <c r="V222" s="33">
        <v>735.65</v>
      </c>
    </row>
    <row r="223" spans="1:22" ht="16.8" x14ac:dyDescent="0.3">
      <c r="A223" s="20">
        <v>22.2</v>
      </c>
      <c r="B223" s="20">
        <v>50</v>
      </c>
      <c r="C223" s="20">
        <v>50.06</v>
      </c>
      <c r="D223" s="20">
        <v>-0.06</v>
      </c>
      <c r="E223" s="20">
        <v>0.02</v>
      </c>
      <c r="F223" s="20">
        <v>1116.3599999999999</v>
      </c>
      <c r="Q223" s="33">
        <v>22.2</v>
      </c>
      <c r="R223" s="33">
        <v>50.12</v>
      </c>
      <c r="S223" s="38">
        <v>50</v>
      </c>
      <c r="T223" s="33">
        <v>-0.12</v>
      </c>
      <c r="U223" s="38">
        <v>-0.02</v>
      </c>
      <c r="V223" s="33">
        <v>730.89</v>
      </c>
    </row>
    <row r="224" spans="1:22" ht="16.8" x14ac:dyDescent="0.3">
      <c r="A224" s="20">
        <v>22.3</v>
      </c>
      <c r="B224" s="20">
        <v>50</v>
      </c>
      <c r="C224" s="20">
        <v>50.05</v>
      </c>
      <c r="D224" s="20">
        <v>-0.05</v>
      </c>
      <c r="E224" s="20">
        <v>0.01</v>
      </c>
      <c r="F224" s="20">
        <v>1103.1099999999999</v>
      </c>
      <c r="Q224" s="33">
        <v>22.3</v>
      </c>
      <c r="R224" s="33">
        <v>50.13</v>
      </c>
      <c r="S224" s="33">
        <v>50</v>
      </c>
      <c r="T224" s="33">
        <v>-0.13</v>
      </c>
      <c r="U224" s="38">
        <v>-0.01</v>
      </c>
      <c r="V224" s="33">
        <v>729.71</v>
      </c>
    </row>
    <row r="225" spans="1:22" ht="16.8" x14ac:dyDescent="0.3">
      <c r="A225" s="20">
        <v>22.4</v>
      </c>
      <c r="B225" s="20">
        <v>50</v>
      </c>
      <c r="C225" s="20">
        <v>50.07</v>
      </c>
      <c r="D225" s="20">
        <v>-7.0000000000000007E-2</v>
      </c>
      <c r="E225" s="20">
        <v>-0.02</v>
      </c>
      <c r="F225" s="20">
        <v>1082.43</v>
      </c>
      <c r="Q225" s="33">
        <v>22.4</v>
      </c>
      <c r="R225" s="33">
        <v>50.12</v>
      </c>
      <c r="S225" s="38">
        <v>50</v>
      </c>
      <c r="T225" s="38">
        <v>-0.12</v>
      </c>
      <c r="U225" s="33">
        <v>0.01</v>
      </c>
      <c r="V225" s="33">
        <v>731.02</v>
      </c>
    </row>
    <row r="226" spans="1:22" ht="16.8" x14ac:dyDescent="0.3">
      <c r="A226" s="20">
        <v>22.5</v>
      </c>
      <c r="B226" s="20">
        <v>50</v>
      </c>
      <c r="C226" s="20">
        <v>50.09</v>
      </c>
      <c r="D226" s="20">
        <v>-0.09</v>
      </c>
      <c r="E226" s="20">
        <v>-0.02</v>
      </c>
      <c r="F226" s="20">
        <v>1078.5999999999999</v>
      </c>
      <c r="Q226" s="33">
        <v>22.5</v>
      </c>
      <c r="R226" s="33">
        <v>50.09</v>
      </c>
      <c r="S226" s="33">
        <v>50</v>
      </c>
      <c r="T226" s="33">
        <v>-0.09</v>
      </c>
      <c r="U226" s="38">
        <v>0.03</v>
      </c>
      <c r="V226" s="33">
        <v>736.24</v>
      </c>
    </row>
    <row r="227" spans="1:22" ht="16.8" x14ac:dyDescent="0.3">
      <c r="A227" s="20">
        <v>22.6</v>
      </c>
      <c r="B227" s="20">
        <v>50</v>
      </c>
      <c r="C227" s="20">
        <v>50.06</v>
      </c>
      <c r="D227" s="20">
        <v>-0.06</v>
      </c>
      <c r="E227" s="20">
        <v>0.02</v>
      </c>
      <c r="F227" s="20">
        <v>1129.98</v>
      </c>
      <c r="Q227" s="33">
        <v>22.6</v>
      </c>
      <c r="R227" s="33">
        <v>50.1</v>
      </c>
      <c r="S227" s="38">
        <v>50</v>
      </c>
      <c r="T227" s="38">
        <v>-0.1</v>
      </c>
      <c r="U227" s="33">
        <v>-0.02</v>
      </c>
      <c r="V227" s="33">
        <v>732.59</v>
      </c>
    </row>
    <row r="228" spans="1:22" ht="16.8" x14ac:dyDescent="0.3">
      <c r="A228" s="20">
        <v>22.7</v>
      </c>
      <c r="B228" s="20">
        <v>50</v>
      </c>
      <c r="C228" s="20">
        <v>50.09</v>
      </c>
      <c r="D228" s="20">
        <v>-0.09</v>
      </c>
      <c r="E228" s="20">
        <v>-0.02</v>
      </c>
      <c r="F228" s="20">
        <v>1078.5999999999999</v>
      </c>
      <c r="Q228" s="33">
        <v>22.7</v>
      </c>
      <c r="R228" s="33">
        <v>50.08</v>
      </c>
      <c r="S228" s="33">
        <v>50</v>
      </c>
      <c r="T228" s="33">
        <v>-0.08</v>
      </c>
      <c r="U228" s="38">
        <v>0.02</v>
      </c>
      <c r="V228" s="33">
        <v>736.93</v>
      </c>
    </row>
    <row r="229" spans="1:22" ht="16.8" x14ac:dyDescent="0.3">
      <c r="A229" s="20">
        <v>22.8</v>
      </c>
      <c r="B229" s="20">
        <v>50</v>
      </c>
      <c r="C229" s="20">
        <v>50.09</v>
      </c>
      <c r="D229" s="20">
        <v>-0.09</v>
      </c>
      <c r="E229" s="20">
        <v>0</v>
      </c>
      <c r="F229" s="20">
        <v>1078.5999999999999</v>
      </c>
      <c r="Q229" s="33">
        <v>22.8</v>
      </c>
      <c r="R229" s="33">
        <v>50.14</v>
      </c>
      <c r="S229" s="33">
        <v>50</v>
      </c>
      <c r="T229" s="38">
        <v>-0.14000000000000001</v>
      </c>
      <c r="U229" s="33">
        <v>-0.06</v>
      </c>
      <c r="V229" s="33">
        <v>725</v>
      </c>
    </row>
    <row r="230" spans="1:22" ht="16.8" x14ac:dyDescent="0.3">
      <c r="A230" s="20">
        <v>22.9</v>
      </c>
      <c r="B230" s="20">
        <v>50</v>
      </c>
      <c r="C230" s="20">
        <v>50.06</v>
      </c>
      <c r="D230" s="20">
        <v>-0.06</v>
      </c>
      <c r="E230" s="20">
        <v>0.03</v>
      </c>
      <c r="F230" s="20">
        <v>1137.8800000000001</v>
      </c>
      <c r="Q230" s="33">
        <v>22.9</v>
      </c>
      <c r="R230" s="33">
        <v>50.08</v>
      </c>
      <c r="S230" s="38">
        <v>50</v>
      </c>
      <c r="T230" s="33">
        <v>-0.08</v>
      </c>
      <c r="U230" s="38">
        <v>0.06</v>
      </c>
      <c r="V230" s="33">
        <v>737.26</v>
      </c>
    </row>
    <row r="231" spans="1:22" ht="16.8" x14ac:dyDescent="0.3">
      <c r="A231" s="20">
        <v>23</v>
      </c>
      <c r="B231" s="20">
        <v>50</v>
      </c>
      <c r="C231" s="20">
        <v>50.08</v>
      </c>
      <c r="D231" s="20">
        <v>-0.08</v>
      </c>
      <c r="E231" s="20">
        <v>-0.02</v>
      </c>
      <c r="F231" s="20">
        <v>1079.56</v>
      </c>
      <c r="Q231" s="33">
        <v>23</v>
      </c>
      <c r="R231" s="33">
        <v>50.11</v>
      </c>
      <c r="S231" s="33">
        <v>50</v>
      </c>
      <c r="T231" s="38">
        <v>-0.11</v>
      </c>
      <c r="U231" s="38">
        <v>-0.03</v>
      </c>
      <c r="V231" s="33">
        <v>730.16</v>
      </c>
    </row>
    <row r="232" spans="1:22" ht="16.8" x14ac:dyDescent="0.3">
      <c r="A232" s="20">
        <v>23.1</v>
      </c>
      <c r="B232" s="20">
        <v>50</v>
      </c>
      <c r="C232" s="20">
        <v>50.07</v>
      </c>
      <c r="D232" s="20">
        <v>-7.0000000000000007E-2</v>
      </c>
      <c r="E232" s="20">
        <v>0.02</v>
      </c>
      <c r="F232" s="20">
        <v>1114.51</v>
      </c>
      <c r="Q232" s="33">
        <v>23.1</v>
      </c>
      <c r="R232" s="33">
        <v>50.13</v>
      </c>
      <c r="S232" s="38">
        <v>50</v>
      </c>
      <c r="T232" s="33">
        <v>-0.13</v>
      </c>
      <c r="U232" s="33">
        <v>-0.02</v>
      </c>
      <c r="V232" s="33">
        <v>727.75</v>
      </c>
    </row>
    <row r="233" spans="1:22" ht="16.8" x14ac:dyDescent="0.3">
      <c r="A233" s="20">
        <v>23.2</v>
      </c>
      <c r="B233" s="20">
        <v>50</v>
      </c>
      <c r="C233" s="20">
        <v>50.08</v>
      </c>
      <c r="D233" s="20">
        <v>-0.08</v>
      </c>
      <c r="E233" s="20">
        <v>-0.02</v>
      </c>
      <c r="F233" s="20">
        <v>1079.56</v>
      </c>
      <c r="Q233" s="33">
        <v>23.2</v>
      </c>
      <c r="R233" s="33">
        <v>50.07</v>
      </c>
      <c r="S233" s="33">
        <v>50</v>
      </c>
      <c r="T233" s="33">
        <v>-7.0000000000000007E-2</v>
      </c>
      <c r="U233" s="38">
        <v>0.06</v>
      </c>
      <c r="V233" s="33">
        <v>737.68</v>
      </c>
    </row>
    <row r="234" spans="1:22" ht="16.8" x14ac:dyDescent="0.3">
      <c r="A234" s="20">
        <v>23.3</v>
      </c>
      <c r="B234" s="20">
        <v>50</v>
      </c>
      <c r="C234" s="20">
        <v>50.06</v>
      </c>
      <c r="D234" s="20">
        <v>-0.06</v>
      </c>
      <c r="E234" s="20">
        <v>0.03</v>
      </c>
      <c r="F234" s="20">
        <v>1138.82</v>
      </c>
      <c r="Q234" s="33">
        <v>23.3</v>
      </c>
      <c r="R234" s="33">
        <v>50.09</v>
      </c>
      <c r="S234" s="38">
        <v>50</v>
      </c>
      <c r="T234" s="38">
        <v>-0.09</v>
      </c>
      <c r="U234" s="33">
        <v>-0.02</v>
      </c>
      <c r="V234" s="33">
        <v>733.58</v>
      </c>
    </row>
    <row r="235" spans="1:22" ht="16.8" x14ac:dyDescent="0.3">
      <c r="A235" s="20">
        <v>23.4</v>
      </c>
      <c r="B235" s="20">
        <v>50</v>
      </c>
      <c r="C235" s="20">
        <v>50.1</v>
      </c>
      <c r="D235" s="20">
        <v>-0.1</v>
      </c>
      <c r="E235" s="20">
        <v>-0.04</v>
      </c>
      <c r="F235" s="20">
        <v>1075.71</v>
      </c>
      <c r="Q235" s="33">
        <v>23.4</v>
      </c>
      <c r="R235" s="33">
        <v>50.11</v>
      </c>
      <c r="S235" s="33">
        <v>50</v>
      </c>
      <c r="T235" s="33">
        <v>-0.11</v>
      </c>
      <c r="U235" s="38">
        <v>-0.02</v>
      </c>
      <c r="V235" s="33">
        <v>729.49</v>
      </c>
    </row>
    <row r="236" spans="1:22" ht="16.8" x14ac:dyDescent="0.3">
      <c r="A236" s="20">
        <v>23.5</v>
      </c>
      <c r="B236" s="20">
        <v>50</v>
      </c>
      <c r="C236" s="20">
        <v>50.08</v>
      </c>
      <c r="D236" s="20">
        <v>-0.08</v>
      </c>
      <c r="E236" s="20">
        <v>0.02</v>
      </c>
      <c r="F236" s="20">
        <v>1110.83</v>
      </c>
      <c r="Q236" s="33">
        <v>23.5</v>
      </c>
      <c r="R236" s="33">
        <v>50.07</v>
      </c>
      <c r="S236" s="38">
        <v>50</v>
      </c>
      <c r="T236" s="38">
        <v>-7.0000000000000007E-2</v>
      </c>
      <c r="U236" s="33">
        <v>0.04</v>
      </c>
      <c r="V236" s="33">
        <v>736.78</v>
      </c>
    </row>
    <row r="237" spans="1:22" ht="16.8" x14ac:dyDescent="0.3">
      <c r="A237" s="20">
        <v>23.6</v>
      </c>
      <c r="B237" s="20">
        <v>50</v>
      </c>
      <c r="C237" s="20">
        <v>50.06</v>
      </c>
      <c r="D237" s="20">
        <v>-0.06</v>
      </c>
      <c r="E237" s="20">
        <v>0.03</v>
      </c>
      <c r="F237" s="20">
        <v>1138.82</v>
      </c>
      <c r="Q237" s="33">
        <v>23.6</v>
      </c>
      <c r="R237" s="33">
        <v>50.07</v>
      </c>
      <c r="S237" s="33">
        <v>50</v>
      </c>
      <c r="T237" s="33">
        <v>-7.0000000000000007E-2</v>
      </c>
      <c r="U237" s="38">
        <v>0</v>
      </c>
      <c r="V237" s="33">
        <v>735.83</v>
      </c>
    </row>
    <row r="238" spans="1:22" ht="16.8" x14ac:dyDescent="0.3">
      <c r="A238" s="20">
        <v>23.7</v>
      </c>
      <c r="B238" s="20">
        <v>50</v>
      </c>
      <c r="C238" s="20">
        <v>50.09</v>
      </c>
      <c r="D238" s="20">
        <v>-0.09</v>
      </c>
      <c r="E238" s="20">
        <v>-0.03</v>
      </c>
      <c r="F238" s="20">
        <v>1078.5999999999999</v>
      </c>
      <c r="Q238" s="33">
        <v>23.7</v>
      </c>
      <c r="R238" s="33">
        <v>50.1</v>
      </c>
      <c r="S238" s="33">
        <v>50</v>
      </c>
      <c r="T238" s="38">
        <v>-0.1</v>
      </c>
      <c r="U238" s="33">
        <v>-0.02</v>
      </c>
      <c r="V238" s="33">
        <v>731.45</v>
      </c>
    </row>
    <row r="239" spans="1:22" ht="16.8" x14ac:dyDescent="0.3">
      <c r="A239" s="20">
        <v>23.8</v>
      </c>
      <c r="B239" s="20">
        <v>50</v>
      </c>
      <c r="C239" s="20">
        <v>50.07</v>
      </c>
      <c r="D239" s="20">
        <v>-7.0000000000000007E-2</v>
      </c>
      <c r="E239" s="20">
        <v>0.02</v>
      </c>
      <c r="F239" s="20">
        <v>1113.5899999999999</v>
      </c>
      <c r="Q239" s="33">
        <v>23.8</v>
      </c>
      <c r="R239" s="33">
        <v>50.08</v>
      </c>
      <c r="S239" s="38">
        <v>50</v>
      </c>
      <c r="T239" s="33">
        <v>-0.08</v>
      </c>
      <c r="U239" s="38">
        <v>0.02</v>
      </c>
      <c r="V239" s="33">
        <v>734.55</v>
      </c>
    </row>
    <row r="240" spans="1:22" ht="16.8" x14ac:dyDescent="0.3">
      <c r="A240" s="20">
        <v>23.9</v>
      </c>
      <c r="B240" s="20">
        <v>50</v>
      </c>
      <c r="C240" s="20">
        <v>50.07</v>
      </c>
      <c r="D240" s="20">
        <v>-7.0000000000000007E-2</v>
      </c>
      <c r="E240" s="20">
        <v>0</v>
      </c>
      <c r="F240" s="20">
        <v>1082.43</v>
      </c>
      <c r="Q240" s="33">
        <v>23.9</v>
      </c>
      <c r="R240" s="33">
        <v>50.08</v>
      </c>
      <c r="S240" s="33">
        <v>50</v>
      </c>
      <c r="T240" s="38">
        <v>-0.08</v>
      </c>
      <c r="U240" s="38">
        <v>0</v>
      </c>
      <c r="V240" s="33">
        <v>734.06</v>
      </c>
    </row>
    <row r="241" spans="1:22" ht="16.8" x14ac:dyDescent="0.3">
      <c r="A241" s="20">
        <v>24</v>
      </c>
      <c r="B241" s="20">
        <v>50</v>
      </c>
      <c r="C241" s="20">
        <v>50.07</v>
      </c>
      <c r="D241" s="20">
        <v>-7.0000000000000007E-2</v>
      </c>
      <c r="E241" s="20">
        <v>0</v>
      </c>
      <c r="F241" s="20">
        <v>1082.43</v>
      </c>
      <c r="Q241" s="33">
        <v>24</v>
      </c>
      <c r="R241" s="33">
        <v>50.1</v>
      </c>
      <c r="S241" s="38">
        <v>50</v>
      </c>
      <c r="T241" s="33">
        <v>-0.1</v>
      </c>
      <c r="U241" s="38">
        <v>-0.02</v>
      </c>
      <c r="V241" s="33">
        <v>729.66</v>
      </c>
    </row>
    <row r="242" spans="1:22" ht="16.8" x14ac:dyDescent="0.3">
      <c r="A242" s="20">
        <v>24.1</v>
      </c>
      <c r="B242" s="20">
        <v>50</v>
      </c>
      <c r="C242" s="20">
        <v>50.07</v>
      </c>
      <c r="D242" s="20">
        <v>-7.0000000000000007E-2</v>
      </c>
      <c r="E242" s="20">
        <v>0</v>
      </c>
      <c r="F242" s="20">
        <v>1082.43</v>
      </c>
      <c r="Q242" s="33">
        <v>24.1</v>
      </c>
      <c r="R242" s="33">
        <v>50.1</v>
      </c>
      <c r="S242" s="33">
        <v>50</v>
      </c>
      <c r="T242" s="38">
        <v>-0.1</v>
      </c>
      <c r="U242" s="33">
        <v>0.01</v>
      </c>
      <c r="V242" s="33">
        <v>731.34</v>
      </c>
    </row>
    <row r="243" spans="1:22" ht="16.8" x14ac:dyDescent="0.3">
      <c r="A243" s="20">
        <v>24.2</v>
      </c>
      <c r="B243" s="20">
        <v>50</v>
      </c>
      <c r="C243" s="20">
        <v>50.08</v>
      </c>
      <c r="D243" s="20">
        <v>-0.08</v>
      </c>
      <c r="E243" s="20">
        <v>-0.01</v>
      </c>
      <c r="F243" s="20">
        <v>1080.52</v>
      </c>
      <c r="Q243" s="33">
        <v>24.2</v>
      </c>
      <c r="R243" s="33">
        <v>50.1</v>
      </c>
      <c r="S243" s="38">
        <v>50</v>
      </c>
      <c r="T243" s="33">
        <v>-0.1</v>
      </c>
      <c r="U243" s="38">
        <v>-0.01</v>
      </c>
      <c r="V243" s="33">
        <v>729.56</v>
      </c>
    </row>
    <row r="244" spans="1:22" ht="16.8" x14ac:dyDescent="0.3">
      <c r="A244" s="20">
        <v>24.3</v>
      </c>
      <c r="B244" s="20">
        <v>50</v>
      </c>
      <c r="C244" s="20">
        <v>50.09</v>
      </c>
      <c r="D244" s="20">
        <v>-0.09</v>
      </c>
      <c r="E244" s="20">
        <v>-0.01</v>
      </c>
      <c r="F244" s="20">
        <v>1077.6300000000001</v>
      </c>
      <c r="Q244" s="33">
        <v>24.3</v>
      </c>
      <c r="R244" s="33">
        <v>50.1</v>
      </c>
      <c r="S244" s="33">
        <v>50</v>
      </c>
      <c r="T244" s="33">
        <v>-0.1</v>
      </c>
      <c r="U244" s="33">
        <v>0</v>
      </c>
      <c r="V244" s="33">
        <v>729.51</v>
      </c>
    </row>
    <row r="245" spans="1:22" ht="16.8" x14ac:dyDescent="0.3">
      <c r="A245" s="20">
        <v>24.4</v>
      </c>
      <c r="B245" s="20">
        <v>50</v>
      </c>
      <c r="C245" s="20">
        <v>50.09</v>
      </c>
      <c r="D245" s="20">
        <v>-0.09</v>
      </c>
      <c r="E245" s="20">
        <v>0</v>
      </c>
      <c r="F245" s="20">
        <v>1086.69</v>
      </c>
      <c r="Q245" s="33">
        <v>24.4</v>
      </c>
      <c r="R245" s="33">
        <v>50.11</v>
      </c>
      <c r="S245" s="38">
        <v>50</v>
      </c>
      <c r="T245" s="38">
        <v>-0.11</v>
      </c>
      <c r="U245" s="38">
        <v>-0.01</v>
      </c>
      <c r="V245" s="33">
        <v>727.88</v>
      </c>
    </row>
    <row r="246" spans="1:22" ht="16.8" x14ac:dyDescent="0.3">
      <c r="A246" s="20">
        <v>24.5</v>
      </c>
      <c r="B246" s="20">
        <v>50</v>
      </c>
      <c r="C246" s="20">
        <v>50.09</v>
      </c>
      <c r="D246" s="20">
        <v>-0.09</v>
      </c>
      <c r="E246" s="20">
        <v>0</v>
      </c>
      <c r="F246" s="20">
        <v>1077.6300000000001</v>
      </c>
      <c r="Q246" s="33">
        <v>24.5</v>
      </c>
      <c r="R246" s="33">
        <v>50.08</v>
      </c>
      <c r="S246" s="33">
        <v>50</v>
      </c>
      <c r="T246" s="33">
        <v>-0.08</v>
      </c>
      <c r="U246" s="33">
        <v>0.03</v>
      </c>
      <c r="V246" s="33">
        <v>733.44</v>
      </c>
    </row>
    <row r="247" spans="1:22" ht="16.8" x14ac:dyDescent="0.3">
      <c r="A247" s="20">
        <v>24.6</v>
      </c>
      <c r="B247" s="20">
        <v>50</v>
      </c>
      <c r="C247" s="20">
        <v>50.08</v>
      </c>
      <c r="D247" s="20">
        <v>-0.08</v>
      </c>
      <c r="E247" s="20">
        <v>0.01</v>
      </c>
      <c r="F247" s="20">
        <v>1104.21</v>
      </c>
      <c r="Q247" s="33">
        <v>24.6</v>
      </c>
      <c r="R247" s="33">
        <v>50.02</v>
      </c>
      <c r="S247" s="38">
        <v>50</v>
      </c>
      <c r="T247" s="38">
        <v>-0.02</v>
      </c>
      <c r="U247" s="38">
        <v>0.06</v>
      </c>
      <c r="V247" s="33">
        <v>743.91</v>
      </c>
    </row>
    <row r="248" spans="1:22" ht="16.8" x14ac:dyDescent="0.3">
      <c r="A248" s="20">
        <v>24.7</v>
      </c>
      <c r="B248" s="20">
        <v>50</v>
      </c>
      <c r="C248" s="20">
        <v>50.1</v>
      </c>
      <c r="D248" s="20">
        <v>-0.1</v>
      </c>
      <c r="E248" s="20">
        <v>-0.02</v>
      </c>
      <c r="F248" s="20">
        <v>1074.76</v>
      </c>
      <c r="Q248" s="33">
        <v>24.7</v>
      </c>
      <c r="R248" s="33">
        <v>50.1</v>
      </c>
      <c r="S248" s="33">
        <v>50</v>
      </c>
      <c r="T248" s="33">
        <v>-0.1</v>
      </c>
      <c r="U248" s="38">
        <v>-0.08</v>
      </c>
      <c r="V248" s="33">
        <v>728.49</v>
      </c>
    </row>
    <row r="249" spans="1:22" ht="16.8" x14ac:dyDescent="0.3">
      <c r="A249" s="20">
        <v>24.8</v>
      </c>
      <c r="B249" s="20">
        <v>50</v>
      </c>
      <c r="C249" s="20">
        <v>50.1</v>
      </c>
      <c r="D249" s="20">
        <v>-0.1</v>
      </c>
      <c r="E249" s="20">
        <v>0.01</v>
      </c>
      <c r="F249" s="20">
        <v>1092.73</v>
      </c>
      <c r="Q249" s="33">
        <v>24.8</v>
      </c>
      <c r="R249" s="33">
        <v>50.09</v>
      </c>
      <c r="S249" s="38">
        <v>50</v>
      </c>
      <c r="T249" s="38">
        <v>-0.09</v>
      </c>
      <c r="U249" s="33">
        <v>0.01</v>
      </c>
      <c r="V249" s="33">
        <v>731.31</v>
      </c>
    </row>
    <row r="250" spans="1:22" ht="16.8" x14ac:dyDescent="0.3">
      <c r="A250" s="20">
        <v>24.9</v>
      </c>
      <c r="B250" s="20">
        <v>50</v>
      </c>
      <c r="C250" s="20">
        <v>50.12</v>
      </c>
      <c r="D250" s="20">
        <v>-0.12</v>
      </c>
      <c r="E250" s="20">
        <v>-0.02</v>
      </c>
      <c r="F250" s="20">
        <v>1070.97</v>
      </c>
      <c r="Q250" s="33">
        <v>24.9</v>
      </c>
      <c r="R250" s="33">
        <v>50.06</v>
      </c>
      <c r="S250" s="33">
        <v>50</v>
      </c>
      <c r="T250" s="33">
        <v>-0.06</v>
      </c>
      <c r="U250" s="38">
        <v>0.03</v>
      </c>
      <c r="V250" s="33">
        <v>736.61</v>
      </c>
    </row>
    <row r="251" spans="1:22" ht="16.8" x14ac:dyDescent="0.3">
      <c r="A251" s="20">
        <v>25</v>
      </c>
      <c r="B251" s="20">
        <v>50</v>
      </c>
      <c r="C251" s="20">
        <v>50.09</v>
      </c>
      <c r="D251" s="20">
        <v>-0.09</v>
      </c>
      <c r="E251" s="20">
        <v>0.03</v>
      </c>
      <c r="F251" s="20">
        <v>1130.73</v>
      </c>
      <c r="Q251" s="33">
        <v>25</v>
      </c>
      <c r="R251" s="33">
        <v>50.14</v>
      </c>
      <c r="S251" s="33">
        <v>50</v>
      </c>
      <c r="T251" s="33">
        <v>-0.14000000000000001</v>
      </c>
      <c r="U251" s="38">
        <v>-0.08</v>
      </c>
      <c r="V251" s="33">
        <v>721.74</v>
      </c>
    </row>
    <row r="252" spans="1:22" ht="16.8" x14ac:dyDescent="0.3">
      <c r="A252" s="20">
        <v>25.1</v>
      </c>
      <c r="B252" s="20">
        <v>50</v>
      </c>
      <c r="C252" s="20">
        <v>50.1</v>
      </c>
      <c r="D252" s="20">
        <v>-0.1</v>
      </c>
      <c r="E252" s="20">
        <v>-0.01</v>
      </c>
      <c r="F252" s="20">
        <v>1075.71</v>
      </c>
      <c r="Q252" s="33">
        <v>25.1</v>
      </c>
      <c r="R252" s="33">
        <v>50.06</v>
      </c>
      <c r="S252" s="38">
        <v>50</v>
      </c>
      <c r="T252" s="38">
        <v>-0.06</v>
      </c>
      <c r="U252" s="38">
        <v>0.08</v>
      </c>
      <c r="V252" s="33">
        <v>737.17</v>
      </c>
    </row>
    <row r="253" spans="1:22" ht="16.8" x14ac:dyDescent="0.3">
      <c r="A253" s="20">
        <v>25.2</v>
      </c>
      <c r="B253" s="20">
        <v>50</v>
      </c>
      <c r="C253" s="20">
        <v>50.12</v>
      </c>
      <c r="D253" s="20">
        <v>-0.12</v>
      </c>
      <c r="E253" s="20">
        <v>-0.02</v>
      </c>
      <c r="F253" s="20">
        <v>1070.02</v>
      </c>
      <c r="Q253" s="33">
        <v>25.2</v>
      </c>
      <c r="R253" s="33">
        <v>50.06</v>
      </c>
      <c r="S253" s="33">
        <v>50</v>
      </c>
      <c r="T253" s="33">
        <v>-0.06</v>
      </c>
      <c r="U253" s="38">
        <v>-0.01</v>
      </c>
      <c r="V253" s="33">
        <v>734.03</v>
      </c>
    </row>
    <row r="254" spans="1:22" ht="16.8" x14ac:dyDescent="0.3">
      <c r="A254" s="20">
        <v>25.3</v>
      </c>
      <c r="B254" s="20">
        <v>50</v>
      </c>
      <c r="C254" s="20">
        <v>50.1</v>
      </c>
      <c r="D254" s="20">
        <v>-0.1</v>
      </c>
      <c r="E254" s="20">
        <v>0.02</v>
      </c>
      <c r="F254" s="20">
        <v>1121.8399999999999</v>
      </c>
      <c r="Q254" s="33">
        <v>25.3</v>
      </c>
      <c r="R254" s="33">
        <v>50.03</v>
      </c>
      <c r="S254" s="38">
        <v>50</v>
      </c>
      <c r="T254" s="38">
        <v>-0.03</v>
      </c>
      <c r="U254" s="38">
        <v>0.03</v>
      </c>
      <c r="V254" s="33">
        <v>739.7</v>
      </c>
    </row>
    <row r="255" spans="1:22" ht="16.8" x14ac:dyDescent="0.3">
      <c r="A255" s="20">
        <v>25.4</v>
      </c>
      <c r="B255" s="20">
        <v>50</v>
      </c>
      <c r="C255" s="20">
        <v>50.08</v>
      </c>
      <c r="D255" s="20">
        <v>-0.08</v>
      </c>
      <c r="E255" s="20">
        <v>0.02</v>
      </c>
      <c r="F255" s="20">
        <v>1127.24</v>
      </c>
      <c r="Q255" s="33">
        <v>25.4</v>
      </c>
      <c r="R255" s="33">
        <v>50.04</v>
      </c>
      <c r="S255" s="33">
        <v>50</v>
      </c>
      <c r="T255" s="33">
        <v>-0.04</v>
      </c>
      <c r="U255" s="38">
        <v>-0.01</v>
      </c>
      <c r="V255" s="33">
        <v>737.58</v>
      </c>
    </row>
    <row r="256" spans="1:22" ht="16.8" x14ac:dyDescent="0.3">
      <c r="A256" s="20">
        <v>25.5</v>
      </c>
      <c r="B256" s="20">
        <v>50</v>
      </c>
      <c r="C256" s="20">
        <v>50.11</v>
      </c>
      <c r="D256" s="20">
        <v>-0.11</v>
      </c>
      <c r="E256" s="20">
        <v>-0.03</v>
      </c>
      <c r="F256" s="20">
        <v>1073.82</v>
      </c>
      <c r="Q256" s="33">
        <v>25.5</v>
      </c>
      <c r="R256" s="33">
        <v>50.06</v>
      </c>
      <c r="S256" s="38">
        <v>50</v>
      </c>
      <c r="T256" s="38">
        <v>-0.06</v>
      </c>
      <c r="U256" s="38">
        <v>-0.02</v>
      </c>
      <c r="V256" s="33">
        <v>733.43</v>
      </c>
    </row>
    <row r="257" spans="1:22" ht="16.8" x14ac:dyDescent="0.3">
      <c r="A257" s="20">
        <v>25.6</v>
      </c>
      <c r="B257" s="20">
        <v>50</v>
      </c>
      <c r="C257" s="20">
        <v>50.1</v>
      </c>
      <c r="D257" s="20">
        <v>-0.1</v>
      </c>
      <c r="E257" s="20">
        <v>0.01</v>
      </c>
      <c r="F257" s="20">
        <v>1091.79</v>
      </c>
      <c r="Q257" s="33">
        <v>25.6</v>
      </c>
      <c r="R257" s="33">
        <v>50.06</v>
      </c>
      <c r="S257" s="33">
        <v>50</v>
      </c>
      <c r="T257" s="33">
        <v>-0.06</v>
      </c>
      <c r="U257" s="38">
        <v>0.01</v>
      </c>
      <c r="V257" s="33">
        <v>735.19</v>
      </c>
    </row>
    <row r="258" spans="1:22" ht="16.8" x14ac:dyDescent="0.3">
      <c r="A258" s="20">
        <v>25.7</v>
      </c>
      <c r="B258" s="20">
        <v>50</v>
      </c>
      <c r="C258" s="20">
        <v>50.1</v>
      </c>
      <c r="D258" s="20">
        <v>-0.1</v>
      </c>
      <c r="E258" s="20">
        <v>0</v>
      </c>
      <c r="F258" s="20">
        <v>1075.71</v>
      </c>
      <c r="Q258" s="33">
        <v>25.7</v>
      </c>
      <c r="R258" s="33">
        <v>50.06</v>
      </c>
      <c r="S258" s="38">
        <v>50</v>
      </c>
      <c r="T258" s="38">
        <v>-0.06</v>
      </c>
      <c r="U258" s="38">
        <v>0</v>
      </c>
      <c r="V258" s="33">
        <v>734.91</v>
      </c>
    </row>
    <row r="259" spans="1:22" ht="16.8" x14ac:dyDescent="0.3">
      <c r="A259" s="20">
        <v>25.8</v>
      </c>
      <c r="B259" s="20">
        <v>50</v>
      </c>
      <c r="C259" s="20">
        <v>50.07</v>
      </c>
      <c r="D259" s="20">
        <v>-7.0000000000000007E-2</v>
      </c>
      <c r="E259" s="20">
        <v>0.03</v>
      </c>
      <c r="F259" s="20">
        <v>1135.18</v>
      </c>
      <c r="Q259" s="33">
        <v>25.8</v>
      </c>
      <c r="R259" s="33">
        <v>50.11</v>
      </c>
      <c r="S259" s="33">
        <v>50</v>
      </c>
      <c r="T259" s="33">
        <v>-0.11</v>
      </c>
      <c r="U259" s="33">
        <v>-0.06</v>
      </c>
      <c r="V259" s="33">
        <v>724.92</v>
      </c>
    </row>
    <row r="260" spans="1:22" ht="16.8" x14ac:dyDescent="0.3">
      <c r="A260" s="20">
        <v>25.9</v>
      </c>
      <c r="B260" s="20">
        <v>50</v>
      </c>
      <c r="C260" s="20">
        <v>50.07</v>
      </c>
      <c r="D260" s="20">
        <v>-7.0000000000000007E-2</v>
      </c>
      <c r="E260" s="20">
        <v>0</v>
      </c>
      <c r="F260" s="20">
        <v>1082.43</v>
      </c>
      <c r="Q260" s="33">
        <v>25.9</v>
      </c>
      <c r="R260" s="33">
        <v>50.06</v>
      </c>
      <c r="S260" s="38">
        <v>50</v>
      </c>
      <c r="T260" s="38">
        <v>-0.06</v>
      </c>
      <c r="U260" s="38">
        <v>0.06</v>
      </c>
      <c r="V260" s="33">
        <v>735.68</v>
      </c>
    </row>
    <row r="261" spans="1:22" ht="16.8" x14ac:dyDescent="0.3">
      <c r="A261" s="20">
        <v>26</v>
      </c>
      <c r="B261" s="20">
        <v>50</v>
      </c>
      <c r="C261" s="20">
        <v>50.12</v>
      </c>
      <c r="D261" s="20">
        <v>-0.12</v>
      </c>
      <c r="E261" s="20">
        <v>-0.04</v>
      </c>
      <c r="F261" s="20">
        <v>1071.92</v>
      </c>
      <c r="Q261" s="33">
        <v>26</v>
      </c>
      <c r="R261" s="33">
        <v>50.02</v>
      </c>
      <c r="S261" s="33">
        <v>50</v>
      </c>
      <c r="T261" s="33">
        <v>-0.02</v>
      </c>
      <c r="U261" s="33">
        <v>0.03</v>
      </c>
      <c r="V261" s="33">
        <v>740.08</v>
      </c>
    </row>
    <row r="262" spans="1:22" ht="16.8" x14ac:dyDescent="0.3">
      <c r="A262" s="20">
        <v>26.1</v>
      </c>
      <c r="B262" s="20">
        <v>50</v>
      </c>
      <c r="C262" s="20">
        <v>50.08</v>
      </c>
      <c r="D262" s="20">
        <v>-0.08</v>
      </c>
      <c r="E262" s="20">
        <v>0.03</v>
      </c>
      <c r="F262" s="20">
        <v>1139.4100000000001</v>
      </c>
      <c r="Q262" s="33">
        <v>26.1</v>
      </c>
      <c r="R262" s="33">
        <v>50.12</v>
      </c>
      <c r="S262" s="38">
        <v>50</v>
      </c>
      <c r="T262" s="38">
        <v>-0.12</v>
      </c>
      <c r="U262" s="38">
        <v>-0.1</v>
      </c>
      <c r="V262" s="33">
        <v>722.46</v>
      </c>
    </row>
    <row r="263" spans="1:22" ht="16.8" x14ac:dyDescent="0.3">
      <c r="A263" s="20">
        <v>26.2</v>
      </c>
      <c r="B263" s="20">
        <v>50</v>
      </c>
      <c r="C263" s="20">
        <v>50.08</v>
      </c>
      <c r="D263" s="20">
        <v>-0.08</v>
      </c>
      <c r="E263" s="20">
        <v>0</v>
      </c>
      <c r="F263" s="20">
        <v>1079.56</v>
      </c>
      <c r="Q263" s="33">
        <v>26.2</v>
      </c>
      <c r="R263" s="33">
        <v>50.06</v>
      </c>
      <c r="S263" s="33">
        <v>50</v>
      </c>
      <c r="T263" s="33">
        <v>-0.06</v>
      </c>
      <c r="U263" s="38">
        <v>0.06</v>
      </c>
      <c r="V263" s="33">
        <v>734.02</v>
      </c>
    </row>
    <row r="264" spans="1:22" ht="16.8" x14ac:dyDescent="0.3">
      <c r="A264" s="20">
        <v>26.3</v>
      </c>
      <c r="B264" s="20">
        <v>50</v>
      </c>
      <c r="C264" s="20">
        <v>50.11</v>
      </c>
      <c r="D264" s="20">
        <v>-0.11</v>
      </c>
      <c r="E264" s="20">
        <v>-0.02</v>
      </c>
      <c r="F264" s="20">
        <v>1073.82</v>
      </c>
      <c r="Q264" s="33">
        <v>26.3</v>
      </c>
      <c r="R264" s="33">
        <v>50.07</v>
      </c>
      <c r="S264" s="33">
        <v>50</v>
      </c>
      <c r="T264" s="38">
        <v>-7.0000000000000007E-2</v>
      </c>
      <c r="U264" s="38">
        <v>-0.01</v>
      </c>
      <c r="V264" s="33">
        <v>731.34</v>
      </c>
    </row>
    <row r="265" spans="1:22" ht="16.8" x14ac:dyDescent="0.3">
      <c r="A265" s="20">
        <v>26.4</v>
      </c>
      <c r="B265" s="20">
        <v>50</v>
      </c>
      <c r="C265" s="20">
        <v>50.13</v>
      </c>
      <c r="D265" s="20">
        <v>-0.13</v>
      </c>
      <c r="E265" s="20">
        <v>-0.02</v>
      </c>
      <c r="F265" s="20">
        <v>1069.06</v>
      </c>
      <c r="Q265" s="33">
        <v>26.4</v>
      </c>
      <c r="R265" s="33">
        <v>50.08</v>
      </c>
      <c r="S265" s="38">
        <v>50</v>
      </c>
      <c r="T265" s="33">
        <v>-0.08</v>
      </c>
      <c r="U265" s="38">
        <v>-0.01</v>
      </c>
      <c r="V265" s="33">
        <v>729.94</v>
      </c>
    </row>
    <row r="266" spans="1:22" ht="16.8" x14ac:dyDescent="0.3">
      <c r="A266" s="20">
        <v>26.5</v>
      </c>
      <c r="B266" s="20">
        <v>50</v>
      </c>
      <c r="C266" s="20">
        <v>50.11</v>
      </c>
      <c r="D266" s="20">
        <v>-0.11</v>
      </c>
      <c r="E266" s="20">
        <v>0.02</v>
      </c>
      <c r="F266" s="20">
        <v>1112.8399999999999</v>
      </c>
      <c r="Q266" s="33">
        <v>26.5</v>
      </c>
      <c r="R266" s="33">
        <v>50.07</v>
      </c>
      <c r="S266" s="33">
        <v>50</v>
      </c>
      <c r="T266" s="38">
        <v>-7.0000000000000007E-2</v>
      </c>
      <c r="U266" s="38">
        <v>0.01</v>
      </c>
      <c r="V266" s="33">
        <v>731.35</v>
      </c>
    </row>
    <row r="267" spans="1:22" ht="16.8" x14ac:dyDescent="0.3">
      <c r="A267" s="20">
        <v>26.6</v>
      </c>
      <c r="B267" s="20">
        <v>50</v>
      </c>
      <c r="C267" s="20">
        <v>50.13</v>
      </c>
      <c r="D267" s="20">
        <v>-0.13</v>
      </c>
      <c r="E267" s="20">
        <v>-0.02</v>
      </c>
      <c r="F267" s="20">
        <v>1069.06</v>
      </c>
      <c r="Q267" s="33">
        <v>26.6</v>
      </c>
      <c r="R267" s="33">
        <v>50.07</v>
      </c>
      <c r="S267" s="38">
        <v>50</v>
      </c>
      <c r="T267" s="33">
        <v>-7.0000000000000007E-2</v>
      </c>
      <c r="U267" s="38">
        <v>0</v>
      </c>
      <c r="V267" s="33">
        <v>731.03</v>
      </c>
    </row>
    <row r="268" spans="1:22" ht="16.8" x14ac:dyDescent="0.3">
      <c r="A268" s="20">
        <v>26.7</v>
      </c>
      <c r="B268" s="20">
        <v>50</v>
      </c>
      <c r="C268" s="20">
        <v>50.09</v>
      </c>
      <c r="D268" s="20">
        <v>-0.09</v>
      </c>
      <c r="E268" s="20">
        <v>0.04</v>
      </c>
      <c r="F268" s="20">
        <v>1144.43</v>
      </c>
      <c r="Q268" s="33">
        <v>26.7</v>
      </c>
      <c r="R268" s="33">
        <v>50.06</v>
      </c>
      <c r="S268" s="33">
        <v>50</v>
      </c>
      <c r="T268" s="38">
        <v>-0.06</v>
      </c>
      <c r="U268" s="33">
        <v>0.01</v>
      </c>
      <c r="V268" s="33">
        <v>732.29</v>
      </c>
    </row>
    <row r="269" spans="1:22" ht="16.8" x14ac:dyDescent="0.3">
      <c r="A269" s="20">
        <v>26.8</v>
      </c>
      <c r="B269" s="20">
        <v>50</v>
      </c>
      <c r="C269" s="20">
        <v>50.1</v>
      </c>
      <c r="D269" s="20">
        <v>-0.1</v>
      </c>
      <c r="E269" s="20">
        <v>0</v>
      </c>
      <c r="F269" s="20">
        <v>1076.67</v>
      </c>
      <c r="Q269" s="33">
        <v>26.8</v>
      </c>
      <c r="R269" s="33">
        <v>50.04</v>
      </c>
      <c r="S269" s="38">
        <v>50</v>
      </c>
      <c r="T269" s="33">
        <v>-0.04</v>
      </c>
      <c r="U269" s="38">
        <v>0.02</v>
      </c>
      <c r="V269" s="33">
        <v>736.23</v>
      </c>
    </row>
    <row r="270" spans="1:22" ht="16.8" x14ac:dyDescent="0.3">
      <c r="A270" s="20">
        <v>26.9</v>
      </c>
      <c r="B270" s="20">
        <v>50</v>
      </c>
      <c r="C270" s="20">
        <v>50.12</v>
      </c>
      <c r="D270" s="20">
        <v>-0.12</v>
      </c>
      <c r="E270" s="20">
        <v>-0.02</v>
      </c>
      <c r="F270" s="20">
        <v>1070.97</v>
      </c>
      <c r="Q270" s="33">
        <v>26.9</v>
      </c>
      <c r="R270" s="33">
        <v>50.08</v>
      </c>
      <c r="S270" s="33">
        <v>50</v>
      </c>
      <c r="T270" s="38">
        <v>-0.08</v>
      </c>
      <c r="U270" s="33">
        <v>-0.04</v>
      </c>
      <c r="V270" s="33">
        <v>728.61</v>
      </c>
    </row>
    <row r="271" spans="1:22" ht="16.8" x14ac:dyDescent="0.3">
      <c r="A271" s="20">
        <v>27</v>
      </c>
      <c r="B271" s="20">
        <v>50</v>
      </c>
      <c r="C271" s="20">
        <v>50.12</v>
      </c>
      <c r="D271" s="20">
        <v>-0.12</v>
      </c>
      <c r="E271" s="20">
        <v>0</v>
      </c>
      <c r="F271" s="20">
        <v>1070.02</v>
      </c>
      <c r="Q271" s="33">
        <v>27</v>
      </c>
      <c r="R271" s="33">
        <v>50.08</v>
      </c>
      <c r="S271" s="38">
        <v>50</v>
      </c>
      <c r="T271" s="33">
        <v>-0.08</v>
      </c>
      <c r="U271" s="38">
        <v>0</v>
      </c>
      <c r="V271" s="33">
        <v>729.25</v>
      </c>
    </row>
    <row r="272" spans="1:22" ht="16.8" x14ac:dyDescent="0.3">
      <c r="A272" s="20">
        <v>27.1</v>
      </c>
      <c r="B272" s="20">
        <v>50</v>
      </c>
      <c r="C272" s="20">
        <v>50.09</v>
      </c>
      <c r="D272" s="20">
        <v>-0.09</v>
      </c>
      <c r="E272" s="20">
        <v>0.03</v>
      </c>
      <c r="F272" s="20">
        <v>1137.6400000000001</v>
      </c>
      <c r="Q272" s="33">
        <v>27.1</v>
      </c>
      <c r="R272" s="33">
        <v>50.06</v>
      </c>
      <c r="S272" s="33">
        <v>50</v>
      </c>
      <c r="T272" s="33">
        <v>-0.06</v>
      </c>
      <c r="U272" s="33">
        <v>0.02</v>
      </c>
      <c r="V272" s="33">
        <v>731.9</v>
      </c>
    </row>
    <row r="273" spans="1:22" ht="16.8" x14ac:dyDescent="0.3">
      <c r="A273" s="20">
        <v>27.2</v>
      </c>
      <c r="B273" s="20">
        <v>50</v>
      </c>
      <c r="C273" s="20">
        <v>50.1</v>
      </c>
      <c r="D273" s="20">
        <v>-0.1</v>
      </c>
      <c r="E273" s="20">
        <v>-0.01</v>
      </c>
      <c r="F273" s="20">
        <v>1075.71</v>
      </c>
      <c r="Q273" s="33">
        <v>27.2</v>
      </c>
      <c r="R273" s="33">
        <v>50.1</v>
      </c>
      <c r="S273" s="38">
        <v>50</v>
      </c>
      <c r="T273" s="38">
        <v>-0.1</v>
      </c>
      <c r="U273" s="38">
        <v>-0.03</v>
      </c>
      <c r="V273" s="33">
        <v>725.81</v>
      </c>
    </row>
    <row r="274" spans="1:22" ht="16.8" x14ac:dyDescent="0.3">
      <c r="A274" s="20">
        <v>27.3</v>
      </c>
      <c r="B274" s="20">
        <v>50</v>
      </c>
      <c r="C274" s="20">
        <v>50.1</v>
      </c>
      <c r="D274" s="20">
        <v>-0.1</v>
      </c>
      <c r="E274" s="20">
        <v>0</v>
      </c>
      <c r="F274" s="20">
        <v>1075.71</v>
      </c>
      <c r="Q274" s="33">
        <v>27.3</v>
      </c>
      <c r="R274" s="33">
        <v>50.09</v>
      </c>
      <c r="S274" s="33">
        <v>50</v>
      </c>
      <c r="T274" s="33">
        <v>-0.09</v>
      </c>
      <c r="U274" s="33">
        <v>0.01</v>
      </c>
      <c r="V274" s="33">
        <v>727.66</v>
      </c>
    </row>
    <row r="275" spans="1:22" ht="16.8" x14ac:dyDescent="0.3">
      <c r="A275" s="20">
        <v>27.4</v>
      </c>
      <c r="B275" s="20">
        <v>50</v>
      </c>
      <c r="C275" s="20">
        <v>50.12</v>
      </c>
      <c r="D275" s="20">
        <v>-0.12</v>
      </c>
      <c r="E275" s="20">
        <v>-0.02</v>
      </c>
      <c r="F275" s="20">
        <v>1070.02</v>
      </c>
      <c r="Q275" s="33">
        <v>27.4</v>
      </c>
      <c r="R275" s="33">
        <v>50.07</v>
      </c>
      <c r="S275" s="33">
        <v>50</v>
      </c>
      <c r="T275" s="38">
        <v>-7.0000000000000007E-2</v>
      </c>
      <c r="U275" s="38">
        <v>0.02</v>
      </c>
      <c r="V275" s="33">
        <v>730.13</v>
      </c>
    </row>
    <row r="276" spans="1:22" ht="16.8" x14ac:dyDescent="0.3">
      <c r="A276" s="20">
        <v>27.5</v>
      </c>
      <c r="B276" s="20">
        <v>50</v>
      </c>
      <c r="C276" s="20">
        <v>50.1</v>
      </c>
      <c r="D276" s="20">
        <v>-0.1</v>
      </c>
      <c r="E276" s="20">
        <v>0.02</v>
      </c>
      <c r="F276" s="20">
        <v>1121.8399999999999</v>
      </c>
      <c r="Q276" s="33">
        <v>27.5</v>
      </c>
      <c r="R276" s="33">
        <v>50.08</v>
      </c>
      <c r="S276" s="38">
        <v>50</v>
      </c>
      <c r="T276" s="33">
        <v>-0.08</v>
      </c>
      <c r="U276" s="38">
        <v>-0.01</v>
      </c>
      <c r="V276" s="33">
        <v>728.25</v>
      </c>
    </row>
    <row r="277" spans="1:22" ht="16.8" x14ac:dyDescent="0.3">
      <c r="A277" s="20">
        <v>27.6</v>
      </c>
      <c r="B277" s="20">
        <v>50</v>
      </c>
      <c r="C277" s="20">
        <v>50.13</v>
      </c>
      <c r="D277" s="20">
        <v>-0.13</v>
      </c>
      <c r="E277" s="20">
        <v>-0.03</v>
      </c>
      <c r="F277" s="20">
        <v>1069.06</v>
      </c>
      <c r="Q277" s="33">
        <v>27.6</v>
      </c>
      <c r="R277" s="33">
        <v>50.06</v>
      </c>
      <c r="S277" s="33">
        <v>50</v>
      </c>
      <c r="T277" s="38">
        <v>-0.06</v>
      </c>
      <c r="U277" s="38">
        <v>0.02</v>
      </c>
      <c r="V277" s="33">
        <v>732.48</v>
      </c>
    </row>
    <row r="278" spans="1:22" ht="16.8" x14ac:dyDescent="0.3">
      <c r="A278" s="20">
        <v>27.7</v>
      </c>
      <c r="B278" s="20">
        <v>50</v>
      </c>
      <c r="C278" s="20">
        <v>50.11</v>
      </c>
      <c r="D278" s="20">
        <v>-0.11</v>
      </c>
      <c r="E278" s="20">
        <v>0.02</v>
      </c>
      <c r="F278" s="20">
        <v>1104.46</v>
      </c>
      <c r="Q278" s="33">
        <v>27.7</v>
      </c>
      <c r="R278" s="33">
        <v>50.12</v>
      </c>
      <c r="S278" s="38">
        <v>50</v>
      </c>
      <c r="T278" s="33">
        <v>-0.12</v>
      </c>
      <c r="U278" s="38">
        <v>-0.06</v>
      </c>
      <c r="V278" s="33">
        <v>720.59</v>
      </c>
    </row>
    <row r="279" spans="1:22" ht="16.8" x14ac:dyDescent="0.3">
      <c r="A279" s="20">
        <v>27.8</v>
      </c>
      <c r="B279" s="20">
        <v>50</v>
      </c>
      <c r="C279" s="20">
        <v>50.12</v>
      </c>
      <c r="D279" s="20">
        <v>-0.12</v>
      </c>
      <c r="E279" s="20">
        <v>-0.01</v>
      </c>
      <c r="F279" s="20">
        <v>1070.02</v>
      </c>
      <c r="Q279" s="33">
        <v>27.8</v>
      </c>
      <c r="R279" s="33">
        <v>50.04</v>
      </c>
      <c r="S279" s="33">
        <v>50</v>
      </c>
      <c r="T279" s="38">
        <v>-0.04</v>
      </c>
      <c r="U279" s="33">
        <v>0.08</v>
      </c>
      <c r="V279" s="33">
        <v>735.73</v>
      </c>
    </row>
    <row r="280" spans="1:22" ht="16.8" x14ac:dyDescent="0.3">
      <c r="A280" s="20">
        <v>27.9</v>
      </c>
      <c r="B280" s="20">
        <v>50</v>
      </c>
      <c r="C280" s="20">
        <v>50.12</v>
      </c>
      <c r="D280" s="20">
        <v>-0.12</v>
      </c>
      <c r="E280" s="20">
        <v>0</v>
      </c>
      <c r="F280" s="20">
        <v>1079.1500000000001</v>
      </c>
      <c r="Q280" s="33">
        <v>27.9</v>
      </c>
      <c r="R280" s="33">
        <v>50.06</v>
      </c>
      <c r="S280" s="38">
        <v>50</v>
      </c>
      <c r="T280" s="33">
        <v>-0.06</v>
      </c>
      <c r="U280" s="38">
        <v>-0.02</v>
      </c>
      <c r="V280" s="33">
        <v>731.22</v>
      </c>
    </row>
    <row r="281" spans="1:22" ht="16.8" x14ac:dyDescent="0.3">
      <c r="A281" s="20">
        <v>28</v>
      </c>
      <c r="B281" s="20">
        <v>50</v>
      </c>
      <c r="C281" s="20">
        <v>50.06</v>
      </c>
      <c r="D281" s="20">
        <v>-0.06</v>
      </c>
      <c r="E281" s="20">
        <v>0.06</v>
      </c>
      <c r="F281" s="20">
        <v>1182.51</v>
      </c>
      <c r="Q281" s="33">
        <v>28</v>
      </c>
      <c r="R281" s="33">
        <v>50.06</v>
      </c>
      <c r="S281" s="33">
        <v>50</v>
      </c>
      <c r="T281" s="33">
        <v>-0.06</v>
      </c>
      <c r="U281" s="33">
        <v>-0.01</v>
      </c>
      <c r="V281" s="33">
        <v>730.01</v>
      </c>
    </row>
    <row r="282" spans="1:22" ht="16.8" x14ac:dyDescent="0.3">
      <c r="A282" s="20">
        <v>28.1</v>
      </c>
      <c r="B282" s="20">
        <v>50</v>
      </c>
      <c r="C282" s="20">
        <v>50.08</v>
      </c>
      <c r="D282" s="20">
        <v>-0.08</v>
      </c>
      <c r="E282" s="20">
        <v>-0.02</v>
      </c>
      <c r="F282" s="20">
        <v>1079.56</v>
      </c>
      <c r="Q282" s="33">
        <v>28.1</v>
      </c>
      <c r="R282" s="33">
        <v>50.08</v>
      </c>
      <c r="S282" s="38">
        <v>50</v>
      </c>
      <c r="T282" s="38">
        <v>-0.08</v>
      </c>
      <c r="U282" s="38">
        <v>-0.02</v>
      </c>
      <c r="V282" s="33">
        <v>727.22</v>
      </c>
    </row>
    <row r="283" spans="1:22" ht="16.8" x14ac:dyDescent="0.3">
      <c r="A283" s="20">
        <v>28.2</v>
      </c>
      <c r="B283" s="20">
        <v>50</v>
      </c>
      <c r="C283" s="20">
        <v>50.1</v>
      </c>
      <c r="D283" s="20">
        <v>-0.1</v>
      </c>
      <c r="E283" s="20">
        <v>-0.01</v>
      </c>
      <c r="F283" s="20">
        <v>1076.67</v>
      </c>
      <c r="Q283" s="33">
        <v>28.2</v>
      </c>
      <c r="R283" s="33">
        <v>50.1</v>
      </c>
      <c r="S283" s="33">
        <v>50</v>
      </c>
      <c r="T283" s="33">
        <v>-0.1</v>
      </c>
      <c r="U283" s="38">
        <v>-0.02</v>
      </c>
      <c r="V283" s="33">
        <v>723.14</v>
      </c>
    </row>
    <row r="284" spans="1:22" ht="16.8" x14ac:dyDescent="0.3">
      <c r="A284" s="20">
        <v>28.3</v>
      </c>
      <c r="B284" s="20">
        <v>50</v>
      </c>
      <c r="C284" s="20">
        <v>50.07</v>
      </c>
      <c r="D284" s="20">
        <v>-7.0000000000000007E-2</v>
      </c>
      <c r="E284" s="20">
        <v>0.02</v>
      </c>
      <c r="F284" s="20">
        <v>1128.1400000000001</v>
      </c>
      <c r="Q284" s="33">
        <v>28.3</v>
      </c>
      <c r="R284" s="33">
        <v>50.02</v>
      </c>
      <c r="S284" s="38">
        <v>50</v>
      </c>
      <c r="T284" s="38">
        <v>-0.02</v>
      </c>
      <c r="U284" s="38">
        <v>0.09</v>
      </c>
      <c r="V284" s="33">
        <v>738.92</v>
      </c>
    </row>
    <row r="285" spans="1:22" ht="16.8" x14ac:dyDescent="0.3">
      <c r="A285" s="20">
        <v>28.4</v>
      </c>
      <c r="B285" s="20">
        <v>50</v>
      </c>
      <c r="C285" s="20">
        <v>50.1</v>
      </c>
      <c r="D285" s="20">
        <v>-0.1</v>
      </c>
      <c r="E285" s="20">
        <v>-0.03</v>
      </c>
      <c r="F285" s="20">
        <v>1075.71</v>
      </c>
      <c r="Q285" s="33">
        <v>28.4</v>
      </c>
      <c r="R285" s="33">
        <v>50.06</v>
      </c>
      <c r="S285" s="33">
        <v>50</v>
      </c>
      <c r="T285" s="33">
        <v>-0.06</v>
      </c>
      <c r="U285" s="38">
        <v>-0.04</v>
      </c>
      <c r="V285" s="33">
        <v>730.06</v>
      </c>
    </row>
    <row r="286" spans="1:22" ht="16.8" x14ac:dyDescent="0.3">
      <c r="A286" s="20">
        <v>28.5</v>
      </c>
      <c r="B286" s="20">
        <v>50</v>
      </c>
      <c r="C286" s="20">
        <v>50.12</v>
      </c>
      <c r="D286" s="20">
        <v>-0.12</v>
      </c>
      <c r="E286" s="20">
        <v>-0.02</v>
      </c>
      <c r="F286" s="20">
        <v>1070.97</v>
      </c>
      <c r="Q286" s="33">
        <v>28.5</v>
      </c>
      <c r="R286" s="33">
        <v>50.09</v>
      </c>
      <c r="S286" s="33">
        <v>50</v>
      </c>
      <c r="T286" s="38">
        <v>-0.09</v>
      </c>
      <c r="U286" s="38">
        <v>-0.03</v>
      </c>
      <c r="V286" s="33">
        <v>725.11</v>
      </c>
    </row>
    <row r="287" spans="1:22" ht="16.8" x14ac:dyDescent="0.3">
      <c r="A287" s="20">
        <v>28.6</v>
      </c>
      <c r="B287" s="20">
        <v>50</v>
      </c>
      <c r="C287" s="20">
        <v>50.07</v>
      </c>
      <c r="D287" s="20">
        <v>-7.0000000000000007E-2</v>
      </c>
      <c r="E287" s="20">
        <v>0.05</v>
      </c>
      <c r="F287" s="20">
        <v>1168.2</v>
      </c>
      <c r="Q287" s="33">
        <v>28.6</v>
      </c>
      <c r="R287" s="33">
        <v>50.06</v>
      </c>
      <c r="S287" s="38">
        <v>50</v>
      </c>
      <c r="T287" s="33">
        <v>-0.06</v>
      </c>
      <c r="U287" s="38">
        <v>0.02</v>
      </c>
      <c r="V287" s="33">
        <v>729.8</v>
      </c>
    </row>
    <row r="288" spans="1:22" ht="16.8" x14ac:dyDescent="0.3">
      <c r="A288" s="20">
        <v>28.7</v>
      </c>
      <c r="B288" s="20">
        <v>50</v>
      </c>
      <c r="C288" s="20">
        <v>50.11</v>
      </c>
      <c r="D288" s="20">
        <v>-0.11</v>
      </c>
      <c r="E288" s="20">
        <v>-0.04</v>
      </c>
      <c r="F288" s="20">
        <v>1073.82</v>
      </c>
      <c r="Q288" s="33">
        <v>28.7</v>
      </c>
      <c r="R288" s="33">
        <v>50.06</v>
      </c>
      <c r="S288" s="33">
        <v>50</v>
      </c>
      <c r="T288" s="38">
        <v>-0.06</v>
      </c>
      <c r="U288" s="38">
        <v>0.01</v>
      </c>
      <c r="V288" s="33">
        <v>730.6</v>
      </c>
    </row>
    <row r="289" spans="1:22" ht="16.8" x14ac:dyDescent="0.3">
      <c r="A289" s="20">
        <v>28.8</v>
      </c>
      <c r="B289" s="20">
        <v>50</v>
      </c>
      <c r="C289" s="20">
        <v>50.08</v>
      </c>
      <c r="D289" s="20">
        <v>-0.08</v>
      </c>
      <c r="E289" s="20">
        <v>0.02</v>
      </c>
      <c r="F289" s="20">
        <v>1125.44</v>
      </c>
      <c r="Q289" s="33">
        <v>28.8</v>
      </c>
      <c r="R289" s="33">
        <v>50.06</v>
      </c>
      <c r="S289" s="38">
        <v>50</v>
      </c>
      <c r="T289" s="33">
        <v>-0.06</v>
      </c>
      <c r="U289" s="33">
        <v>0</v>
      </c>
      <c r="V289" s="33">
        <v>730.32</v>
      </c>
    </row>
    <row r="290" spans="1:22" ht="16.8" x14ac:dyDescent="0.3">
      <c r="A290" s="20">
        <v>28.9</v>
      </c>
      <c r="B290" s="20">
        <v>50</v>
      </c>
      <c r="C290" s="20">
        <v>50.1</v>
      </c>
      <c r="D290" s="20">
        <v>-0.1</v>
      </c>
      <c r="E290" s="20">
        <v>-0.02</v>
      </c>
      <c r="F290" s="20">
        <v>1074.76</v>
      </c>
      <c r="Q290" s="33">
        <v>28.9</v>
      </c>
      <c r="R290" s="33">
        <v>50.09</v>
      </c>
      <c r="S290" s="33">
        <v>50</v>
      </c>
      <c r="T290" s="38">
        <v>-0.09</v>
      </c>
      <c r="U290" s="38">
        <v>-0.03</v>
      </c>
      <c r="V290" s="33">
        <v>724.56</v>
      </c>
    </row>
    <row r="291" spans="1:22" ht="16.8" x14ac:dyDescent="0.3">
      <c r="A291" s="20">
        <v>29</v>
      </c>
      <c r="B291" s="20">
        <v>50</v>
      </c>
      <c r="C291" s="20">
        <v>50.1</v>
      </c>
      <c r="D291" s="20">
        <v>-0.1</v>
      </c>
      <c r="E291" s="20">
        <v>0</v>
      </c>
      <c r="F291" s="20">
        <v>1074.76</v>
      </c>
      <c r="Q291" s="33">
        <v>29</v>
      </c>
      <c r="R291" s="33">
        <v>49.98</v>
      </c>
      <c r="S291" s="38">
        <v>50</v>
      </c>
      <c r="T291" s="33">
        <v>0.02</v>
      </c>
      <c r="U291" s="33">
        <v>0.1</v>
      </c>
      <c r="V291" s="33">
        <v>743.35</v>
      </c>
    </row>
    <row r="292" spans="1:22" ht="16.8" x14ac:dyDescent="0.3">
      <c r="A292" s="20">
        <v>29.1</v>
      </c>
      <c r="B292" s="20">
        <v>50</v>
      </c>
      <c r="C292" s="20">
        <v>50.1</v>
      </c>
      <c r="D292" s="20">
        <v>-0.1</v>
      </c>
      <c r="E292" s="20">
        <v>0.01</v>
      </c>
      <c r="F292" s="20">
        <v>1092.73</v>
      </c>
      <c r="Q292" s="33">
        <v>29.1</v>
      </c>
      <c r="R292" s="33">
        <v>50.07</v>
      </c>
      <c r="S292" s="33">
        <v>50</v>
      </c>
      <c r="T292" s="33">
        <v>-7.0000000000000007E-2</v>
      </c>
      <c r="U292" s="38">
        <v>-0.09</v>
      </c>
      <c r="V292" s="33">
        <v>725.78</v>
      </c>
    </row>
    <row r="293" spans="1:22" ht="16.8" x14ac:dyDescent="0.3">
      <c r="A293" s="20">
        <v>29.2</v>
      </c>
      <c r="B293" s="20">
        <v>50</v>
      </c>
      <c r="C293" s="20">
        <v>50.07</v>
      </c>
      <c r="D293" s="20">
        <v>-7.0000000000000007E-2</v>
      </c>
      <c r="E293" s="20">
        <v>0.02</v>
      </c>
      <c r="F293" s="20">
        <v>1128.1400000000001</v>
      </c>
      <c r="Q293" s="33">
        <v>29.2</v>
      </c>
      <c r="R293" s="33">
        <v>50.03</v>
      </c>
      <c r="S293" s="38">
        <v>50</v>
      </c>
      <c r="T293" s="38">
        <v>-0.03</v>
      </c>
      <c r="U293" s="38">
        <v>0.04</v>
      </c>
      <c r="V293" s="33">
        <v>734.45</v>
      </c>
    </row>
    <row r="294" spans="1:22" ht="16.8" x14ac:dyDescent="0.3">
      <c r="A294" s="20">
        <v>29.3</v>
      </c>
      <c r="B294" s="20">
        <v>50</v>
      </c>
      <c r="C294" s="20">
        <v>50.09</v>
      </c>
      <c r="D294" s="20">
        <v>-0.09</v>
      </c>
      <c r="E294" s="20">
        <v>-0.02</v>
      </c>
      <c r="F294" s="20">
        <v>1077.6300000000001</v>
      </c>
      <c r="Q294" s="33">
        <v>29.3</v>
      </c>
      <c r="R294" s="33">
        <v>49.97</v>
      </c>
      <c r="S294" s="33">
        <v>50</v>
      </c>
      <c r="T294" s="33">
        <v>0.03</v>
      </c>
      <c r="U294" s="38">
        <v>0.06</v>
      </c>
      <c r="V294" s="33">
        <v>744.86</v>
      </c>
    </row>
    <row r="295" spans="1:22" ht="16.8" x14ac:dyDescent="0.3">
      <c r="A295" s="20">
        <v>29.4</v>
      </c>
      <c r="B295" s="20">
        <v>50</v>
      </c>
      <c r="C295" s="20">
        <v>50.1</v>
      </c>
      <c r="D295" s="20">
        <v>-0.1</v>
      </c>
      <c r="E295" s="20">
        <v>-0.01</v>
      </c>
      <c r="F295" s="20">
        <v>1075.71</v>
      </c>
      <c r="Q295" s="33">
        <v>29.4</v>
      </c>
      <c r="R295" s="33">
        <v>50.1</v>
      </c>
      <c r="S295" s="33">
        <v>50</v>
      </c>
      <c r="T295" s="38">
        <v>-0.1</v>
      </c>
      <c r="U295" s="38">
        <v>-0.13</v>
      </c>
      <c r="V295" s="33">
        <v>721.08</v>
      </c>
    </row>
    <row r="296" spans="1:22" ht="16.8" x14ac:dyDescent="0.3">
      <c r="A296" s="20">
        <v>29.5</v>
      </c>
      <c r="B296" s="20">
        <v>50</v>
      </c>
      <c r="C296" s="20">
        <v>50.11</v>
      </c>
      <c r="D296" s="20">
        <v>-0.11</v>
      </c>
      <c r="E296" s="20">
        <v>-0.01</v>
      </c>
      <c r="F296" s="20">
        <v>1073.82</v>
      </c>
      <c r="Q296" s="33">
        <v>29.5</v>
      </c>
      <c r="R296" s="33">
        <v>50.07</v>
      </c>
      <c r="S296" s="38">
        <v>50</v>
      </c>
      <c r="T296" s="33">
        <v>-7.0000000000000007E-2</v>
      </c>
      <c r="U296" s="38">
        <v>0.02</v>
      </c>
      <c r="V296" s="33">
        <v>727.69</v>
      </c>
    </row>
    <row r="297" spans="1:22" ht="16.8" x14ac:dyDescent="0.3">
      <c r="A297" s="20">
        <v>29.6</v>
      </c>
      <c r="B297" s="20">
        <v>50</v>
      </c>
      <c r="C297" s="20">
        <v>50.1</v>
      </c>
      <c r="D297" s="20">
        <v>-0.1</v>
      </c>
      <c r="E297" s="20">
        <v>0.01</v>
      </c>
      <c r="F297" s="20">
        <v>1100.5</v>
      </c>
      <c r="Q297" s="33">
        <v>29.6</v>
      </c>
      <c r="R297" s="33">
        <v>50.05</v>
      </c>
      <c r="S297" s="33">
        <v>50</v>
      </c>
      <c r="T297" s="38">
        <v>-0.05</v>
      </c>
      <c r="U297" s="38">
        <v>0.02</v>
      </c>
      <c r="V297" s="33">
        <v>731.28</v>
      </c>
    </row>
    <row r="298" spans="1:22" ht="16.8" x14ac:dyDescent="0.3">
      <c r="A298" s="20">
        <v>29.7</v>
      </c>
      <c r="B298" s="20">
        <v>50</v>
      </c>
      <c r="C298" s="20">
        <v>50.06</v>
      </c>
      <c r="D298" s="20">
        <v>-0.06</v>
      </c>
      <c r="E298" s="20">
        <v>0.03</v>
      </c>
      <c r="F298" s="20">
        <v>1143.8599999999999</v>
      </c>
      <c r="Q298" s="33">
        <v>29.7</v>
      </c>
      <c r="R298" s="33">
        <v>50.01</v>
      </c>
      <c r="S298" s="38">
        <v>50</v>
      </c>
      <c r="T298" s="33">
        <v>-0.01</v>
      </c>
      <c r="U298" s="38">
        <v>0.04</v>
      </c>
      <c r="V298" s="33">
        <v>737.75</v>
      </c>
    </row>
    <row r="299" spans="1:22" ht="16.8" x14ac:dyDescent="0.3">
      <c r="A299" s="20">
        <v>29.8</v>
      </c>
      <c r="B299" s="20">
        <v>50</v>
      </c>
      <c r="C299" s="20">
        <v>50.1</v>
      </c>
      <c r="D299" s="20">
        <v>-0.1</v>
      </c>
      <c r="E299" s="20">
        <v>-0.03</v>
      </c>
      <c r="F299" s="20">
        <v>1076.67</v>
      </c>
      <c r="Q299" s="33">
        <v>29.8</v>
      </c>
      <c r="R299" s="33">
        <v>50</v>
      </c>
      <c r="S299" s="33">
        <v>50</v>
      </c>
      <c r="T299" s="38">
        <v>0</v>
      </c>
      <c r="U299" s="38">
        <v>0.01</v>
      </c>
      <c r="V299" s="33">
        <v>738.34</v>
      </c>
    </row>
    <row r="300" spans="1:22" ht="16.8" x14ac:dyDescent="0.3">
      <c r="A300" s="20">
        <v>29.9</v>
      </c>
      <c r="B300" s="20">
        <v>50</v>
      </c>
      <c r="C300" s="20">
        <v>50.09</v>
      </c>
      <c r="D300" s="20">
        <v>-0.09</v>
      </c>
      <c r="E300" s="20">
        <v>0</v>
      </c>
      <c r="F300" s="20">
        <v>1085.74</v>
      </c>
      <c r="Q300" s="33">
        <v>29.9</v>
      </c>
      <c r="R300" s="33">
        <v>50.04</v>
      </c>
      <c r="S300" s="38">
        <v>50</v>
      </c>
      <c r="T300" s="33">
        <v>-0.04</v>
      </c>
      <c r="U300" s="33">
        <v>-0.04</v>
      </c>
      <c r="V300" s="33">
        <v>731.13</v>
      </c>
    </row>
    <row r="301" spans="1:22" ht="16.8" x14ac:dyDescent="0.3">
      <c r="A301" s="20">
        <v>30</v>
      </c>
      <c r="B301" s="20">
        <v>50</v>
      </c>
      <c r="C301" s="20">
        <v>50.08</v>
      </c>
      <c r="D301" s="20">
        <v>-0.08</v>
      </c>
      <c r="E301" s="20">
        <v>0.02</v>
      </c>
      <c r="F301" s="20">
        <v>1112.67</v>
      </c>
      <c r="Q301" s="33">
        <v>30</v>
      </c>
      <c r="R301" s="33">
        <v>50.06</v>
      </c>
      <c r="S301" s="33">
        <v>50</v>
      </c>
      <c r="T301" s="38">
        <v>-0.06</v>
      </c>
      <c r="U301" s="38">
        <v>-0.02</v>
      </c>
      <c r="V301" s="33">
        <v>727.62</v>
      </c>
    </row>
    <row r="302" spans="1:22" ht="16.8" x14ac:dyDescent="0.3">
      <c r="A302" s="20">
        <v>30.1</v>
      </c>
      <c r="B302" s="20">
        <v>50</v>
      </c>
      <c r="C302" s="20">
        <v>50.07</v>
      </c>
      <c r="D302" s="20">
        <v>-7.0000000000000007E-2</v>
      </c>
      <c r="E302" s="20">
        <v>0.01</v>
      </c>
      <c r="F302" s="20">
        <v>1099.3</v>
      </c>
      <c r="Q302" s="33">
        <v>30.1</v>
      </c>
      <c r="R302" s="33">
        <v>50.02</v>
      </c>
      <c r="S302" s="33">
        <v>50</v>
      </c>
      <c r="T302" s="33">
        <v>-0.02</v>
      </c>
      <c r="U302" s="33">
        <v>0.04</v>
      </c>
      <c r="V302" s="33">
        <v>735.02</v>
      </c>
    </row>
    <row r="303" spans="1:22" ht="16.8" x14ac:dyDescent="0.3">
      <c r="A303" s="20">
        <v>30.2</v>
      </c>
      <c r="B303" s="20">
        <v>50</v>
      </c>
      <c r="C303" s="20">
        <v>50.1</v>
      </c>
      <c r="D303" s="20">
        <v>-0.1</v>
      </c>
      <c r="E303" s="20">
        <v>-0.04</v>
      </c>
      <c r="F303" s="20">
        <v>1074.76</v>
      </c>
      <c r="Q303" s="33">
        <v>30.2</v>
      </c>
      <c r="R303" s="33">
        <v>50.08</v>
      </c>
      <c r="S303" s="38">
        <v>50</v>
      </c>
      <c r="T303" s="33">
        <v>-0.08</v>
      </c>
      <c r="U303" s="38">
        <v>-0.06</v>
      </c>
      <c r="V303" s="33">
        <v>724.3</v>
      </c>
    </row>
    <row r="304" spans="1:22" ht="16.8" x14ac:dyDescent="0.3">
      <c r="A304" s="20">
        <v>30.3</v>
      </c>
      <c r="B304" s="20">
        <v>50</v>
      </c>
      <c r="C304" s="20">
        <v>50.08</v>
      </c>
      <c r="D304" s="20">
        <v>-0.08</v>
      </c>
      <c r="E304" s="20">
        <v>0.02</v>
      </c>
      <c r="F304" s="20">
        <v>1126.3399999999999</v>
      </c>
      <c r="Q304" s="33">
        <v>30.3</v>
      </c>
      <c r="R304" s="33">
        <v>50.04</v>
      </c>
      <c r="S304" s="33">
        <v>50</v>
      </c>
      <c r="T304" s="38">
        <v>-0.04</v>
      </c>
      <c r="U304" s="33">
        <v>0.04</v>
      </c>
      <c r="V304" s="33">
        <v>732.31</v>
      </c>
    </row>
    <row r="305" spans="1:22" ht="16.8" x14ac:dyDescent="0.3">
      <c r="A305" s="20">
        <v>30.4</v>
      </c>
      <c r="B305" s="20">
        <v>50</v>
      </c>
      <c r="C305" s="20">
        <v>50.06</v>
      </c>
      <c r="D305" s="20">
        <v>-0.06</v>
      </c>
      <c r="E305" s="20">
        <v>0.02</v>
      </c>
      <c r="F305" s="20">
        <v>1115.45</v>
      </c>
      <c r="Q305" s="33">
        <v>30.4</v>
      </c>
      <c r="R305" s="33">
        <v>50.06</v>
      </c>
      <c r="S305" s="33">
        <v>50</v>
      </c>
      <c r="T305" s="33">
        <v>-0.06</v>
      </c>
      <c r="U305" s="38">
        <v>-0.02</v>
      </c>
      <c r="V305" s="33">
        <v>727.19</v>
      </c>
    </row>
    <row r="306" spans="1:22" ht="16.8" x14ac:dyDescent="0.3">
      <c r="A306" s="20">
        <v>30.5</v>
      </c>
      <c r="B306" s="20">
        <v>50</v>
      </c>
      <c r="C306" s="20">
        <v>50.12</v>
      </c>
      <c r="D306" s="20">
        <v>-0.12</v>
      </c>
      <c r="E306" s="20">
        <v>-0.06</v>
      </c>
      <c r="F306" s="20">
        <v>1070.97</v>
      </c>
      <c r="Q306" s="33">
        <v>30.5</v>
      </c>
      <c r="R306" s="33">
        <v>50.03</v>
      </c>
      <c r="S306" s="38">
        <v>50</v>
      </c>
      <c r="T306" s="38">
        <v>-0.03</v>
      </c>
      <c r="U306" s="38">
        <v>0.03</v>
      </c>
      <c r="V306" s="33">
        <v>733.18</v>
      </c>
    </row>
    <row r="307" spans="1:22" ht="16.8" x14ac:dyDescent="0.3">
      <c r="A307" s="20">
        <v>30.6</v>
      </c>
      <c r="B307" s="20">
        <v>50</v>
      </c>
      <c r="C307" s="20">
        <v>50.06</v>
      </c>
      <c r="D307" s="20">
        <v>-0.06</v>
      </c>
      <c r="E307" s="20">
        <v>0.06</v>
      </c>
      <c r="F307" s="20">
        <v>1189.47</v>
      </c>
      <c r="Q307" s="33">
        <v>30.6</v>
      </c>
      <c r="R307" s="33">
        <v>50.02</v>
      </c>
      <c r="S307" s="33">
        <v>50</v>
      </c>
      <c r="T307" s="33">
        <v>-0.02</v>
      </c>
      <c r="U307" s="38">
        <v>0.02</v>
      </c>
      <c r="V307" s="33">
        <v>735.29</v>
      </c>
    </row>
    <row r="308" spans="1:22" ht="16.8" x14ac:dyDescent="0.3">
      <c r="A308" s="20">
        <v>30.7</v>
      </c>
      <c r="B308" s="20">
        <v>50</v>
      </c>
      <c r="C308" s="20">
        <v>50.1</v>
      </c>
      <c r="D308" s="20">
        <v>-0.1</v>
      </c>
      <c r="E308" s="20">
        <v>-0.04</v>
      </c>
      <c r="F308" s="20">
        <v>1076.67</v>
      </c>
      <c r="Q308" s="33">
        <v>30.7</v>
      </c>
      <c r="R308" s="33">
        <v>50.03</v>
      </c>
      <c r="S308" s="38">
        <v>50</v>
      </c>
      <c r="T308" s="38">
        <v>-0.03</v>
      </c>
      <c r="U308" s="38">
        <v>-0.02</v>
      </c>
      <c r="V308" s="33">
        <v>732.11</v>
      </c>
    </row>
    <row r="309" spans="1:22" ht="16.8" x14ac:dyDescent="0.3">
      <c r="A309" s="20">
        <v>30.8</v>
      </c>
      <c r="B309" s="20">
        <v>50</v>
      </c>
      <c r="C309" s="20">
        <v>50.11</v>
      </c>
      <c r="D309" s="20">
        <v>-0.11</v>
      </c>
      <c r="E309" s="20">
        <v>-0.01</v>
      </c>
      <c r="F309" s="20">
        <v>1073.82</v>
      </c>
      <c r="Q309" s="33">
        <v>30.8</v>
      </c>
      <c r="R309" s="33">
        <v>50.02</v>
      </c>
      <c r="S309" s="33">
        <v>50</v>
      </c>
      <c r="T309" s="33">
        <v>-0.02</v>
      </c>
      <c r="U309" s="38">
        <v>0.02</v>
      </c>
      <c r="V309" s="33">
        <v>735.19</v>
      </c>
    </row>
    <row r="310" spans="1:22" ht="16.8" x14ac:dyDescent="0.3">
      <c r="A310" s="20">
        <v>30.9</v>
      </c>
      <c r="B310" s="20">
        <v>50</v>
      </c>
      <c r="C310" s="20">
        <v>50.07</v>
      </c>
      <c r="D310" s="20">
        <v>-7.0000000000000007E-2</v>
      </c>
      <c r="E310" s="20">
        <v>0.04</v>
      </c>
      <c r="F310" s="20">
        <v>1156.24</v>
      </c>
      <c r="Q310" s="33">
        <v>30.9</v>
      </c>
      <c r="R310" s="33">
        <v>50.05</v>
      </c>
      <c r="S310" s="38">
        <v>50</v>
      </c>
      <c r="T310" s="38">
        <v>-0.05</v>
      </c>
      <c r="U310" s="38">
        <v>-0.03</v>
      </c>
      <c r="V310" s="33">
        <v>729.19</v>
      </c>
    </row>
    <row r="311" spans="1:22" ht="16.8" x14ac:dyDescent="0.3">
      <c r="A311" s="20">
        <v>31</v>
      </c>
      <c r="B311" s="20">
        <v>50</v>
      </c>
      <c r="C311" s="20">
        <v>50.1</v>
      </c>
      <c r="D311" s="20">
        <v>-0.1</v>
      </c>
      <c r="E311" s="20">
        <v>-0.03</v>
      </c>
      <c r="F311" s="20">
        <v>1075.71</v>
      </c>
      <c r="Q311" s="33">
        <v>31</v>
      </c>
      <c r="R311" s="33">
        <v>50.01</v>
      </c>
      <c r="S311" s="33">
        <v>50</v>
      </c>
      <c r="T311" s="33">
        <v>-0.01</v>
      </c>
      <c r="U311" s="33">
        <v>0.04</v>
      </c>
      <c r="V311" s="33">
        <v>736.79</v>
      </c>
    </row>
    <row r="312" spans="1:22" ht="16.8" x14ac:dyDescent="0.3">
      <c r="A312" s="20">
        <v>31.1</v>
      </c>
      <c r="B312" s="20">
        <v>50</v>
      </c>
      <c r="C312" s="20">
        <v>50.07</v>
      </c>
      <c r="D312" s="20">
        <v>-7.0000000000000007E-2</v>
      </c>
      <c r="E312" s="20">
        <v>0.03</v>
      </c>
      <c r="F312" s="20">
        <v>1135.18</v>
      </c>
      <c r="Q312" s="33">
        <v>31.1</v>
      </c>
      <c r="R312" s="33">
        <v>50.02</v>
      </c>
      <c r="S312" s="38">
        <v>50</v>
      </c>
      <c r="T312" s="33">
        <v>-0.02</v>
      </c>
      <c r="U312" s="38">
        <v>-0.01</v>
      </c>
      <c r="V312" s="33">
        <v>734.56</v>
      </c>
    </row>
    <row r="313" spans="1:22" ht="16.8" x14ac:dyDescent="0.3">
      <c r="A313" s="20">
        <v>31.2</v>
      </c>
      <c r="B313" s="20">
        <v>50</v>
      </c>
      <c r="C313" s="20">
        <v>50.11</v>
      </c>
      <c r="D313" s="20">
        <v>-0.11</v>
      </c>
      <c r="E313" s="20">
        <v>-0.04</v>
      </c>
      <c r="F313" s="20">
        <v>1072.8699999999999</v>
      </c>
      <c r="Q313" s="33">
        <v>31.2</v>
      </c>
      <c r="R313" s="33">
        <v>50.06</v>
      </c>
      <c r="S313" s="33">
        <v>50</v>
      </c>
      <c r="T313" s="38">
        <v>-0.06</v>
      </c>
      <c r="U313" s="33">
        <v>-0.04</v>
      </c>
      <c r="V313" s="33">
        <v>727.64</v>
      </c>
    </row>
    <row r="314" spans="1:22" ht="16.8" x14ac:dyDescent="0.3">
      <c r="A314" s="20">
        <v>31.3</v>
      </c>
      <c r="B314" s="20">
        <v>50</v>
      </c>
      <c r="C314" s="20">
        <v>50.08</v>
      </c>
      <c r="D314" s="20">
        <v>-0.08</v>
      </c>
      <c r="E314" s="20">
        <v>0.03</v>
      </c>
      <c r="F314" s="20">
        <v>1132.51</v>
      </c>
      <c r="Q314" s="33">
        <v>31.3</v>
      </c>
      <c r="R314" s="33">
        <v>50.04</v>
      </c>
      <c r="S314" s="38">
        <v>50</v>
      </c>
      <c r="T314" s="33">
        <v>-0.04</v>
      </c>
      <c r="U314" s="38">
        <v>0.02</v>
      </c>
      <c r="V314" s="33">
        <v>731.15</v>
      </c>
    </row>
    <row r="315" spans="1:22" ht="16.8" x14ac:dyDescent="0.3">
      <c r="A315" s="20">
        <v>31.4</v>
      </c>
      <c r="B315" s="20">
        <v>50</v>
      </c>
      <c r="C315" s="20">
        <v>50.08</v>
      </c>
      <c r="D315" s="20">
        <v>-0.08</v>
      </c>
      <c r="E315" s="20">
        <v>0.01</v>
      </c>
      <c r="F315" s="20">
        <v>1097.43</v>
      </c>
      <c r="Q315" s="33">
        <v>31.4</v>
      </c>
      <c r="R315" s="33">
        <v>50.07</v>
      </c>
      <c r="S315" s="33">
        <v>50</v>
      </c>
      <c r="T315" s="38">
        <v>-7.0000000000000007E-2</v>
      </c>
      <c r="U315" s="38">
        <v>-0.03</v>
      </c>
      <c r="V315" s="33">
        <v>725.1</v>
      </c>
    </row>
    <row r="316" spans="1:22" ht="16.8" x14ac:dyDescent="0.3">
      <c r="A316" s="20">
        <v>31.5</v>
      </c>
      <c r="B316" s="20">
        <v>50</v>
      </c>
      <c r="C316" s="20">
        <v>50.11</v>
      </c>
      <c r="D316" s="20">
        <v>-0.11</v>
      </c>
      <c r="E316" s="20">
        <v>-0.03</v>
      </c>
      <c r="F316" s="20">
        <v>1073.82</v>
      </c>
      <c r="Q316" s="33">
        <v>31.5</v>
      </c>
      <c r="R316" s="33">
        <v>50.07</v>
      </c>
      <c r="S316" s="38">
        <v>50</v>
      </c>
      <c r="T316" s="33">
        <v>-7.0000000000000007E-2</v>
      </c>
      <c r="U316" s="38">
        <v>0</v>
      </c>
      <c r="V316" s="33">
        <v>725.59</v>
      </c>
    </row>
    <row r="317" spans="1:22" ht="16.8" x14ac:dyDescent="0.3">
      <c r="A317" s="20">
        <v>31.6</v>
      </c>
      <c r="B317" s="20">
        <v>50</v>
      </c>
      <c r="C317" s="20">
        <v>50.07</v>
      </c>
      <c r="D317" s="20">
        <v>-7.0000000000000007E-2</v>
      </c>
      <c r="E317" s="20">
        <v>0.04</v>
      </c>
      <c r="F317" s="20">
        <v>1148.79</v>
      </c>
      <c r="Q317" s="33">
        <v>31.6</v>
      </c>
      <c r="R317" s="33">
        <v>50.06</v>
      </c>
      <c r="S317" s="33">
        <v>50</v>
      </c>
      <c r="T317" s="38">
        <v>-0.06</v>
      </c>
      <c r="U317" s="38">
        <v>0.02</v>
      </c>
      <c r="V317" s="33">
        <v>728.26</v>
      </c>
    </row>
    <row r="318" spans="1:22" ht="16.8" x14ac:dyDescent="0.3">
      <c r="A318" s="20">
        <v>31.7</v>
      </c>
      <c r="B318" s="20">
        <v>50</v>
      </c>
      <c r="C318" s="20">
        <v>50.1</v>
      </c>
      <c r="D318" s="20">
        <v>-0.1</v>
      </c>
      <c r="E318" s="20">
        <v>-0.02</v>
      </c>
      <c r="F318" s="20">
        <v>1076.67</v>
      </c>
      <c r="Q318" s="33">
        <v>31.7</v>
      </c>
      <c r="R318" s="33">
        <v>50.06</v>
      </c>
      <c r="S318" s="33">
        <v>50</v>
      </c>
      <c r="T318" s="33">
        <v>-0.06</v>
      </c>
      <c r="U318" s="38">
        <v>0</v>
      </c>
      <c r="V318" s="33">
        <v>727.82</v>
      </c>
    </row>
    <row r="319" spans="1:22" ht="16.8" x14ac:dyDescent="0.3">
      <c r="A319" s="20">
        <v>31.8</v>
      </c>
      <c r="B319" s="20">
        <v>50</v>
      </c>
      <c r="C319" s="20">
        <v>50.11</v>
      </c>
      <c r="D319" s="20">
        <v>-0.11</v>
      </c>
      <c r="E319" s="20">
        <v>-0.02</v>
      </c>
      <c r="F319" s="20">
        <v>1072.8699999999999</v>
      </c>
      <c r="Q319" s="33">
        <v>31.8</v>
      </c>
      <c r="R319" s="33">
        <v>50.04</v>
      </c>
      <c r="S319" s="38">
        <v>50</v>
      </c>
      <c r="T319" s="38">
        <v>-0.04</v>
      </c>
      <c r="U319" s="38">
        <v>0.02</v>
      </c>
      <c r="V319" s="33">
        <v>730.53</v>
      </c>
    </row>
    <row r="320" spans="1:22" ht="16.8" x14ac:dyDescent="0.3">
      <c r="A320" s="20">
        <v>31.9</v>
      </c>
      <c r="B320" s="20">
        <v>50</v>
      </c>
      <c r="C320" s="20">
        <v>50.1</v>
      </c>
      <c r="D320" s="20">
        <v>-0.1</v>
      </c>
      <c r="E320" s="20">
        <v>0.01</v>
      </c>
      <c r="F320" s="20">
        <v>1099.5899999999999</v>
      </c>
      <c r="Q320" s="33">
        <v>31.9</v>
      </c>
      <c r="R320" s="33">
        <v>50.1</v>
      </c>
      <c r="S320" s="33">
        <v>50</v>
      </c>
      <c r="T320" s="33">
        <v>-0.1</v>
      </c>
      <c r="U320" s="38">
        <v>-0.06</v>
      </c>
      <c r="V320" s="33">
        <v>720.25</v>
      </c>
    </row>
    <row r="321" spans="1:22" ht="16.8" x14ac:dyDescent="0.3">
      <c r="A321" s="20">
        <v>32</v>
      </c>
      <c r="B321" s="20">
        <v>50</v>
      </c>
      <c r="C321" s="20">
        <v>50.11</v>
      </c>
      <c r="D321" s="20">
        <v>-0.11</v>
      </c>
      <c r="E321" s="20">
        <v>-0.01</v>
      </c>
      <c r="F321" s="20">
        <v>1072.8699999999999</v>
      </c>
      <c r="Q321" s="33">
        <v>32</v>
      </c>
      <c r="R321" s="33">
        <v>49.99</v>
      </c>
      <c r="S321" s="33">
        <v>50</v>
      </c>
      <c r="T321" s="38">
        <v>0.01</v>
      </c>
      <c r="U321" s="38">
        <v>0.1</v>
      </c>
      <c r="V321" s="33">
        <v>739.51</v>
      </c>
    </row>
    <row r="322" spans="1:22" ht="16.8" x14ac:dyDescent="0.3">
      <c r="A322" s="20">
        <v>32.1</v>
      </c>
      <c r="B322" s="20">
        <v>50</v>
      </c>
      <c r="C322" s="20">
        <v>50.12</v>
      </c>
      <c r="D322" s="20">
        <v>-0.12</v>
      </c>
      <c r="E322" s="20">
        <v>-0.01</v>
      </c>
      <c r="F322" s="20">
        <v>1070.97</v>
      </c>
      <c r="Q322" s="33">
        <v>32.1</v>
      </c>
      <c r="R322" s="33">
        <v>50.09</v>
      </c>
      <c r="S322" s="38">
        <v>50</v>
      </c>
      <c r="T322" s="33">
        <v>-0.09</v>
      </c>
      <c r="U322" s="38">
        <v>-0.1</v>
      </c>
      <c r="V322" s="33">
        <v>720.51</v>
      </c>
    </row>
    <row r="323" spans="1:22" ht="16.8" x14ac:dyDescent="0.3">
      <c r="A323" s="20">
        <v>32.200000000000003</v>
      </c>
      <c r="B323" s="20">
        <v>50</v>
      </c>
      <c r="C323" s="20">
        <v>50.13</v>
      </c>
      <c r="D323" s="20">
        <v>-0.13</v>
      </c>
      <c r="E323" s="20">
        <v>-0.01</v>
      </c>
      <c r="F323" s="20">
        <v>1068.0999999999999</v>
      </c>
      <c r="Q323" s="33">
        <v>32.200000000000003</v>
      </c>
      <c r="R323" s="33">
        <v>50.1</v>
      </c>
      <c r="S323" s="33">
        <v>50</v>
      </c>
      <c r="T323" s="33">
        <v>-0.1</v>
      </c>
      <c r="U323" s="38">
        <v>-0.02</v>
      </c>
      <c r="V323" s="33">
        <v>719.44</v>
      </c>
    </row>
    <row r="324" spans="1:22" ht="16.8" x14ac:dyDescent="0.3">
      <c r="A324" s="20">
        <v>32.299999999999997</v>
      </c>
      <c r="B324" s="20">
        <v>50</v>
      </c>
      <c r="C324" s="20">
        <v>50.12</v>
      </c>
      <c r="D324" s="20">
        <v>-0.12</v>
      </c>
      <c r="E324" s="20">
        <v>0.01</v>
      </c>
      <c r="F324" s="20">
        <v>1095.04</v>
      </c>
      <c r="Q324" s="33">
        <v>32.299999999999997</v>
      </c>
      <c r="R324" s="33">
        <v>50.05</v>
      </c>
      <c r="S324" s="38">
        <v>50</v>
      </c>
      <c r="T324" s="38">
        <v>-0.05</v>
      </c>
      <c r="U324" s="33">
        <v>0.06</v>
      </c>
      <c r="V324" s="33">
        <v>729.41</v>
      </c>
    </row>
    <row r="325" spans="1:22" ht="16.8" x14ac:dyDescent="0.3">
      <c r="A325" s="20">
        <v>32.4</v>
      </c>
      <c r="B325" s="20">
        <v>50</v>
      </c>
      <c r="C325" s="20">
        <v>50.1</v>
      </c>
      <c r="D325" s="20">
        <v>-0.1</v>
      </c>
      <c r="E325" s="20">
        <v>0.02</v>
      </c>
      <c r="F325" s="20">
        <v>1106.27</v>
      </c>
      <c r="Q325" s="33">
        <v>32.4</v>
      </c>
      <c r="R325" s="33">
        <v>50.06</v>
      </c>
      <c r="S325" s="33">
        <v>50</v>
      </c>
      <c r="T325" s="33">
        <v>-0.06</v>
      </c>
      <c r="U325" s="38">
        <v>-0.02</v>
      </c>
      <c r="V325" s="33">
        <v>725.37</v>
      </c>
    </row>
    <row r="326" spans="1:22" ht="16.8" x14ac:dyDescent="0.3">
      <c r="A326" s="20">
        <v>32.5</v>
      </c>
      <c r="B326" s="20">
        <v>50</v>
      </c>
      <c r="C326" s="20">
        <v>50.15</v>
      </c>
      <c r="D326" s="20">
        <v>-0.15</v>
      </c>
      <c r="E326" s="20">
        <v>-0.04</v>
      </c>
      <c r="F326" s="20">
        <v>1064.28</v>
      </c>
      <c r="Q326" s="33">
        <v>32.5</v>
      </c>
      <c r="R326" s="33">
        <v>50.06</v>
      </c>
      <c r="S326" s="33">
        <v>50</v>
      </c>
      <c r="T326" s="38">
        <v>-0.06</v>
      </c>
      <c r="U326" s="33">
        <v>0.01</v>
      </c>
      <c r="V326" s="33">
        <v>726.97</v>
      </c>
    </row>
    <row r="327" spans="1:22" ht="16.8" x14ac:dyDescent="0.3">
      <c r="A327" s="20">
        <v>32.6</v>
      </c>
      <c r="B327" s="20">
        <v>50</v>
      </c>
      <c r="C327" s="20">
        <v>50.13</v>
      </c>
      <c r="D327" s="20">
        <v>-0.13</v>
      </c>
      <c r="E327" s="20">
        <v>0.02</v>
      </c>
      <c r="F327" s="20">
        <v>1108.4100000000001</v>
      </c>
      <c r="Q327" s="33">
        <v>32.6</v>
      </c>
      <c r="R327" s="33">
        <v>50.02</v>
      </c>
      <c r="S327" s="33">
        <v>50</v>
      </c>
      <c r="T327" s="33">
        <v>-0.02</v>
      </c>
      <c r="U327" s="38">
        <v>0.04</v>
      </c>
      <c r="V327" s="33">
        <v>733.74</v>
      </c>
    </row>
    <row r="328" spans="1:22" ht="16.8" x14ac:dyDescent="0.3">
      <c r="A328" s="20">
        <v>32.700000000000003</v>
      </c>
      <c r="B328" s="20">
        <v>50</v>
      </c>
      <c r="C328" s="20">
        <v>50.15</v>
      </c>
      <c r="D328" s="20">
        <v>-0.15</v>
      </c>
      <c r="E328" s="20">
        <v>-0.02</v>
      </c>
      <c r="F328" s="20">
        <v>1064.28</v>
      </c>
      <c r="Q328" s="33">
        <v>32.700000000000003</v>
      </c>
      <c r="R328" s="33">
        <v>50.05</v>
      </c>
      <c r="S328" s="33">
        <v>50</v>
      </c>
      <c r="T328" s="38">
        <v>-0.05</v>
      </c>
      <c r="U328" s="38">
        <v>-0.03</v>
      </c>
      <c r="V328" s="33">
        <v>727.26</v>
      </c>
    </row>
    <row r="329" spans="1:22" ht="16.8" x14ac:dyDescent="0.3">
      <c r="A329" s="20">
        <v>32.799999999999997</v>
      </c>
      <c r="B329" s="20">
        <v>50</v>
      </c>
      <c r="C329" s="20">
        <v>50.14</v>
      </c>
      <c r="D329" s="20">
        <v>-0.14000000000000001</v>
      </c>
      <c r="E329" s="20">
        <v>0.01</v>
      </c>
      <c r="F329" s="20">
        <v>1082.54</v>
      </c>
      <c r="Q329" s="33">
        <v>32.799999999999997</v>
      </c>
      <c r="R329" s="33">
        <v>50.04</v>
      </c>
      <c r="S329" s="33">
        <v>50</v>
      </c>
      <c r="T329" s="33">
        <v>-0.04</v>
      </c>
      <c r="U329" s="38">
        <v>0.01</v>
      </c>
      <c r="V329" s="33">
        <v>729.21</v>
      </c>
    </row>
    <row r="330" spans="1:22" ht="16.8" x14ac:dyDescent="0.3">
      <c r="A330" s="20">
        <v>32.9</v>
      </c>
      <c r="B330" s="20">
        <v>50</v>
      </c>
      <c r="C330" s="20">
        <v>50.13</v>
      </c>
      <c r="D330" s="20">
        <v>-0.13</v>
      </c>
      <c r="E330" s="20">
        <v>0.01</v>
      </c>
      <c r="F330" s="20">
        <v>1084.4000000000001</v>
      </c>
      <c r="Q330" s="33">
        <v>32.9</v>
      </c>
      <c r="R330" s="33">
        <v>50.05</v>
      </c>
      <c r="S330" s="33">
        <v>50</v>
      </c>
      <c r="T330" s="38">
        <v>-0.05</v>
      </c>
      <c r="U330" s="38">
        <v>-0.01</v>
      </c>
      <c r="V330" s="33">
        <v>727.56</v>
      </c>
    </row>
    <row r="331" spans="1:22" ht="16.8" x14ac:dyDescent="0.3">
      <c r="A331" s="20">
        <v>33</v>
      </c>
      <c r="B331" s="20">
        <v>50</v>
      </c>
      <c r="C331" s="20">
        <v>50.13</v>
      </c>
      <c r="D331" s="20">
        <v>-0.13</v>
      </c>
      <c r="E331" s="20">
        <v>0</v>
      </c>
      <c r="F331" s="20">
        <v>1068.0999999999999</v>
      </c>
      <c r="Q331" s="33">
        <v>33</v>
      </c>
      <c r="R331" s="33">
        <v>50.04</v>
      </c>
      <c r="S331" s="33">
        <v>50</v>
      </c>
      <c r="T331" s="33">
        <v>-0.04</v>
      </c>
      <c r="U331" s="38">
        <v>0.01</v>
      </c>
      <c r="V331" s="33">
        <v>729.03</v>
      </c>
    </row>
    <row r="332" spans="1:22" ht="16.8" x14ac:dyDescent="0.3">
      <c r="A332" s="20">
        <v>33.1</v>
      </c>
      <c r="B332" s="20">
        <v>50</v>
      </c>
      <c r="C332" s="20">
        <v>50.14</v>
      </c>
      <c r="D332" s="20">
        <v>-0.14000000000000001</v>
      </c>
      <c r="E332" s="20">
        <v>0</v>
      </c>
      <c r="F332" s="20">
        <v>1067.1400000000001</v>
      </c>
      <c r="Q332" s="33">
        <v>33.1</v>
      </c>
      <c r="R332" s="33">
        <v>50.06</v>
      </c>
      <c r="S332" s="33">
        <v>50</v>
      </c>
      <c r="T332" s="38">
        <v>-0.06</v>
      </c>
      <c r="U332" s="38">
        <v>-0.02</v>
      </c>
      <c r="V332" s="33">
        <v>725.97</v>
      </c>
    </row>
    <row r="333" spans="1:22" ht="16.8" x14ac:dyDescent="0.3">
      <c r="A333" s="20">
        <v>33.200000000000003</v>
      </c>
      <c r="B333" s="20">
        <v>50</v>
      </c>
      <c r="C333" s="20">
        <v>50.15</v>
      </c>
      <c r="D333" s="20">
        <v>-0.15</v>
      </c>
      <c r="E333" s="20">
        <v>-0.02</v>
      </c>
      <c r="F333" s="20">
        <v>1063.33</v>
      </c>
      <c r="Q333" s="33">
        <v>33.200000000000003</v>
      </c>
      <c r="R333" s="33">
        <v>50.04</v>
      </c>
      <c r="S333" s="33">
        <v>50</v>
      </c>
      <c r="T333" s="33">
        <v>-0.04</v>
      </c>
      <c r="U333" s="33">
        <v>0.02</v>
      </c>
      <c r="V333" s="33">
        <v>728.99</v>
      </c>
    </row>
    <row r="334" spans="1:22" ht="16.8" x14ac:dyDescent="0.3">
      <c r="A334" s="20">
        <v>33.299999999999997</v>
      </c>
      <c r="B334" s="20">
        <v>50</v>
      </c>
      <c r="C334" s="20">
        <v>50.12</v>
      </c>
      <c r="D334" s="20">
        <v>-0.12</v>
      </c>
      <c r="E334" s="20">
        <v>0.04</v>
      </c>
      <c r="F334" s="20">
        <v>1139.3499999999999</v>
      </c>
      <c r="Q334" s="33">
        <v>33.299999999999997</v>
      </c>
      <c r="R334" s="33">
        <v>50.01</v>
      </c>
      <c r="S334" s="38">
        <v>50</v>
      </c>
      <c r="T334" s="33">
        <v>-0.01</v>
      </c>
      <c r="U334" s="38">
        <v>0.03</v>
      </c>
      <c r="V334" s="33">
        <v>734.23</v>
      </c>
    </row>
    <row r="335" spans="1:22" ht="16.8" x14ac:dyDescent="0.3">
      <c r="A335" s="20">
        <v>33.4</v>
      </c>
      <c r="B335" s="20">
        <v>50</v>
      </c>
      <c r="C335" s="20">
        <v>50.1</v>
      </c>
      <c r="D335" s="20">
        <v>-0.1</v>
      </c>
      <c r="E335" s="20">
        <v>0.02</v>
      </c>
      <c r="F335" s="20">
        <v>1107.1500000000001</v>
      </c>
      <c r="Q335" s="33">
        <v>33.4</v>
      </c>
      <c r="R335" s="33">
        <v>50.06</v>
      </c>
      <c r="S335" s="33">
        <v>50</v>
      </c>
      <c r="T335" s="38">
        <v>-0.06</v>
      </c>
      <c r="U335" s="33">
        <v>-0.05</v>
      </c>
      <c r="V335" s="33">
        <v>725.11</v>
      </c>
    </row>
    <row r="336" spans="1:22" ht="16.8" x14ac:dyDescent="0.3">
      <c r="A336" s="20">
        <v>33.5</v>
      </c>
      <c r="B336" s="20">
        <v>50</v>
      </c>
      <c r="C336" s="20">
        <v>50.14</v>
      </c>
      <c r="D336" s="20">
        <v>-0.14000000000000001</v>
      </c>
      <c r="E336" s="20">
        <v>-0.04</v>
      </c>
      <c r="F336" s="20">
        <v>1066.17</v>
      </c>
      <c r="Q336" s="33">
        <v>33.5</v>
      </c>
      <c r="R336" s="33">
        <v>50.03</v>
      </c>
      <c r="S336" s="38">
        <v>50</v>
      </c>
      <c r="T336" s="33">
        <v>-0.03</v>
      </c>
      <c r="U336" s="38">
        <v>0.02</v>
      </c>
      <c r="V336" s="33">
        <v>730.19</v>
      </c>
    </row>
    <row r="337" spans="1:22" ht="16.8" x14ac:dyDescent="0.3">
      <c r="A337" s="20">
        <v>33.6</v>
      </c>
      <c r="B337" s="20">
        <v>50</v>
      </c>
      <c r="C337" s="20">
        <v>50.16</v>
      </c>
      <c r="D337" s="20">
        <v>-0.16</v>
      </c>
      <c r="E337" s="20">
        <v>-0.02</v>
      </c>
      <c r="F337" s="20">
        <v>1062.3699999999999</v>
      </c>
      <c r="Q337" s="33">
        <v>33.6</v>
      </c>
      <c r="R337" s="33">
        <v>50.03</v>
      </c>
      <c r="S337" s="33">
        <v>50</v>
      </c>
      <c r="T337" s="38">
        <v>-0.03</v>
      </c>
      <c r="U337" s="33">
        <v>0</v>
      </c>
      <c r="V337" s="33">
        <v>729.64</v>
      </c>
    </row>
    <row r="338" spans="1:22" ht="16.8" x14ac:dyDescent="0.3">
      <c r="A338" s="20">
        <v>33.700000000000003</v>
      </c>
      <c r="B338" s="20">
        <v>50</v>
      </c>
      <c r="C338" s="20">
        <v>50.17</v>
      </c>
      <c r="D338" s="20">
        <v>-0.17</v>
      </c>
      <c r="E338" s="20">
        <v>-0.01</v>
      </c>
      <c r="F338" s="20">
        <v>1059.49</v>
      </c>
      <c r="Q338" s="33">
        <v>33.700000000000003</v>
      </c>
      <c r="R338" s="33">
        <v>50.02</v>
      </c>
      <c r="S338" s="38">
        <v>50</v>
      </c>
      <c r="T338" s="33">
        <v>-0.02</v>
      </c>
      <c r="U338" s="38">
        <v>0.02</v>
      </c>
      <c r="V338" s="33">
        <v>732.39</v>
      </c>
    </row>
    <row r="339" spans="1:22" ht="16.8" x14ac:dyDescent="0.3">
      <c r="A339" s="20">
        <v>33.799999999999997</v>
      </c>
      <c r="B339" s="20">
        <v>50</v>
      </c>
      <c r="C339" s="20">
        <v>50.14</v>
      </c>
      <c r="D339" s="20">
        <v>-0.14000000000000001</v>
      </c>
      <c r="E339" s="20">
        <v>0.02</v>
      </c>
      <c r="F339" s="20">
        <v>1112.28</v>
      </c>
      <c r="Q339" s="33">
        <v>33.799999999999997</v>
      </c>
      <c r="R339" s="33">
        <v>50.06</v>
      </c>
      <c r="S339" s="33">
        <v>50</v>
      </c>
      <c r="T339" s="38">
        <v>-0.06</v>
      </c>
      <c r="U339" s="33">
        <v>-0.04</v>
      </c>
      <c r="V339" s="33">
        <v>724.99</v>
      </c>
    </row>
    <row r="340" spans="1:22" ht="16.8" x14ac:dyDescent="0.3">
      <c r="A340" s="20">
        <v>33.9</v>
      </c>
      <c r="B340" s="20">
        <v>50</v>
      </c>
      <c r="C340" s="20">
        <v>50.1</v>
      </c>
      <c r="D340" s="20">
        <v>-0.1</v>
      </c>
      <c r="E340" s="20">
        <v>0.04</v>
      </c>
      <c r="F340" s="20">
        <v>1148.5</v>
      </c>
      <c r="Q340" s="33">
        <v>33.9</v>
      </c>
      <c r="R340" s="33">
        <v>49.98</v>
      </c>
      <c r="S340" s="33">
        <v>50</v>
      </c>
      <c r="T340" s="33">
        <v>0.02</v>
      </c>
      <c r="U340" s="38">
        <v>0.08</v>
      </c>
      <c r="V340" s="33">
        <v>739.78</v>
      </c>
    </row>
    <row r="341" spans="1:22" ht="16.8" x14ac:dyDescent="0.3">
      <c r="A341" s="20">
        <v>34</v>
      </c>
      <c r="B341" s="20">
        <v>50</v>
      </c>
      <c r="C341" s="20">
        <v>50.14</v>
      </c>
      <c r="D341" s="20">
        <v>-0.14000000000000001</v>
      </c>
      <c r="E341" s="20">
        <v>-0.04</v>
      </c>
      <c r="F341" s="20">
        <v>1066.17</v>
      </c>
      <c r="Q341" s="33">
        <v>34</v>
      </c>
      <c r="R341" s="33">
        <v>50.09</v>
      </c>
      <c r="S341" s="38">
        <v>50</v>
      </c>
      <c r="T341" s="38">
        <v>-0.09</v>
      </c>
      <c r="U341" s="33">
        <v>-0.11</v>
      </c>
      <c r="V341" s="33">
        <v>718.47</v>
      </c>
    </row>
    <row r="342" spans="1:22" ht="16.8" x14ac:dyDescent="0.3">
      <c r="A342" s="20">
        <v>34.1</v>
      </c>
      <c r="B342" s="20">
        <v>50</v>
      </c>
      <c r="C342" s="20">
        <v>50.11</v>
      </c>
      <c r="D342" s="20">
        <v>-0.11</v>
      </c>
      <c r="E342" s="20">
        <v>0.03</v>
      </c>
      <c r="F342" s="20">
        <v>1126.3699999999999</v>
      </c>
      <c r="Q342" s="33">
        <v>34.1</v>
      </c>
      <c r="R342" s="33">
        <v>50</v>
      </c>
      <c r="S342" s="38">
        <v>50</v>
      </c>
      <c r="T342" s="33">
        <v>0</v>
      </c>
      <c r="U342" s="33">
        <v>0.09</v>
      </c>
      <c r="V342" s="33">
        <v>736.06</v>
      </c>
    </row>
    <row r="343" spans="1:22" ht="16.8" x14ac:dyDescent="0.3">
      <c r="A343" s="20">
        <v>34.200000000000003</v>
      </c>
      <c r="B343" s="20">
        <v>50</v>
      </c>
      <c r="C343" s="20">
        <v>50.12</v>
      </c>
      <c r="D343" s="20">
        <v>-0.12</v>
      </c>
      <c r="E343" s="20">
        <v>-0.01</v>
      </c>
      <c r="F343" s="20">
        <v>1070.02</v>
      </c>
      <c r="Q343" s="33">
        <v>34.200000000000003</v>
      </c>
      <c r="R343" s="33">
        <v>50.07</v>
      </c>
      <c r="S343" s="33">
        <v>50</v>
      </c>
      <c r="T343" s="33">
        <v>-7.0000000000000007E-2</v>
      </c>
      <c r="U343" s="38">
        <v>-7.0000000000000007E-2</v>
      </c>
      <c r="V343" s="33">
        <v>721.59</v>
      </c>
    </row>
    <row r="344" spans="1:22" ht="16.8" x14ac:dyDescent="0.3">
      <c r="A344" s="20">
        <v>34.299999999999997</v>
      </c>
      <c r="B344" s="20">
        <v>50</v>
      </c>
      <c r="C344" s="20">
        <v>50.12</v>
      </c>
      <c r="D344" s="20">
        <v>-0.12</v>
      </c>
      <c r="E344" s="20">
        <v>0.01</v>
      </c>
      <c r="F344" s="20">
        <v>1088.1099999999999</v>
      </c>
      <c r="Q344" s="33">
        <v>34.299999999999997</v>
      </c>
      <c r="R344" s="33">
        <v>50.05</v>
      </c>
      <c r="S344" s="38">
        <v>50</v>
      </c>
      <c r="T344" s="38">
        <v>-0.05</v>
      </c>
      <c r="U344" s="33">
        <v>0.02</v>
      </c>
      <c r="V344" s="33">
        <v>727.13</v>
      </c>
    </row>
    <row r="345" spans="1:22" ht="16.8" x14ac:dyDescent="0.3">
      <c r="A345" s="20">
        <v>34.4</v>
      </c>
      <c r="B345" s="20">
        <v>50</v>
      </c>
      <c r="C345" s="20">
        <v>50.11</v>
      </c>
      <c r="D345" s="20">
        <v>-0.11</v>
      </c>
      <c r="E345" s="20">
        <v>0.01</v>
      </c>
      <c r="F345" s="20">
        <v>1089.95</v>
      </c>
      <c r="Q345" s="33">
        <v>34.4</v>
      </c>
      <c r="R345" s="33">
        <v>50.03</v>
      </c>
      <c r="S345" s="33">
        <v>50</v>
      </c>
      <c r="T345" s="33">
        <v>-0.03</v>
      </c>
      <c r="U345" s="38">
        <v>0.02</v>
      </c>
      <c r="V345" s="33">
        <v>729.36</v>
      </c>
    </row>
    <row r="346" spans="1:22" ht="16.8" x14ac:dyDescent="0.3">
      <c r="A346" s="20">
        <v>34.5</v>
      </c>
      <c r="B346" s="20">
        <v>50</v>
      </c>
      <c r="C346" s="20">
        <v>50.11</v>
      </c>
      <c r="D346" s="20">
        <v>-0.11</v>
      </c>
      <c r="E346" s="20">
        <v>0</v>
      </c>
      <c r="F346" s="20">
        <v>1072.8699999999999</v>
      </c>
      <c r="Q346" s="33">
        <v>34.5</v>
      </c>
      <c r="R346" s="33">
        <v>50.03</v>
      </c>
      <c r="S346" s="38">
        <v>50</v>
      </c>
      <c r="T346" s="38">
        <v>-0.03</v>
      </c>
      <c r="U346" s="33">
        <v>0</v>
      </c>
      <c r="V346" s="33">
        <v>728.97</v>
      </c>
    </row>
    <row r="347" spans="1:22" ht="16.8" x14ac:dyDescent="0.3">
      <c r="A347" s="20">
        <v>34.6</v>
      </c>
      <c r="B347" s="20">
        <v>50</v>
      </c>
      <c r="C347" s="20">
        <v>50.14</v>
      </c>
      <c r="D347" s="20">
        <v>-0.14000000000000001</v>
      </c>
      <c r="E347" s="20">
        <v>-0.02</v>
      </c>
      <c r="F347" s="20">
        <v>1067.1400000000001</v>
      </c>
      <c r="Q347" s="33">
        <v>34.6</v>
      </c>
      <c r="R347" s="33">
        <v>50.03</v>
      </c>
      <c r="S347" s="33">
        <v>50</v>
      </c>
      <c r="T347" s="33">
        <v>-0.03</v>
      </c>
      <c r="U347" s="38">
        <v>0</v>
      </c>
      <c r="V347" s="33">
        <v>728.91</v>
      </c>
    </row>
    <row r="348" spans="1:22" ht="16.8" x14ac:dyDescent="0.3">
      <c r="A348" s="20">
        <v>34.700000000000003</v>
      </c>
      <c r="B348" s="20">
        <v>50</v>
      </c>
      <c r="C348" s="20">
        <v>50.12</v>
      </c>
      <c r="D348" s="20">
        <v>-0.12</v>
      </c>
      <c r="E348" s="20">
        <v>0.01</v>
      </c>
      <c r="F348" s="20">
        <v>1094.1300000000001</v>
      </c>
      <c r="Q348" s="33">
        <v>34.700000000000003</v>
      </c>
      <c r="R348" s="33">
        <v>50.05</v>
      </c>
      <c r="S348" s="38">
        <v>50</v>
      </c>
      <c r="T348" s="38">
        <v>-0.05</v>
      </c>
      <c r="U348" s="33">
        <v>-0.02</v>
      </c>
      <c r="V348" s="33">
        <v>726.02</v>
      </c>
    </row>
    <row r="349" spans="1:22" ht="16.8" x14ac:dyDescent="0.3">
      <c r="A349" s="20">
        <v>34.799999999999997</v>
      </c>
      <c r="B349" s="20">
        <v>50</v>
      </c>
      <c r="C349" s="20">
        <v>50.12</v>
      </c>
      <c r="D349" s="20">
        <v>-0.12</v>
      </c>
      <c r="E349" s="20">
        <v>0.01</v>
      </c>
      <c r="F349" s="20">
        <v>1088.1099999999999</v>
      </c>
      <c r="Q349" s="33">
        <v>34.799999999999997</v>
      </c>
      <c r="R349" s="33">
        <v>50.09</v>
      </c>
      <c r="S349" s="33">
        <v>50</v>
      </c>
      <c r="T349" s="33">
        <v>-0.09</v>
      </c>
      <c r="U349" s="38">
        <v>-0.04</v>
      </c>
      <c r="V349" s="33">
        <v>719.19</v>
      </c>
    </row>
    <row r="350" spans="1:22" ht="16.8" x14ac:dyDescent="0.3">
      <c r="A350" s="20">
        <v>34.9</v>
      </c>
      <c r="B350" s="20">
        <v>50</v>
      </c>
      <c r="C350" s="20">
        <v>50.14</v>
      </c>
      <c r="D350" s="20">
        <v>-0.14000000000000001</v>
      </c>
      <c r="E350" s="20">
        <v>-0.02</v>
      </c>
      <c r="F350" s="20">
        <v>1066.17</v>
      </c>
      <c r="Q350" s="33">
        <v>34.9</v>
      </c>
      <c r="R350" s="33">
        <v>50.03</v>
      </c>
      <c r="S350" s="38">
        <v>50</v>
      </c>
      <c r="T350" s="38">
        <v>-0.03</v>
      </c>
      <c r="U350" s="33">
        <v>0.06</v>
      </c>
      <c r="V350" s="33">
        <v>729.69</v>
      </c>
    </row>
    <row r="351" spans="1:22" ht="16.8" x14ac:dyDescent="0.3">
      <c r="A351" s="20">
        <v>35</v>
      </c>
      <c r="B351" s="20">
        <v>50</v>
      </c>
      <c r="C351" s="20">
        <v>50.09</v>
      </c>
      <c r="D351" s="20">
        <v>-0.09</v>
      </c>
      <c r="E351" s="20">
        <v>0.05</v>
      </c>
      <c r="F351" s="20">
        <v>1163.8900000000001</v>
      </c>
      <c r="Q351" s="33">
        <v>35</v>
      </c>
      <c r="R351" s="33">
        <v>50.01</v>
      </c>
      <c r="S351" s="33">
        <v>50</v>
      </c>
      <c r="T351" s="33">
        <v>-0.01</v>
      </c>
      <c r="U351" s="38">
        <v>0.02</v>
      </c>
      <c r="V351" s="33">
        <v>732.72</v>
      </c>
    </row>
    <row r="352" spans="1:22" ht="16.8" x14ac:dyDescent="0.3">
      <c r="A352" s="20">
        <v>35.1</v>
      </c>
      <c r="B352" s="20">
        <v>50</v>
      </c>
      <c r="C352" s="20">
        <v>50.12</v>
      </c>
      <c r="D352" s="20">
        <v>-0.12</v>
      </c>
      <c r="E352" s="20">
        <v>-0.03</v>
      </c>
      <c r="F352" s="20">
        <v>1070.97</v>
      </c>
      <c r="Q352" s="33">
        <v>35.1</v>
      </c>
      <c r="R352" s="33">
        <v>50.04</v>
      </c>
      <c r="S352" s="38">
        <v>50</v>
      </c>
      <c r="T352" s="33">
        <v>-0.04</v>
      </c>
      <c r="U352" s="33">
        <v>-0.03</v>
      </c>
      <c r="V352" s="33">
        <v>726.58</v>
      </c>
    </row>
    <row r="353" spans="1:22" ht="16.8" x14ac:dyDescent="0.3">
      <c r="A353" s="20">
        <v>35.200000000000003</v>
      </c>
      <c r="B353" s="20">
        <v>50</v>
      </c>
      <c r="C353" s="20">
        <v>50.13</v>
      </c>
      <c r="D353" s="20">
        <v>-0.13</v>
      </c>
      <c r="E353" s="20">
        <v>-0.01</v>
      </c>
      <c r="F353" s="20">
        <v>1069.06</v>
      </c>
      <c r="Q353" s="33">
        <v>35.200000000000003</v>
      </c>
      <c r="R353" s="33">
        <v>50.01</v>
      </c>
      <c r="S353" s="33">
        <v>50</v>
      </c>
      <c r="T353" s="38">
        <v>-0.01</v>
      </c>
      <c r="U353" s="38">
        <v>0.03</v>
      </c>
      <c r="V353" s="33">
        <v>732.79</v>
      </c>
    </row>
    <row r="354" spans="1:22" ht="16.8" x14ac:dyDescent="0.3">
      <c r="A354" s="20">
        <v>35.299999999999997</v>
      </c>
      <c r="B354" s="20">
        <v>50</v>
      </c>
      <c r="C354" s="20">
        <v>50.12</v>
      </c>
      <c r="D354" s="20">
        <v>-0.12</v>
      </c>
      <c r="E354" s="20">
        <v>0</v>
      </c>
      <c r="F354" s="20">
        <v>1078.25</v>
      </c>
      <c r="Q354" s="33">
        <v>35.299999999999997</v>
      </c>
      <c r="R354" s="33">
        <v>50.06</v>
      </c>
      <c r="S354" s="38">
        <v>50</v>
      </c>
      <c r="T354" s="33">
        <v>-0.06</v>
      </c>
      <c r="U354" s="33">
        <v>-0.05</v>
      </c>
      <c r="V354" s="33">
        <v>723.66</v>
      </c>
    </row>
    <row r="355" spans="1:22" ht="16.8" x14ac:dyDescent="0.3">
      <c r="A355" s="20">
        <v>35.4</v>
      </c>
      <c r="B355" s="20">
        <v>50</v>
      </c>
      <c r="C355" s="20">
        <v>50.15</v>
      </c>
      <c r="D355" s="20">
        <v>-0.15</v>
      </c>
      <c r="E355" s="20">
        <v>-0.03</v>
      </c>
      <c r="F355" s="20">
        <v>1063.33</v>
      </c>
      <c r="Q355" s="33">
        <v>35.4</v>
      </c>
      <c r="R355" s="33">
        <v>50</v>
      </c>
      <c r="S355" s="33">
        <v>50</v>
      </c>
      <c r="T355" s="38">
        <v>0</v>
      </c>
      <c r="U355" s="38">
        <v>0.06</v>
      </c>
      <c r="V355" s="33">
        <v>734.39</v>
      </c>
    </row>
    <row r="356" spans="1:22" ht="16.8" x14ac:dyDescent="0.3">
      <c r="A356" s="20">
        <v>35.5</v>
      </c>
      <c r="B356" s="20">
        <v>50</v>
      </c>
      <c r="C356" s="20">
        <v>50.11</v>
      </c>
      <c r="D356" s="20">
        <v>-0.11</v>
      </c>
      <c r="E356" s="20">
        <v>0.04</v>
      </c>
      <c r="F356" s="20">
        <v>1146.8399999999999</v>
      </c>
      <c r="Q356" s="33">
        <v>35.5</v>
      </c>
      <c r="R356" s="33">
        <v>50.01</v>
      </c>
      <c r="S356" s="38">
        <v>50</v>
      </c>
      <c r="T356" s="33">
        <v>-0.01</v>
      </c>
      <c r="U356" s="38">
        <v>-0.01</v>
      </c>
      <c r="V356" s="33">
        <v>731.85</v>
      </c>
    </row>
    <row r="357" spans="1:22" ht="16.8" x14ac:dyDescent="0.3">
      <c r="A357" s="20">
        <v>35.6</v>
      </c>
      <c r="B357" s="20">
        <v>50</v>
      </c>
      <c r="C357" s="20">
        <v>50.12</v>
      </c>
      <c r="D357" s="20">
        <v>-0.12</v>
      </c>
      <c r="E357" s="20">
        <v>-0.01</v>
      </c>
      <c r="F357" s="20">
        <v>1070.02</v>
      </c>
      <c r="Q357" s="33">
        <v>35.6</v>
      </c>
      <c r="R357" s="33">
        <v>49.98</v>
      </c>
      <c r="S357" s="33">
        <v>50</v>
      </c>
      <c r="T357" s="38">
        <v>0.02</v>
      </c>
      <c r="U357" s="33">
        <v>0.02</v>
      </c>
      <c r="V357" s="33">
        <v>736.23</v>
      </c>
    </row>
    <row r="358" spans="1:22" ht="16.8" x14ac:dyDescent="0.3">
      <c r="A358" s="20">
        <v>35.700000000000003</v>
      </c>
      <c r="B358" s="20">
        <v>50</v>
      </c>
      <c r="C358" s="20">
        <v>50.13</v>
      </c>
      <c r="D358" s="20">
        <v>-0.13</v>
      </c>
      <c r="E358" s="20">
        <v>0</v>
      </c>
      <c r="F358" s="20">
        <v>1069.06</v>
      </c>
      <c r="Q358" s="33">
        <v>35.700000000000003</v>
      </c>
      <c r="R358" s="33">
        <v>49.98</v>
      </c>
      <c r="S358" s="38">
        <v>50</v>
      </c>
      <c r="T358" s="33">
        <v>0.02</v>
      </c>
      <c r="U358" s="38">
        <v>0.01</v>
      </c>
      <c r="V358" s="33">
        <v>737.19</v>
      </c>
    </row>
    <row r="359" spans="1:22" ht="16.8" x14ac:dyDescent="0.3">
      <c r="A359" s="20">
        <v>35.799999999999997</v>
      </c>
      <c r="B359" s="20">
        <v>50</v>
      </c>
      <c r="C359" s="20">
        <v>50.12</v>
      </c>
      <c r="D359" s="20">
        <v>-0.12</v>
      </c>
      <c r="E359" s="20">
        <v>0.01</v>
      </c>
      <c r="F359" s="20">
        <v>1087.18</v>
      </c>
      <c r="Q359" s="33">
        <v>35.799999999999997</v>
      </c>
      <c r="R359" s="33">
        <v>50.01</v>
      </c>
      <c r="S359" s="33">
        <v>50</v>
      </c>
      <c r="T359" s="38">
        <v>-0.01</v>
      </c>
      <c r="U359" s="33">
        <v>-0.03</v>
      </c>
      <c r="V359" s="33">
        <v>731.44</v>
      </c>
    </row>
    <row r="360" spans="1:22" ht="16.8" x14ac:dyDescent="0.3">
      <c r="A360" s="20">
        <v>35.9</v>
      </c>
      <c r="B360" s="20">
        <v>50</v>
      </c>
      <c r="C360" s="20">
        <v>50.1</v>
      </c>
      <c r="D360" s="20">
        <v>-0.1</v>
      </c>
      <c r="E360" s="20">
        <v>0.02</v>
      </c>
      <c r="F360" s="20">
        <v>1114.5999999999999</v>
      </c>
      <c r="Q360" s="33">
        <v>35.9</v>
      </c>
      <c r="R360" s="33">
        <v>50.03</v>
      </c>
      <c r="S360" s="38">
        <v>50</v>
      </c>
      <c r="T360" s="33">
        <v>-0.03</v>
      </c>
      <c r="U360" s="38">
        <v>-0.02</v>
      </c>
      <c r="V360" s="33">
        <v>727.83</v>
      </c>
    </row>
    <row r="361" spans="1:22" ht="16.8" x14ac:dyDescent="0.3">
      <c r="A361" s="20">
        <v>36</v>
      </c>
      <c r="B361" s="20">
        <v>50</v>
      </c>
      <c r="C361" s="20">
        <v>50.13</v>
      </c>
      <c r="D361" s="20">
        <v>-0.13</v>
      </c>
      <c r="E361" s="20">
        <v>-0.03</v>
      </c>
      <c r="F361" s="20">
        <v>1069.06</v>
      </c>
      <c r="Q361" s="33">
        <v>36</v>
      </c>
      <c r="R361" s="33">
        <v>50.03</v>
      </c>
      <c r="S361" s="33">
        <v>50</v>
      </c>
      <c r="T361" s="33">
        <v>-0.03</v>
      </c>
      <c r="U361" s="33">
        <v>0</v>
      </c>
      <c r="V361" s="33">
        <v>728.25</v>
      </c>
    </row>
    <row r="362" spans="1:22" ht="16.8" x14ac:dyDescent="0.3">
      <c r="A362" s="20">
        <v>36.1</v>
      </c>
      <c r="B362" s="20">
        <v>50</v>
      </c>
      <c r="C362" s="20">
        <v>50.14</v>
      </c>
      <c r="D362" s="20">
        <v>-0.14000000000000001</v>
      </c>
      <c r="E362" s="20">
        <v>-0.01</v>
      </c>
      <c r="F362" s="20">
        <v>1066.17</v>
      </c>
      <c r="Q362" s="33">
        <v>36.1</v>
      </c>
      <c r="R362" s="33">
        <v>49.99</v>
      </c>
      <c r="S362" s="38">
        <v>50</v>
      </c>
      <c r="T362" s="38">
        <v>0.01</v>
      </c>
      <c r="U362" s="38">
        <v>0.04</v>
      </c>
      <c r="V362" s="33">
        <v>735.24</v>
      </c>
    </row>
    <row r="363" spans="1:22" ht="16.8" x14ac:dyDescent="0.3">
      <c r="A363" s="20">
        <v>36.200000000000003</v>
      </c>
      <c r="B363" s="20">
        <v>50</v>
      </c>
      <c r="C363" s="20">
        <v>50.12</v>
      </c>
      <c r="D363" s="20">
        <v>-0.12</v>
      </c>
      <c r="E363" s="20">
        <v>0.02</v>
      </c>
      <c r="F363" s="20">
        <v>1101.81</v>
      </c>
      <c r="Q363" s="33">
        <v>36.200000000000003</v>
      </c>
      <c r="R363" s="33">
        <v>50.05</v>
      </c>
      <c r="S363" s="33">
        <v>50</v>
      </c>
      <c r="T363" s="33">
        <v>-0.05</v>
      </c>
      <c r="U363" s="33">
        <v>-0.06</v>
      </c>
      <c r="V363" s="33">
        <v>724.58</v>
      </c>
    </row>
    <row r="364" spans="1:22" ht="16.8" x14ac:dyDescent="0.3">
      <c r="A364" s="20">
        <v>36.299999999999997</v>
      </c>
      <c r="B364" s="20">
        <v>50</v>
      </c>
      <c r="C364" s="20">
        <v>50.12</v>
      </c>
      <c r="D364" s="20">
        <v>-0.12</v>
      </c>
      <c r="E364" s="20">
        <v>0</v>
      </c>
      <c r="F364" s="20">
        <v>1070.02</v>
      </c>
      <c r="Q364" s="33">
        <v>36.299999999999997</v>
      </c>
      <c r="R364" s="33">
        <v>50</v>
      </c>
      <c r="S364" s="38">
        <v>50</v>
      </c>
      <c r="T364" s="38">
        <v>0</v>
      </c>
      <c r="U364" s="38">
        <v>0.05</v>
      </c>
      <c r="V364" s="33">
        <v>734.07</v>
      </c>
    </row>
    <row r="365" spans="1:22" ht="16.8" x14ac:dyDescent="0.3">
      <c r="A365" s="20">
        <v>36.4</v>
      </c>
      <c r="B365" s="20">
        <v>50</v>
      </c>
      <c r="C365" s="20">
        <v>50.12</v>
      </c>
      <c r="D365" s="20">
        <v>-0.12</v>
      </c>
      <c r="E365" s="20">
        <v>0.01</v>
      </c>
      <c r="F365" s="20">
        <v>1088.1099999999999</v>
      </c>
      <c r="Q365" s="33">
        <v>36.4</v>
      </c>
      <c r="R365" s="33">
        <v>50.02</v>
      </c>
      <c r="S365" s="33">
        <v>50</v>
      </c>
      <c r="T365" s="33">
        <v>-0.02</v>
      </c>
      <c r="U365" s="38">
        <v>-0.02</v>
      </c>
      <c r="V365" s="33">
        <v>730.28</v>
      </c>
    </row>
    <row r="366" spans="1:22" ht="16.8" x14ac:dyDescent="0.3">
      <c r="A366" s="20">
        <v>36.5</v>
      </c>
      <c r="B366" s="20">
        <v>50</v>
      </c>
      <c r="C366" s="20">
        <v>50.12</v>
      </c>
      <c r="D366" s="20">
        <v>-0.12</v>
      </c>
      <c r="E366" s="20">
        <v>0</v>
      </c>
      <c r="F366" s="20">
        <v>1070.97</v>
      </c>
      <c r="Q366" s="33">
        <v>36.5</v>
      </c>
      <c r="R366" s="33">
        <v>50</v>
      </c>
      <c r="S366" s="38">
        <v>50</v>
      </c>
      <c r="T366" s="38">
        <v>0</v>
      </c>
      <c r="U366" s="38">
        <v>0.02</v>
      </c>
      <c r="V366" s="33">
        <v>733.39</v>
      </c>
    </row>
    <row r="367" spans="1:22" ht="16.8" x14ac:dyDescent="0.3">
      <c r="A367" s="20">
        <v>36.6</v>
      </c>
      <c r="B367" s="20">
        <v>50</v>
      </c>
      <c r="C367" s="20">
        <v>50.12</v>
      </c>
      <c r="D367" s="20">
        <v>-0.12</v>
      </c>
      <c r="E367" s="20">
        <v>0</v>
      </c>
      <c r="F367" s="20">
        <v>1070.02</v>
      </c>
      <c r="Q367" s="33">
        <v>36.6</v>
      </c>
      <c r="R367" s="33">
        <v>50.01</v>
      </c>
      <c r="S367" s="33">
        <v>50</v>
      </c>
      <c r="T367" s="33">
        <v>-0.01</v>
      </c>
      <c r="U367" s="38">
        <v>-0.01</v>
      </c>
      <c r="V367" s="33">
        <v>731.66</v>
      </c>
    </row>
    <row r="368" spans="1:22" ht="16.8" x14ac:dyDescent="0.3">
      <c r="A368" s="20">
        <v>36.700000000000003</v>
      </c>
      <c r="B368" s="20">
        <v>50</v>
      </c>
      <c r="C368" s="20">
        <v>50.15</v>
      </c>
      <c r="D368" s="20">
        <v>-0.15</v>
      </c>
      <c r="E368" s="20">
        <v>-0.02</v>
      </c>
      <c r="F368" s="20">
        <v>1064.28</v>
      </c>
      <c r="Q368" s="33">
        <v>36.700000000000003</v>
      </c>
      <c r="R368" s="33">
        <v>50.05</v>
      </c>
      <c r="S368" s="38">
        <v>50</v>
      </c>
      <c r="T368" s="38">
        <v>-0.05</v>
      </c>
      <c r="U368" s="33">
        <v>-0.04</v>
      </c>
      <c r="V368" s="33">
        <v>724.76</v>
      </c>
    </row>
    <row r="369" spans="1:22" ht="16.8" x14ac:dyDescent="0.3">
      <c r="A369" s="20">
        <v>36.799999999999997</v>
      </c>
      <c r="B369" s="20">
        <v>50</v>
      </c>
      <c r="C369" s="20">
        <v>50.1</v>
      </c>
      <c r="D369" s="20">
        <v>-0.1</v>
      </c>
      <c r="E369" s="20">
        <v>0.04</v>
      </c>
      <c r="F369" s="20">
        <v>1155.04</v>
      </c>
      <c r="Q369" s="33">
        <v>36.799999999999997</v>
      </c>
      <c r="R369" s="33">
        <v>50.02</v>
      </c>
      <c r="S369" s="33">
        <v>50</v>
      </c>
      <c r="T369" s="33">
        <v>-0.02</v>
      </c>
      <c r="U369" s="38">
        <v>0.02</v>
      </c>
      <c r="V369" s="33">
        <v>729.69</v>
      </c>
    </row>
    <row r="370" spans="1:22" ht="16.8" x14ac:dyDescent="0.3">
      <c r="A370" s="20">
        <v>36.9</v>
      </c>
      <c r="B370" s="20">
        <v>50</v>
      </c>
      <c r="C370" s="20">
        <v>50.08</v>
      </c>
      <c r="D370" s="20">
        <v>-0.08</v>
      </c>
      <c r="E370" s="20">
        <v>0.02</v>
      </c>
      <c r="F370" s="20">
        <v>1118.22</v>
      </c>
      <c r="Q370" s="33">
        <v>36.9</v>
      </c>
      <c r="R370" s="33">
        <v>49.98</v>
      </c>
      <c r="S370" s="38">
        <v>50</v>
      </c>
      <c r="T370" s="38">
        <v>0.02</v>
      </c>
      <c r="U370" s="33">
        <v>0.04</v>
      </c>
      <c r="V370" s="33">
        <v>736.21</v>
      </c>
    </row>
    <row r="371" spans="1:22" ht="16.8" x14ac:dyDescent="0.3">
      <c r="A371" s="20">
        <v>37</v>
      </c>
      <c r="B371" s="20">
        <v>50</v>
      </c>
      <c r="C371" s="20">
        <v>50.12</v>
      </c>
      <c r="D371" s="20">
        <v>-0.12</v>
      </c>
      <c r="E371" s="20">
        <v>-0.04</v>
      </c>
      <c r="F371" s="20">
        <v>1070.02</v>
      </c>
      <c r="Q371" s="33">
        <v>37</v>
      </c>
      <c r="R371" s="33">
        <v>50.05</v>
      </c>
      <c r="S371" s="33">
        <v>50</v>
      </c>
      <c r="T371" s="33">
        <v>-0.05</v>
      </c>
      <c r="U371" s="38">
        <v>-0.06</v>
      </c>
      <c r="V371" s="33">
        <v>724.16</v>
      </c>
    </row>
    <row r="372" spans="1:22" ht="16.8" x14ac:dyDescent="0.3">
      <c r="A372" s="20">
        <v>37.1</v>
      </c>
      <c r="B372" s="20">
        <v>50</v>
      </c>
      <c r="C372" s="20">
        <v>50.11</v>
      </c>
      <c r="D372" s="20">
        <v>-0.11</v>
      </c>
      <c r="E372" s="20">
        <v>0.01</v>
      </c>
      <c r="F372" s="20">
        <v>1096.82</v>
      </c>
      <c r="Q372" s="33">
        <v>37.1</v>
      </c>
      <c r="R372" s="33">
        <v>50.02</v>
      </c>
      <c r="S372" s="38">
        <v>50</v>
      </c>
      <c r="T372" s="33">
        <v>-0.02</v>
      </c>
      <c r="U372" s="33">
        <v>0.02</v>
      </c>
      <c r="V372" s="33">
        <v>729.58</v>
      </c>
    </row>
    <row r="373" spans="1:22" ht="16.8" x14ac:dyDescent="0.3">
      <c r="A373" s="20">
        <v>37.200000000000003</v>
      </c>
      <c r="B373" s="20">
        <v>50</v>
      </c>
      <c r="C373" s="20">
        <v>50.12</v>
      </c>
      <c r="D373" s="20">
        <v>-0.12</v>
      </c>
      <c r="E373" s="20">
        <v>-0.01</v>
      </c>
      <c r="F373" s="20">
        <v>1070.97</v>
      </c>
      <c r="Q373" s="33">
        <v>37.200000000000003</v>
      </c>
      <c r="R373" s="33">
        <v>50</v>
      </c>
      <c r="S373" s="33">
        <v>50</v>
      </c>
      <c r="T373" s="38">
        <v>0</v>
      </c>
      <c r="U373" s="38">
        <v>0.02</v>
      </c>
      <c r="V373" s="33">
        <v>733.28</v>
      </c>
    </row>
    <row r="374" spans="1:22" ht="16.8" x14ac:dyDescent="0.3">
      <c r="A374" s="20">
        <v>37.299999999999997</v>
      </c>
      <c r="B374" s="20">
        <v>50</v>
      </c>
      <c r="C374" s="20">
        <v>50.15</v>
      </c>
      <c r="D374" s="20">
        <v>-0.15</v>
      </c>
      <c r="E374" s="20">
        <v>-0.03</v>
      </c>
      <c r="F374" s="20">
        <v>1063.33</v>
      </c>
      <c r="Q374" s="33">
        <v>37.299999999999997</v>
      </c>
      <c r="R374" s="33">
        <v>50</v>
      </c>
      <c r="S374" s="38">
        <v>50</v>
      </c>
      <c r="T374" s="33">
        <v>0</v>
      </c>
      <c r="U374" s="33">
        <v>0</v>
      </c>
      <c r="V374" s="33">
        <v>732.8</v>
      </c>
    </row>
    <row r="375" spans="1:22" ht="16.8" x14ac:dyDescent="0.3">
      <c r="A375" s="20">
        <v>37.4</v>
      </c>
      <c r="B375" s="20">
        <v>50</v>
      </c>
      <c r="C375" s="20">
        <v>50.1</v>
      </c>
      <c r="D375" s="20">
        <v>-0.1</v>
      </c>
      <c r="E375" s="20">
        <v>0.05</v>
      </c>
      <c r="F375" s="20">
        <v>1168.44</v>
      </c>
      <c r="Q375" s="33">
        <v>37.4</v>
      </c>
      <c r="R375" s="33">
        <v>50</v>
      </c>
      <c r="S375" s="33">
        <v>50</v>
      </c>
      <c r="T375" s="38">
        <v>0</v>
      </c>
      <c r="U375" s="38">
        <v>0</v>
      </c>
      <c r="V375" s="33">
        <v>732.8</v>
      </c>
    </row>
    <row r="376" spans="1:22" ht="16.8" x14ac:dyDescent="0.3">
      <c r="A376" s="20">
        <v>37.5</v>
      </c>
      <c r="B376" s="20">
        <v>50</v>
      </c>
      <c r="C376" s="20">
        <v>50.12</v>
      </c>
      <c r="D376" s="20">
        <v>-0.12</v>
      </c>
      <c r="E376" s="20">
        <v>-0.02</v>
      </c>
      <c r="F376" s="20">
        <v>1070.02</v>
      </c>
      <c r="Q376" s="33">
        <v>37.5</v>
      </c>
      <c r="R376" s="33">
        <v>50.01</v>
      </c>
      <c r="S376" s="38">
        <v>50</v>
      </c>
      <c r="T376" s="33">
        <v>-0.01</v>
      </c>
      <c r="U376" s="33">
        <v>-0.01</v>
      </c>
      <c r="V376" s="33">
        <v>731.39</v>
      </c>
    </row>
    <row r="377" spans="1:22" ht="16.8" x14ac:dyDescent="0.3">
      <c r="A377" s="20">
        <v>37.6</v>
      </c>
      <c r="B377" s="20">
        <v>50</v>
      </c>
      <c r="C377" s="20">
        <v>50.13</v>
      </c>
      <c r="D377" s="20">
        <v>-0.13</v>
      </c>
      <c r="E377" s="20">
        <v>-0.01</v>
      </c>
      <c r="F377" s="20">
        <v>1068.0999999999999</v>
      </c>
      <c r="Q377" s="33">
        <v>37.6</v>
      </c>
      <c r="R377" s="33">
        <v>50.05</v>
      </c>
      <c r="S377" s="33">
        <v>50</v>
      </c>
      <c r="T377" s="38">
        <v>-0.05</v>
      </c>
      <c r="U377" s="38">
        <v>-0.04</v>
      </c>
      <c r="V377" s="33">
        <v>724.48</v>
      </c>
    </row>
    <row r="378" spans="1:22" ht="16.8" x14ac:dyDescent="0.3">
      <c r="A378" s="20">
        <v>37.700000000000003</v>
      </c>
      <c r="B378" s="20">
        <v>50</v>
      </c>
      <c r="C378" s="20">
        <v>50.09</v>
      </c>
      <c r="D378" s="20">
        <v>-0.09</v>
      </c>
      <c r="E378" s="20">
        <v>0.04</v>
      </c>
      <c r="F378" s="20">
        <v>1151.07</v>
      </c>
      <c r="Q378" s="33">
        <v>37.700000000000003</v>
      </c>
      <c r="R378" s="33">
        <v>49.98</v>
      </c>
      <c r="S378" s="38">
        <v>50</v>
      </c>
      <c r="T378" s="33">
        <v>0.02</v>
      </c>
      <c r="U378" s="38">
        <v>7.0000000000000007E-2</v>
      </c>
      <c r="V378" s="33">
        <v>737.88</v>
      </c>
    </row>
    <row r="379" spans="1:22" ht="16.8" x14ac:dyDescent="0.3">
      <c r="A379" s="20">
        <v>37.799999999999997</v>
      </c>
      <c r="B379" s="20">
        <v>50</v>
      </c>
      <c r="C379" s="20">
        <v>50.09</v>
      </c>
      <c r="D379" s="20">
        <v>-0.09</v>
      </c>
      <c r="E379" s="20">
        <v>0</v>
      </c>
      <c r="F379" s="20">
        <v>1077.6300000000001</v>
      </c>
      <c r="Q379" s="33">
        <v>37.799999999999997</v>
      </c>
      <c r="R379" s="33">
        <v>50.01</v>
      </c>
      <c r="S379" s="33">
        <v>50</v>
      </c>
      <c r="T379" s="38">
        <v>-0.01</v>
      </c>
      <c r="U379" s="33">
        <v>-0.03</v>
      </c>
      <c r="V379" s="33">
        <v>730.84</v>
      </c>
    </row>
    <row r="380" spans="1:22" ht="16.8" x14ac:dyDescent="0.3">
      <c r="A380" s="20">
        <v>37.9</v>
      </c>
      <c r="B380" s="20">
        <v>50</v>
      </c>
      <c r="C380" s="20">
        <v>50.14</v>
      </c>
      <c r="D380" s="20">
        <v>-0.14000000000000001</v>
      </c>
      <c r="E380" s="20">
        <v>-0.05</v>
      </c>
      <c r="F380" s="20">
        <v>1065.23</v>
      </c>
      <c r="Q380" s="33">
        <v>37.9</v>
      </c>
      <c r="R380" s="33">
        <v>50</v>
      </c>
      <c r="S380" s="38">
        <v>50</v>
      </c>
      <c r="T380" s="33">
        <v>0</v>
      </c>
      <c r="U380" s="38">
        <v>0.01</v>
      </c>
      <c r="V380" s="33">
        <v>732.88</v>
      </c>
    </row>
    <row r="381" spans="1:22" ht="16.8" x14ac:dyDescent="0.3">
      <c r="A381" s="20">
        <v>38</v>
      </c>
      <c r="B381" s="20">
        <v>50</v>
      </c>
      <c r="C381" s="20">
        <v>50.12</v>
      </c>
      <c r="D381" s="20">
        <v>-0.12</v>
      </c>
      <c r="E381" s="20">
        <v>0.03</v>
      </c>
      <c r="F381" s="20">
        <v>1125.51</v>
      </c>
      <c r="Q381" s="33">
        <v>38</v>
      </c>
      <c r="R381" s="33">
        <v>50.06</v>
      </c>
      <c r="S381" s="38">
        <v>50</v>
      </c>
      <c r="T381" s="33">
        <v>-0.06</v>
      </c>
      <c r="U381" s="33">
        <v>-0.06</v>
      </c>
      <c r="V381" s="33">
        <v>722.85</v>
      </c>
    </row>
    <row r="382" spans="1:22" ht="16.8" x14ac:dyDescent="0.3">
      <c r="A382" s="20">
        <v>38.1</v>
      </c>
      <c r="B382" s="20">
        <v>50</v>
      </c>
      <c r="C382" s="20">
        <v>50.11</v>
      </c>
      <c r="D382" s="20">
        <v>-0.11</v>
      </c>
      <c r="E382" s="20">
        <v>0.01</v>
      </c>
      <c r="F382" s="20">
        <v>1089.95</v>
      </c>
      <c r="Q382" s="33">
        <v>38.1</v>
      </c>
      <c r="R382" s="33">
        <v>50.06</v>
      </c>
      <c r="S382" s="33">
        <v>50</v>
      </c>
      <c r="T382" s="38">
        <v>-0.06</v>
      </c>
      <c r="U382" s="38">
        <v>0</v>
      </c>
      <c r="V382" s="33">
        <v>723.86</v>
      </c>
    </row>
    <row r="383" spans="1:22" ht="16.8" x14ac:dyDescent="0.3">
      <c r="A383" s="20">
        <v>38.200000000000003</v>
      </c>
      <c r="B383" s="20">
        <v>50</v>
      </c>
      <c r="C383" s="20">
        <v>50.1</v>
      </c>
      <c r="D383" s="20">
        <v>-0.1</v>
      </c>
      <c r="E383" s="20">
        <v>0</v>
      </c>
      <c r="F383" s="20">
        <v>1082.9100000000001</v>
      </c>
      <c r="Q383" s="33">
        <v>38.200000000000003</v>
      </c>
      <c r="R383" s="33">
        <v>49.96</v>
      </c>
      <c r="S383" s="38">
        <v>50</v>
      </c>
      <c r="T383" s="33">
        <v>0.04</v>
      </c>
      <c r="U383" s="33">
        <v>0.1</v>
      </c>
      <c r="V383" s="33">
        <v>740.67</v>
      </c>
    </row>
    <row r="384" spans="1:22" ht="16.8" x14ac:dyDescent="0.3">
      <c r="A384" s="20">
        <v>38.299999999999997</v>
      </c>
      <c r="B384" s="20">
        <v>50</v>
      </c>
      <c r="C384" s="20">
        <v>50.11</v>
      </c>
      <c r="D384" s="20">
        <v>-0.11</v>
      </c>
      <c r="E384" s="20">
        <v>0</v>
      </c>
      <c r="F384" s="20">
        <v>1073.82</v>
      </c>
      <c r="Q384" s="33">
        <v>38.299999999999997</v>
      </c>
      <c r="R384" s="33">
        <v>49.98</v>
      </c>
      <c r="S384" s="33">
        <v>50</v>
      </c>
      <c r="T384" s="38">
        <v>0.02</v>
      </c>
      <c r="U384" s="38">
        <v>-0.02</v>
      </c>
      <c r="V384" s="33">
        <v>734.59</v>
      </c>
    </row>
    <row r="385" spans="1:22" ht="16.8" x14ac:dyDescent="0.3">
      <c r="A385" s="20">
        <v>38.4</v>
      </c>
      <c r="B385" s="20">
        <v>50</v>
      </c>
      <c r="C385" s="20">
        <v>50.1</v>
      </c>
      <c r="D385" s="20">
        <v>-0.1</v>
      </c>
      <c r="E385" s="20">
        <v>0.01</v>
      </c>
      <c r="F385" s="20">
        <v>1091.79</v>
      </c>
      <c r="Q385" s="33">
        <v>38.4</v>
      </c>
      <c r="R385" s="33">
        <v>50.08</v>
      </c>
      <c r="S385" s="38">
        <v>50</v>
      </c>
      <c r="T385" s="33">
        <v>-0.08</v>
      </c>
      <c r="U385" s="33">
        <v>-0.1</v>
      </c>
      <c r="V385" s="33">
        <v>718.18</v>
      </c>
    </row>
    <row r="386" spans="1:22" ht="16.8" x14ac:dyDescent="0.3">
      <c r="A386" s="20">
        <v>38.5</v>
      </c>
      <c r="B386" s="20">
        <v>50</v>
      </c>
      <c r="C386" s="20">
        <v>50.16</v>
      </c>
      <c r="D386" s="20">
        <v>-0.16</v>
      </c>
      <c r="E386" s="20">
        <v>-0.06</v>
      </c>
      <c r="F386" s="20">
        <v>1062.3699999999999</v>
      </c>
      <c r="Q386" s="33">
        <v>38.5</v>
      </c>
      <c r="R386" s="33">
        <v>50.04</v>
      </c>
      <c r="S386" s="33">
        <v>50</v>
      </c>
      <c r="T386" s="38">
        <v>-0.04</v>
      </c>
      <c r="U386" s="38">
        <v>0.04</v>
      </c>
      <c r="V386" s="33">
        <v>727</v>
      </c>
    </row>
    <row r="387" spans="1:22" ht="16.8" x14ac:dyDescent="0.3">
      <c r="A387" s="20">
        <v>38.6</v>
      </c>
      <c r="B387" s="20">
        <v>50</v>
      </c>
      <c r="C387" s="20">
        <v>50.13</v>
      </c>
      <c r="D387" s="20">
        <v>-0.13</v>
      </c>
      <c r="E387" s="20">
        <v>0.02</v>
      </c>
      <c r="F387" s="20">
        <v>1114.8499999999999</v>
      </c>
      <c r="Q387" s="33">
        <v>38.6</v>
      </c>
      <c r="R387" s="33">
        <v>50.02</v>
      </c>
      <c r="S387" s="38">
        <v>50</v>
      </c>
      <c r="T387" s="33">
        <v>-0.02</v>
      </c>
      <c r="U387" s="33">
        <v>0.02</v>
      </c>
      <c r="V387" s="33">
        <v>728.93</v>
      </c>
    </row>
    <row r="388" spans="1:22" ht="16.8" x14ac:dyDescent="0.3">
      <c r="A388" s="20">
        <v>38.700000000000003</v>
      </c>
      <c r="B388" s="20">
        <v>50</v>
      </c>
      <c r="C388" s="20">
        <v>50.14</v>
      </c>
      <c r="D388" s="20">
        <v>-0.14000000000000001</v>
      </c>
      <c r="E388" s="20">
        <v>-0.01</v>
      </c>
      <c r="F388" s="20">
        <v>1065.23</v>
      </c>
      <c r="Q388" s="33">
        <v>38.700000000000003</v>
      </c>
      <c r="R388" s="33">
        <v>50.02</v>
      </c>
      <c r="S388" s="33">
        <v>50</v>
      </c>
      <c r="T388" s="38">
        <v>-0.02</v>
      </c>
      <c r="U388" s="38">
        <v>0.01</v>
      </c>
      <c r="V388" s="33">
        <v>729.97</v>
      </c>
    </row>
    <row r="389" spans="1:22" ht="16.8" x14ac:dyDescent="0.3">
      <c r="A389" s="20">
        <v>38.799999999999997</v>
      </c>
      <c r="B389" s="20">
        <v>50</v>
      </c>
      <c r="C389" s="20">
        <v>50.15</v>
      </c>
      <c r="D389" s="20">
        <v>-0.15</v>
      </c>
      <c r="E389" s="20">
        <v>0</v>
      </c>
      <c r="F389" s="20">
        <v>1064.28</v>
      </c>
      <c r="Q389" s="33">
        <v>38.799999999999997</v>
      </c>
      <c r="R389" s="33">
        <v>50.04</v>
      </c>
      <c r="S389" s="38">
        <v>50</v>
      </c>
      <c r="T389" s="33">
        <v>-0.04</v>
      </c>
      <c r="U389" s="38">
        <v>-0.02</v>
      </c>
      <c r="V389" s="33">
        <v>725.55</v>
      </c>
    </row>
    <row r="390" spans="1:22" ht="16.8" x14ac:dyDescent="0.3">
      <c r="A390" s="20">
        <v>38.9</v>
      </c>
      <c r="B390" s="20">
        <v>50</v>
      </c>
      <c r="C390" s="20">
        <v>50.13</v>
      </c>
      <c r="D390" s="20">
        <v>-0.13</v>
      </c>
      <c r="E390" s="20">
        <v>0.02</v>
      </c>
      <c r="F390" s="20">
        <v>1099.97</v>
      </c>
      <c r="Q390" s="33">
        <v>38.9</v>
      </c>
      <c r="R390" s="33">
        <v>50.02</v>
      </c>
      <c r="S390" s="33">
        <v>50</v>
      </c>
      <c r="T390" s="38">
        <v>-0.02</v>
      </c>
      <c r="U390" s="38">
        <v>0.02</v>
      </c>
      <c r="V390" s="33">
        <v>730.18</v>
      </c>
    </row>
    <row r="391" spans="1:22" ht="16.8" x14ac:dyDescent="0.3">
      <c r="A391" s="20">
        <v>39</v>
      </c>
      <c r="B391" s="20">
        <v>50</v>
      </c>
      <c r="C391" s="20">
        <v>50.13</v>
      </c>
      <c r="D391" s="20">
        <v>-0.13</v>
      </c>
      <c r="E391" s="20">
        <v>0</v>
      </c>
      <c r="F391" s="20">
        <v>1068.0999999999999</v>
      </c>
      <c r="Q391" s="33">
        <v>39</v>
      </c>
      <c r="R391" s="33">
        <v>50</v>
      </c>
      <c r="S391" s="38">
        <v>50</v>
      </c>
      <c r="T391" s="33">
        <v>0</v>
      </c>
      <c r="U391" s="38">
        <v>0.02</v>
      </c>
      <c r="V391" s="33">
        <v>732.48</v>
      </c>
    </row>
    <row r="392" spans="1:22" ht="16.8" x14ac:dyDescent="0.3">
      <c r="A392" s="20">
        <v>39.1</v>
      </c>
      <c r="B392" s="20">
        <v>50</v>
      </c>
      <c r="C392" s="20">
        <v>50.11</v>
      </c>
      <c r="D392" s="20">
        <v>-0.11</v>
      </c>
      <c r="E392" s="20">
        <v>0.02</v>
      </c>
      <c r="F392" s="20">
        <v>1111.95</v>
      </c>
      <c r="Q392" s="33">
        <v>39.1</v>
      </c>
      <c r="R392" s="33">
        <v>50.06</v>
      </c>
      <c r="S392" s="33">
        <v>50</v>
      </c>
      <c r="T392" s="38">
        <v>-0.06</v>
      </c>
      <c r="U392" s="33">
        <v>-0.06</v>
      </c>
      <c r="V392" s="33">
        <v>720.88</v>
      </c>
    </row>
    <row r="393" spans="1:22" ht="16.8" x14ac:dyDescent="0.3">
      <c r="A393" s="20">
        <v>39.200000000000003</v>
      </c>
      <c r="B393" s="20">
        <v>50</v>
      </c>
      <c r="C393" s="20">
        <v>50.13</v>
      </c>
      <c r="D393" s="20">
        <v>-0.13</v>
      </c>
      <c r="E393" s="20">
        <v>-0.02</v>
      </c>
      <c r="F393" s="20">
        <v>1069.06</v>
      </c>
      <c r="Q393" s="33">
        <v>39.200000000000003</v>
      </c>
      <c r="R393" s="33">
        <v>50.02</v>
      </c>
      <c r="S393" s="38">
        <v>50</v>
      </c>
      <c r="T393" s="33">
        <v>-0.02</v>
      </c>
      <c r="U393" s="38">
        <v>0.04</v>
      </c>
      <c r="V393" s="33">
        <v>729.09</v>
      </c>
    </row>
    <row r="394" spans="1:22" ht="16.8" x14ac:dyDescent="0.3">
      <c r="A394" s="20">
        <v>39.299999999999997</v>
      </c>
      <c r="B394" s="20">
        <v>50</v>
      </c>
      <c r="C394" s="20">
        <v>50.15</v>
      </c>
      <c r="D394" s="20">
        <v>-0.15</v>
      </c>
      <c r="E394" s="20">
        <v>-0.02</v>
      </c>
      <c r="F394" s="20">
        <v>1063.33</v>
      </c>
      <c r="Q394" s="33">
        <v>39.299999999999997</v>
      </c>
      <c r="R394" s="33">
        <v>49.97</v>
      </c>
      <c r="S394" s="33">
        <v>50</v>
      </c>
      <c r="T394" s="33">
        <v>0.03</v>
      </c>
      <c r="U394" s="33">
        <v>0.06</v>
      </c>
      <c r="V394" s="33">
        <v>738.1</v>
      </c>
    </row>
    <row r="395" spans="1:22" ht="16.8" x14ac:dyDescent="0.3">
      <c r="A395" s="20">
        <v>39.4</v>
      </c>
      <c r="B395" s="20">
        <v>50</v>
      </c>
      <c r="C395" s="20">
        <v>50.15</v>
      </c>
      <c r="D395" s="20">
        <v>-0.15</v>
      </c>
      <c r="E395" s="20">
        <v>0</v>
      </c>
      <c r="F395" s="20">
        <v>1072.5899999999999</v>
      </c>
      <c r="Q395" s="33">
        <v>39.4</v>
      </c>
      <c r="R395" s="33">
        <v>50.05</v>
      </c>
      <c r="S395" s="33">
        <v>50</v>
      </c>
      <c r="T395" s="38">
        <v>-0.05</v>
      </c>
      <c r="U395" s="38">
        <v>-0.08</v>
      </c>
      <c r="V395" s="33">
        <v>722.94</v>
      </c>
    </row>
    <row r="396" spans="1:22" ht="16.8" x14ac:dyDescent="0.3">
      <c r="A396" s="20">
        <v>39.5</v>
      </c>
      <c r="B396" s="20">
        <v>50</v>
      </c>
      <c r="C396" s="20">
        <v>50.14</v>
      </c>
      <c r="D396" s="20">
        <v>-0.14000000000000001</v>
      </c>
      <c r="E396" s="20">
        <v>0.01</v>
      </c>
      <c r="F396" s="20">
        <v>1082.54</v>
      </c>
      <c r="Q396" s="33">
        <v>39.5</v>
      </c>
      <c r="R396" s="33">
        <v>50.05</v>
      </c>
      <c r="S396" s="38">
        <v>50</v>
      </c>
      <c r="T396" s="33">
        <v>-0.05</v>
      </c>
      <c r="U396" s="33">
        <v>0</v>
      </c>
      <c r="V396" s="33">
        <v>724.46</v>
      </c>
    </row>
    <row r="397" spans="1:22" ht="16.8" x14ac:dyDescent="0.3">
      <c r="A397" s="20">
        <v>39.6</v>
      </c>
      <c r="B397" s="20">
        <v>50</v>
      </c>
      <c r="C397" s="20">
        <v>50.12</v>
      </c>
      <c r="D397" s="20">
        <v>-0.12</v>
      </c>
      <c r="E397" s="20">
        <v>0.02</v>
      </c>
      <c r="F397" s="20">
        <v>1110.18</v>
      </c>
      <c r="Q397" s="33">
        <v>39.6</v>
      </c>
      <c r="R397" s="33">
        <v>50.02</v>
      </c>
      <c r="S397" s="33">
        <v>50</v>
      </c>
      <c r="T397" s="38">
        <v>-0.02</v>
      </c>
      <c r="U397" s="38">
        <v>0.03</v>
      </c>
      <c r="V397" s="33">
        <v>730</v>
      </c>
    </row>
    <row r="398" spans="1:22" ht="16.8" x14ac:dyDescent="0.3">
      <c r="A398" s="20">
        <v>39.700000000000003</v>
      </c>
      <c r="B398" s="20">
        <v>50</v>
      </c>
      <c r="C398" s="20">
        <v>50.13</v>
      </c>
      <c r="D398" s="20">
        <v>-0.13</v>
      </c>
      <c r="E398" s="20">
        <v>-0.01</v>
      </c>
      <c r="F398" s="20">
        <v>1068.0999999999999</v>
      </c>
      <c r="Q398" s="33">
        <v>39.700000000000003</v>
      </c>
      <c r="R398" s="33">
        <v>50.04</v>
      </c>
      <c r="S398" s="38">
        <v>50</v>
      </c>
      <c r="T398" s="33">
        <v>-0.04</v>
      </c>
      <c r="U398" s="33">
        <v>-0.02</v>
      </c>
      <c r="V398" s="33">
        <v>725.09</v>
      </c>
    </row>
    <row r="399" spans="1:22" ht="16.8" x14ac:dyDescent="0.3">
      <c r="A399" s="20">
        <v>39.799999999999997</v>
      </c>
      <c r="B399" s="20">
        <v>50</v>
      </c>
      <c r="C399" s="20">
        <v>50.12</v>
      </c>
      <c r="D399" s="20">
        <v>-0.12</v>
      </c>
      <c r="E399" s="20">
        <v>0.01</v>
      </c>
      <c r="F399" s="20">
        <v>1086.3</v>
      </c>
      <c r="Q399" s="33">
        <v>39.799999999999997</v>
      </c>
      <c r="R399" s="33">
        <v>50.03</v>
      </c>
      <c r="S399" s="38">
        <v>50</v>
      </c>
      <c r="T399" s="33">
        <v>-0.03</v>
      </c>
      <c r="U399" s="38">
        <v>0.01</v>
      </c>
      <c r="V399" s="33">
        <v>726.9</v>
      </c>
    </row>
    <row r="400" spans="1:22" ht="16.8" x14ac:dyDescent="0.3">
      <c r="A400" s="20">
        <v>39.9</v>
      </c>
      <c r="B400" s="20">
        <v>50</v>
      </c>
      <c r="C400" s="20">
        <v>50.13</v>
      </c>
      <c r="D400" s="20">
        <v>-0.13</v>
      </c>
      <c r="E400" s="20">
        <v>-0.01</v>
      </c>
      <c r="F400" s="20">
        <v>1068.0999999999999</v>
      </c>
      <c r="Q400" s="33">
        <v>39.9</v>
      </c>
      <c r="R400" s="33">
        <v>50.06</v>
      </c>
      <c r="S400" s="33">
        <v>50</v>
      </c>
      <c r="T400" s="38">
        <v>-0.06</v>
      </c>
      <c r="U400" s="38">
        <v>-0.02</v>
      </c>
      <c r="V400" s="33">
        <v>722.44</v>
      </c>
    </row>
    <row r="401" spans="1:22" ht="16.8" x14ac:dyDescent="0.3">
      <c r="A401" s="20">
        <v>40</v>
      </c>
      <c r="B401" s="20">
        <v>50</v>
      </c>
      <c r="C401" s="20">
        <v>50.14</v>
      </c>
      <c r="D401" s="20">
        <v>-0.14000000000000001</v>
      </c>
      <c r="E401" s="20">
        <v>-0.01</v>
      </c>
      <c r="F401" s="20">
        <v>1065.23</v>
      </c>
      <c r="Q401" s="33">
        <v>40</v>
      </c>
      <c r="R401" s="33">
        <v>50.03</v>
      </c>
      <c r="S401" s="33">
        <v>50</v>
      </c>
      <c r="T401" s="33">
        <v>-0.03</v>
      </c>
      <c r="U401" s="38">
        <v>0.02</v>
      </c>
      <c r="V401" s="33">
        <v>727.04</v>
      </c>
    </row>
    <row r="402" spans="1:22" ht="16.8" x14ac:dyDescent="0.3">
      <c r="A402" s="20">
        <v>40.1</v>
      </c>
      <c r="B402" s="20">
        <v>50</v>
      </c>
      <c r="C402" s="20">
        <v>50.14</v>
      </c>
      <c r="D402" s="20">
        <v>-0.14000000000000001</v>
      </c>
      <c r="E402" s="20">
        <v>0</v>
      </c>
      <c r="F402" s="20">
        <v>1074.43</v>
      </c>
      <c r="Q402" s="33">
        <v>40.1</v>
      </c>
      <c r="R402" s="33">
        <v>50.02</v>
      </c>
      <c r="S402" s="38">
        <v>50</v>
      </c>
      <c r="T402" s="38">
        <v>-0.02</v>
      </c>
      <c r="U402" s="38">
        <v>0.02</v>
      </c>
      <c r="V402" s="33">
        <v>729.31</v>
      </c>
    </row>
    <row r="403" spans="1:22" ht="16.8" x14ac:dyDescent="0.3">
      <c r="A403" s="20">
        <v>40.200000000000003</v>
      </c>
      <c r="B403" s="20">
        <v>50</v>
      </c>
      <c r="C403" s="20">
        <v>50.1</v>
      </c>
      <c r="D403" s="20">
        <v>-0.1</v>
      </c>
      <c r="E403" s="20">
        <v>0.04</v>
      </c>
      <c r="F403" s="20">
        <v>1141.8699999999999</v>
      </c>
      <c r="Q403" s="33">
        <v>40.200000000000003</v>
      </c>
      <c r="R403" s="33">
        <v>50.06</v>
      </c>
      <c r="S403" s="33">
        <v>50</v>
      </c>
      <c r="T403" s="33">
        <v>-0.06</v>
      </c>
      <c r="U403" s="38">
        <v>-0.05</v>
      </c>
      <c r="V403" s="33">
        <v>720.49</v>
      </c>
    </row>
    <row r="404" spans="1:22" ht="16.8" x14ac:dyDescent="0.3">
      <c r="A404" s="20">
        <v>40.299999999999997</v>
      </c>
      <c r="B404" s="20">
        <v>50</v>
      </c>
      <c r="C404" s="20">
        <v>50.16</v>
      </c>
      <c r="D404" s="20">
        <v>-0.16</v>
      </c>
      <c r="E404" s="20">
        <v>-0.05</v>
      </c>
      <c r="F404" s="20">
        <v>1062.3699999999999</v>
      </c>
      <c r="Q404" s="33">
        <v>40.299999999999997</v>
      </c>
      <c r="R404" s="33">
        <v>50.08</v>
      </c>
      <c r="S404" s="38">
        <v>50</v>
      </c>
      <c r="T404" s="38">
        <v>-0.08</v>
      </c>
      <c r="U404" s="33">
        <v>-0.02</v>
      </c>
      <c r="V404" s="33">
        <v>718.51</v>
      </c>
    </row>
    <row r="405" spans="1:22" ht="16.8" x14ac:dyDescent="0.3">
      <c r="A405" s="20">
        <v>40.4</v>
      </c>
      <c r="B405" s="20">
        <v>50</v>
      </c>
      <c r="C405" s="20">
        <v>50.13</v>
      </c>
      <c r="D405" s="20">
        <v>-0.13</v>
      </c>
      <c r="E405" s="20">
        <v>0.02</v>
      </c>
      <c r="F405" s="20">
        <v>1114.8499999999999</v>
      </c>
      <c r="Q405" s="33">
        <v>40.4</v>
      </c>
      <c r="R405" s="33">
        <v>50.1</v>
      </c>
      <c r="S405" s="38">
        <v>50</v>
      </c>
      <c r="T405" s="33">
        <v>-0.1</v>
      </c>
      <c r="U405" s="38">
        <v>-0.02</v>
      </c>
      <c r="V405" s="33">
        <v>715.84</v>
      </c>
    </row>
    <row r="406" spans="1:22" ht="16.8" x14ac:dyDescent="0.3">
      <c r="A406" s="20">
        <v>40.5</v>
      </c>
      <c r="B406" s="20">
        <v>50</v>
      </c>
      <c r="C406" s="20">
        <v>50.14</v>
      </c>
      <c r="D406" s="20">
        <v>-0.14000000000000001</v>
      </c>
      <c r="E406" s="20">
        <v>-0.01</v>
      </c>
      <c r="F406" s="20">
        <v>1065.23</v>
      </c>
      <c r="Q406" s="33">
        <v>40.5</v>
      </c>
      <c r="R406" s="33">
        <v>50.1</v>
      </c>
      <c r="S406" s="33">
        <v>50</v>
      </c>
      <c r="T406" s="38">
        <v>-0.1</v>
      </c>
      <c r="U406" s="33">
        <v>-0.01</v>
      </c>
      <c r="V406" s="33">
        <v>714.55</v>
      </c>
    </row>
    <row r="407" spans="1:22" ht="16.8" x14ac:dyDescent="0.3">
      <c r="A407" s="20">
        <v>40.6</v>
      </c>
      <c r="B407" s="20">
        <v>50</v>
      </c>
      <c r="C407" s="20">
        <v>50.16</v>
      </c>
      <c r="D407" s="20">
        <v>-0.16</v>
      </c>
      <c r="E407" s="20">
        <v>-0.02</v>
      </c>
      <c r="F407" s="20">
        <v>1060.45</v>
      </c>
      <c r="Q407" s="33">
        <v>40.6</v>
      </c>
      <c r="R407" s="33">
        <v>50.06</v>
      </c>
      <c r="S407" s="38">
        <v>50</v>
      </c>
      <c r="T407" s="33">
        <v>-0.06</v>
      </c>
      <c r="U407" s="38">
        <v>0.05</v>
      </c>
      <c r="V407" s="33">
        <v>722.96</v>
      </c>
    </row>
    <row r="408" spans="1:22" ht="16.8" x14ac:dyDescent="0.3">
      <c r="A408" s="20">
        <v>40.700000000000003</v>
      </c>
      <c r="B408" s="20">
        <v>50</v>
      </c>
      <c r="C408" s="20">
        <v>50.15</v>
      </c>
      <c r="D408" s="20">
        <v>-0.15</v>
      </c>
      <c r="E408" s="20">
        <v>0.02</v>
      </c>
      <c r="F408" s="20">
        <v>1096.4100000000001</v>
      </c>
      <c r="Q408" s="33">
        <v>40.700000000000003</v>
      </c>
      <c r="R408" s="33">
        <v>50.05</v>
      </c>
      <c r="S408" s="33">
        <v>50</v>
      </c>
      <c r="T408" s="33">
        <v>-0.05</v>
      </c>
      <c r="U408" s="38">
        <v>0.01</v>
      </c>
      <c r="V408" s="33">
        <v>723.28</v>
      </c>
    </row>
    <row r="409" spans="1:22" ht="16.8" x14ac:dyDescent="0.3">
      <c r="A409" s="20">
        <v>40.799999999999997</v>
      </c>
      <c r="B409" s="20">
        <v>50</v>
      </c>
      <c r="C409" s="20">
        <v>50.13</v>
      </c>
      <c r="D409" s="20">
        <v>-0.13</v>
      </c>
      <c r="E409" s="20">
        <v>0.02</v>
      </c>
      <c r="F409" s="20">
        <v>1099.97</v>
      </c>
      <c r="Q409" s="33">
        <v>40.799999999999997</v>
      </c>
      <c r="R409" s="33">
        <v>50.06</v>
      </c>
      <c r="S409" s="38">
        <v>50</v>
      </c>
      <c r="T409" s="38">
        <v>-0.06</v>
      </c>
      <c r="U409" s="38">
        <v>-0.01</v>
      </c>
      <c r="V409" s="33">
        <v>721.61</v>
      </c>
    </row>
    <row r="410" spans="1:22" ht="16.8" x14ac:dyDescent="0.3">
      <c r="A410" s="20">
        <v>40.9</v>
      </c>
      <c r="B410" s="20">
        <v>50</v>
      </c>
      <c r="C410" s="20">
        <v>50.14</v>
      </c>
      <c r="D410" s="20">
        <v>-0.14000000000000001</v>
      </c>
      <c r="E410" s="20">
        <v>0</v>
      </c>
      <c r="F410" s="20">
        <v>1067.1400000000001</v>
      </c>
      <c r="Q410" s="33">
        <v>40.9</v>
      </c>
      <c r="R410" s="33">
        <v>50.03</v>
      </c>
      <c r="S410" s="33">
        <v>50</v>
      </c>
      <c r="T410" s="33">
        <v>-0.03</v>
      </c>
      <c r="U410" s="38">
        <v>0.02</v>
      </c>
      <c r="V410" s="33">
        <v>725.88</v>
      </c>
    </row>
    <row r="411" spans="1:22" ht="16.8" x14ac:dyDescent="0.3">
      <c r="A411" s="20">
        <v>41</v>
      </c>
      <c r="B411" s="20">
        <v>50</v>
      </c>
      <c r="C411" s="20">
        <v>50.15</v>
      </c>
      <c r="D411" s="20">
        <v>-0.15</v>
      </c>
      <c r="E411" s="20">
        <v>-0.01</v>
      </c>
      <c r="F411" s="20">
        <v>1064.28</v>
      </c>
      <c r="Q411" s="33">
        <v>41</v>
      </c>
      <c r="R411" s="33">
        <v>50.05</v>
      </c>
      <c r="S411" s="33">
        <v>50</v>
      </c>
      <c r="T411" s="38">
        <v>-0.05</v>
      </c>
      <c r="U411" s="38">
        <v>-0.02</v>
      </c>
      <c r="V411" s="33">
        <v>722.51</v>
      </c>
    </row>
    <row r="412" spans="1:22" ht="16.8" x14ac:dyDescent="0.3">
      <c r="A412" s="20">
        <v>41.1</v>
      </c>
      <c r="B412" s="20">
        <v>50</v>
      </c>
      <c r="C412" s="20">
        <v>50.15</v>
      </c>
      <c r="D412" s="20">
        <v>-0.15</v>
      </c>
      <c r="E412" s="20">
        <v>0</v>
      </c>
      <c r="F412" s="20">
        <v>1064.28</v>
      </c>
      <c r="Q412" s="33">
        <v>41.1</v>
      </c>
      <c r="R412" s="33">
        <v>50.08</v>
      </c>
      <c r="S412" s="38">
        <v>50</v>
      </c>
      <c r="T412" s="33">
        <v>-0.08</v>
      </c>
      <c r="U412" s="38">
        <v>-0.03</v>
      </c>
      <c r="V412" s="33">
        <v>717.1</v>
      </c>
    </row>
    <row r="413" spans="1:22" ht="16.8" x14ac:dyDescent="0.3">
      <c r="A413" s="20">
        <v>41.2</v>
      </c>
      <c r="B413" s="20">
        <v>50</v>
      </c>
      <c r="C413" s="20">
        <v>50.13</v>
      </c>
      <c r="D413" s="20">
        <v>-0.13</v>
      </c>
      <c r="E413" s="20">
        <v>0.02</v>
      </c>
      <c r="F413" s="20">
        <v>1108.4100000000001</v>
      </c>
      <c r="Q413" s="33">
        <v>41.2</v>
      </c>
      <c r="R413" s="33">
        <v>50.05</v>
      </c>
      <c r="S413" s="33">
        <v>50</v>
      </c>
      <c r="T413" s="38">
        <v>-0.05</v>
      </c>
      <c r="U413" s="38">
        <v>0.03</v>
      </c>
      <c r="V413" s="33">
        <v>723.21</v>
      </c>
    </row>
    <row r="414" spans="1:22" ht="16.8" x14ac:dyDescent="0.3">
      <c r="A414" s="20">
        <v>41.3</v>
      </c>
      <c r="B414" s="20">
        <v>50</v>
      </c>
      <c r="C414" s="20">
        <v>50.12</v>
      </c>
      <c r="D414" s="20">
        <v>-0.12</v>
      </c>
      <c r="E414" s="20">
        <v>0</v>
      </c>
      <c r="F414" s="20">
        <v>1078.25</v>
      </c>
      <c r="Q414" s="33">
        <v>41.3</v>
      </c>
      <c r="R414" s="33">
        <v>50.04</v>
      </c>
      <c r="S414" s="38">
        <v>50</v>
      </c>
      <c r="T414" s="33">
        <v>-0.04</v>
      </c>
      <c r="U414" s="38">
        <v>0.01</v>
      </c>
      <c r="V414" s="33">
        <v>723.88</v>
      </c>
    </row>
    <row r="415" spans="1:22" ht="16.8" x14ac:dyDescent="0.3">
      <c r="A415" s="20">
        <v>41.4</v>
      </c>
      <c r="B415" s="20">
        <v>50</v>
      </c>
      <c r="C415" s="20">
        <v>50.13</v>
      </c>
      <c r="D415" s="20">
        <v>-0.13</v>
      </c>
      <c r="E415" s="20">
        <v>-0.01</v>
      </c>
      <c r="F415" s="20">
        <v>1068.0999999999999</v>
      </c>
      <c r="Q415" s="33">
        <v>41.4</v>
      </c>
      <c r="R415" s="33">
        <v>50.06</v>
      </c>
      <c r="S415" s="38">
        <v>50</v>
      </c>
      <c r="T415" s="38">
        <v>-0.06</v>
      </c>
      <c r="U415" s="33">
        <v>-0.02</v>
      </c>
      <c r="V415" s="33">
        <v>719.41</v>
      </c>
    </row>
    <row r="416" spans="1:22" ht="16.8" x14ac:dyDescent="0.3">
      <c r="A416" s="20">
        <v>41.5</v>
      </c>
      <c r="B416" s="20">
        <v>50</v>
      </c>
      <c r="C416" s="20">
        <v>50.14</v>
      </c>
      <c r="D416" s="20">
        <v>-0.14000000000000001</v>
      </c>
      <c r="E416" s="20">
        <v>0</v>
      </c>
      <c r="F416" s="20">
        <v>1067.1400000000001</v>
      </c>
      <c r="Q416" s="33">
        <v>41.5</v>
      </c>
      <c r="R416" s="33">
        <v>50.04</v>
      </c>
      <c r="S416" s="33">
        <v>50</v>
      </c>
      <c r="T416" s="33">
        <v>-0.04</v>
      </c>
      <c r="U416" s="38">
        <v>0.02</v>
      </c>
      <c r="V416" s="33">
        <v>723.98</v>
      </c>
    </row>
    <row r="417" spans="1:22" ht="16.8" x14ac:dyDescent="0.3">
      <c r="A417" s="20">
        <v>41.6</v>
      </c>
      <c r="B417" s="20">
        <v>50</v>
      </c>
      <c r="C417" s="20">
        <v>50.13</v>
      </c>
      <c r="D417" s="20">
        <v>-0.13</v>
      </c>
      <c r="E417" s="20">
        <v>0.01</v>
      </c>
      <c r="F417" s="20">
        <v>1085.33</v>
      </c>
      <c r="Q417" s="33">
        <v>41.6</v>
      </c>
      <c r="R417" s="33">
        <v>50.02</v>
      </c>
      <c r="S417" s="33">
        <v>50</v>
      </c>
      <c r="T417" s="33">
        <v>-0.02</v>
      </c>
      <c r="U417" s="33">
        <v>0.02</v>
      </c>
      <c r="V417" s="33">
        <v>727.65</v>
      </c>
    </row>
    <row r="418" spans="1:22" ht="16.8" x14ac:dyDescent="0.3">
      <c r="A418" s="20">
        <v>41.7</v>
      </c>
      <c r="B418" s="20">
        <v>50</v>
      </c>
      <c r="C418" s="20">
        <v>50.12</v>
      </c>
      <c r="D418" s="20">
        <v>-0.12</v>
      </c>
      <c r="E418" s="20">
        <v>0</v>
      </c>
      <c r="F418" s="20">
        <v>1078.25</v>
      </c>
      <c r="Q418" s="33">
        <v>41.7</v>
      </c>
      <c r="R418" s="33">
        <v>50.02</v>
      </c>
      <c r="S418" s="38">
        <v>50</v>
      </c>
      <c r="T418" s="38">
        <v>-0.02</v>
      </c>
      <c r="U418" s="38">
        <v>-0.01</v>
      </c>
      <c r="V418" s="33">
        <v>725.72</v>
      </c>
    </row>
    <row r="419" spans="1:22" ht="16.8" x14ac:dyDescent="0.3">
      <c r="A419" s="20">
        <v>41.8</v>
      </c>
      <c r="B419" s="20">
        <v>50</v>
      </c>
      <c r="C419" s="20">
        <v>50.14</v>
      </c>
      <c r="D419" s="20">
        <v>-0.14000000000000001</v>
      </c>
      <c r="E419" s="20">
        <v>-0.02</v>
      </c>
      <c r="F419" s="20">
        <v>1065.23</v>
      </c>
      <c r="Q419" s="33">
        <v>41.8</v>
      </c>
      <c r="R419" s="33">
        <v>50.03</v>
      </c>
      <c r="S419" s="38">
        <v>50</v>
      </c>
      <c r="T419" s="33">
        <v>-0.03</v>
      </c>
      <c r="U419" s="38">
        <v>-0.01</v>
      </c>
      <c r="V419" s="33">
        <v>724.42</v>
      </c>
    </row>
    <row r="420" spans="1:22" ht="16.8" x14ac:dyDescent="0.3">
      <c r="A420" s="20">
        <v>41.9</v>
      </c>
      <c r="B420" s="20">
        <v>50</v>
      </c>
      <c r="C420" s="20">
        <v>50.14</v>
      </c>
      <c r="D420" s="20">
        <v>-0.14000000000000001</v>
      </c>
      <c r="E420" s="20">
        <v>0.01</v>
      </c>
      <c r="F420" s="20">
        <v>1083.47</v>
      </c>
      <c r="Q420" s="33">
        <v>41.9</v>
      </c>
      <c r="R420" s="33">
        <v>50.07</v>
      </c>
      <c r="S420" s="33">
        <v>50</v>
      </c>
      <c r="T420" s="38">
        <v>-7.0000000000000007E-2</v>
      </c>
      <c r="U420" s="38">
        <v>-0.04</v>
      </c>
      <c r="V420" s="33">
        <v>717.47</v>
      </c>
    </row>
    <row r="421" spans="1:22" ht="16.8" x14ac:dyDescent="0.3">
      <c r="A421" s="20">
        <v>42</v>
      </c>
      <c r="B421" s="20">
        <v>50</v>
      </c>
      <c r="C421" s="20">
        <v>50.14</v>
      </c>
      <c r="D421" s="20">
        <v>-0.14000000000000001</v>
      </c>
      <c r="E421" s="20">
        <v>0</v>
      </c>
      <c r="F421" s="20">
        <v>1066.17</v>
      </c>
      <c r="Q421" s="33">
        <v>42</v>
      </c>
      <c r="R421" s="33">
        <v>50.06</v>
      </c>
      <c r="S421" s="38">
        <v>50</v>
      </c>
      <c r="T421" s="33">
        <v>-0.06</v>
      </c>
      <c r="U421" s="38">
        <v>0.01</v>
      </c>
      <c r="V421" s="33">
        <v>719.53</v>
      </c>
    </row>
    <row r="422" spans="1:22" ht="16.8" x14ac:dyDescent="0.3">
      <c r="A422" s="20">
        <v>42.1</v>
      </c>
      <c r="B422" s="20">
        <v>50</v>
      </c>
      <c r="C422" s="20">
        <v>50.12</v>
      </c>
      <c r="D422" s="20">
        <v>-0.12</v>
      </c>
      <c r="E422" s="20">
        <v>0.02</v>
      </c>
      <c r="F422" s="20">
        <v>1101.81</v>
      </c>
      <c r="Q422" s="33">
        <v>42.1</v>
      </c>
      <c r="R422" s="33">
        <v>49.99</v>
      </c>
      <c r="S422" s="33">
        <v>50</v>
      </c>
      <c r="T422" s="38">
        <v>0.01</v>
      </c>
      <c r="U422" s="33">
        <v>7.0000000000000007E-2</v>
      </c>
      <c r="V422" s="33">
        <v>731.93</v>
      </c>
    </row>
    <row r="423" spans="1:22" ht="16.8" x14ac:dyDescent="0.3">
      <c r="A423" s="20">
        <v>42.2</v>
      </c>
      <c r="B423" s="20">
        <v>50</v>
      </c>
      <c r="C423" s="20">
        <v>50.1</v>
      </c>
      <c r="D423" s="20">
        <v>-0.1</v>
      </c>
      <c r="E423" s="20">
        <v>0.02</v>
      </c>
      <c r="F423" s="20">
        <v>1121.8399999999999</v>
      </c>
      <c r="Q423" s="33">
        <v>42.2</v>
      </c>
      <c r="R423" s="33">
        <v>50.06</v>
      </c>
      <c r="S423" s="33">
        <v>50</v>
      </c>
      <c r="T423" s="33">
        <v>-0.06</v>
      </c>
      <c r="U423" s="38">
        <v>-7.0000000000000007E-2</v>
      </c>
      <c r="V423" s="33">
        <v>717.81</v>
      </c>
    </row>
    <row r="424" spans="1:22" ht="16.8" x14ac:dyDescent="0.3">
      <c r="A424" s="20">
        <v>42.3</v>
      </c>
      <c r="B424" s="20">
        <v>50</v>
      </c>
      <c r="C424" s="20">
        <v>50.13</v>
      </c>
      <c r="D424" s="20">
        <v>-0.13</v>
      </c>
      <c r="E424" s="20">
        <v>-0.03</v>
      </c>
      <c r="F424" s="20">
        <v>1068.0999999999999</v>
      </c>
      <c r="Q424" s="33">
        <v>42.3</v>
      </c>
      <c r="R424" s="33">
        <v>50.04</v>
      </c>
      <c r="S424" s="38">
        <v>50</v>
      </c>
      <c r="T424" s="38">
        <v>-0.04</v>
      </c>
      <c r="U424" s="33">
        <v>0.02</v>
      </c>
      <c r="V424" s="33">
        <v>723.35</v>
      </c>
    </row>
    <row r="425" spans="1:22" ht="16.8" x14ac:dyDescent="0.3">
      <c r="A425" s="20">
        <v>42.4</v>
      </c>
      <c r="B425" s="20">
        <v>50</v>
      </c>
      <c r="C425" s="20">
        <v>50.14</v>
      </c>
      <c r="D425" s="20">
        <v>-0.14000000000000001</v>
      </c>
      <c r="E425" s="20">
        <v>0</v>
      </c>
      <c r="F425" s="20">
        <v>1067.1400000000001</v>
      </c>
      <c r="Q425" s="33">
        <v>42.4</v>
      </c>
      <c r="R425" s="33">
        <v>50.05</v>
      </c>
      <c r="S425" s="33">
        <v>50</v>
      </c>
      <c r="T425" s="33">
        <v>-0.05</v>
      </c>
      <c r="U425" s="38">
        <v>-0.01</v>
      </c>
      <c r="V425" s="33">
        <v>721.38</v>
      </c>
    </row>
    <row r="426" spans="1:22" ht="16.8" x14ac:dyDescent="0.3">
      <c r="A426" s="20">
        <v>42.5</v>
      </c>
      <c r="B426" s="20">
        <v>50</v>
      </c>
      <c r="C426" s="20">
        <v>50.14</v>
      </c>
      <c r="D426" s="20">
        <v>-0.14000000000000001</v>
      </c>
      <c r="E426" s="20">
        <v>0</v>
      </c>
      <c r="F426" s="20">
        <v>1067.1400000000001</v>
      </c>
      <c r="Q426" s="33">
        <v>42.5</v>
      </c>
      <c r="R426" s="33">
        <v>50</v>
      </c>
      <c r="S426" s="38">
        <v>50</v>
      </c>
      <c r="T426" s="33">
        <v>0</v>
      </c>
      <c r="U426" s="33">
        <v>0.05</v>
      </c>
      <c r="V426" s="33">
        <v>729.9</v>
      </c>
    </row>
    <row r="427" spans="1:22" ht="16.8" x14ac:dyDescent="0.3">
      <c r="A427" s="20">
        <v>42.6</v>
      </c>
      <c r="B427" s="20">
        <v>50</v>
      </c>
      <c r="C427" s="20">
        <v>50.12</v>
      </c>
      <c r="D427" s="20">
        <v>-0.12</v>
      </c>
      <c r="E427" s="20">
        <v>0.02</v>
      </c>
      <c r="F427" s="20">
        <v>1102.67</v>
      </c>
      <c r="Q427" s="33">
        <v>42.6</v>
      </c>
      <c r="R427" s="33">
        <v>50.02</v>
      </c>
      <c r="S427" s="33">
        <v>50</v>
      </c>
      <c r="T427" s="38">
        <v>-0.02</v>
      </c>
      <c r="U427" s="38">
        <v>-0.02</v>
      </c>
      <c r="V427" s="33">
        <v>724.7</v>
      </c>
    </row>
    <row r="428" spans="1:22" ht="16.8" x14ac:dyDescent="0.3">
      <c r="A428" s="20">
        <v>42.7</v>
      </c>
      <c r="B428" s="20">
        <v>50</v>
      </c>
      <c r="C428" s="20">
        <v>50.12</v>
      </c>
      <c r="D428" s="20">
        <v>-0.12</v>
      </c>
      <c r="E428" s="20">
        <v>0</v>
      </c>
      <c r="F428" s="20">
        <v>1070.02</v>
      </c>
      <c r="Q428" s="33">
        <v>42.7</v>
      </c>
      <c r="R428" s="33">
        <v>50.01</v>
      </c>
      <c r="S428" s="38">
        <v>50</v>
      </c>
      <c r="T428" s="33">
        <v>-0.01</v>
      </c>
      <c r="U428" s="33">
        <v>0.02</v>
      </c>
      <c r="V428" s="33">
        <v>727.96</v>
      </c>
    </row>
    <row r="429" spans="1:22" ht="16.8" x14ac:dyDescent="0.3">
      <c r="A429" s="20">
        <v>42.8</v>
      </c>
      <c r="B429" s="20">
        <v>50</v>
      </c>
      <c r="C429" s="20">
        <v>50.1</v>
      </c>
      <c r="D429" s="20">
        <v>-0.1</v>
      </c>
      <c r="E429" s="20">
        <v>0.02</v>
      </c>
      <c r="F429" s="20">
        <v>1113.7</v>
      </c>
      <c r="Q429" s="33">
        <v>42.8</v>
      </c>
      <c r="R429" s="33">
        <v>49.99</v>
      </c>
      <c r="S429" s="38">
        <v>50</v>
      </c>
      <c r="T429" s="38">
        <v>0.01</v>
      </c>
      <c r="U429" s="38">
        <v>0.02</v>
      </c>
      <c r="V429" s="33">
        <v>730.44</v>
      </c>
    </row>
    <row r="430" spans="1:22" ht="16.8" x14ac:dyDescent="0.3">
      <c r="A430" s="20">
        <v>42.9</v>
      </c>
      <c r="B430" s="20">
        <v>50</v>
      </c>
      <c r="C430" s="20">
        <v>50.14</v>
      </c>
      <c r="D430" s="20">
        <v>-0.14000000000000001</v>
      </c>
      <c r="E430" s="20">
        <v>-0.04</v>
      </c>
      <c r="F430" s="20">
        <v>1066.17</v>
      </c>
      <c r="Q430" s="33">
        <v>42.9</v>
      </c>
      <c r="R430" s="33">
        <v>50.03</v>
      </c>
      <c r="S430" s="33">
        <v>50</v>
      </c>
      <c r="T430" s="33">
        <v>-0.03</v>
      </c>
      <c r="U430" s="33">
        <v>-0.04</v>
      </c>
      <c r="V430" s="33">
        <v>723.09</v>
      </c>
    </row>
    <row r="431" spans="1:22" ht="16.8" x14ac:dyDescent="0.3">
      <c r="A431" s="20">
        <v>43</v>
      </c>
      <c r="B431" s="20">
        <v>50</v>
      </c>
      <c r="C431" s="20">
        <v>50.11</v>
      </c>
      <c r="D431" s="20">
        <v>-0.11</v>
      </c>
      <c r="E431" s="20">
        <v>0.03</v>
      </c>
      <c r="F431" s="20">
        <v>1126.3699999999999</v>
      </c>
      <c r="Q431" s="33">
        <v>43</v>
      </c>
      <c r="R431" s="33">
        <v>50.02</v>
      </c>
      <c r="S431" s="33">
        <v>50</v>
      </c>
      <c r="T431" s="38">
        <v>-0.02</v>
      </c>
      <c r="U431" s="38">
        <v>0.02</v>
      </c>
      <c r="V431" s="33">
        <v>726.65</v>
      </c>
    </row>
    <row r="432" spans="1:22" ht="16.8" x14ac:dyDescent="0.3">
      <c r="A432" s="20">
        <v>43.1</v>
      </c>
      <c r="B432" s="20">
        <v>50</v>
      </c>
      <c r="C432" s="20">
        <v>50.1</v>
      </c>
      <c r="D432" s="20">
        <v>-0.1</v>
      </c>
      <c r="E432" s="20">
        <v>0.01</v>
      </c>
      <c r="F432" s="20">
        <v>1090.8900000000001</v>
      </c>
      <c r="Q432" s="33">
        <v>43.1</v>
      </c>
      <c r="R432" s="33">
        <v>50.05</v>
      </c>
      <c r="S432" s="38">
        <v>50</v>
      </c>
      <c r="T432" s="33">
        <v>-0.05</v>
      </c>
      <c r="U432" s="38">
        <v>-0.03</v>
      </c>
      <c r="V432" s="33">
        <v>720.65</v>
      </c>
    </row>
    <row r="433" spans="1:22" ht="16.8" x14ac:dyDescent="0.3">
      <c r="A433" s="20">
        <v>43.2</v>
      </c>
      <c r="B433" s="20">
        <v>50</v>
      </c>
      <c r="C433" s="20">
        <v>50.11</v>
      </c>
      <c r="D433" s="20">
        <v>-0.11</v>
      </c>
      <c r="E433" s="20">
        <v>0</v>
      </c>
      <c r="F433" s="20">
        <v>1073.82</v>
      </c>
      <c r="Q433" s="33">
        <v>43.2</v>
      </c>
      <c r="R433" s="33">
        <v>50.02</v>
      </c>
      <c r="S433" s="33">
        <v>50</v>
      </c>
      <c r="T433" s="38">
        <v>-0.02</v>
      </c>
      <c r="U433" s="38">
        <v>0.03</v>
      </c>
      <c r="V433" s="33">
        <v>726.84</v>
      </c>
    </row>
    <row r="434" spans="1:22" ht="16.8" x14ac:dyDescent="0.3">
      <c r="A434" s="20">
        <v>43.3</v>
      </c>
      <c r="B434" s="20">
        <v>50</v>
      </c>
      <c r="C434" s="20">
        <v>50.1</v>
      </c>
      <c r="D434" s="20">
        <v>-0.1</v>
      </c>
      <c r="E434" s="20">
        <v>0.01</v>
      </c>
      <c r="F434" s="20">
        <v>1091.79</v>
      </c>
      <c r="Q434" s="33">
        <v>43.3</v>
      </c>
      <c r="R434" s="33">
        <v>50.02</v>
      </c>
      <c r="S434" s="38">
        <v>50</v>
      </c>
      <c r="T434" s="33">
        <v>-0.02</v>
      </c>
      <c r="U434" s="38">
        <v>0</v>
      </c>
      <c r="V434" s="33">
        <v>726.16</v>
      </c>
    </row>
    <row r="435" spans="1:22" ht="16.8" x14ac:dyDescent="0.3">
      <c r="A435" s="20">
        <v>43.4</v>
      </c>
      <c r="B435" s="20">
        <v>50</v>
      </c>
      <c r="C435" s="20">
        <v>50.1</v>
      </c>
      <c r="D435" s="20">
        <v>-0.1</v>
      </c>
      <c r="E435" s="20">
        <v>0</v>
      </c>
      <c r="F435" s="20">
        <v>1074.76</v>
      </c>
      <c r="Q435" s="33">
        <v>43.4</v>
      </c>
      <c r="R435" s="33">
        <v>49.97</v>
      </c>
      <c r="S435" s="33">
        <v>50</v>
      </c>
      <c r="T435" s="38">
        <v>0.03</v>
      </c>
      <c r="U435" s="33">
        <v>0.05</v>
      </c>
      <c r="V435" s="33">
        <v>734.59</v>
      </c>
    </row>
    <row r="436" spans="1:22" ht="16.8" x14ac:dyDescent="0.3">
      <c r="A436" s="20">
        <v>43.5</v>
      </c>
      <c r="B436" s="20">
        <v>50</v>
      </c>
      <c r="C436" s="20">
        <v>50.12</v>
      </c>
      <c r="D436" s="20">
        <v>-0.12</v>
      </c>
      <c r="E436" s="20">
        <v>-0.01</v>
      </c>
      <c r="F436" s="20">
        <v>1071.92</v>
      </c>
      <c r="Q436" s="33">
        <v>43.5</v>
      </c>
      <c r="R436" s="33">
        <v>50</v>
      </c>
      <c r="S436" s="38">
        <v>50</v>
      </c>
      <c r="T436" s="33">
        <v>0</v>
      </c>
      <c r="U436" s="38">
        <v>-0.03</v>
      </c>
      <c r="V436" s="33">
        <v>728.05</v>
      </c>
    </row>
    <row r="437" spans="1:22" ht="16.8" x14ac:dyDescent="0.3">
      <c r="A437" s="20">
        <v>43.6</v>
      </c>
      <c r="B437" s="20">
        <v>50</v>
      </c>
      <c r="C437" s="20">
        <v>50.1</v>
      </c>
      <c r="D437" s="20">
        <v>-0.1</v>
      </c>
      <c r="E437" s="20">
        <v>0.01</v>
      </c>
      <c r="F437" s="20">
        <v>1098.6600000000001</v>
      </c>
      <c r="Q437" s="33">
        <v>43.6</v>
      </c>
      <c r="R437" s="33">
        <v>50.05</v>
      </c>
      <c r="S437" s="38">
        <v>50</v>
      </c>
      <c r="T437" s="33">
        <v>-0.05</v>
      </c>
      <c r="U437" s="33">
        <v>-0.05</v>
      </c>
      <c r="V437" s="33">
        <v>720.23</v>
      </c>
    </row>
    <row r="438" spans="1:22" ht="16.8" x14ac:dyDescent="0.3">
      <c r="A438" s="20">
        <v>43.7</v>
      </c>
      <c r="B438" s="20">
        <v>50</v>
      </c>
      <c r="C438" s="20">
        <v>50.12</v>
      </c>
      <c r="D438" s="20">
        <v>-0.12</v>
      </c>
      <c r="E438" s="20">
        <v>-0.01</v>
      </c>
      <c r="F438" s="20">
        <v>1071.92</v>
      </c>
      <c r="Q438" s="33">
        <v>43.7</v>
      </c>
      <c r="R438" s="33">
        <v>50.01</v>
      </c>
      <c r="S438" s="33">
        <v>50</v>
      </c>
      <c r="T438" s="38">
        <v>-0.01</v>
      </c>
      <c r="U438" s="38">
        <v>0.04</v>
      </c>
      <c r="V438" s="33">
        <v>728.15</v>
      </c>
    </row>
    <row r="439" spans="1:22" ht="16.8" x14ac:dyDescent="0.3">
      <c r="A439" s="20">
        <v>43.8</v>
      </c>
      <c r="B439" s="20">
        <v>50</v>
      </c>
      <c r="C439" s="20">
        <v>50.12</v>
      </c>
      <c r="D439" s="20">
        <v>-0.12</v>
      </c>
      <c r="E439" s="20">
        <v>-0.01</v>
      </c>
      <c r="F439" s="20">
        <v>1070.02</v>
      </c>
      <c r="Q439" s="33">
        <v>43.8</v>
      </c>
      <c r="R439" s="33">
        <v>49.99</v>
      </c>
      <c r="S439" s="38">
        <v>50</v>
      </c>
      <c r="T439" s="33">
        <v>0.01</v>
      </c>
      <c r="U439" s="33">
        <v>0.02</v>
      </c>
      <c r="V439" s="33">
        <v>730.15</v>
      </c>
    </row>
    <row r="440" spans="1:22" ht="16.8" x14ac:dyDescent="0.3">
      <c r="A440" s="20">
        <v>43.9</v>
      </c>
      <c r="B440" s="20">
        <v>50</v>
      </c>
      <c r="C440" s="20">
        <v>50.12</v>
      </c>
      <c r="D440" s="20">
        <v>-0.12</v>
      </c>
      <c r="E440" s="20">
        <v>0</v>
      </c>
      <c r="F440" s="20">
        <v>1079.1500000000001</v>
      </c>
      <c r="Q440" s="33">
        <v>43.9</v>
      </c>
      <c r="R440" s="33">
        <v>50.01</v>
      </c>
      <c r="S440" s="33">
        <v>50</v>
      </c>
      <c r="T440" s="38">
        <v>-0.01</v>
      </c>
      <c r="U440" s="38">
        <v>-0.02</v>
      </c>
      <c r="V440" s="33">
        <v>727.03</v>
      </c>
    </row>
    <row r="441" spans="1:22" ht="16.8" x14ac:dyDescent="0.3">
      <c r="A441" s="20">
        <v>44</v>
      </c>
      <c r="B441" s="20">
        <v>50</v>
      </c>
      <c r="C441" s="20">
        <v>50.12</v>
      </c>
      <c r="D441" s="20">
        <v>-0.12</v>
      </c>
      <c r="E441" s="20">
        <v>0</v>
      </c>
      <c r="F441" s="20">
        <v>1070.02</v>
      </c>
      <c r="Q441" s="33">
        <v>44</v>
      </c>
      <c r="R441" s="33">
        <v>50.05</v>
      </c>
      <c r="S441" s="38">
        <v>50</v>
      </c>
      <c r="T441" s="33">
        <v>-0.05</v>
      </c>
      <c r="U441" s="33">
        <v>-0.04</v>
      </c>
      <c r="V441" s="33">
        <v>720.28</v>
      </c>
    </row>
    <row r="442" spans="1:22" ht="16.8" x14ac:dyDescent="0.3">
      <c r="A442" s="20">
        <v>44.1</v>
      </c>
      <c r="B442" s="20">
        <v>50</v>
      </c>
      <c r="C442" s="20">
        <v>50.11</v>
      </c>
      <c r="D442" s="20">
        <v>-0.11</v>
      </c>
      <c r="E442" s="20">
        <v>0.02</v>
      </c>
      <c r="F442" s="20">
        <v>1105.3599999999999</v>
      </c>
      <c r="Q442" s="33">
        <v>44.1</v>
      </c>
      <c r="R442" s="33">
        <v>49.99</v>
      </c>
      <c r="S442" s="33">
        <v>50</v>
      </c>
      <c r="T442" s="38">
        <v>0.01</v>
      </c>
      <c r="U442" s="33">
        <v>0.06</v>
      </c>
      <c r="V442" s="33">
        <v>730.86</v>
      </c>
    </row>
    <row r="443" spans="1:22" ht="16.8" x14ac:dyDescent="0.3">
      <c r="A443" s="20">
        <v>44.2</v>
      </c>
      <c r="B443" s="20">
        <v>50</v>
      </c>
      <c r="C443" s="20">
        <v>50.14</v>
      </c>
      <c r="D443" s="20">
        <v>-0.14000000000000001</v>
      </c>
      <c r="E443" s="20">
        <v>-0.03</v>
      </c>
      <c r="F443" s="20">
        <v>1067.1400000000001</v>
      </c>
      <c r="Q443" s="33">
        <v>44.2</v>
      </c>
      <c r="R443" s="33">
        <v>50.02</v>
      </c>
      <c r="S443" s="38">
        <v>50</v>
      </c>
      <c r="T443" s="33">
        <v>-0.02</v>
      </c>
      <c r="U443" s="38">
        <v>-0.02</v>
      </c>
      <c r="V443" s="33">
        <v>725.52</v>
      </c>
    </row>
    <row r="444" spans="1:22" ht="16.8" x14ac:dyDescent="0.3">
      <c r="A444" s="20">
        <v>44.3</v>
      </c>
      <c r="B444" s="20">
        <v>50</v>
      </c>
      <c r="C444" s="20">
        <v>50.15</v>
      </c>
      <c r="D444" s="20">
        <v>-0.15</v>
      </c>
      <c r="E444" s="20">
        <v>-0.01</v>
      </c>
      <c r="F444" s="20">
        <v>1064.28</v>
      </c>
      <c r="Q444" s="33">
        <v>44.3</v>
      </c>
      <c r="R444" s="33">
        <v>50.05</v>
      </c>
      <c r="S444" s="33">
        <v>50</v>
      </c>
      <c r="T444" s="38">
        <v>-0.05</v>
      </c>
      <c r="U444" s="33">
        <v>-0.03</v>
      </c>
      <c r="V444" s="33">
        <v>720.33</v>
      </c>
    </row>
    <row r="445" spans="1:22" ht="16.8" x14ac:dyDescent="0.3">
      <c r="A445" s="20">
        <v>44.4</v>
      </c>
      <c r="B445" s="20">
        <v>50</v>
      </c>
      <c r="C445" s="20">
        <v>50.09</v>
      </c>
      <c r="D445" s="20">
        <v>-0.09</v>
      </c>
      <c r="E445" s="20">
        <v>0.06</v>
      </c>
      <c r="F445" s="20">
        <v>1176.18</v>
      </c>
      <c r="Q445" s="33">
        <v>44.4</v>
      </c>
      <c r="R445" s="33">
        <v>49.98</v>
      </c>
      <c r="S445" s="38">
        <v>50</v>
      </c>
      <c r="T445" s="33">
        <v>0.02</v>
      </c>
      <c r="U445" s="38">
        <v>0.06</v>
      </c>
      <c r="V445" s="33">
        <v>732.16</v>
      </c>
    </row>
    <row r="446" spans="1:22" ht="16.8" x14ac:dyDescent="0.3">
      <c r="A446" s="20">
        <v>44.5</v>
      </c>
      <c r="B446" s="20">
        <v>50</v>
      </c>
      <c r="C446" s="20">
        <v>50.13</v>
      </c>
      <c r="D446" s="20">
        <v>-0.13</v>
      </c>
      <c r="E446" s="20">
        <v>-0.04</v>
      </c>
      <c r="F446" s="20">
        <v>1069.06</v>
      </c>
      <c r="Q446" s="33">
        <v>44.5</v>
      </c>
      <c r="R446" s="33">
        <v>50.06</v>
      </c>
      <c r="S446" s="33">
        <v>50</v>
      </c>
      <c r="T446" s="38">
        <v>-0.06</v>
      </c>
      <c r="U446" s="33">
        <v>-7.0000000000000007E-2</v>
      </c>
      <c r="V446" s="33">
        <v>718.21</v>
      </c>
    </row>
    <row r="447" spans="1:22" ht="16.8" x14ac:dyDescent="0.3">
      <c r="A447" s="20">
        <v>44.6</v>
      </c>
      <c r="B447" s="20">
        <v>50</v>
      </c>
      <c r="C447" s="20">
        <v>50.12</v>
      </c>
      <c r="D447" s="20">
        <v>-0.12</v>
      </c>
      <c r="E447" s="20">
        <v>0.01</v>
      </c>
      <c r="F447" s="20">
        <v>1087.18</v>
      </c>
      <c r="Q447" s="33">
        <v>44.6</v>
      </c>
      <c r="R447" s="33">
        <v>49.99</v>
      </c>
      <c r="S447" s="38">
        <v>50</v>
      </c>
      <c r="T447" s="33">
        <v>0.01</v>
      </c>
      <c r="U447" s="38">
        <v>0.06</v>
      </c>
      <c r="V447" s="33">
        <v>730.83</v>
      </c>
    </row>
    <row r="448" spans="1:22" ht="16.8" x14ac:dyDescent="0.3">
      <c r="A448" s="20">
        <v>44.7</v>
      </c>
      <c r="B448" s="20">
        <v>50</v>
      </c>
      <c r="C448" s="20">
        <v>50.13</v>
      </c>
      <c r="D448" s="20">
        <v>-0.13</v>
      </c>
      <c r="E448" s="20">
        <v>-0.01</v>
      </c>
      <c r="F448" s="20">
        <v>1069.06</v>
      </c>
      <c r="Q448" s="33">
        <v>44.7</v>
      </c>
      <c r="R448" s="33">
        <v>50.05</v>
      </c>
      <c r="S448" s="33">
        <v>50</v>
      </c>
      <c r="T448" s="38">
        <v>-0.05</v>
      </c>
      <c r="U448" s="33">
        <v>-0.06</v>
      </c>
      <c r="V448" s="33">
        <v>719.68</v>
      </c>
    </row>
    <row r="449" spans="1:22" ht="16.8" x14ac:dyDescent="0.3">
      <c r="A449" s="20">
        <v>44.8</v>
      </c>
      <c r="B449" s="20">
        <v>50</v>
      </c>
      <c r="C449" s="20">
        <v>50.12</v>
      </c>
      <c r="D449" s="20">
        <v>-0.12</v>
      </c>
      <c r="E449" s="20">
        <v>0.01</v>
      </c>
      <c r="F449" s="20">
        <v>1087.18</v>
      </c>
      <c r="Q449" s="33">
        <v>44.8</v>
      </c>
      <c r="R449" s="33">
        <v>50.02</v>
      </c>
      <c r="S449" s="33">
        <v>50</v>
      </c>
      <c r="T449" s="33">
        <v>-0.02</v>
      </c>
      <c r="U449" s="38">
        <v>0.02</v>
      </c>
      <c r="V449" s="33">
        <v>724.94</v>
      </c>
    </row>
    <row r="450" spans="1:22" ht="16.8" x14ac:dyDescent="0.3">
      <c r="A450" s="20">
        <v>44.9</v>
      </c>
      <c r="B450" s="20">
        <v>50</v>
      </c>
      <c r="C450" s="20">
        <v>50.12</v>
      </c>
      <c r="D450" s="20">
        <v>-0.12</v>
      </c>
      <c r="E450" s="20">
        <v>0</v>
      </c>
      <c r="F450" s="20">
        <v>1080.1300000000001</v>
      </c>
      <c r="Q450" s="33">
        <v>44.9</v>
      </c>
      <c r="R450" s="33">
        <v>50.01</v>
      </c>
      <c r="S450" s="38">
        <v>50</v>
      </c>
      <c r="T450" s="38">
        <v>-0.01</v>
      </c>
      <c r="U450" s="33">
        <v>0.02</v>
      </c>
      <c r="V450" s="33">
        <v>727.23</v>
      </c>
    </row>
    <row r="451" spans="1:22" ht="16.8" x14ac:dyDescent="0.3">
      <c r="A451" s="20">
        <v>45</v>
      </c>
      <c r="B451" s="20">
        <v>50</v>
      </c>
      <c r="C451" s="20">
        <v>50.14</v>
      </c>
      <c r="D451" s="20">
        <v>-0.14000000000000001</v>
      </c>
      <c r="E451" s="20">
        <v>-0.02</v>
      </c>
      <c r="F451" s="20">
        <v>1067.1400000000001</v>
      </c>
      <c r="Q451" s="33">
        <v>45</v>
      </c>
      <c r="R451" s="33">
        <v>50.04</v>
      </c>
      <c r="S451" s="33">
        <v>50</v>
      </c>
      <c r="T451" s="33">
        <v>-0.04</v>
      </c>
      <c r="U451" s="38">
        <v>-0.03</v>
      </c>
      <c r="V451" s="33">
        <v>721.25</v>
      </c>
    </row>
    <row r="452" spans="1:22" ht="16.8" x14ac:dyDescent="0.3">
      <c r="A452" s="20">
        <v>45.1</v>
      </c>
      <c r="B452" s="20">
        <v>50</v>
      </c>
      <c r="C452" s="20">
        <v>50.09</v>
      </c>
      <c r="D452" s="20">
        <v>-0.09</v>
      </c>
      <c r="E452" s="20">
        <v>0.04</v>
      </c>
      <c r="F452" s="20">
        <v>1157.54</v>
      </c>
      <c r="Q452" s="33">
        <v>45.1</v>
      </c>
      <c r="R452" s="33">
        <v>50.02</v>
      </c>
      <c r="S452" s="38">
        <v>50</v>
      </c>
      <c r="T452" s="38">
        <v>-0.02</v>
      </c>
      <c r="U452" s="38">
        <v>0.02</v>
      </c>
      <c r="V452" s="33">
        <v>726.05</v>
      </c>
    </row>
    <row r="453" spans="1:22" ht="16.8" x14ac:dyDescent="0.3">
      <c r="A453" s="20">
        <v>45.2</v>
      </c>
      <c r="B453" s="20">
        <v>50</v>
      </c>
      <c r="C453" s="20">
        <v>50.11</v>
      </c>
      <c r="D453" s="20">
        <v>-0.11</v>
      </c>
      <c r="E453" s="20">
        <v>-0.02</v>
      </c>
      <c r="F453" s="20">
        <v>1072.8699999999999</v>
      </c>
      <c r="Q453" s="33">
        <v>45.2</v>
      </c>
      <c r="R453" s="33">
        <v>50</v>
      </c>
      <c r="S453" s="33">
        <v>50</v>
      </c>
      <c r="T453" s="33">
        <v>0</v>
      </c>
      <c r="U453" s="38">
        <v>0.02</v>
      </c>
      <c r="V453" s="33">
        <v>728.35</v>
      </c>
    </row>
    <row r="454" spans="1:22" ht="16.8" x14ac:dyDescent="0.3">
      <c r="A454" s="20">
        <v>45.3</v>
      </c>
      <c r="B454" s="20">
        <v>50</v>
      </c>
      <c r="C454" s="20">
        <v>50.14</v>
      </c>
      <c r="D454" s="20">
        <v>-0.14000000000000001</v>
      </c>
      <c r="E454" s="20">
        <v>-0.03</v>
      </c>
      <c r="F454" s="20">
        <v>1065.23</v>
      </c>
      <c r="Q454" s="33">
        <v>45.3</v>
      </c>
      <c r="R454" s="33">
        <v>50.02</v>
      </c>
      <c r="S454" s="38">
        <v>50</v>
      </c>
      <c r="T454" s="33">
        <v>-0.02</v>
      </c>
      <c r="U454" s="38">
        <v>-0.02</v>
      </c>
      <c r="V454" s="33">
        <v>723.8</v>
      </c>
    </row>
    <row r="455" spans="1:22" ht="16.8" x14ac:dyDescent="0.3">
      <c r="A455" s="20">
        <v>45.4</v>
      </c>
      <c r="B455" s="20">
        <v>50</v>
      </c>
      <c r="C455" s="20">
        <v>50.12</v>
      </c>
      <c r="D455" s="20">
        <v>-0.12</v>
      </c>
      <c r="E455" s="20">
        <v>0.02</v>
      </c>
      <c r="F455" s="20">
        <v>1109.3</v>
      </c>
      <c r="Q455" s="33">
        <v>45.4</v>
      </c>
      <c r="R455" s="33">
        <v>50.05</v>
      </c>
      <c r="S455" s="33">
        <v>50</v>
      </c>
      <c r="T455" s="38">
        <v>-0.05</v>
      </c>
      <c r="U455" s="38">
        <v>-0.02</v>
      </c>
      <c r="V455" s="33">
        <v>720</v>
      </c>
    </row>
    <row r="456" spans="1:22" ht="16.8" x14ac:dyDescent="0.3">
      <c r="A456" s="20">
        <v>45.5</v>
      </c>
      <c r="B456" s="20">
        <v>50</v>
      </c>
      <c r="C456" s="20">
        <v>50.12</v>
      </c>
      <c r="D456" s="20">
        <v>-0.12</v>
      </c>
      <c r="E456" s="20">
        <v>0</v>
      </c>
      <c r="F456" s="20">
        <v>1070.02</v>
      </c>
      <c r="Q456" s="33">
        <v>45.5</v>
      </c>
      <c r="R456" s="33">
        <v>50.01</v>
      </c>
      <c r="S456" s="33">
        <v>50</v>
      </c>
      <c r="T456" s="33">
        <v>-0.01</v>
      </c>
      <c r="U456" s="38">
        <v>0.04</v>
      </c>
      <c r="V456" s="33">
        <v>727.44</v>
      </c>
    </row>
    <row r="457" spans="1:22" ht="16.8" x14ac:dyDescent="0.3">
      <c r="A457" s="20">
        <v>45.6</v>
      </c>
      <c r="B457" s="20">
        <v>50</v>
      </c>
      <c r="C457" s="20">
        <v>50.15</v>
      </c>
      <c r="D457" s="20">
        <v>-0.15</v>
      </c>
      <c r="E457" s="20">
        <v>-0.03</v>
      </c>
      <c r="F457" s="20">
        <v>1063.33</v>
      </c>
      <c r="Q457" s="33">
        <v>45.6</v>
      </c>
      <c r="R457" s="33">
        <v>50.06</v>
      </c>
      <c r="S457" s="38">
        <v>50</v>
      </c>
      <c r="T457" s="38">
        <v>-0.06</v>
      </c>
      <c r="U457" s="33">
        <v>-0.05</v>
      </c>
      <c r="V457" s="33">
        <v>718.15</v>
      </c>
    </row>
    <row r="458" spans="1:22" ht="16.8" x14ac:dyDescent="0.3">
      <c r="A458" s="20">
        <v>45.7</v>
      </c>
      <c r="B458" s="20">
        <v>50</v>
      </c>
      <c r="C458" s="20">
        <v>50.12</v>
      </c>
      <c r="D458" s="20">
        <v>-0.12</v>
      </c>
      <c r="E458" s="20">
        <v>0.03</v>
      </c>
      <c r="F458" s="20">
        <v>1123.81</v>
      </c>
      <c r="Q458" s="33">
        <v>45.7</v>
      </c>
      <c r="R458" s="33">
        <v>50.02</v>
      </c>
      <c r="S458" s="33">
        <v>50</v>
      </c>
      <c r="T458" s="33">
        <v>-0.02</v>
      </c>
      <c r="U458" s="38">
        <v>0.03</v>
      </c>
      <c r="V458" s="33">
        <v>724.65</v>
      </c>
    </row>
    <row r="459" spans="1:22" ht="16.8" x14ac:dyDescent="0.3">
      <c r="A459" s="20">
        <v>45.8</v>
      </c>
      <c r="B459" s="20">
        <v>50</v>
      </c>
      <c r="C459" s="20">
        <v>50.13</v>
      </c>
      <c r="D459" s="20">
        <v>-0.13</v>
      </c>
      <c r="E459" s="20">
        <v>-0.01</v>
      </c>
      <c r="F459" s="20">
        <v>1068.0999999999999</v>
      </c>
      <c r="Q459" s="33">
        <v>45.8</v>
      </c>
      <c r="R459" s="33">
        <v>50.06</v>
      </c>
      <c r="S459" s="38">
        <v>50</v>
      </c>
      <c r="T459" s="38">
        <v>-0.06</v>
      </c>
      <c r="U459" s="33">
        <v>-0.04</v>
      </c>
      <c r="V459" s="33">
        <v>716.9</v>
      </c>
    </row>
    <row r="460" spans="1:22" ht="16.8" x14ac:dyDescent="0.3">
      <c r="A460" s="20">
        <v>45.9</v>
      </c>
      <c r="B460" s="20">
        <v>50</v>
      </c>
      <c r="C460" s="20">
        <v>50.17</v>
      </c>
      <c r="D460" s="20">
        <v>-0.17</v>
      </c>
      <c r="E460" s="20">
        <v>-0.04</v>
      </c>
      <c r="F460" s="20">
        <v>1059.49</v>
      </c>
      <c r="Q460" s="33">
        <v>45.9</v>
      </c>
      <c r="R460" s="33">
        <v>50.04</v>
      </c>
      <c r="S460" s="33">
        <v>50</v>
      </c>
      <c r="T460" s="33">
        <v>-0.04</v>
      </c>
      <c r="U460" s="38">
        <v>0.02</v>
      </c>
      <c r="V460" s="33">
        <v>721.8</v>
      </c>
    </row>
    <row r="461" spans="1:22" ht="16.8" x14ac:dyDescent="0.3">
      <c r="A461" s="20">
        <v>46</v>
      </c>
      <c r="B461" s="20">
        <v>50</v>
      </c>
      <c r="C461" s="20">
        <v>50.16</v>
      </c>
      <c r="D461" s="20">
        <v>-0.16</v>
      </c>
      <c r="E461" s="20">
        <v>0.01</v>
      </c>
      <c r="F461" s="20">
        <v>1077.95</v>
      </c>
      <c r="Q461" s="33">
        <v>46</v>
      </c>
      <c r="R461" s="33">
        <v>50.02</v>
      </c>
      <c r="S461" s="38">
        <v>50</v>
      </c>
      <c r="T461" s="38">
        <v>-0.02</v>
      </c>
      <c r="U461" s="38">
        <v>0.02</v>
      </c>
      <c r="V461" s="33">
        <v>724.06</v>
      </c>
    </row>
    <row r="462" spans="1:22" ht="16.8" x14ac:dyDescent="0.3">
      <c r="A462" s="20">
        <v>46.1</v>
      </c>
      <c r="B462" s="20">
        <v>50</v>
      </c>
      <c r="C462" s="20">
        <v>50.12</v>
      </c>
      <c r="D462" s="20">
        <v>-0.12</v>
      </c>
      <c r="E462" s="20">
        <v>0.04</v>
      </c>
      <c r="F462" s="20">
        <v>1145.19</v>
      </c>
      <c r="Q462" s="33">
        <v>46.1</v>
      </c>
      <c r="R462" s="33">
        <v>50.05</v>
      </c>
      <c r="S462" s="33">
        <v>50</v>
      </c>
      <c r="T462" s="33">
        <v>-0.05</v>
      </c>
      <c r="U462" s="38">
        <v>-0.02</v>
      </c>
      <c r="V462" s="33">
        <v>719.45</v>
      </c>
    </row>
    <row r="463" spans="1:22" ht="16.8" x14ac:dyDescent="0.3">
      <c r="A463" s="20">
        <v>46.2</v>
      </c>
      <c r="B463" s="20">
        <v>50</v>
      </c>
      <c r="C463" s="20">
        <v>50.15</v>
      </c>
      <c r="D463" s="20">
        <v>-0.15</v>
      </c>
      <c r="E463" s="20">
        <v>-0.03</v>
      </c>
      <c r="F463" s="20">
        <v>1063.33</v>
      </c>
      <c r="Q463" s="33">
        <v>46.2</v>
      </c>
      <c r="R463" s="33">
        <v>50.06</v>
      </c>
      <c r="S463" s="33">
        <v>50</v>
      </c>
      <c r="T463" s="33">
        <v>-0.06</v>
      </c>
      <c r="U463" s="38">
        <v>-0.01</v>
      </c>
      <c r="V463" s="33">
        <v>718.43</v>
      </c>
    </row>
    <row r="464" spans="1:22" ht="16.8" x14ac:dyDescent="0.3">
      <c r="A464" s="20">
        <v>46.3</v>
      </c>
      <c r="B464" s="20">
        <v>50</v>
      </c>
      <c r="C464" s="20">
        <v>50.15</v>
      </c>
      <c r="D464" s="20">
        <v>-0.15</v>
      </c>
      <c r="E464" s="20">
        <v>0</v>
      </c>
      <c r="F464" s="20">
        <v>1072.5899999999999</v>
      </c>
      <c r="Q464" s="33">
        <v>46.3</v>
      </c>
      <c r="R464" s="33">
        <v>50.01</v>
      </c>
      <c r="S464" s="38">
        <v>50</v>
      </c>
      <c r="T464" s="38">
        <v>-0.01</v>
      </c>
      <c r="U464" s="38">
        <v>0.05</v>
      </c>
      <c r="V464" s="33">
        <v>726.93</v>
      </c>
    </row>
    <row r="465" spans="1:22" ht="16.8" x14ac:dyDescent="0.3">
      <c r="A465" s="20">
        <v>46.4</v>
      </c>
      <c r="B465" s="20">
        <v>50</v>
      </c>
      <c r="C465" s="20">
        <v>50.14</v>
      </c>
      <c r="D465" s="20">
        <v>-0.14000000000000001</v>
      </c>
      <c r="E465" s="20">
        <v>0.01</v>
      </c>
      <c r="F465" s="20">
        <v>1091.3900000000001</v>
      </c>
      <c r="Q465" s="33">
        <v>46.4</v>
      </c>
      <c r="R465" s="33">
        <v>50.03</v>
      </c>
      <c r="S465" s="33">
        <v>50</v>
      </c>
      <c r="T465" s="33">
        <v>-0.03</v>
      </c>
      <c r="U465" s="38">
        <v>-0.02</v>
      </c>
      <c r="V465" s="33">
        <v>721.72</v>
      </c>
    </row>
    <row r="466" spans="1:22" ht="16.8" x14ac:dyDescent="0.3">
      <c r="A466" s="20">
        <v>46.5</v>
      </c>
      <c r="B466" s="20">
        <v>50</v>
      </c>
      <c r="C466" s="20">
        <v>50.12</v>
      </c>
      <c r="D466" s="20">
        <v>-0.12</v>
      </c>
      <c r="E466" s="20">
        <v>0.02</v>
      </c>
      <c r="F466" s="20">
        <v>1102.67</v>
      </c>
      <c r="Q466" s="33">
        <v>46.5</v>
      </c>
      <c r="R466" s="33">
        <v>50.06</v>
      </c>
      <c r="S466" s="38">
        <v>50</v>
      </c>
      <c r="T466" s="38">
        <v>-0.06</v>
      </c>
      <c r="U466" s="33">
        <v>-0.03</v>
      </c>
      <c r="V466" s="33">
        <v>716.5</v>
      </c>
    </row>
    <row r="467" spans="1:22" ht="16.8" x14ac:dyDescent="0.3">
      <c r="A467" s="20">
        <v>46.6</v>
      </c>
      <c r="B467" s="20">
        <v>50</v>
      </c>
      <c r="C467" s="20">
        <v>50.14</v>
      </c>
      <c r="D467" s="20">
        <v>-0.14000000000000001</v>
      </c>
      <c r="E467" s="20">
        <v>-0.02</v>
      </c>
      <c r="F467" s="20">
        <v>1065.23</v>
      </c>
      <c r="Q467" s="33">
        <v>46.6</v>
      </c>
      <c r="R467" s="33">
        <v>50.02</v>
      </c>
      <c r="S467" s="33">
        <v>50</v>
      </c>
      <c r="T467" s="33">
        <v>-0.02</v>
      </c>
      <c r="U467" s="38">
        <v>0.05</v>
      </c>
      <c r="V467" s="33">
        <v>725.47</v>
      </c>
    </row>
    <row r="468" spans="1:22" ht="16.8" x14ac:dyDescent="0.3">
      <c r="A468" s="20">
        <v>46.7</v>
      </c>
      <c r="B468" s="20">
        <v>50</v>
      </c>
      <c r="C468" s="20">
        <v>50.15</v>
      </c>
      <c r="D468" s="20">
        <v>-0.15</v>
      </c>
      <c r="E468" s="20">
        <v>-0.01</v>
      </c>
      <c r="F468" s="20">
        <v>1063.33</v>
      </c>
      <c r="Q468" s="33">
        <v>46.7</v>
      </c>
      <c r="R468" s="33">
        <v>50.03</v>
      </c>
      <c r="S468" s="38">
        <v>50</v>
      </c>
      <c r="T468" s="38">
        <v>-0.03</v>
      </c>
      <c r="U468" s="33">
        <v>-0.02</v>
      </c>
      <c r="V468" s="33">
        <v>721.65</v>
      </c>
    </row>
    <row r="469" spans="1:22" ht="16.8" x14ac:dyDescent="0.3">
      <c r="A469" s="20">
        <v>46.8</v>
      </c>
      <c r="B469" s="20">
        <v>50</v>
      </c>
      <c r="C469" s="20">
        <v>50.16</v>
      </c>
      <c r="D469" s="20">
        <v>-0.16</v>
      </c>
      <c r="E469" s="20">
        <v>-0.01</v>
      </c>
      <c r="F469" s="20">
        <v>1060.45</v>
      </c>
      <c r="Q469" s="33">
        <v>46.8</v>
      </c>
      <c r="R469" s="33">
        <v>49.99</v>
      </c>
      <c r="S469" s="33">
        <v>50</v>
      </c>
      <c r="T469" s="33">
        <v>0.01</v>
      </c>
      <c r="U469" s="38">
        <v>0.04</v>
      </c>
      <c r="V469" s="33">
        <v>728.96</v>
      </c>
    </row>
    <row r="470" spans="1:22" ht="16.8" x14ac:dyDescent="0.3">
      <c r="A470" s="20">
        <v>46.9</v>
      </c>
      <c r="B470" s="20">
        <v>50</v>
      </c>
      <c r="C470" s="20">
        <v>50.15</v>
      </c>
      <c r="D470" s="20">
        <v>-0.15</v>
      </c>
      <c r="E470" s="20">
        <v>0.02</v>
      </c>
      <c r="F470" s="20">
        <v>1096.4100000000001</v>
      </c>
      <c r="Q470" s="33">
        <v>46.9</v>
      </c>
      <c r="R470" s="33">
        <v>50</v>
      </c>
      <c r="S470" s="33">
        <v>50</v>
      </c>
      <c r="T470" s="33">
        <v>0</v>
      </c>
      <c r="U470" s="33">
        <v>-0.01</v>
      </c>
      <c r="V470" s="33">
        <v>726.76</v>
      </c>
    </row>
    <row r="471" spans="1:22" ht="16.8" x14ac:dyDescent="0.3">
      <c r="A471" s="20">
        <v>47</v>
      </c>
      <c r="B471" s="20">
        <v>50</v>
      </c>
      <c r="C471" s="20">
        <v>50.16</v>
      </c>
      <c r="D471" s="20">
        <v>-0.16</v>
      </c>
      <c r="E471" s="20">
        <v>-0.02</v>
      </c>
      <c r="F471" s="20">
        <v>1060.45</v>
      </c>
      <c r="Q471" s="33">
        <v>47</v>
      </c>
      <c r="R471" s="33">
        <v>50.02</v>
      </c>
      <c r="S471" s="38">
        <v>50</v>
      </c>
      <c r="T471" s="38">
        <v>-0.02</v>
      </c>
      <c r="U471" s="38">
        <v>-0.02</v>
      </c>
      <c r="V471" s="33">
        <v>722.69</v>
      </c>
    </row>
    <row r="472" spans="1:22" ht="16.8" x14ac:dyDescent="0.3">
      <c r="A472" s="20">
        <v>47.1</v>
      </c>
      <c r="B472" s="20">
        <v>50</v>
      </c>
      <c r="C472" s="20">
        <v>50.16</v>
      </c>
      <c r="D472" s="20">
        <v>-0.16</v>
      </c>
      <c r="E472" s="20">
        <v>0</v>
      </c>
      <c r="F472" s="20">
        <v>1060.45</v>
      </c>
      <c r="Q472" s="33">
        <v>47.1</v>
      </c>
      <c r="R472" s="33">
        <v>50.05</v>
      </c>
      <c r="S472" s="33">
        <v>50</v>
      </c>
      <c r="T472" s="33">
        <v>-0.05</v>
      </c>
      <c r="U472" s="38">
        <v>-0.02</v>
      </c>
      <c r="V472" s="33">
        <v>718.89</v>
      </c>
    </row>
    <row r="473" spans="1:22" ht="16.8" x14ac:dyDescent="0.3">
      <c r="A473" s="20">
        <v>47.2</v>
      </c>
      <c r="B473" s="20">
        <v>50</v>
      </c>
      <c r="C473" s="20">
        <v>50.17</v>
      </c>
      <c r="D473" s="20">
        <v>-0.17</v>
      </c>
      <c r="E473" s="20">
        <v>-0.01</v>
      </c>
      <c r="F473" s="20">
        <v>1058.51</v>
      </c>
      <c r="Q473" s="33">
        <v>47.2</v>
      </c>
      <c r="R473" s="33">
        <v>49.91</v>
      </c>
      <c r="S473" s="38">
        <v>50</v>
      </c>
      <c r="T473" s="38">
        <v>0.09</v>
      </c>
      <c r="U473" s="33">
        <v>0.14000000000000001</v>
      </c>
      <c r="V473" s="33">
        <v>743.25</v>
      </c>
    </row>
    <row r="474" spans="1:22" ht="16.8" x14ac:dyDescent="0.3">
      <c r="A474" s="20">
        <v>47.3</v>
      </c>
      <c r="B474" s="20">
        <v>50</v>
      </c>
      <c r="C474" s="20">
        <v>50.13</v>
      </c>
      <c r="D474" s="20">
        <v>-0.13</v>
      </c>
      <c r="E474" s="20">
        <v>0.04</v>
      </c>
      <c r="F474" s="20">
        <v>1150.1300000000001</v>
      </c>
      <c r="Q474" s="33">
        <v>47.3</v>
      </c>
      <c r="R474" s="33">
        <v>50.02</v>
      </c>
      <c r="S474" s="33">
        <v>50</v>
      </c>
      <c r="T474" s="33">
        <v>-0.02</v>
      </c>
      <c r="U474" s="38">
        <v>-0.11</v>
      </c>
      <c r="V474" s="33">
        <v>720.96</v>
      </c>
    </row>
    <row r="475" spans="1:22" ht="16.8" x14ac:dyDescent="0.3">
      <c r="A475" s="20">
        <v>47.4</v>
      </c>
      <c r="B475" s="20">
        <v>50</v>
      </c>
      <c r="C475" s="20">
        <v>50.17</v>
      </c>
      <c r="D475" s="20">
        <v>-0.17</v>
      </c>
      <c r="E475" s="20">
        <v>-0.04</v>
      </c>
      <c r="F475" s="20">
        <v>1058.51</v>
      </c>
      <c r="Q475" s="33">
        <v>47.4</v>
      </c>
      <c r="R475" s="33">
        <v>50.08</v>
      </c>
      <c r="S475" s="38">
        <v>50</v>
      </c>
      <c r="T475" s="38">
        <v>-0.08</v>
      </c>
      <c r="U475" s="33">
        <v>-0.06</v>
      </c>
      <c r="V475" s="33">
        <v>713.29</v>
      </c>
    </row>
    <row r="476" spans="1:22" ht="16.8" x14ac:dyDescent="0.3">
      <c r="A476" s="20">
        <v>47.5</v>
      </c>
      <c r="B476" s="20">
        <v>50</v>
      </c>
      <c r="C476" s="20">
        <v>50.17</v>
      </c>
      <c r="D476" s="20">
        <v>-0.17</v>
      </c>
      <c r="E476" s="20">
        <v>0</v>
      </c>
      <c r="F476" s="20">
        <v>1058.51</v>
      </c>
      <c r="Q476" s="33">
        <v>47.5</v>
      </c>
      <c r="R476" s="33">
        <v>50.01</v>
      </c>
      <c r="S476" s="33">
        <v>50</v>
      </c>
      <c r="T476" s="33">
        <v>-0.01</v>
      </c>
      <c r="U476" s="38">
        <v>7.0000000000000007E-2</v>
      </c>
      <c r="V476" s="33">
        <v>726.94</v>
      </c>
    </row>
    <row r="477" spans="1:22" ht="16.8" x14ac:dyDescent="0.3">
      <c r="A477" s="20">
        <v>47.6</v>
      </c>
      <c r="B477" s="20">
        <v>50</v>
      </c>
      <c r="C477" s="20">
        <v>50.19</v>
      </c>
      <c r="D477" s="20">
        <v>-0.19</v>
      </c>
      <c r="E477" s="20">
        <v>-0.02</v>
      </c>
      <c r="F477" s="20">
        <v>1053.6600000000001</v>
      </c>
      <c r="Q477" s="33">
        <v>47.6</v>
      </c>
      <c r="R477" s="33">
        <v>50.02</v>
      </c>
      <c r="S477" s="38">
        <v>50</v>
      </c>
      <c r="T477" s="38">
        <v>-0.02</v>
      </c>
      <c r="U477" s="38">
        <v>-0.01</v>
      </c>
      <c r="V477" s="33">
        <v>724.07</v>
      </c>
    </row>
    <row r="478" spans="1:22" ht="16.8" x14ac:dyDescent="0.3">
      <c r="A478" s="20">
        <v>47.7</v>
      </c>
      <c r="B478" s="20">
        <v>50</v>
      </c>
      <c r="C478" s="20">
        <v>50.22</v>
      </c>
      <c r="D478" s="20">
        <v>-0.22</v>
      </c>
      <c r="E478" s="20">
        <v>-0.02</v>
      </c>
      <c r="F478" s="20">
        <v>1047.71</v>
      </c>
      <c r="Q478" s="33">
        <v>47.7</v>
      </c>
      <c r="R478" s="33">
        <v>50.05</v>
      </c>
      <c r="S478" s="33">
        <v>50</v>
      </c>
      <c r="T478" s="33">
        <v>-0.05</v>
      </c>
      <c r="U478" s="38">
        <v>-0.03</v>
      </c>
      <c r="V478" s="33">
        <v>718.56</v>
      </c>
    </row>
    <row r="479" spans="1:22" ht="16.8" x14ac:dyDescent="0.3">
      <c r="A479" s="20">
        <v>47.8</v>
      </c>
      <c r="B479" s="20">
        <v>50</v>
      </c>
      <c r="C479" s="20">
        <v>50.22</v>
      </c>
      <c r="D479" s="20">
        <v>-0.22</v>
      </c>
      <c r="E479" s="20">
        <v>0</v>
      </c>
      <c r="F479" s="20">
        <v>1046.7</v>
      </c>
      <c r="Q479" s="33">
        <v>47.8</v>
      </c>
      <c r="R479" s="33">
        <v>50.05</v>
      </c>
      <c r="S479" s="38">
        <v>50</v>
      </c>
      <c r="T479" s="38">
        <v>-0.05</v>
      </c>
      <c r="U479" s="38">
        <v>0</v>
      </c>
      <c r="V479" s="33">
        <v>719.1</v>
      </c>
    </row>
    <row r="480" spans="1:22" ht="16.8" x14ac:dyDescent="0.3">
      <c r="A480" s="20">
        <v>47.9</v>
      </c>
      <c r="B480" s="20">
        <v>50</v>
      </c>
      <c r="C480" s="20">
        <v>50.21</v>
      </c>
      <c r="D480" s="20">
        <v>-0.21</v>
      </c>
      <c r="E480" s="20">
        <v>0.01</v>
      </c>
      <c r="F480" s="20">
        <v>1065.83</v>
      </c>
      <c r="Q480" s="33">
        <v>47.9</v>
      </c>
      <c r="R480" s="33">
        <v>50.03</v>
      </c>
      <c r="S480" s="33">
        <v>50</v>
      </c>
      <c r="T480" s="33">
        <v>-0.03</v>
      </c>
      <c r="U480" s="38">
        <v>0.02</v>
      </c>
      <c r="V480" s="33">
        <v>721.82</v>
      </c>
    </row>
    <row r="481" spans="1:22" ht="16.8" x14ac:dyDescent="0.3">
      <c r="A481" s="20">
        <v>48</v>
      </c>
      <c r="B481" s="20">
        <v>50</v>
      </c>
      <c r="C481" s="20">
        <v>50.25</v>
      </c>
      <c r="D481" s="20">
        <v>-0.25</v>
      </c>
      <c r="E481" s="20">
        <v>-0.04</v>
      </c>
      <c r="F481" s="20">
        <v>1038.52</v>
      </c>
      <c r="Q481" s="33">
        <v>48</v>
      </c>
      <c r="R481" s="33">
        <v>49.96</v>
      </c>
      <c r="S481" s="33">
        <v>50</v>
      </c>
      <c r="T481" s="38">
        <v>0.04</v>
      </c>
      <c r="U481" s="38">
        <v>7.0000000000000007E-2</v>
      </c>
      <c r="V481" s="33">
        <v>734.12</v>
      </c>
    </row>
    <row r="482" spans="1:22" ht="16.8" x14ac:dyDescent="0.3">
      <c r="A482" s="20">
        <v>48.1</v>
      </c>
      <c r="B482" s="20">
        <v>50</v>
      </c>
      <c r="C482" s="20">
        <v>50.25</v>
      </c>
      <c r="D482" s="20">
        <v>-0.25</v>
      </c>
      <c r="E482" s="20">
        <v>0</v>
      </c>
      <c r="F482" s="20">
        <v>1048.51</v>
      </c>
      <c r="Q482" s="33">
        <v>48.1</v>
      </c>
      <c r="R482" s="33">
        <v>50.02</v>
      </c>
      <c r="S482" s="38">
        <v>50</v>
      </c>
      <c r="T482" s="33">
        <v>-0.02</v>
      </c>
      <c r="U482" s="38">
        <v>-0.06</v>
      </c>
      <c r="V482" s="33">
        <v>722.89</v>
      </c>
    </row>
    <row r="483" spans="1:22" ht="16.8" x14ac:dyDescent="0.3">
      <c r="A483" s="20">
        <v>48.2</v>
      </c>
      <c r="B483" s="20">
        <v>50</v>
      </c>
      <c r="C483" s="20">
        <v>50.22</v>
      </c>
      <c r="D483" s="20">
        <v>-0.22</v>
      </c>
      <c r="E483" s="20">
        <v>0.02</v>
      </c>
      <c r="F483" s="20">
        <v>1095.22</v>
      </c>
      <c r="Q483" s="33">
        <v>48.2</v>
      </c>
      <c r="R483" s="33">
        <v>50.02</v>
      </c>
      <c r="S483" s="33">
        <v>50</v>
      </c>
      <c r="T483" s="38">
        <v>-0.02</v>
      </c>
      <c r="U483" s="38">
        <v>0</v>
      </c>
      <c r="V483" s="33">
        <v>723.99</v>
      </c>
    </row>
    <row r="484" spans="1:22" ht="16.8" x14ac:dyDescent="0.3">
      <c r="A484" s="20">
        <v>48.3</v>
      </c>
      <c r="B484" s="20">
        <v>50</v>
      </c>
      <c r="C484" s="20">
        <v>50.24</v>
      </c>
      <c r="D484" s="20">
        <v>-0.24</v>
      </c>
      <c r="E484" s="20">
        <v>-0.02</v>
      </c>
      <c r="F484" s="20">
        <v>1041.6500000000001</v>
      </c>
      <c r="Q484" s="33">
        <v>48.3</v>
      </c>
      <c r="R484" s="33">
        <v>50.01</v>
      </c>
      <c r="S484" s="38">
        <v>50</v>
      </c>
      <c r="T484" s="33">
        <v>-0.01</v>
      </c>
      <c r="U484" s="38">
        <v>0.01</v>
      </c>
      <c r="V484" s="33">
        <v>725.36</v>
      </c>
    </row>
    <row r="485" spans="1:22" ht="16.8" x14ac:dyDescent="0.3">
      <c r="A485" s="20">
        <v>48.4</v>
      </c>
      <c r="B485" s="20">
        <v>50</v>
      </c>
      <c r="C485" s="20">
        <v>50.27</v>
      </c>
      <c r="D485" s="20">
        <v>-0.27</v>
      </c>
      <c r="E485" s="20">
        <v>-0.03</v>
      </c>
      <c r="F485" s="20">
        <v>1033.24</v>
      </c>
      <c r="Q485" s="33">
        <v>48.4</v>
      </c>
      <c r="R485" s="33">
        <v>50.03</v>
      </c>
      <c r="S485" s="33">
        <v>50</v>
      </c>
      <c r="T485" s="38">
        <v>-0.03</v>
      </c>
      <c r="U485" s="38">
        <v>-0.02</v>
      </c>
      <c r="V485" s="33">
        <v>720.95</v>
      </c>
    </row>
    <row r="486" spans="1:22" ht="16.8" x14ac:dyDescent="0.3">
      <c r="A486" s="20">
        <v>48.5</v>
      </c>
      <c r="B486" s="20">
        <v>50</v>
      </c>
      <c r="C486" s="20">
        <v>50.29</v>
      </c>
      <c r="D486" s="20">
        <v>-0.28999999999999998</v>
      </c>
      <c r="E486" s="20">
        <v>-0.02</v>
      </c>
      <c r="F486" s="20">
        <v>1028.8699999999999</v>
      </c>
      <c r="Q486" s="33">
        <v>48.5</v>
      </c>
      <c r="R486" s="33">
        <v>50.02</v>
      </c>
      <c r="S486" s="38">
        <v>50</v>
      </c>
      <c r="T486" s="33">
        <v>-0.02</v>
      </c>
      <c r="U486" s="38">
        <v>0.02</v>
      </c>
      <c r="V486" s="33">
        <v>724.19</v>
      </c>
    </row>
    <row r="487" spans="1:22" ht="16.8" x14ac:dyDescent="0.3">
      <c r="A487" s="20">
        <v>48.6</v>
      </c>
      <c r="B487" s="20">
        <v>50</v>
      </c>
      <c r="C487" s="20">
        <v>50.31</v>
      </c>
      <c r="D487" s="20">
        <v>-0.31</v>
      </c>
      <c r="E487" s="20">
        <v>-0.02</v>
      </c>
      <c r="F487" s="20">
        <v>1023.23</v>
      </c>
      <c r="Q487" s="33">
        <v>48.6</v>
      </c>
      <c r="R487" s="33">
        <v>50.02</v>
      </c>
      <c r="S487" s="33">
        <v>50</v>
      </c>
      <c r="T487" s="33">
        <v>-0.02</v>
      </c>
      <c r="U487" s="38">
        <v>0</v>
      </c>
      <c r="V487" s="33">
        <v>723.84</v>
      </c>
    </row>
    <row r="488" spans="1:22" ht="16.8" x14ac:dyDescent="0.3">
      <c r="A488" s="20">
        <v>48.7</v>
      </c>
      <c r="B488" s="20">
        <v>50</v>
      </c>
      <c r="C488" s="20">
        <v>50.31</v>
      </c>
      <c r="D488" s="20">
        <v>-0.31</v>
      </c>
      <c r="E488" s="20">
        <v>0</v>
      </c>
      <c r="F488" s="20">
        <v>1022.08</v>
      </c>
      <c r="Q488" s="33">
        <v>48.7</v>
      </c>
      <c r="R488" s="33">
        <v>49.86</v>
      </c>
      <c r="S488" s="38">
        <v>50</v>
      </c>
      <c r="T488" s="38">
        <v>0.14000000000000001</v>
      </c>
      <c r="U488" s="33">
        <v>0.15</v>
      </c>
      <c r="V488" s="33">
        <v>750.6</v>
      </c>
    </row>
    <row r="489" spans="1:22" ht="16.8" x14ac:dyDescent="0.3">
      <c r="A489" s="20">
        <v>48.8</v>
      </c>
      <c r="B489" s="20">
        <v>50</v>
      </c>
      <c r="C489" s="20">
        <v>50.29</v>
      </c>
      <c r="D489" s="20">
        <v>-0.28999999999999998</v>
      </c>
      <c r="E489" s="20">
        <v>0.02</v>
      </c>
      <c r="F489" s="20">
        <v>1072.19</v>
      </c>
      <c r="Q489" s="33">
        <v>48.8</v>
      </c>
      <c r="R489" s="33">
        <v>50.02</v>
      </c>
      <c r="S489" s="33">
        <v>50</v>
      </c>
      <c r="T489" s="33">
        <v>-0.02</v>
      </c>
      <c r="U489" s="38">
        <v>-0.15</v>
      </c>
      <c r="V489" s="33">
        <v>721.03</v>
      </c>
    </row>
    <row r="490" spans="1:22" ht="16.8" x14ac:dyDescent="0.3">
      <c r="A490" s="20">
        <v>48.9</v>
      </c>
      <c r="B490" s="20">
        <v>50</v>
      </c>
      <c r="C490" s="20">
        <v>50.28</v>
      </c>
      <c r="D490" s="20">
        <v>-0.28000000000000003</v>
      </c>
      <c r="E490" s="20">
        <v>0.01</v>
      </c>
      <c r="F490" s="20">
        <v>1058.03</v>
      </c>
      <c r="Q490" s="33">
        <v>48.9</v>
      </c>
      <c r="R490" s="33">
        <v>50.03</v>
      </c>
      <c r="S490" s="38">
        <v>50</v>
      </c>
      <c r="T490" s="38">
        <v>-0.03</v>
      </c>
      <c r="U490" s="33">
        <v>-0.02</v>
      </c>
      <c r="V490" s="33">
        <v>721.24</v>
      </c>
    </row>
    <row r="491" spans="1:22" ht="16.8" x14ac:dyDescent="0.3">
      <c r="A491" s="20">
        <v>49</v>
      </c>
      <c r="B491" s="20">
        <v>50</v>
      </c>
      <c r="C491" s="20">
        <v>50.25</v>
      </c>
      <c r="D491" s="20">
        <v>-0.25</v>
      </c>
      <c r="E491" s="20">
        <v>0.03</v>
      </c>
      <c r="F491" s="20">
        <v>1096.96</v>
      </c>
      <c r="Q491" s="33">
        <v>49</v>
      </c>
      <c r="R491" s="33">
        <v>49.98</v>
      </c>
      <c r="S491" s="33">
        <v>50</v>
      </c>
      <c r="T491" s="33">
        <v>0.02</v>
      </c>
      <c r="U491" s="38">
        <v>0.06</v>
      </c>
      <c r="V491" s="33">
        <v>731.37</v>
      </c>
    </row>
    <row r="492" spans="1:22" ht="16.8" x14ac:dyDescent="0.3">
      <c r="A492" s="20">
        <v>49.1</v>
      </c>
      <c r="B492" s="20">
        <v>50</v>
      </c>
      <c r="C492" s="20">
        <v>50.26</v>
      </c>
      <c r="D492" s="20">
        <v>-0.26</v>
      </c>
      <c r="E492" s="20">
        <v>0</v>
      </c>
      <c r="F492" s="20">
        <v>1037.47</v>
      </c>
      <c r="Q492" s="33">
        <v>49.1</v>
      </c>
      <c r="R492" s="33">
        <v>50.02</v>
      </c>
      <c r="S492" s="33">
        <v>50</v>
      </c>
      <c r="T492" s="38">
        <v>-0.02</v>
      </c>
      <c r="U492" s="38">
        <v>-0.04</v>
      </c>
      <c r="V492" s="33">
        <v>723.24</v>
      </c>
    </row>
    <row r="493" spans="1:22" ht="16.8" x14ac:dyDescent="0.3">
      <c r="A493" s="20">
        <v>49.2</v>
      </c>
      <c r="B493" s="20">
        <v>50</v>
      </c>
      <c r="C493" s="20">
        <v>50.29</v>
      </c>
      <c r="D493" s="20">
        <v>-0.28999999999999998</v>
      </c>
      <c r="E493" s="20">
        <v>-0.03</v>
      </c>
      <c r="F493" s="20">
        <v>1029.98</v>
      </c>
      <c r="Q493" s="33">
        <v>49.2</v>
      </c>
      <c r="R493" s="33">
        <v>50.02</v>
      </c>
      <c r="S493" s="38">
        <v>50</v>
      </c>
      <c r="T493" s="33">
        <v>-0.02</v>
      </c>
      <c r="U493" s="38">
        <v>0</v>
      </c>
      <c r="V493" s="33">
        <v>724.02</v>
      </c>
    </row>
    <row r="494" spans="1:22" ht="16.8" x14ac:dyDescent="0.3">
      <c r="A494" s="20">
        <v>49.3</v>
      </c>
      <c r="B494" s="20">
        <v>50</v>
      </c>
      <c r="C494" s="20">
        <v>50.24</v>
      </c>
      <c r="D494" s="20">
        <v>-0.24</v>
      </c>
      <c r="E494" s="20">
        <v>0.04</v>
      </c>
      <c r="F494" s="20">
        <v>1128.5999999999999</v>
      </c>
      <c r="Q494" s="33">
        <v>49.3</v>
      </c>
      <c r="R494" s="33">
        <v>50.03</v>
      </c>
      <c r="S494" s="33">
        <v>50</v>
      </c>
      <c r="T494" s="38">
        <v>-0.03</v>
      </c>
      <c r="U494" s="38">
        <v>-0.02</v>
      </c>
      <c r="V494" s="33">
        <v>721.16</v>
      </c>
    </row>
    <row r="495" spans="1:22" ht="16.8" x14ac:dyDescent="0.3">
      <c r="A495" s="20">
        <v>49.4</v>
      </c>
      <c r="B495" s="20">
        <v>50</v>
      </c>
      <c r="C495" s="20">
        <v>50.25</v>
      </c>
      <c r="D495" s="20">
        <v>-0.25</v>
      </c>
      <c r="E495" s="20">
        <v>-0.01</v>
      </c>
      <c r="F495" s="20">
        <v>1038.52</v>
      </c>
      <c r="Q495" s="33">
        <v>49.4</v>
      </c>
      <c r="R495" s="33">
        <v>50.02</v>
      </c>
      <c r="S495" s="38">
        <v>50</v>
      </c>
      <c r="T495" s="33">
        <v>-0.02</v>
      </c>
      <c r="U495" s="38">
        <v>0.01</v>
      </c>
      <c r="V495" s="33">
        <v>722.83</v>
      </c>
    </row>
    <row r="496" spans="1:22" ht="16.8" x14ac:dyDescent="0.3">
      <c r="A496" s="20">
        <v>49.5</v>
      </c>
      <c r="B496" s="20">
        <v>50</v>
      </c>
      <c r="C496" s="20">
        <v>50.28</v>
      </c>
      <c r="D496" s="20">
        <v>-0.28000000000000003</v>
      </c>
      <c r="E496" s="20">
        <v>-0.02</v>
      </c>
      <c r="F496" s="20">
        <v>1032.1600000000001</v>
      </c>
      <c r="Q496" s="33">
        <v>49.5</v>
      </c>
      <c r="R496" s="33">
        <v>50.03</v>
      </c>
      <c r="S496" s="33">
        <v>50</v>
      </c>
      <c r="T496" s="38">
        <v>-0.03</v>
      </c>
      <c r="U496" s="38">
        <v>-0.01</v>
      </c>
      <c r="V496" s="33">
        <v>721.21</v>
      </c>
    </row>
    <row r="497" spans="1:22" ht="16.8" x14ac:dyDescent="0.3">
      <c r="A497" s="20">
        <v>49.6</v>
      </c>
      <c r="B497" s="20">
        <v>50</v>
      </c>
      <c r="C497" s="20">
        <v>50.19</v>
      </c>
      <c r="D497" s="20">
        <v>-0.19</v>
      </c>
      <c r="E497" s="20">
        <v>0.08</v>
      </c>
      <c r="F497" s="20">
        <v>1198.1199999999999</v>
      </c>
      <c r="Q497" s="33">
        <v>49.6</v>
      </c>
      <c r="R497" s="33">
        <v>50.05</v>
      </c>
      <c r="S497" s="38">
        <v>50</v>
      </c>
      <c r="T497" s="33">
        <v>-0.05</v>
      </c>
      <c r="U497" s="33">
        <v>-0.02</v>
      </c>
      <c r="V497" s="33">
        <v>718.48</v>
      </c>
    </row>
    <row r="498" spans="1:22" ht="16.8" x14ac:dyDescent="0.3">
      <c r="A498" s="20">
        <v>49.7</v>
      </c>
      <c r="B498" s="20">
        <v>50</v>
      </c>
      <c r="C498" s="20">
        <v>50.21</v>
      </c>
      <c r="D498" s="20">
        <v>-0.21</v>
      </c>
      <c r="E498" s="20">
        <v>-0.02</v>
      </c>
      <c r="F498" s="20">
        <v>1049.71</v>
      </c>
      <c r="Q498" s="33">
        <v>49.7</v>
      </c>
      <c r="R498" s="33">
        <v>50.07</v>
      </c>
      <c r="S498" s="33">
        <v>50</v>
      </c>
      <c r="T498" s="33">
        <v>-7.0000000000000007E-2</v>
      </c>
      <c r="U498" s="38">
        <v>-0.02</v>
      </c>
      <c r="V498" s="33">
        <v>714.48</v>
      </c>
    </row>
    <row r="499" spans="1:22" ht="16.8" x14ac:dyDescent="0.3">
      <c r="A499" s="20">
        <v>49.8</v>
      </c>
      <c r="B499" s="20">
        <v>50</v>
      </c>
      <c r="C499" s="20">
        <v>50.2</v>
      </c>
      <c r="D499" s="20">
        <v>-0.2</v>
      </c>
      <c r="E499" s="20">
        <v>0</v>
      </c>
      <c r="F499" s="20">
        <v>1059.31</v>
      </c>
      <c r="Q499" s="33">
        <v>49.8</v>
      </c>
      <c r="R499" s="33">
        <v>50.03</v>
      </c>
      <c r="S499" s="38">
        <v>50</v>
      </c>
      <c r="T499" s="38">
        <v>-0.03</v>
      </c>
      <c r="U499" s="33">
        <v>0.04</v>
      </c>
      <c r="V499" s="33">
        <v>721.86</v>
      </c>
    </row>
    <row r="500" spans="1:22" ht="16.8" x14ac:dyDescent="0.3">
      <c r="A500" s="20">
        <v>49.9</v>
      </c>
      <c r="B500" s="20">
        <v>50</v>
      </c>
      <c r="C500" s="20">
        <v>50.24</v>
      </c>
      <c r="D500" s="20">
        <v>-0.24</v>
      </c>
      <c r="E500" s="20">
        <v>-0.04</v>
      </c>
      <c r="F500" s="20">
        <v>1041.6500000000001</v>
      </c>
      <c r="Q500" s="33">
        <v>49.9</v>
      </c>
      <c r="R500" s="33">
        <v>50.04</v>
      </c>
      <c r="S500" s="33">
        <v>50</v>
      </c>
      <c r="T500" s="33">
        <v>-0.04</v>
      </c>
      <c r="U500" s="38">
        <v>-0.01</v>
      </c>
      <c r="V500" s="33">
        <v>719.58</v>
      </c>
    </row>
    <row r="501" spans="1:22" ht="16.8" x14ac:dyDescent="0.3">
      <c r="A501" s="20">
        <v>50</v>
      </c>
      <c r="B501" s="20">
        <v>50</v>
      </c>
      <c r="C501" s="20">
        <v>50.22</v>
      </c>
      <c r="D501" s="20">
        <v>-0.22</v>
      </c>
      <c r="E501" s="20">
        <v>0.02</v>
      </c>
      <c r="F501" s="20">
        <v>1088.31</v>
      </c>
      <c r="Q501" s="33">
        <v>50</v>
      </c>
      <c r="R501" s="33">
        <v>50.07</v>
      </c>
      <c r="S501" s="38">
        <v>50</v>
      </c>
      <c r="T501" s="38">
        <v>-7.0000000000000007E-2</v>
      </c>
      <c r="U501" s="38">
        <v>-0.03</v>
      </c>
      <c r="V501" s="33">
        <v>714.01</v>
      </c>
    </row>
    <row r="502" spans="1:22" ht="16.8" x14ac:dyDescent="0.3">
      <c r="A502" s="20">
        <v>50.1</v>
      </c>
      <c r="B502" s="20">
        <v>50</v>
      </c>
      <c r="C502" s="20">
        <v>50.22</v>
      </c>
      <c r="D502" s="20">
        <v>-0.22</v>
      </c>
      <c r="E502" s="20">
        <v>0</v>
      </c>
      <c r="F502" s="20">
        <v>1046.7</v>
      </c>
      <c r="Q502" s="33">
        <v>50.1</v>
      </c>
      <c r="R502" s="33">
        <v>50.02</v>
      </c>
      <c r="S502" s="33">
        <v>50</v>
      </c>
      <c r="T502" s="33">
        <v>-0.02</v>
      </c>
      <c r="U502" s="38">
        <v>0.05</v>
      </c>
      <c r="V502" s="33">
        <v>722.97</v>
      </c>
    </row>
    <row r="503" spans="1:22" ht="16.8" x14ac:dyDescent="0.3">
      <c r="A503" s="20">
        <v>50.2</v>
      </c>
      <c r="B503" s="20">
        <v>50</v>
      </c>
      <c r="C503" s="20">
        <v>50.22</v>
      </c>
      <c r="D503" s="20">
        <v>-0.22</v>
      </c>
      <c r="E503" s="20">
        <v>0</v>
      </c>
      <c r="F503" s="20">
        <v>1056.3900000000001</v>
      </c>
      <c r="Q503" s="33">
        <v>50.2</v>
      </c>
      <c r="R503" s="33">
        <v>50.02</v>
      </c>
      <c r="S503" s="38">
        <v>50</v>
      </c>
      <c r="T503" s="38">
        <v>-0.02</v>
      </c>
      <c r="U503" s="38">
        <v>0</v>
      </c>
      <c r="V503" s="33">
        <v>721.96</v>
      </c>
    </row>
    <row r="504" spans="1:22" ht="16.8" x14ac:dyDescent="0.3">
      <c r="A504" s="20">
        <v>50.3</v>
      </c>
      <c r="B504" s="20">
        <v>50</v>
      </c>
      <c r="C504" s="20">
        <v>50.22</v>
      </c>
      <c r="D504" s="20">
        <v>-0.22</v>
      </c>
      <c r="E504" s="20">
        <v>0</v>
      </c>
      <c r="F504" s="20">
        <v>1047.71</v>
      </c>
      <c r="Q504" s="33">
        <v>50.3</v>
      </c>
      <c r="R504" s="33">
        <v>50.02</v>
      </c>
      <c r="S504" s="33">
        <v>50</v>
      </c>
      <c r="T504" s="33">
        <v>-0.02</v>
      </c>
      <c r="U504" s="38">
        <v>0</v>
      </c>
      <c r="V504" s="33">
        <v>721.91</v>
      </c>
    </row>
    <row r="505" spans="1:22" ht="16.8" x14ac:dyDescent="0.3">
      <c r="A505" s="20">
        <v>50.4</v>
      </c>
      <c r="B505" s="20">
        <v>50</v>
      </c>
      <c r="C505" s="20">
        <v>50.18</v>
      </c>
      <c r="D505" s="20">
        <v>-0.18</v>
      </c>
      <c r="E505" s="20">
        <v>0.04</v>
      </c>
      <c r="F505" s="20">
        <v>1133.9100000000001</v>
      </c>
      <c r="Q505" s="33">
        <v>50.4</v>
      </c>
      <c r="R505" s="33">
        <v>50.02</v>
      </c>
      <c r="S505" s="33">
        <v>50</v>
      </c>
      <c r="T505" s="33">
        <v>-0.02</v>
      </c>
      <c r="U505" s="33">
        <v>0</v>
      </c>
      <c r="V505" s="33">
        <v>721.86</v>
      </c>
    </row>
    <row r="506" spans="1:22" ht="16.8" x14ac:dyDescent="0.3">
      <c r="A506" s="20">
        <v>50.5</v>
      </c>
      <c r="B506" s="20">
        <v>50</v>
      </c>
      <c r="C506" s="20">
        <v>50.18</v>
      </c>
      <c r="D506" s="20">
        <v>-0.18</v>
      </c>
      <c r="E506" s="20">
        <v>0</v>
      </c>
      <c r="F506" s="20">
        <v>1056.56</v>
      </c>
      <c r="Q506" s="33">
        <v>50.5</v>
      </c>
      <c r="R506" s="33">
        <v>50.03</v>
      </c>
      <c r="S506" s="38">
        <v>50</v>
      </c>
      <c r="T506" s="38">
        <v>-0.03</v>
      </c>
      <c r="U506" s="38">
        <v>-0.01</v>
      </c>
      <c r="V506" s="33">
        <v>720.4</v>
      </c>
    </row>
    <row r="507" spans="1:22" ht="16.8" x14ac:dyDescent="0.3">
      <c r="A507" s="20">
        <v>50.6</v>
      </c>
      <c r="B507" s="20">
        <v>50</v>
      </c>
      <c r="C507" s="20">
        <v>50.18</v>
      </c>
      <c r="D507" s="20">
        <v>-0.18</v>
      </c>
      <c r="E507" s="20">
        <v>0</v>
      </c>
      <c r="F507" s="20">
        <v>1055.5999999999999</v>
      </c>
      <c r="Q507" s="33">
        <v>50.6</v>
      </c>
      <c r="R507" s="33">
        <v>50.04</v>
      </c>
      <c r="S507" s="33">
        <v>50</v>
      </c>
      <c r="T507" s="33">
        <v>-0.04</v>
      </c>
      <c r="U507" s="38">
        <v>-0.01</v>
      </c>
      <c r="V507" s="33">
        <v>719.08</v>
      </c>
    </row>
    <row r="508" spans="1:22" ht="16.8" x14ac:dyDescent="0.3">
      <c r="A508" s="20">
        <v>50.7</v>
      </c>
      <c r="B508" s="20">
        <v>50</v>
      </c>
      <c r="C508" s="20">
        <v>50.19</v>
      </c>
      <c r="D508" s="20">
        <v>-0.19</v>
      </c>
      <c r="E508" s="20">
        <v>0</v>
      </c>
      <c r="F508" s="20">
        <v>1054.6300000000001</v>
      </c>
      <c r="Q508" s="33">
        <v>50.7</v>
      </c>
      <c r="R508" s="33">
        <v>50.05</v>
      </c>
      <c r="S508" s="38">
        <v>50</v>
      </c>
      <c r="T508" s="38">
        <v>-0.05</v>
      </c>
      <c r="U508" s="38">
        <v>-0.01</v>
      </c>
      <c r="V508" s="33">
        <v>717.75</v>
      </c>
    </row>
    <row r="509" spans="1:22" ht="16.8" x14ac:dyDescent="0.3">
      <c r="A509" s="20">
        <v>50.8</v>
      </c>
      <c r="B509" s="20">
        <v>50</v>
      </c>
      <c r="C509" s="20">
        <v>50.22</v>
      </c>
      <c r="D509" s="20">
        <v>-0.22</v>
      </c>
      <c r="E509" s="20">
        <v>-0.03</v>
      </c>
      <c r="F509" s="20">
        <v>1047.71</v>
      </c>
      <c r="Q509" s="33">
        <v>50.8</v>
      </c>
      <c r="R509" s="33">
        <v>50.02</v>
      </c>
      <c r="S509" s="33">
        <v>50</v>
      </c>
      <c r="T509" s="33">
        <v>-0.02</v>
      </c>
      <c r="U509" s="38">
        <v>0.02</v>
      </c>
      <c r="V509" s="33">
        <v>722.04</v>
      </c>
    </row>
    <row r="510" spans="1:22" ht="16.8" x14ac:dyDescent="0.3">
      <c r="A510" s="20">
        <v>50.9</v>
      </c>
      <c r="B510" s="20">
        <v>50</v>
      </c>
      <c r="C510" s="20">
        <v>50.19</v>
      </c>
      <c r="D510" s="20">
        <v>-0.19</v>
      </c>
      <c r="E510" s="20">
        <v>0.02</v>
      </c>
      <c r="F510" s="20">
        <v>1102.02</v>
      </c>
      <c r="Q510" s="33">
        <v>50.9</v>
      </c>
      <c r="R510" s="33">
        <v>50.12</v>
      </c>
      <c r="S510" s="38">
        <v>50</v>
      </c>
      <c r="T510" s="38">
        <v>-0.12</v>
      </c>
      <c r="U510" s="38">
        <v>-0.1</v>
      </c>
      <c r="V510" s="33">
        <v>704.58</v>
      </c>
    </row>
    <row r="511" spans="1:22" ht="16.8" x14ac:dyDescent="0.3">
      <c r="A511" s="20">
        <v>51</v>
      </c>
      <c r="B511" s="20">
        <v>50</v>
      </c>
      <c r="C511" s="20">
        <v>50.21</v>
      </c>
      <c r="D511" s="20">
        <v>-0.21</v>
      </c>
      <c r="E511" s="20">
        <v>-0.02</v>
      </c>
      <c r="F511" s="20">
        <v>1049.71</v>
      </c>
      <c r="Q511" s="33">
        <v>51</v>
      </c>
      <c r="R511" s="33">
        <v>49.99</v>
      </c>
      <c r="S511" s="33">
        <v>50</v>
      </c>
      <c r="T511" s="33">
        <v>0.01</v>
      </c>
      <c r="U511" s="38">
        <v>0.13</v>
      </c>
      <c r="V511" s="33">
        <v>728.83</v>
      </c>
    </row>
    <row r="512" spans="1:22" ht="16.8" x14ac:dyDescent="0.3">
      <c r="A512" s="20">
        <v>51.1</v>
      </c>
      <c r="B512" s="20">
        <v>50</v>
      </c>
      <c r="C512" s="20">
        <v>50.18</v>
      </c>
      <c r="D512" s="20">
        <v>-0.18</v>
      </c>
      <c r="E512" s="20">
        <v>0.03</v>
      </c>
      <c r="F512" s="20">
        <v>1119.99</v>
      </c>
      <c r="Q512" s="33">
        <v>51.1</v>
      </c>
      <c r="R512" s="33">
        <v>50.1</v>
      </c>
      <c r="S512" s="38">
        <v>50</v>
      </c>
      <c r="T512" s="38">
        <v>-0.1</v>
      </c>
      <c r="U512" s="38">
        <v>-0.11</v>
      </c>
      <c r="V512" s="33">
        <v>706.53</v>
      </c>
    </row>
    <row r="513" spans="1:22" ht="16.8" x14ac:dyDescent="0.3">
      <c r="A513" s="20">
        <v>51.2</v>
      </c>
      <c r="B513" s="20">
        <v>50</v>
      </c>
      <c r="C513" s="20">
        <v>50.16</v>
      </c>
      <c r="D513" s="20">
        <v>-0.16</v>
      </c>
      <c r="E513" s="20">
        <v>0.01</v>
      </c>
      <c r="F513" s="20">
        <v>1085.05</v>
      </c>
      <c r="Q513" s="33">
        <v>51.2</v>
      </c>
      <c r="R513" s="33">
        <v>50.08</v>
      </c>
      <c r="S513" s="33">
        <v>50</v>
      </c>
      <c r="T513" s="33">
        <v>-0.08</v>
      </c>
      <c r="U513" s="38">
        <v>0.02</v>
      </c>
      <c r="V513" s="33">
        <v>712.8</v>
      </c>
    </row>
    <row r="514" spans="1:22" ht="16.8" x14ac:dyDescent="0.3">
      <c r="A514" s="20">
        <v>51.3</v>
      </c>
      <c r="B514" s="20">
        <v>50</v>
      </c>
      <c r="C514" s="20">
        <v>50.21</v>
      </c>
      <c r="D514" s="20">
        <v>-0.21</v>
      </c>
      <c r="E514" s="20">
        <v>-0.05</v>
      </c>
      <c r="F514" s="20">
        <v>1048.71</v>
      </c>
      <c r="Q514" s="33">
        <v>51.3</v>
      </c>
      <c r="R514" s="33">
        <v>50.01</v>
      </c>
      <c r="S514" s="33">
        <v>50</v>
      </c>
      <c r="T514" s="38">
        <v>-0.01</v>
      </c>
      <c r="U514" s="33">
        <v>7.0000000000000007E-2</v>
      </c>
      <c r="V514" s="33">
        <v>724.84</v>
      </c>
    </row>
    <row r="515" spans="1:22" ht="16.8" x14ac:dyDescent="0.3">
      <c r="A515" s="20">
        <v>51.4</v>
      </c>
      <c r="B515" s="20">
        <v>50</v>
      </c>
      <c r="C515" s="20">
        <v>50.19</v>
      </c>
      <c r="D515" s="20">
        <v>-0.19</v>
      </c>
      <c r="E515" s="20">
        <v>0.02</v>
      </c>
      <c r="F515" s="20">
        <v>1094.43</v>
      </c>
      <c r="Q515" s="33">
        <v>51.4</v>
      </c>
      <c r="R515" s="33">
        <v>50.04</v>
      </c>
      <c r="S515" s="38">
        <v>50</v>
      </c>
      <c r="T515" s="33">
        <v>-0.04</v>
      </c>
      <c r="U515" s="38">
        <v>-0.03</v>
      </c>
      <c r="V515" s="33">
        <v>717.73</v>
      </c>
    </row>
    <row r="516" spans="1:22" ht="16.8" x14ac:dyDescent="0.3">
      <c r="A516" s="20">
        <v>51.5</v>
      </c>
      <c r="B516" s="20">
        <v>50</v>
      </c>
      <c r="C516" s="20">
        <v>50.17</v>
      </c>
      <c r="D516" s="20">
        <v>-0.17</v>
      </c>
      <c r="E516" s="20">
        <v>0.02</v>
      </c>
      <c r="F516" s="20">
        <v>1098.77</v>
      </c>
      <c r="Q516" s="33">
        <v>51.5</v>
      </c>
      <c r="R516" s="33">
        <v>50.06</v>
      </c>
      <c r="S516" s="33">
        <v>50</v>
      </c>
      <c r="T516" s="33">
        <v>-0.06</v>
      </c>
      <c r="U516" s="33">
        <v>-0.02</v>
      </c>
      <c r="V516" s="33">
        <v>715.47</v>
      </c>
    </row>
    <row r="517" spans="1:22" ht="16.8" x14ac:dyDescent="0.3">
      <c r="A517" s="20">
        <v>51.6</v>
      </c>
      <c r="B517" s="20">
        <v>50</v>
      </c>
      <c r="C517" s="20">
        <v>50.17</v>
      </c>
      <c r="D517" s="20">
        <v>-0.17</v>
      </c>
      <c r="E517" s="20">
        <v>0</v>
      </c>
      <c r="F517" s="20">
        <v>1058.51</v>
      </c>
      <c r="Q517" s="33">
        <v>51.6</v>
      </c>
      <c r="R517" s="33">
        <v>50.02</v>
      </c>
      <c r="S517" s="38">
        <v>50</v>
      </c>
      <c r="T517" s="38">
        <v>-0.02</v>
      </c>
      <c r="U517" s="38">
        <v>0.04</v>
      </c>
      <c r="V517" s="33">
        <v>722.73</v>
      </c>
    </row>
    <row r="518" spans="1:22" ht="16.8" x14ac:dyDescent="0.3">
      <c r="A518" s="20">
        <v>51.7</v>
      </c>
      <c r="B518" s="20">
        <v>50</v>
      </c>
      <c r="C518" s="20">
        <v>50.15</v>
      </c>
      <c r="D518" s="20">
        <v>-0.15</v>
      </c>
      <c r="E518" s="20">
        <v>0.02</v>
      </c>
      <c r="F518" s="20">
        <v>1103.1500000000001</v>
      </c>
      <c r="Q518" s="33">
        <v>51.7</v>
      </c>
      <c r="R518" s="33">
        <v>50.03</v>
      </c>
      <c r="S518" s="33">
        <v>50</v>
      </c>
      <c r="T518" s="33">
        <v>-0.03</v>
      </c>
      <c r="U518" s="33">
        <v>-0.02</v>
      </c>
      <c r="V518" s="33">
        <v>719.07</v>
      </c>
    </row>
    <row r="519" spans="1:22" ht="16.8" x14ac:dyDescent="0.3">
      <c r="A519" s="20">
        <v>51.8</v>
      </c>
      <c r="B519" s="20">
        <v>50</v>
      </c>
      <c r="C519" s="20">
        <v>50.16</v>
      </c>
      <c r="D519" s="20">
        <v>-0.16</v>
      </c>
      <c r="E519" s="20">
        <v>-0.01</v>
      </c>
      <c r="F519" s="20">
        <v>1060.45</v>
      </c>
      <c r="Q519" s="33">
        <v>51.8</v>
      </c>
      <c r="R519" s="33">
        <v>50.09</v>
      </c>
      <c r="S519" s="38">
        <v>50</v>
      </c>
      <c r="T519" s="38">
        <v>-0.09</v>
      </c>
      <c r="U519" s="38">
        <v>-0.06</v>
      </c>
      <c r="V519" s="33">
        <v>709.45</v>
      </c>
    </row>
    <row r="520" spans="1:22" ht="16.8" x14ac:dyDescent="0.3">
      <c r="A520" s="20">
        <v>51.9</v>
      </c>
      <c r="B520" s="20">
        <v>50</v>
      </c>
      <c r="C520" s="20">
        <v>50.18</v>
      </c>
      <c r="D520" s="20">
        <v>-0.18</v>
      </c>
      <c r="E520" s="20">
        <v>-0.02</v>
      </c>
      <c r="F520" s="20">
        <v>1055.5999999999999</v>
      </c>
      <c r="Q520" s="33">
        <v>51.9</v>
      </c>
      <c r="R520" s="33">
        <v>50.15</v>
      </c>
      <c r="S520" s="33">
        <v>50</v>
      </c>
      <c r="T520" s="33">
        <v>-0.15</v>
      </c>
      <c r="U520" s="38">
        <v>-0.06</v>
      </c>
      <c r="V520" s="33">
        <v>699.11</v>
      </c>
    </row>
    <row r="521" spans="1:22" ht="16.8" x14ac:dyDescent="0.3">
      <c r="A521" s="20">
        <v>52</v>
      </c>
      <c r="B521" s="20">
        <v>50</v>
      </c>
      <c r="C521" s="20">
        <v>50.19</v>
      </c>
      <c r="D521" s="20">
        <v>-0.19</v>
      </c>
      <c r="E521" s="20">
        <v>0</v>
      </c>
      <c r="F521" s="20">
        <v>1054.6300000000001</v>
      </c>
      <c r="Q521" s="33">
        <v>52</v>
      </c>
      <c r="R521" s="33">
        <v>50.23</v>
      </c>
      <c r="S521" s="38">
        <v>50</v>
      </c>
      <c r="T521" s="38">
        <v>-0.23</v>
      </c>
      <c r="U521" s="33">
        <v>-0.08</v>
      </c>
      <c r="V521" s="33">
        <v>685.98</v>
      </c>
    </row>
    <row r="522" spans="1:22" ht="16.8" x14ac:dyDescent="0.3">
      <c r="A522" s="20">
        <v>52.1</v>
      </c>
      <c r="B522" s="20">
        <v>50</v>
      </c>
      <c r="C522" s="20">
        <v>50.18</v>
      </c>
      <c r="D522" s="20">
        <v>-0.18</v>
      </c>
      <c r="E522" s="20">
        <v>0</v>
      </c>
      <c r="F522" s="20">
        <v>1064.1099999999999</v>
      </c>
      <c r="Q522" s="33">
        <v>52.1</v>
      </c>
      <c r="R522" s="33">
        <v>50.31</v>
      </c>
      <c r="S522" s="33">
        <v>50</v>
      </c>
      <c r="T522" s="33">
        <v>-0.31</v>
      </c>
      <c r="U522" s="38">
        <v>-0.08</v>
      </c>
      <c r="V522" s="33">
        <v>673</v>
      </c>
    </row>
    <row r="523" spans="1:22" ht="16.8" x14ac:dyDescent="0.3">
      <c r="A523" s="20">
        <v>52.2</v>
      </c>
      <c r="B523" s="20">
        <v>50</v>
      </c>
      <c r="C523" s="20">
        <v>50.18</v>
      </c>
      <c r="D523" s="20">
        <v>-0.18</v>
      </c>
      <c r="E523" s="20">
        <v>0</v>
      </c>
      <c r="F523" s="20">
        <v>1065</v>
      </c>
      <c r="Q523" s="33">
        <v>52.2</v>
      </c>
      <c r="R523" s="33">
        <v>50.38</v>
      </c>
      <c r="S523" s="33">
        <v>50</v>
      </c>
      <c r="T523" s="38">
        <v>-0.38</v>
      </c>
      <c r="U523" s="33">
        <v>-0.06</v>
      </c>
      <c r="V523" s="33">
        <v>662.67</v>
      </c>
    </row>
    <row r="524" spans="1:22" ht="16.8" x14ac:dyDescent="0.3">
      <c r="A524" s="20">
        <v>52.3</v>
      </c>
      <c r="B524" s="20">
        <v>50</v>
      </c>
      <c r="C524" s="20">
        <v>50.19</v>
      </c>
      <c r="D524" s="20">
        <v>-0.19</v>
      </c>
      <c r="E524" s="20">
        <v>-0.01</v>
      </c>
      <c r="F524" s="20">
        <v>1053.6600000000001</v>
      </c>
      <c r="Q524" s="33">
        <v>52.3</v>
      </c>
      <c r="R524" s="33">
        <v>50.43</v>
      </c>
      <c r="S524" s="38">
        <v>50</v>
      </c>
      <c r="T524" s="33">
        <v>-0.43</v>
      </c>
      <c r="U524" s="38">
        <v>-0.05</v>
      </c>
      <c r="V524" s="33">
        <v>654.71</v>
      </c>
    </row>
    <row r="525" spans="1:22" ht="16.8" x14ac:dyDescent="0.3">
      <c r="A525" s="20">
        <v>52.4</v>
      </c>
      <c r="B525" s="20">
        <v>50</v>
      </c>
      <c r="C525" s="20">
        <v>50.17</v>
      </c>
      <c r="D525" s="20">
        <v>-0.17</v>
      </c>
      <c r="E525" s="20">
        <v>0.02</v>
      </c>
      <c r="F525" s="20">
        <v>1098.77</v>
      </c>
      <c r="Q525" s="33">
        <v>52.4</v>
      </c>
      <c r="R525" s="33">
        <v>50.53</v>
      </c>
      <c r="S525" s="33">
        <v>50</v>
      </c>
      <c r="T525" s="33">
        <v>-0.53</v>
      </c>
      <c r="U525" s="33">
        <v>-0.1</v>
      </c>
      <c r="V525" s="33">
        <v>636.45000000000005</v>
      </c>
    </row>
    <row r="526" spans="1:22" ht="16.8" x14ac:dyDescent="0.3">
      <c r="A526" s="20">
        <v>52.5</v>
      </c>
      <c r="B526" s="20">
        <v>50</v>
      </c>
      <c r="C526" s="20">
        <v>50.19</v>
      </c>
      <c r="D526" s="20">
        <v>-0.19</v>
      </c>
      <c r="E526" s="20">
        <v>-0.02</v>
      </c>
      <c r="F526" s="20">
        <v>1054.6300000000001</v>
      </c>
      <c r="Q526" s="33">
        <v>52.5</v>
      </c>
      <c r="R526" s="33">
        <v>50.52</v>
      </c>
      <c r="S526" s="38">
        <v>50</v>
      </c>
      <c r="T526" s="38">
        <v>-0.52</v>
      </c>
      <c r="U526" s="38">
        <v>0.01</v>
      </c>
      <c r="V526" s="33">
        <v>638.84</v>
      </c>
    </row>
    <row r="527" spans="1:22" ht="16.8" x14ac:dyDescent="0.3">
      <c r="A527" s="20">
        <v>52.6</v>
      </c>
      <c r="B527" s="20">
        <v>50</v>
      </c>
      <c r="C527" s="20">
        <v>50.15</v>
      </c>
      <c r="D527" s="20">
        <v>-0.15</v>
      </c>
      <c r="E527" s="20">
        <v>0.04</v>
      </c>
      <c r="F527" s="20">
        <v>1131.8900000000001</v>
      </c>
      <c r="Q527" s="33">
        <v>52.6</v>
      </c>
      <c r="R527" s="33">
        <v>50.54</v>
      </c>
      <c r="S527" s="33">
        <v>50</v>
      </c>
      <c r="T527" s="33">
        <v>-0.54</v>
      </c>
      <c r="U527" s="38">
        <v>-0.02</v>
      </c>
      <c r="V527" s="33">
        <v>634.76</v>
      </c>
    </row>
    <row r="528" spans="1:22" ht="16.8" x14ac:dyDescent="0.3">
      <c r="A528" s="20">
        <v>52.7</v>
      </c>
      <c r="B528" s="20">
        <v>50</v>
      </c>
      <c r="C528" s="20">
        <v>50.19</v>
      </c>
      <c r="D528" s="20">
        <v>-0.19</v>
      </c>
      <c r="E528" s="20">
        <v>-0.04</v>
      </c>
      <c r="F528" s="20">
        <v>1053.6600000000001</v>
      </c>
      <c r="Q528" s="33">
        <v>52.7</v>
      </c>
      <c r="R528" s="33">
        <v>50.56</v>
      </c>
      <c r="S528" s="38">
        <v>50</v>
      </c>
      <c r="T528" s="38">
        <v>-0.56000000000000005</v>
      </c>
      <c r="U528" s="38">
        <v>-0.02</v>
      </c>
      <c r="V528" s="33">
        <v>631.12</v>
      </c>
    </row>
    <row r="529" spans="1:22" ht="16.8" x14ac:dyDescent="0.3">
      <c r="A529" s="20">
        <v>52.8</v>
      </c>
      <c r="B529" s="20">
        <v>50</v>
      </c>
      <c r="C529" s="20">
        <v>50.22</v>
      </c>
      <c r="D529" s="20">
        <v>-0.22</v>
      </c>
      <c r="E529" s="20">
        <v>-0.03</v>
      </c>
      <c r="F529" s="20">
        <v>1046.7</v>
      </c>
      <c r="Q529" s="33">
        <v>52.8</v>
      </c>
      <c r="R529" s="33">
        <v>50.56</v>
      </c>
      <c r="S529" s="33">
        <v>50</v>
      </c>
      <c r="T529" s="33">
        <v>-0.56000000000000005</v>
      </c>
      <c r="U529" s="38">
        <v>-0.01</v>
      </c>
      <c r="V529" s="33">
        <v>628.87</v>
      </c>
    </row>
    <row r="530" spans="1:22" ht="16.8" x14ac:dyDescent="0.3">
      <c r="A530" s="20">
        <v>52.9</v>
      </c>
      <c r="B530" s="20">
        <v>50</v>
      </c>
      <c r="C530" s="20">
        <v>50.19</v>
      </c>
      <c r="D530" s="20">
        <v>-0.19</v>
      </c>
      <c r="E530" s="20">
        <v>0.03</v>
      </c>
      <c r="F530" s="20">
        <v>1109.46</v>
      </c>
      <c r="Q530" s="33">
        <v>52.9</v>
      </c>
      <c r="R530" s="33">
        <v>50.64</v>
      </c>
      <c r="S530" s="38">
        <v>50</v>
      </c>
      <c r="T530" s="38">
        <v>-0.64</v>
      </c>
      <c r="U530" s="33">
        <v>-7.0000000000000007E-2</v>
      </c>
      <c r="V530" s="33">
        <v>615.16</v>
      </c>
    </row>
    <row r="531" spans="1:22" ht="16.8" x14ac:dyDescent="0.3">
      <c r="A531" s="20">
        <v>53</v>
      </c>
      <c r="B531" s="20">
        <v>50</v>
      </c>
      <c r="C531" s="20">
        <v>50.14</v>
      </c>
      <c r="D531" s="20">
        <v>-0.14000000000000001</v>
      </c>
      <c r="E531" s="20">
        <v>0.05</v>
      </c>
      <c r="F531" s="20">
        <v>1153.3900000000001</v>
      </c>
      <c r="Q531" s="33">
        <v>53</v>
      </c>
      <c r="R531" s="33">
        <v>50.6</v>
      </c>
      <c r="S531" s="33">
        <v>50</v>
      </c>
      <c r="T531" s="33">
        <v>-0.6</v>
      </c>
      <c r="U531" s="38">
        <v>0.04</v>
      </c>
      <c r="V531" s="33">
        <v>622.32000000000005</v>
      </c>
    </row>
    <row r="532" spans="1:22" ht="16.8" x14ac:dyDescent="0.3">
      <c r="A532" s="20">
        <v>53.1</v>
      </c>
      <c r="B532" s="20">
        <v>50</v>
      </c>
      <c r="C532" s="20">
        <v>50.18</v>
      </c>
      <c r="D532" s="20">
        <v>-0.18</v>
      </c>
      <c r="E532" s="20">
        <v>-0.04</v>
      </c>
      <c r="F532" s="20">
        <v>1055.5999999999999</v>
      </c>
      <c r="Q532" s="33">
        <v>53.1</v>
      </c>
      <c r="R532" s="33">
        <v>50.53</v>
      </c>
      <c r="S532" s="38">
        <v>50</v>
      </c>
      <c r="T532" s="38">
        <v>-0.53</v>
      </c>
      <c r="U532" s="33">
        <v>0.06</v>
      </c>
      <c r="V532" s="33">
        <v>631.54999999999995</v>
      </c>
    </row>
    <row r="533" spans="1:22" ht="16.8" x14ac:dyDescent="0.3">
      <c r="A533" s="20">
        <v>53.2</v>
      </c>
      <c r="B533" s="20">
        <v>50</v>
      </c>
      <c r="C533" s="20">
        <v>50.17</v>
      </c>
      <c r="D533" s="20">
        <v>-0.17</v>
      </c>
      <c r="E533" s="20">
        <v>0.02</v>
      </c>
      <c r="F533" s="20">
        <v>1091.97</v>
      </c>
      <c r="Q533" s="33">
        <v>53.2</v>
      </c>
      <c r="R533" s="33">
        <v>50.54</v>
      </c>
      <c r="S533" s="33">
        <v>50</v>
      </c>
      <c r="T533" s="33">
        <v>-0.54</v>
      </c>
      <c r="U533" s="38">
        <v>-0.01</v>
      </c>
      <c r="V533" s="33">
        <v>627.73</v>
      </c>
    </row>
    <row r="534" spans="1:22" ht="16.8" x14ac:dyDescent="0.3">
      <c r="A534" s="20">
        <v>53.3</v>
      </c>
      <c r="B534" s="20">
        <v>50</v>
      </c>
      <c r="C534" s="20">
        <v>50.2</v>
      </c>
      <c r="D534" s="20">
        <v>-0.2</v>
      </c>
      <c r="E534" s="20">
        <v>-0.03</v>
      </c>
      <c r="F534" s="20">
        <v>1052.68</v>
      </c>
      <c r="Q534" s="33">
        <v>53.3</v>
      </c>
      <c r="R534" s="33">
        <v>50.54</v>
      </c>
      <c r="S534" s="38">
        <v>50</v>
      </c>
      <c r="T534" s="38">
        <v>-0.54</v>
      </c>
      <c r="U534" s="33">
        <v>0</v>
      </c>
      <c r="V534" s="33">
        <v>626.76</v>
      </c>
    </row>
    <row r="535" spans="1:22" ht="16.8" x14ac:dyDescent="0.3">
      <c r="A535" s="20">
        <v>53.4</v>
      </c>
      <c r="B535" s="20">
        <v>50</v>
      </c>
      <c r="C535" s="20">
        <v>50.19</v>
      </c>
      <c r="D535" s="20">
        <v>-0.19</v>
      </c>
      <c r="E535" s="20">
        <v>0.01</v>
      </c>
      <c r="F535" s="20">
        <v>1071.45</v>
      </c>
      <c r="Q535" s="33">
        <v>53.4</v>
      </c>
      <c r="R535" s="33">
        <v>50.49</v>
      </c>
      <c r="S535" s="33">
        <v>50</v>
      </c>
      <c r="T535" s="33">
        <v>-0.49</v>
      </c>
      <c r="U535" s="38">
        <v>0.05</v>
      </c>
      <c r="V535" s="33">
        <v>634.09</v>
      </c>
    </row>
    <row r="536" spans="1:22" ht="16.8" x14ac:dyDescent="0.3">
      <c r="A536" s="20">
        <v>53.5</v>
      </c>
      <c r="B536" s="20">
        <v>50</v>
      </c>
      <c r="C536" s="20">
        <v>50.18</v>
      </c>
      <c r="D536" s="20">
        <v>-0.18</v>
      </c>
      <c r="E536" s="20">
        <v>0.01</v>
      </c>
      <c r="F536" s="20">
        <v>1082.33</v>
      </c>
      <c r="Q536" s="33">
        <v>53.5</v>
      </c>
      <c r="R536" s="33">
        <v>50.53</v>
      </c>
      <c r="S536" s="33">
        <v>50</v>
      </c>
      <c r="T536" s="38">
        <v>-0.53</v>
      </c>
      <c r="U536" s="33">
        <v>-0.04</v>
      </c>
      <c r="V536" s="33">
        <v>625.04</v>
      </c>
    </row>
    <row r="537" spans="1:22" ht="16.8" x14ac:dyDescent="0.3">
      <c r="A537" s="20">
        <v>53.6</v>
      </c>
      <c r="B537" s="20">
        <v>50</v>
      </c>
      <c r="C537" s="20">
        <v>50.23</v>
      </c>
      <c r="D537" s="20">
        <v>-0.23</v>
      </c>
      <c r="E537" s="20">
        <v>-0.06</v>
      </c>
      <c r="F537" s="20">
        <v>1043.69</v>
      </c>
      <c r="Q537" s="33">
        <v>53.6</v>
      </c>
      <c r="R537" s="33">
        <v>50.52</v>
      </c>
      <c r="S537" s="38">
        <v>50</v>
      </c>
      <c r="T537" s="33">
        <v>-0.52</v>
      </c>
      <c r="U537" s="38">
        <v>0.02</v>
      </c>
      <c r="V537" s="33">
        <v>627.54999999999995</v>
      </c>
    </row>
    <row r="538" spans="1:22" ht="16.8" x14ac:dyDescent="0.3">
      <c r="A538" s="20">
        <v>53.7</v>
      </c>
      <c r="B538" s="20">
        <v>50</v>
      </c>
      <c r="C538" s="20">
        <v>50.17</v>
      </c>
      <c r="D538" s="20">
        <v>-0.17</v>
      </c>
      <c r="E538" s="20">
        <v>0.06</v>
      </c>
      <c r="F538" s="20">
        <v>1166.8900000000001</v>
      </c>
      <c r="Q538" s="33">
        <v>53.7</v>
      </c>
      <c r="R538" s="33">
        <v>50.49</v>
      </c>
      <c r="S538" s="33">
        <v>50</v>
      </c>
      <c r="T538" s="38">
        <v>-0.49</v>
      </c>
      <c r="U538" s="38">
        <v>0.02</v>
      </c>
      <c r="V538" s="33">
        <v>630.38</v>
      </c>
    </row>
    <row r="539" spans="1:22" ht="16.8" x14ac:dyDescent="0.3">
      <c r="A539" s="20">
        <v>53.8</v>
      </c>
      <c r="B539" s="20">
        <v>50</v>
      </c>
      <c r="C539" s="20">
        <v>50.19</v>
      </c>
      <c r="D539" s="20">
        <v>-0.19</v>
      </c>
      <c r="E539" s="20">
        <v>-0.02</v>
      </c>
      <c r="F539" s="20">
        <v>1054.6300000000001</v>
      </c>
      <c r="Q539" s="33">
        <v>53.8</v>
      </c>
      <c r="R539" s="33">
        <v>50.49</v>
      </c>
      <c r="S539" s="38">
        <v>50</v>
      </c>
      <c r="T539" s="33">
        <v>-0.49</v>
      </c>
      <c r="U539" s="38">
        <v>0</v>
      </c>
      <c r="V539" s="33">
        <v>628.87</v>
      </c>
    </row>
    <row r="540" spans="1:22" ht="16.8" x14ac:dyDescent="0.3">
      <c r="A540" s="20">
        <v>53.9</v>
      </c>
      <c r="B540" s="20">
        <v>50</v>
      </c>
      <c r="C540" s="20">
        <v>50.22</v>
      </c>
      <c r="D540" s="20">
        <v>-0.22</v>
      </c>
      <c r="E540" s="20">
        <v>-0.04</v>
      </c>
      <c r="F540" s="20">
        <v>1045.7</v>
      </c>
      <c r="Q540" s="33">
        <v>53.9</v>
      </c>
      <c r="R540" s="33">
        <v>50.49</v>
      </c>
      <c r="S540" s="33">
        <v>50</v>
      </c>
      <c r="T540" s="38">
        <v>-0.49</v>
      </c>
      <c r="U540" s="38">
        <v>0</v>
      </c>
      <c r="V540" s="33">
        <v>627.83000000000004</v>
      </c>
    </row>
    <row r="541" spans="1:22" ht="16.8" x14ac:dyDescent="0.3">
      <c r="A541" s="20">
        <v>54</v>
      </c>
      <c r="B541" s="20">
        <v>50</v>
      </c>
      <c r="C541" s="20">
        <v>50.22</v>
      </c>
      <c r="D541" s="20">
        <v>-0.22</v>
      </c>
      <c r="E541" s="20">
        <v>0.01</v>
      </c>
      <c r="F541" s="20">
        <v>1064.8699999999999</v>
      </c>
      <c r="Q541" s="33">
        <v>54</v>
      </c>
      <c r="R541" s="33">
        <v>50.5</v>
      </c>
      <c r="S541" s="38">
        <v>50</v>
      </c>
      <c r="T541" s="33">
        <v>-0.5</v>
      </c>
      <c r="U541" s="33">
        <v>-0.01</v>
      </c>
      <c r="V541" s="33">
        <v>625.39</v>
      </c>
    </row>
    <row r="542" spans="1:22" ht="16.8" x14ac:dyDescent="0.3">
      <c r="A542" s="20">
        <v>54.1</v>
      </c>
      <c r="B542" s="20">
        <v>50</v>
      </c>
      <c r="C542" s="20">
        <v>50.21</v>
      </c>
      <c r="D542" s="20">
        <v>-0.21</v>
      </c>
      <c r="E542" s="20">
        <v>0</v>
      </c>
      <c r="F542" s="20">
        <v>1057.3699999999999</v>
      </c>
      <c r="Q542" s="33">
        <v>54.1</v>
      </c>
      <c r="R542" s="33">
        <v>50.5</v>
      </c>
      <c r="S542" s="33">
        <v>50</v>
      </c>
      <c r="T542" s="38">
        <v>-0.5</v>
      </c>
      <c r="U542" s="38">
        <v>0</v>
      </c>
      <c r="V542" s="33">
        <v>624.51</v>
      </c>
    </row>
    <row r="543" spans="1:22" ht="16.8" x14ac:dyDescent="0.3">
      <c r="A543" s="20">
        <v>54.2</v>
      </c>
      <c r="B543" s="20">
        <v>50</v>
      </c>
      <c r="C543" s="20">
        <v>50.22</v>
      </c>
      <c r="D543" s="20">
        <v>-0.22</v>
      </c>
      <c r="E543" s="20">
        <v>-0.01</v>
      </c>
      <c r="F543" s="20">
        <v>1046.7</v>
      </c>
      <c r="Q543" s="33">
        <v>54.2</v>
      </c>
      <c r="R543" s="33">
        <v>50.47</v>
      </c>
      <c r="S543" s="38">
        <v>50</v>
      </c>
      <c r="T543" s="33">
        <v>-0.47</v>
      </c>
      <c r="U543" s="33">
        <v>0.02</v>
      </c>
      <c r="V543" s="33">
        <v>627.69000000000005</v>
      </c>
    </row>
    <row r="544" spans="1:22" ht="16.8" x14ac:dyDescent="0.3">
      <c r="A544" s="20">
        <v>54.3</v>
      </c>
      <c r="B544" s="20">
        <v>50</v>
      </c>
      <c r="C544" s="20">
        <v>50.2</v>
      </c>
      <c r="D544" s="20">
        <v>-0.2</v>
      </c>
      <c r="E544" s="20">
        <v>0.02</v>
      </c>
      <c r="F544" s="20">
        <v>1092.69</v>
      </c>
      <c r="Q544" s="33">
        <v>54.3</v>
      </c>
      <c r="R544" s="33">
        <v>50.46</v>
      </c>
      <c r="S544" s="33">
        <v>50</v>
      </c>
      <c r="T544" s="38">
        <v>-0.46</v>
      </c>
      <c r="U544" s="38">
        <v>0.02</v>
      </c>
      <c r="V544" s="33">
        <v>629.03</v>
      </c>
    </row>
    <row r="545" spans="1:22" ht="16.8" x14ac:dyDescent="0.3">
      <c r="A545" s="20">
        <v>54.4</v>
      </c>
      <c r="B545" s="20">
        <v>50</v>
      </c>
      <c r="C545" s="20">
        <v>50.22</v>
      </c>
      <c r="D545" s="20">
        <v>-0.22</v>
      </c>
      <c r="E545" s="20">
        <v>-0.02</v>
      </c>
      <c r="F545" s="20">
        <v>1045.7</v>
      </c>
      <c r="Q545" s="33">
        <v>54.4</v>
      </c>
      <c r="R545" s="33">
        <v>50.45</v>
      </c>
      <c r="S545" s="33">
        <v>50</v>
      </c>
      <c r="T545" s="33">
        <v>-0.45</v>
      </c>
      <c r="U545" s="33">
        <v>0.01</v>
      </c>
      <c r="V545" s="33">
        <v>629.16</v>
      </c>
    </row>
    <row r="546" spans="1:22" ht="16.8" x14ac:dyDescent="0.3">
      <c r="A546" s="20">
        <v>54.5</v>
      </c>
      <c r="B546" s="20">
        <v>50</v>
      </c>
      <c r="C546" s="20">
        <v>50.22</v>
      </c>
      <c r="D546" s="20">
        <v>-0.22</v>
      </c>
      <c r="E546" s="20">
        <v>0</v>
      </c>
      <c r="F546" s="20">
        <v>1045.7</v>
      </c>
      <c r="Q546" s="33">
        <v>54.5</v>
      </c>
      <c r="R546" s="33">
        <v>50.44</v>
      </c>
      <c r="S546" s="38">
        <v>50</v>
      </c>
      <c r="T546" s="38">
        <v>-0.44</v>
      </c>
      <c r="U546" s="38">
        <v>0.01</v>
      </c>
      <c r="V546" s="33">
        <v>629.46</v>
      </c>
    </row>
    <row r="547" spans="1:22" ht="16.8" x14ac:dyDescent="0.3">
      <c r="A547" s="20">
        <v>54.6</v>
      </c>
      <c r="B547" s="20">
        <v>50</v>
      </c>
      <c r="C547" s="20">
        <v>50.26</v>
      </c>
      <c r="D547" s="20">
        <v>-0.26</v>
      </c>
      <c r="E547" s="20">
        <v>-0.04</v>
      </c>
      <c r="F547" s="20">
        <v>1036.4100000000001</v>
      </c>
      <c r="Q547" s="33">
        <v>54.6</v>
      </c>
      <c r="R547" s="33">
        <v>50.46</v>
      </c>
      <c r="S547" s="33">
        <v>50</v>
      </c>
      <c r="T547" s="33">
        <v>-0.46</v>
      </c>
      <c r="U547" s="33">
        <v>-0.02</v>
      </c>
      <c r="V547" s="33">
        <v>625.54999999999995</v>
      </c>
    </row>
    <row r="548" spans="1:22" ht="16.8" x14ac:dyDescent="0.3">
      <c r="A548" s="20">
        <v>54.7</v>
      </c>
      <c r="B548" s="20">
        <v>50</v>
      </c>
      <c r="C548" s="20">
        <v>50.21</v>
      </c>
      <c r="D548" s="20">
        <v>-0.21</v>
      </c>
      <c r="E548" s="20">
        <v>0.05</v>
      </c>
      <c r="F548" s="20">
        <v>1147.8800000000001</v>
      </c>
      <c r="Q548" s="33">
        <v>54.7</v>
      </c>
      <c r="R548" s="33">
        <v>50.41</v>
      </c>
      <c r="S548" s="38">
        <v>50</v>
      </c>
      <c r="T548" s="38">
        <v>-0.41</v>
      </c>
      <c r="U548" s="38">
        <v>0.05</v>
      </c>
      <c r="V548" s="33">
        <v>633.37</v>
      </c>
    </row>
    <row r="549" spans="1:22" ht="16.8" x14ac:dyDescent="0.3">
      <c r="A549" s="20">
        <v>54.8</v>
      </c>
      <c r="B549" s="20">
        <v>50</v>
      </c>
      <c r="C549" s="20">
        <v>50.19</v>
      </c>
      <c r="D549" s="20">
        <v>-0.19</v>
      </c>
      <c r="E549" s="20">
        <v>0.02</v>
      </c>
      <c r="F549" s="20">
        <v>1086.6300000000001</v>
      </c>
      <c r="Q549" s="33">
        <v>54.8</v>
      </c>
      <c r="R549" s="33">
        <v>50.42</v>
      </c>
      <c r="S549" s="33">
        <v>50</v>
      </c>
      <c r="T549" s="33">
        <v>-0.42</v>
      </c>
      <c r="U549" s="38">
        <v>-0.01</v>
      </c>
      <c r="V549" s="33">
        <v>630.13</v>
      </c>
    </row>
    <row r="550" spans="1:22" ht="16.8" x14ac:dyDescent="0.3">
      <c r="A550" s="20">
        <v>54.9</v>
      </c>
      <c r="B550" s="20">
        <v>50</v>
      </c>
      <c r="C550" s="20">
        <v>50.24</v>
      </c>
      <c r="D550" s="20">
        <v>-0.24</v>
      </c>
      <c r="E550" s="20">
        <v>-0.05</v>
      </c>
      <c r="F550" s="20">
        <v>1041.6500000000001</v>
      </c>
      <c r="Q550" s="33">
        <v>54.9</v>
      </c>
      <c r="R550" s="33">
        <v>50.37</v>
      </c>
      <c r="S550" s="38">
        <v>50</v>
      </c>
      <c r="T550" s="33">
        <v>-0.37</v>
      </c>
      <c r="U550" s="33">
        <v>0.05</v>
      </c>
      <c r="V550" s="33">
        <v>637.87</v>
      </c>
    </row>
    <row r="551" spans="1:22" ht="16.8" x14ac:dyDescent="0.3">
      <c r="A551" s="20">
        <v>55</v>
      </c>
      <c r="B551" s="20">
        <v>50</v>
      </c>
      <c r="C551" s="20">
        <v>50.22</v>
      </c>
      <c r="D551" s="20">
        <v>-0.22</v>
      </c>
      <c r="E551" s="20">
        <v>0.02</v>
      </c>
      <c r="F551" s="20">
        <v>1079.48</v>
      </c>
      <c r="Q551" s="33">
        <v>55</v>
      </c>
      <c r="R551" s="33">
        <v>50.39</v>
      </c>
      <c r="S551" s="33">
        <v>50</v>
      </c>
      <c r="T551" s="38">
        <v>-0.39</v>
      </c>
      <c r="U551" s="38">
        <v>-0.02</v>
      </c>
      <c r="V551" s="33">
        <v>633.30999999999995</v>
      </c>
    </row>
    <row r="552" spans="1:22" ht="16.8" x14ac:dyDescent="0.3">
      <c r="A552" s="20">
        <v>55.1</v>
      </c>
      <c r="B552" s="20">
        <v>50</v>
      </c>
      <c r="C552" s="20">
        <v>50.22</v>
      </c>
      <c r="D552" s="20">
        <v>-0.22</v>
      </c>
      <c r="E552" s="20">
        <v>0.01</v>
      </c>
      <c r="F552" s="20">
        <v>1064.8699999999999</v>
      </c>
      <c r="Q552" s="33">
        <v>55.1</v>
      </c>
      <c r="R552" s="33">
        <v>50.38</v>
      </c>
      <c r="S552" s="38">
        <v>50</v>
      </c>
      <c r="T552" s="33">
        <v>-0.38</v>
      </c>
      <c r="U552" s="38">
        <v>0.01</v>
      </c>
      <c r="V552" s="33">
        <v>634.23</v>
      </c>
    </row>
    <row r="553" spans="1:22" ht="16.8" x14ac:dyDescent="0.3">
      <c r="A553" s="20">
        <v>55.2</v>
      </c>
      <c r="B553" s="20">
        <v>50</v>
      </c>
      <c r="C553" s="20">
        <v>50.21</v>
      </c>
      <c r="D553" s="20">
        <v>-0.21</v>
      </c>
      <c r="E553" s="20">
        <v>0.01</v>
      </c>
      <c r="F553" s="20">
        <v>1066.78</v>
      </c>
      <c r="Q553" s="33">
        <v>55.2</v>
      </c>
      <c r="R553" s="33">
        <v>50.39</v>
      </c>
      <c r="S553" s="33">
        <v>50</v>
      </c>
      <c r="T553" s="38">
        <v>-0.39</v>
      </c>
      <c r="U553" s="38">
        <v>-0.02</v>
      </c>
      <c r="V553" s="33">
        <v>630.46</v>
      </c>
    </row>
    <row r="554" spans="1:22" ht="16.8" x14ac:dyDescent="0.3">
      <c r="A554" s="20">
        <v>55.3</v>
      </c>
      <c r="B554" s="20">
        <v>50</v>
      </c>
      <c r="C554" s="20">
        <v>50.18</v>
      </c>
      <c r="D554" s="20">
        <v>-0.18</v>
      </c>
      <c r="E554" s="20">
        <v>0.03</v>
      </c>
      <c r="F554" s="20">
        <v>1119.99</v>
      </c>
      <c r="Q554" s="33">
        <v>55.3</v>
      </c>
      <c r="R554" s="33">
        <v>50.31</v>
      </c>
      <c r="S554" s="38">
        <v>50</v>
      </c>
      <c r="T554" s="33">
        <v>-0.31</v>
      </c>
      <c r="U554" s="38">
        <v>0.09</v>
      </c>
      <c r="V554" s="33">
        <v>645.46</v>
      </c>
    </row>
    <row r="555" spans="1:22" ht="16.8" x14ac:dyDescent="0.3">
      <c r="A555" s="20">
        <v>55.4</v>
      </c>
      <c r="B555" s="20">
        <v>50</v>
      </c>
      <c r="C555" s="20">
        <v>50.23</v>
      </c>
      <c r="D555" s="20">
        <v>-0.23</v>
      </c>
      <c r="E555" s="20">
        <v>-0.05</v>
      </c>
      <c r="F555" s="20">
        <v>1044.7</v>
      </c>
      <c r="Q555" s="33">
        <v>55.4</v>
      </c>
      <c r="R555" s="33">
        <v>50.33</v>
      </c>
      <c r="S555" s="33">
        <v>50</v>
      </c>
      <c r="T555" s="38">
        <v>-0.33</v>
      </c>
      <c r="U555" s="38">
        <v>-0.02</v>
      </c>
      <c r="V555" s="33">
        <v>638.82000000000005</v>
      </c>
    </row>
    <row r="556" spans="1:22" ht="16.8" x14ac:dyDescent="0.3">
      <c r="A556" s="20">
        <v>55.5</v>
      </c>
      <c r="B556" s="20">
        <v>50</v>
      </c>
      <c r="C556" s="20">
        <v>50.16</v>
      </c>
      <c r="D556" s="20">
        <v>-0.16</v>
      </c>
      <c r="E556" s="20">
        <v>0.06</v>
      </c>
      <c r="F556" s="20">
        <v>1174.3699999999999</v>
      </c>
      <c r="Q556" s="33">
        <v>55.5</v>
      </c>
      <c r="R556" s="33">
        <v>50.29</v>
      </c>
      <c r="S556" s="38">
        <v>50</v>
      </c>
      <c r="T556" s="33">
        <v>-0.28999999999999998</v>
      </c>
      <c r="U556" s="38">
        <v>0.04</v>
      </c>
      <c r="V556" s="33">
        <v>645.66</v>
      </c>
    </row>
    <row r="557" spans="1:22" ht="16.8" x14ac:dyDescent="0.3">
      <c r="A557" s="20">
        <v>55.6</v>
      </c>
      <c r="B557" s="20">
        <v>50</v>
      </c>
      <c r="C557" s="20">
        <v>50.2</v>
      </c>
      <c r="D557" s="20">
        <v>-0.2</v>
      </c>
      <c r="E557" s="20">
        <v>-0.04</v>
      </c>
      <c r="F557" s="20">
        <v>1051.7</v>
      </c>
      <c r="Q557" s="33">
        <v>55.6</v>
      </c>
      <c r="R557" s="33">
        <v>50.31</v>
      </c>
      <c r="S557" s="33">
        <v>50</v>
      </c>
      <c r="T557" s="38">
        <v>-0.31</v>
      </c>
      <c r="U557" s="38">
        <v>-0.02</v>
      </c>
      <c r="V557" s="33">
        <v>641.42999999999995</v>
      </c>
    </row>
    <row r="558" spans="1:22" ht="16.8" x14ac:dyDescent="0.3">
      <c r="A558" s="20">
        <v>55.7</v>
      </c>
      <c r="B558" s="20">
        <v>50</v>
      </c>
      <c r="C558" s="20">
        <v>50.22</v>
      </c>
      <c r="D558" s="20">
        <v>-0.22</v>
      </c>
      <c r="E558" s="20">
        <v>-0.02</v>
      </c>
      <c r="F558" s="20">
        <v>1046.7</v>
      </c>
      <c r="Q558" s="33">
        <v>55.7</v>
      </c>
      <c r="R558" s="33">
        <v>50.3</v>
      </c>
      <c r="S558" s="38">
        <v>50</v>
      </c>
      <c r="T558" s="33">
        <v>-0.3</v>
      </c>
      <c r="U558" s="33">
        <v>0.01</v>
      </c>
      <c r="V558" s="33">
        <v>642.52</v>
      </c>
    </row>
    <row r="559" spans="1:22" ht="16.8" x14ac:dyDescent="0.3">
      <c r="A559" s="20">
        <v>55.8</v>
      </c>
      <c r="B559" s="20">
        <v>50</v>
      </c>
      <c r="C559" s="20">
        <v>50.21</v>
      </c>
      <c r="D559" s="20">
        <v>-0.21</v>
      </c>
      <c r="E559" s="20">
        <v>0.01</v>
      </c>
      <c r="F559" s="20">
        <v>1065.83</v>
      </c>
      <c r="Q559" s="33">
        <v>55.8</v>
      </c>
      <c r="R559" s="33">
        <v>50.29</v>
      </c>
      <c r="S559" s="33">
        <v>50</v>
      </c>
      <c r="T559" s="38">
        <v>-0.28999999999999998</v>
      </c>
      <c r="U559" s="38">
        <v>0.01</v>
      </c>
      <c r="V559" s="33">
        <v>643.14</v>
      </c>
    </row>
    <row r="560" spans="1:22" ht="16.8" x14ac:dyDescent="0.3">
      <c r="A560" s="20">
        <v>55.9</v>
      </c>
      <c r="B560" s="20">
        <v>50</v>
      </c>
      <c r="C560" s="20">
        <v>50.2</v>
      </c>
      <c r="D560" s="20">
        <v>-0.2</v>
      </c>
      <c r="E560" s="20">
        <v>0.01</v>
      </c>
      <c r="F560" s="20">
        <v>1076.8699999999999</v>
      </c>
      <c r="Q560" s="33">
        <v>55.9</v>
      </c>
      <c r="R560" s="33">
        <v>50.27</v>
      </c>
      <c r="S560" s="33">
        <v>50</v>
      </c>
      <c r="T560" s="33">
        <v>-0.27</v>
      </c>
      <c r="U560" s="33">
        <v>0.02</v>
      </c>
      <c r="V560" s="33">
        <v>646.6</v>
      </c>
    </row>
    <row r="561" spans="1:22" ht="16.8" x14ac:dyDescent="0.3">
      <c r="A561" s="20">
        <v>56</v>
      </c>
      <c r="B561" s="20">
        <v>50</v>
      </c>
      <c r="C561" s="20">
        <v>50.19</v>
      </c>
      <c r="D561" s="20">
        <v>-0.19</v>
      </c>
      <c r="E561" s="20">
        <v>0.01</v>
      </c>
      <c r="F561" s="20">
        <v>1079.5899999999999</v>
      </c>
      <c r="Q561" s="33">
        <v>56</v>
      </c>
      <c r="R561" s="33">
        <v>50.27</v>
      </c>
      <c r="S561" s="38">
        <v>50</v>
      </c>
      <c r="T561" s="33">
        <v>-0.27</v>
      </c>
      <c r="U561" s="38">
        <v>0</v>
      </c>
      <c r="V561" s="33">
        <v>645.55999999999995</v>
      </c>
    </row>
    <row r="562" spans="1:22" ht="16.8" x14ac:dyDescent="0.3">
      <c r="A562" s="20">
        <v>56.1</v>
      </c>
      <c r="B562" s="20">
        <v>50</v>
      </c>
      <c r="C562" s="20">
        <v>50.22</v>
      </c>
      <c r="D562" s="20">
        <v>-0.22</v>
      </c>
      <c r="E562" s="20">
        <v>-0.04</v>
      </c>
      <c r="F562" s="20">
        <v>1045.7</v>
      </c>
      <c r="Q562" s="33">
        <v>56.1</v>
      </c>
      <c r="R562" s="33">
        <v>50.22</v>
      </c>
      <c r="S562" s="33">
        <v>50</v>
      </c>
      <c r="T562" s="38">
        <v>-0.22</v>
      </c>
      <c r="U562" s="33">
        <v>0.05</v>
      </c>
      <c r="V562" s="33">
        <v>653.47</v>
      </c>
    </row>
    <row r="563" spans="1:22" ht="16.8" x14ac:dyDescent="0.3">
      <c r="A563" s="20">
        <v>56.2</v>
      </c>
      <c r="B563" s="20">
        <v>50</v>
      </c>
      <c r="C563" s="20">
        <v>50.19</v>
      </c>
      <c r="D563" s="20">
        <v>-0.19</v>
      </c>
      <c r="E563" s="20">
        <v>0.04</v>
      </c>
      <c r="F563" s="20">
        <v>1124.6199999999999</v>
      </c>
      <c r="Q563" s="33">
        <v>56.2</v>
      </c>
      <c r="R563" s="33">
        <v>50.22</v>
      </c>
      <c r="S563" s="38">
        <v>50</v>
      </c>
      <c r="T563" s="33">
        <v>-0.22</v>
      </c>
      <c r="U563" s="38">
        <v>-0.01</v>
      </c>
      <c r="V563" s="33">
        <v>650.64</v>
      </c>
    </row>
    <row r="564" spans="1:22" ht="16.8" x14ac:dyDescent="0.3">
      <c r="A564" s="20">
        <v>56.3</v>
      </c>
      <c r="B564" s="20">
        <v>50</v>
      </c>
      <c r="C564" s="20">
        <v>50.22</v>
      </c>
      <c r="D564" s="20">
        <v>-0.22</v>
      </c>
      <c r="E564" s="20">
        <v>-0.03</v>
      </c>
      <c r="F564" s="20">
        <v>1047.71</v>
      </c>
      <c r="Q564" s="33">
        <v>56.3</v>
      </c>
      <c r="R564" s="33">
        <v>50.19</v>
      </c>
      <c r="S564" s="33">
        <v>50</v>
      </c>
      <c r="T564" s="38">
        <v>-0.19</v>
      </c>
      <c r="U564" s="33">
        <v>0.03</v>
      </c>
      <c r="V564" s="33">
        <v>655.96</v>
      </c>
    </row>
    <row r="565" spans="1:22" ht="16.8" x14ac:dyDescent="0.3">
      <c r="A565" s="20">
        <v>56.4</v>
      </c>
      <c r="B565" s="20">
        <v>50</v>
      </c>
      <c r="C565" s="20">
        <v>50.19</v>
      </c>
      <c r="D565" s="20">
        <v>-0.19</v>
      </c>
      <c r="E565" s="20">
        <v>0.02</v>
      </c>
      <c r="F565" s="20">
        <v>1102.02</v>
      </c>
      <c r="Q565" s="33">
        <v>56.4</v>
      </c>
      <c r="R565" s="33">
        <v>50.19</v>
      </c>
      <c r="S565" s="38">
        <v>50</v>
      </c>
      <c r="T565" s="33">
        <v>-0.19</v>
      </c>
      <c r="U565" s="38">
        <v>0</v>
      </c>
      <c r="V565" s="33">
        <v>654.91999999999996</v>
      </c>
    </row>
    <row r="566" spans="1:22" ht="16.8" x14ac:dyDescent="0.3">
      <c r="A566" s="20">
        <v>56.5</v>
      </c>
      <c r="B566" s="20">
        <v>50</v>
      </c>
      <c r="C566" s="20">
        <v>50.19</v>
      </c>
      <c r="D566" s="20">
        <v>-0.19</v>
      </c>
      <c r="E566" s="20">
        <v>0</v>
      </c>
      <c r="F566" s="20">
        <v>1053.6600000000001</v>
      </c>
      <c r="Q566" s="33">
        <v>56.5</v>
      </c>
      <c r="R566" s="33">
        <v>50.17</v>
      </c>
      <c r="S566" s="33">
        <v>50</v>
      </c>
      <c r="T566" s="38">
        <v>-0.17</v>
      </c>
      <c r="U566" s="33">
        <v>0.02</v>
      </c>
      <c r="V566" s="33">
        <v>658.74</v>
      </c>
    </row>
    <row r="567" spans="1:22" ht="16.8" x14ac:dyDescent="0.3">
      <c r="A567" s="20">
        <v>56.6</v>
      </c>
      <c r="B567" s="20">
        <v>50</v>
      </c>
      <c r="C567" s="20">
        <v>50.25</v>
      </c>
      <c r="D567" s="20">
        <v>-0.25</v>
      </c>
      <c r="E567" s="20">
        <v>-0.05</v>
      </c>
      <c r="F567" s="20">
        <v>1040.6199999999999</v>
      </c>
      <c r="Q567" s="33">
        <v>56.6</v>
      </c>
      <c r="R567" s="33">
        <v>50.18</v>
      </c>
      <c r="S567" s="38">
        <v>50</v>
      </c>
      <c r="T567" s="33">
        <v>-0.18</v>
      </c>
      <c r="U567" s="38">
        <v>-0.01</v>
      </c>
      <c r="V567" s="33">
        <v>656.49</v>
      </c>
    </row>
    <row r="568" spans="1:22" ht="16.8" x14ac:dyDescent="0.3">
      <c r="A568" s="20">
        <v>56.7</v>
      </c>
      <c r="B568" s="20">
        <v>50</v>
      </c>
      <c r="C568" s="20">
        <v>50.22</v>
      </c>
      <c r="D568" s="20">
        <v>-0.22</v>
      </c>
      <c r="E568" s="20">
        <v>0.03</v>
      </c>
      <c r="F568" s="20">
        <v>1104.46</v>
      </c>
      <c r="Q568" s="33">
        <v>56.7</v>
      </c>
      <c r="R568" s="33">
        <v>50.18</v>
      </c>
      <c r="S568" s="33">
        <v>50</v>
      </c>
      <c r="T568" s="38">
        <v>-0.18</v>
      </c>
      <c r="U568" s="33">
        <v>0</v>
      </c>
      <c r="V568" s="33">
        <v>656.29</v>
      </c>
    </row>
    <row r="569" spans="1:22" ht="16.8" x14ac:dyDescent="0.3">
      <c r="A569" s="20">
        <v>56.8</v>
      </c>
      <c r="B569" s="20">
        <v>50</v>
      </c>
      <c r="C569" s="20">
        <v>50.23</v>
      </c>
      <c r="D569" s="20">
        <v>-0.23</v>
      </c>
      <c r="E569" s="20">
        <v>-0.01</v>
      </c>
      <c r="F569" s="20">
        <v>1044.7</v>
      </c>
      <c r="Q569" s="33">
        <v>56.8</v>
      </c>
      <c r="R569" s="33">
        <v>50.18</v>
      </c>
      <c r="S569" s="33">
        <v>50</v>
      </c>
      <c r="T569" s="33">
        <v>-0.18</v>
      </c>
      <c r="U569" s="38">
        <v>-0.01</v>
      </c>
      <c r="V569" s="33">
        <v>654.5</v>
      </c>
    </row>
    <row r="570" spans="1:22" ht="16.8" x14ac:dyDescent="0.3">
      <c r="A570" s="20">
        <v>56.9</v>
      </c>
      <c r="B570" s="20">
        <v>50</v>
      </c>
      <c r="C570" s="20">
        <v>50.21</v>
      </c>
      <c r="D570" s="20">
        <v>-0.21</v>
      </c>
      <c r="E570" s="20">
        <v>0.02</v>
      </c>
      <c r="F570" s="20">
        <v>1082.1600000000001</v>
      </c>
      <c r="Q570" s="33">
        <v>56.9</v>
      </c>
      <c r="R570" s="33">
        <v>50.15</v>
      </c>
      <c r="S570" s="38">
        <v>50</v>
      </c>
      <c r="T570" s="38">
        <v>-0.15</v>
      </c>
      <c r="U570" s="33">
        <v>0.03</v>
      </c>
      <c r="V570" s="33">
        <v>659.92</v>
      </c>
    </row>
    <row r="571" spans="1:22" ht="16.8" x14ac:dyDescent="0.3">
      <c r="A571" s="20">
        <v>57</v>
      </c>
      <c r="B571" s="20">
        <v>50</v>
      </c>
      <c r="C571" s="20">
        <v>50.23</v>
      </c>
      <c r="D571" s="20">
        <v>-0.23</v>
      </c>
      <c r="E571" s="20">
        <v>-0.02</v>
      </c>
      <c r="F571" s="20">
        <v>1043.69</v>
      </c>
      <c r="Q571" s="33">
        <v>57</v>
      </c>
      <c r="R571" s="33">
        <v>50.15</v>
      </c>
      <c r="S571" s="33">
        <v>50</v>
      </c>
      <c r="T571" s="33">
        <v>-0.15</v>
      </c>
      <c r="U571" s="33">
        <v>0</v>
      </c>
      <c r="V571" s="33">
        <v>658.95</v>
      </c>
    </row>
    <row r="572" spans="1:22" ht="16.8" x14ac:dyDescent="0.3">
      <c r="A572" s="20">
        <v>57.1</v>
      </c>
      <c r="B572" s="20">
        <v>50</v>
      </c>
      <c r="C572" s="20">
        <v>50.23</v>
      </c>
      <c r="D572" s="20">
        <v>-0.23</v>
      </c>
      <c r="E572" s="20">
        <v>0</v>
      </c>
      <c r="F572" s="20">
        <v>1053.49</v>
      </c>
      <c r="Q572" s="33">
        <v>57.1</v>
      </c>
      <c r="R572" s="33">
        <v>50.14</v>
      </c>
      <c r="S572" s="38">
        <v>50</v>
      </c>
      <c r="T572" s="33">
        <v>-0.14000000000000001</v>
      </c>
      <c r="U572" s="38">
        <v>0.01</v>
      </c>
      <c r="V572" s="33">
        <v>660.05</v>
      </c>
    </row>
    <row r="573" spans="1:22" ht="16.8" x14ac:dyDescent="0.3">
      <c r="A573" s="20">
        <v>57.2</v>
      </c>
      <c r="B573" s="20">
        <v>50</v>
      </c>
      <c r="C573" s="20">
        <v>50.2</v>
      </c>
      <c r="D573" s="20">
        <v>-0.2</v>
      </c>
      <c r="E573" s="20">
        <v>0.03</v>
      </c>
      <c r="F573" s="20">
        <v>1115.92</v>
      </c>
      <c r="Q573" s="33">
        <v>57.2</v>
      </c>
      <c r="R573" s="33">
        <v>50.14</v>
      </c>
      <c r="S573" s="33">
        <v>50</v>
      </c>
      <c r="T573" s="38">
        <v>-0.14000000000000001</v>
      </c>
      <c r="U573" s="33">
        <v>0.01</v>
      </c>
      <c r="V573" s="33">
        <v>660.99</v>
      </c>
    </row>
    <row r="574" spans="1:22" ht="16.8" x14ac:dyDescent="0.3">
      <c r="A574" s="20">
        <v>57.3</v>
      </c>
      <c r="B574" s="20">
        <v>50</v>
      </c>
      <c r="C574" s="20">
        <v>50.24</v>
      </c>
      <c r="D574" s="20">
        <v>-0.24</v>
      </c>
      <c r="E574" s="20">
        <v>-0.04</v>
      </c>
      <c r="F574" s="20">
        <v>1042.67</v>
      </c>
      <c r="Q574" s="33">
        <v>57.3</v>
      </c>
      <c r="R574" s="33">
        <v>50.14</v>
      </c>
      <c r="S574" s="38">
        <v>50</v>
      </c>
      <c r="T574" s="33">
        <v>-0.14000000000000001</v>
      </c>
      <c r="U574" s="38">
        <v>0</v>
      </c>
      <c r="V574" s="33">
        <v>660.54</v>
      </c>
    </row>
    <row r="575" spans="1:22" ht="16.8" x14ac:dyDescent="0.3">
      <c r="A575" s="20">
        <v>57.4</v>
      </c>
      <c r="B575" s="20">
        <v>50</v>
      </c>
      <c r="C575" s="20">
        <v>50.24</v>
      </c>
      <c r="D575" s="20">
        <v>-0.24</v>
      </c>
      <c r="E575" s="20">
        <v>0</v>
      </c>
      <c r="F575" s="20">
        <v>1042.67</v>
      </c>
      <c r="Q575" s="33">
        <v>57.4</v>
      </c>
      <c r="R575" s="33">
        <v>50.07</v>
      </c>
      <c r="S575" s="33">
        <v>50</v>
      </c>
      <c r="T575" s="38">
        <v>-7.0000000000000007E-2</v>
      </c>
      <c r="U575" s="33">
        <v>0.06</v>
      </c>
      <c r="V575" s="33">
        <v>671.54</v>
      </c>
    </row>
    <row r="576" spans="1:22" ht="16.8" x14ac:dyDescent="0.3">
      <c r="A576" s="20">
        <v>57.5</v>
      </c>
      <c r="B576" s="20">
        <v>50</v>
      </c>
      <c r="C576" s="20">
        <v>50.22</v>
      </c>
      <c r="D576" s="20">
        <v>-0.22</v>
      </c>
      <c r="E576" s="20">
        <v>0.02</v>
      </c>
      <c r="F576" s="20">
        <v>1089.18</v>
      </c>
      <c r="Q576" s="33">
        <v>57.5</v>
      </c>
      <c r="R576" s="33">
        <v>50.13</v>
      </c>
      <c r="S576" s="38">
        <v>50</v>
      </c>
      <c r="T576" s="33">
        <v>-0.13</v>
      </c>
      <c r="U576" s="38">
        <v>-0.06</v>
      </c>
      <c r="V576" s="33">
        <v>660.23</v>
      </c>
    </row>
    <row r="577" spans="1:22" ht="16.8" x14ac:dyDescent="0.3">
      <c r="A577" s="20">
        <v>57.6</v>
      </c>
      <c r="B577" s="20">
        <v>50</v>
      </c>
      <c r="C577" s="20">
        <v>50.26</v>
      </c>
      <c r="D577" s="20">
        <v>-0.26</v>
      </c>
      <c r="E577" s="20">
        <v>-0.04</v>
      </c>
      <c r="F577" s="20">
        <v>1037.47</v>
      </c>
      <c r="Q577" s="33">
        <v>57.6</v>
      </c>
      <c r="R577" s="33">
        <v>50.14</v>
      </c>
      <c r="S577" s="33">
        <v>50</v>
      </c>
      <c r="T577" s="38">
        <v>-0.14000000000000001</v>
      </c>
      <c r="U577" s="33">
        <v>-0.02</v>
      </c>
      <c r="V577" s="33">
        <v>658.27</v>
      </c>
    </row>
    <row r="578" spans="1:22" ht="16.8" x14ac:dyDescent="0.3">
      <c r="A578" s="20">
        <v>57.7</v>
      </c>
      <c r="B578" s="20">
        <v>50</v>
      </c>
      <c r="C578" s="20">
        <v>50.25</v>
      </c>
      <c r="D578" s="20">
        <v>-0.25</v>
      </c>
      <c r="E578" s="20">
        <v>0.01</v>
      </c>
      <c r="F578" s="20">
        <v>1057.2</v>
      </c>
      <c r="Q578" s="33">
        <v>57.7</v>
      </c>
      <c r="R578" s="33">
        <v>50.14</v>
      </c>
      <c r="S578" s="38">
        <v>50</v>
      </c>
      <c r="T578" s="33">
        <v>-0.14000000000000001</v>
      </c>
      <c r="U578" s="38">
        <v>0.01</v>
      </c>
      <c r="V578" s="33">
        <v>659.7</v>
      </c>
    </row>
    <row r="579" spans="1:22" ht="16.8" x14ac:dyDescent="0.3">
      <c r="A579" s="20">
        <v>57.8</v>
      </c>
      <c r="B579" s="20">
        <v>50</v>
      </c>
      <c r="C579" s="20">
        <v>50.25</v>
      </c>
      <c r="D579" s="20">
        <v>-0.25</v>
      </c>
      <c r="E579" s="20">
        <v>0</v>
      </c>
      <c r="F579" s="20">
        <v>1038.52</v>
      </c>
      <c r="Q579" s="33">
        <v>57.8</v>
      </c>
      <c r="R579" s="33">
        <v>50.09</v>
      </c>
      <c r="S579" s="33">
        <v>50</v>
      </c>
      <c r="T579" s="33">
        <v>-0.09</v>
      </c>
      <c r="U579" s="33">
        <v>0.05</v>
      </c>
      <c r="V579" s="33">
        <v>667.71</v>
      </c>
    </row>
    <row r="580" spans="1:22" ht="16.8" x14ac:dyDescent="0.3">
      <c r="A580" s="20">
        <v>57.9</v>
      </c>
      <c r="B580" s="20">
        <v>50</v>
      </c>
      <c r="C580" s="20">
        <v>50.27</v>
      </c>
      <c r="D580" s="20">
        <v>-0.27</v>
      </c>
      <c r="E580" s="20">
        <v>-0.02</v>
      </c>
      <c r="F580" s="20">
        <v>1034.3</v>
      </c>
      <c r="Q580" s="33">
        <v>57.9</v>
      </c>
      <c r="R580" s="33">
        <v>50.14</v>
      </c>
      <c r="S580" s="33">
        <v>50</v>
      </c>
      <c r="T580" s="38">
        <v>-0.14000000000000001</v>
      </c>
      <c r="U580" s="38">
        <v>-0.05</v>
      </c>
      <c r="V580" s="33">
        <v>658.1</v>
      </c>
    </row>
    <row r="581" spans="1:22" ht="16.8" x14ac:dyDescent="0.3">
      <c r="A581" s="20">
        <v>58</v>
      </c>
      <c r="B581" s="20">
        <v>50</v>
      </c>
      <c r="C581" s="20">
        <v>50.24</v>
      </c>
      <c r="D581" s="20">
        <v>-0.24</v>
      </c>
      <c r="E581" s="20">
        <v>0.03</v>
      </c>
      <c r="F581" s="20">
        <v>1099.5</v>
      </c>
      <c r="Q581" s="33">
        <v>58</v>
      </c>
      <c r="R581" s="33">
        <v>50.13</v>
      </c>
      <c r="S581" s="38">
        <v>50</v>
      </c>
      <c r="T581" s="33">
        <v>-0.13</v>
      </c>
      <c r="U581" s="33">
        <v>0.01</v>
      </c>
      <c r="V581" s="33">
        <v>660.19</v>
      </c>
    </row>
    <row r="582" spans="1:22" ht="16.8" x14ac:dyDescent="0.3">
      <c r="A582" s="20">
        <v>58.1</v>
      </c>
      <c r="B582" s="20">
        <v>50</v>
      </c>
      <c r="C582" s="20">
        <v>50.22</v>
      </c>
      <c r="D582" s="20">
        <v>-0.22</v>
      </c>
      <c r="E582" s="20">
        <v>0.02</v>
      </c>
      <c r="F582" s="20">
        <v>1096.92</v>
      </c>
      <c r="Q582" s="33">
        <v>58.1</v>
      </c>
      <c r="R582" s="33">
        <v>50.06</v>
      </c>
      <c r="S582" s="33">
        <v>50</v>
      </c>
      <c r="T582" s="38">
        <v>-0.06</v>
      </c>
      <c r="U582" s="38">
        <v>7.0000000000000007E-2</v>
      </c>
      <c r="V582" s="33">
        <v>672.45</v>
      </c>
    </row>
    <row r="583" spans="1:22" ht="16.8" x14ac:dyDescent="0.3">
      <c r="A583" s="20">
        <v>58.2</v>
      </c>
      <c r="B583" s="20">
        <v>50</v>
      </c>
      <c r="C583" s="20">
        <v>50.25</v>
      </c>
      <c r="D583" s="20">
        <v>-0.25</v>
      </c>
      <c r="E583" s="20">
        <v>-0.03</v>
      </c>
      <c r="F583" s="20">
        <v>1040.6199999999999</v>
      </c>
      <c r="Q583" s="33">
        <v>58.2</v>
      </c>
      <c r="R583" s="33">
        <v>50.1</v>
      </c>
      <c r="S583" s="38">
        <v>50</v>
      </c>
      <c r="T583" s="33">
        <v>-0.1</v>
      </c>
      <c r="U583" s="38">
        <v>-0.05</v>
      </c>
      <c r="V583" s="33">
        <v>662.42</v>
      </c>
    </row>
    <row r="584" spans="1:22" ht="16.8" x14ac:dyDescent="0.3">
      <c r="A584" s="20">
        <v>58.3</v>
      </c>
      <c r="B584" s="20">
        <v>50</v>
      </c>
      <c r="C584" s="20">
        <v>50.24</v>
      </c>
      <c r="D584" s="20">
        <v>-0.24</v>
      </c>
      <c r="E584" s="20">
        <v>0</v>
      </c>
      <c r="F584" s="20">
        <v>1050.48</v>
      </c>
      <c r="Q584" s="33">
        <v>58.3</v>
      </c>
      <c r="R584" s="33">
        <v>50.1</v>
      </c>
      <c r="S584" s="33">
        <v>50</v>
      </c>
      <c r="T584" s="38">
        <v>-0.1</v>
      </c>
      <c r="U584" s="38">
        <v>0.01</v>
      </c>
      <c r="V584" s="33">
        <v>664.58</v>
      </c>
    </row>
    <row r="585" spans="1:22" ht="16.8" x14ac:dyDescent="0.3">
      <c r="A585" s="20">
        <v>58.4</v>
      </c>
      <c r="B585" s="20">
        <v>50</v>
      </c>
      <c r="C585" s="20">
        <v>50.26</v>
      </c>
      <c r="D585" s="20">
        <v>-0.26</v>
      </c>
      <c r="E585" s="20">
        <v>-0.02</v>
      </c>
      <c r="F585" s="20">
        <v>1037.47</v>
      </c>
      <c r="Q585" s="33">
        <v>58.4</v>
      </c>
      <c r="R585" s="33">
        <v>50.08</v>
      </c>
      <c r="S585" s="33">
        <v>50</v>
      </c>
      <c r="T585" s="33">
        <v>-0.08</v>
      </c>
      <c r="U585" s="38">
        <v>0.02</v>
      </c>
      <c r="V585" s="33">
        <v>667.04</v>
      </c>
    </row>
    <row r="586" spans="1:22" ht="16.8" x14ac:dyDescent="0.3">
      <c r="A586" s="20">
        <v>58.5</v>
      </c>
      <c r="B586" s="20">
        <v>50</v>
      </c>
      <c r="C586" s="20">
        <v>50.21</v>
      </c>
      <c r="D586" s="20">
        <v>-0.21</v>
      </c>
      <c r="E586" s="20">
        <v>0.05</v>
      </c>
      <c r="F586" s="20">
        <v>1141.29</v>
      </c>
      <c r="Q586" s="33">
        <v>58.5</v>
      </c>
      <c r="R586" s="33">
        <v>50.07</v>
      </c>
      <c r="S586" s="38">
        <v>50</v>
      </c>
      <c r="T586" s="38">
        <v>-7.0000000000000007E-2</v>
      </c>
      <c r="U586" s="38">
        <v>0.01</v>
      </c>
      <c r="V586" s="33">
        <v>667.96</v>
      </c>
    </row>
    <row r="587" spans="1:22" ht="16.8" x14ac:dyDescent="0.3">
      <c r="A587" s="20">
        <v>58.6</v>
      </c>
      <c r="B587" s="20">
        <v>50</v>
      </c>
      <c r="C587" s="20">
        <v>50.23</v>
      </c>
      <c r="D587" s="20">
        <v>-0.23</v>
      </c>
      <c r="E587" s="20">
        <v>-0.02</v>
      </c>
      <c r="F587" s="20">
        <v>1044.7</v>
      </c>
      <c r="Q587" s="33">
        <v>58.6</v>
      </c>
      <c r="R587" s="33">
        <v>50.06</v>
      </c>
      <c r="S587" s="33">
        <v>50</v>
      </c>
      <c r="T587" s="33">
        <v>-0.06</v>
      </c>
      <c r="U587" s="38">
        <v>0.02</v>
      </c>
      <c r="V587" s="33">
        <v>670.47</v>
      </c>
    </row>
    <row r="588" spans="1:22" ht="16.8" x14ac:dyDescent="0.3">
      <c r="A588" s="20">
        <v>58.7</v>
      </c>
      <c r="B588" s="20">
        <v>50</v>
      </c>
      <c r="C588" s="20">
        <v>50.23</v>
      </c>
      <c r="D588" s="20">
        <v>-0.23</v>
      </c>
      <c r="E588" s="20">
        <v>0</v>
      </c>
      <c r="F588" s="20">
        <v>1043.69</v>
      </c>
      <c r="Q588" s="33">
        <v>58.7</v>
      </c>
      <c r="R588" s="33">
        <v>50.05</v>
      </c>
      <c r="S588" s="38">
        <v>50</v>
      </c>
      <c r="T588" s="38">
        <v>-0.05</v>
      </c>
      <c r="U588" s="33">
        <v>0.01</v>
      </c>
      <c r="V588" s="33">
        <v>671.44</v>
      </c>
    </row>
    <row r="589" spans="1:22" ht="16.8" x14ac:dyDescent="0.3">
      <c r="A589" s="20">
        <v>58.8</v>
      </c>
      <c r="B589" s="20">
        <v>50</v>
      </c>
      <c r="C589" s="20">
        <v>50.24</v>
      </c>
      <c r="D589" s="20">
        <v>-0.24</v>
      </c>
      <c r="E589" s="20">
        <v>-0.01</v>
      </c>
      <c r="F589" s="20">
        <v>1041.6500000000001</v>
      </c>
      <c r="Q589" s="33">
        <v>58.8</v>
      </c>
      <c r="R589" s="33">
        <v>50.09</v>
      </c>
      <c r="S589" s="33">
        <v>50</v>
      </c>
      <c r="T589" s="33">
        <v>-0.09</v>
      </c>
      <c r="U589" s="38">
        <v>-0.04</v>
      </c>
      <c r="V589" s="33">
        <v>664.12</v>
      </c>
    </row>
    <row r="590" spans="1:22" ht="16.8" x14ac:dyDescent="0.3">
      <c r="A590" s="20">
        <v>58.9</v>
      </c>
      <c r="B590" s="20">
        <v>50</v>
      </c>
      <c r="C590" s="20">
        <v>50.22</v>
      </c>
      <c r="D590" s="20">
        <v>-0.22</v>
      </c>
      <c r="E590" s="20">
        <v>0.02</v>
      </c>
      <c r="F590" s="20">
        <v>1088.31</v>
      </c>
      <c r="Q590" s="33">
        <v>58.9</v>
      </c>
      <c r="R590" s="33">
        <v>50.08</v>
      </c>
      <c r="S590" s="38">
        <v>50</v>
      </c>
      <c r="T590" s="38">
        <v>-0.08</v>
      </c>
      <c r="U590" s="33">
        <v>0.01</v>
      </c>
      <c r="V590" s="33">
        <v>666.15</v>
      </c>
    </row>
    <row r="591" spans="1:22" ht="16.8" x14ac:dyDescent="0.3">
      <c r="A591" s="20">
        <v>59</v>
      </c>
      <c r="B591" s="20">
        <v>50</v>
      </c>
      <c r="C591" s="20">
        <v>50.19</v>
      </c>
      <c r="D591" s="20">
        <v>-0.19</v>
      </c>
      <c r="E591" s="20">
        <v>0.03</v>
      </c>
      <c r="F591" s="20">
        <v>1109.46</v>
      </c>
      <c r="Q591" s="33">
        <v>59</v>
      </c>
      <c r="R591" s="33">
        <v>50.07</v>
      </c>
      <c r="S591" s="33">
        <v>50</v>
      </c>
      <c r="T591" s="33">
        <v>-7.0000000000000007E-2</v>
      </c>
      <c r="U591" s="38">
        <v>0.01</v>
      </c>
      <c r="V591" s="33">
        <v>667.24</v>
      </c>
    </row>
    <row r="592" spans="1:22" ht="16.8" x14ac:dyDescent="0.3">
      <c r="A592" s="20">
        <v>59.1</v>
      </c>
      <c r="B592" s="20">
        <v>50</v>
      </c>
      <c r="C592" s="20">
        <v>50.2</v>
      </c>
      <c r="D592" s="20">
        <v>-0.2</v>
      </c>
      <c r="E592" s="20">
        <v>-0.01</v>
      </c>
      <c r="F592" s="20">
        <v>1050.71</v>
      </c>
      <c r="Q592" s="33">
        <v>59.1</v>
      </c>
      <c r="R592" s="33">
        <v>50.08</v>
      </c>
      <c r="S592" s="38">
        <v>50</v>
      </c>
      <c r="T592" s="33">
        <v>-0.08</v>
      </c>
      <c r="U592" s="33">
        <v>-0.01</v>
      </c>
      <c r="V592" s="33">
        <v>665.51</v>
      </c>
    </row>
    <row r="593" spans="1:22" ht="16.8" x14ac:dyDescent="0.3">
      <c r="A593" s="20">
        <v>59.2</v>
      </c>
      <c r="B593" s="20">
        <v>50</v>
      </c>
      <c r="C593" s="20">
        <v>50.2</v>
      </c>
      <c r="D593" s="20">
        <v>-0.2</v>
      </c>
      <c r="E593" s="20">
        <v>0</v>
      </c>
      <c r="F593" s="20">
        <v>1050.71</v>
      </c>
      <c r="Q593" s="33">
        <v>59.2</v>
      </c>
      <c r="R593" s="33">
        <v>50.05</v>
      </c>
      <c r="S593" s="33">
        <v>50</v>
      </c>
      <c r="T593" s="38">
        <v>-0.05</v>
      </c>
      <c r="U593" s="38">
        <v>0.03</v>
      </c>
      <c r="V593" s="33">
        <v>671.15</v>
      </c>
    </row>
    <row r="594" spans="1:22" ht="16.8" x14ac:dyDescent="0.3">
      <c r="A594" s="20">
        <v>59.3</v>
      </c>
      <c r="B594" s="20">
        <v>50</v>
      </c>
      <c r="C594" s="20">
        <v>50.23</v>
      </c>
      <c r="D594" s="20">
        <v>-0.23</v>
      </c>
      <c r="E594" s="20">
        <v>-0.02</v>
      </c>
      <c r="F594" s="20">
        <v>1044.7</v>
      </c>
      <c r="Q594" s="33">
        <v>59.3</v>
      </c>
      <c r="R594" s="33">
        <v>50.04</v>
      </c>
      <c r="S594" s="38">
        <v>50</v>
      </c>
      <c r="T594" s="33">
        <v>-0.04</v>
      </c>
      <c r="U594" s="33">
        <v>0.01</v>
      </c>
      <c r="V594" s="33">
        <v>671.81</v>
      </c>
    </row>
    <row r="595" spans="1:22" ht="16.8" x14ac:dyDescent="0.3">
      <c r="A595" s="20">
        <v>59.4</v>
      </c>
      <c r="B595" s="20">
        <v>50</v>
      </c>
      <c r="C595" s="20">
        <v>50.19</v>
      </c>
      <c r="D595" s="20">
        <v>-0.19</v>
      </c>
      <c r="E595" s="20">
        <v>0.04</v>
      </c>
      <c r="F595" s="20">
        <v>1123.83</v>
      </c>
      <c r="Q595" s="33">
        <v>59.4</v>
      </c>
      <c r="R595" s="33">
        <v>50.06</v>
      </c>
      <c r="S595" s="33">
        <v>50</v>
      </c>
      <c r="T595" s="38">
        <v>-0.06</v>
      </c>
      <c r="U595" s="38">
        <v>-0.02</v>
      </c>
      <c r="V595" s="33">
        <v>667.34</v>
      </c>
    </row>
    <row r="596" spans="1:22" ht="16.8" x14ac:dyDescent="0.3">
      <c r="A596" s="20">
        <v>59.5</v>
      </c>
      <c r="B596" s="20">
        <v>50</v>
      </c>
      <c r="C596" s="20">
        <v>50.19</v>
      </c>
      <c r="D596" s="20">
        <v>-0.19</v>
      </c>
      <c r="E596" s="20">
        <v>0</v>
      </c>
      <c r="F596" s="20">
        <v>1053.6600000000001</v>
      </c>
      <c r="Q596" s="33">
        <v>59.5</v>
      </c>
      <c r="R596" s="33">
        <v>50.05</v>
      </c>
      <c r="S596" s="33">
        <v>50</v>
      </c>
      <c r="T596" s="33">
        <v>-0.05</v>
      </c>
      <c r="U596" s="33">
        <v>0.02</v>
      </c>
      <c r="V596" s="33">
        <v>670.51</v>
      </c>
    </row>
    <row r="597" spans="1:22" ht="16.8" x14ac:dyDescent="0.3">
      <c r="A597" s="20">
        <v>59.6</v>
      </c>
      <c r="B597" s="20">
        <v>50</v>
      </c>
      <c r="C597" s="20">
        <v>50.23</v>
      </c>
      <c r="D597" s="20">
        <v>-0.23</v>
      </c>
      <c r="E597" s="20">
        <v>-0.04</v>
      </c>
      <c r="F597" s="20">
        <v>1043.69</v>
      </c>
      <c r="Q597" s="33">
        <v>59.6</v>
      </c>
      <c r="R597" s="33">
        <v>50</v>
      </c>
      <c r="S597" s="38">
        <v>50</v>
      </c>
      <c r="T597" s="38">
        <v>0</v>
      </c>
      <c r="U597" s="38">
        <v>0.05</v>
      </c>
      <c r="V597" s="33">
        <v>678.55</v>
      </c>
    </row>
    <row r="598" spans="1:22" ht="16.8" x14ac:dyDescent="0.3">
      <c r="A598" s="20">
        <v>59.7</v>
      </c>
      <c r="B598" s="20">
        <v>50</v>
      </c>
      <c r="C598" s="20">
        <v>50.21</v>
      </c>
      <c r="D598" s="20">
        <v>-0.21</v>
      </c>
      <c r="E598" s="20">
        <v>0.02</v>
      </c>
      <c r="F598" s="20">
        <v>1098.6400000000001</v>
      </c>
      <c r="Q598" s="33">
        <v>59.7</v>
      </c>
      <c r="R598" s="33">
        <v>50.01</v>
      </c>
      <c r="S598" s="33">
        <v>50</v>
      </c>
      <c r="T598" s="33">
        <v>-0.01</v>
      </c>
      <c r="U598" s="38">
        <v>-0.01</v>
      </c>
      <c r="V598" s="33">
        <v>676.17</v>
      </c>
    </row>
    <row r="599" spans="1:22" ht="16.8" x14ac:dyDescent="0.3">
      <c r="A599" s="20">
        <v>59.8</v>
      </c>
      <c r="B599" s="20">
        <v>50</v>
      </c>
      <c r="C599" s="20">
        <v>50.22</v>
      </c>
      <c r="D599" s="20">
        <v>-0.22</v>
      </c>
      <c r="E599" s="20">
        <v>-0.01</v>
      </c>
      <c r="F599" s="20">
        <v>1046.7</v>
      </c>
      <c r="Q599" s="33">
        <v>59.8</v>
      </c>
      <c r="R599" s="33">
        <v>50.07</v>
      </c>
      <c r="S599" s="38">
        <v>50</v>
      </c>
      <c r="T599" s="38">
        <v>-7.0000000000000007E-2</v>
      </c>
      <c r="U599" s="33">
        <v>-0.06</v>
      </c>
      <c r="V599" s="33">
        <v>665.04</v>
      </c>
    </row>
    <row r="600" spans="1:22" ht="16.8" x14ac:dyDescent="0.3">
      <c r="A600" s="20">
        <v>59.9</v>
      </c>
      <c r="B600" s="20">
        <v>50</v>
      </c>
      <c r="C600" s="20">
        <v>50.21</v>
      </c>
      <c r="D600" s="20">
        <v>-0.21</v>
      </c>
      <c r="E600" s="20">
        <v>0.01</v>
      </c>
      <c r="F600" s="20">
        <v>1075.03</v>
      </c>
      <c r="Q600" s="33">
        <v>59.9</v>
      </c>
      <c r="R600" s="33">
        <v>50.02</v>
      </c>
      <c r="S600" s="33">
        <v>50</v>
      </c>
      <c r="T600" s="33">
        <v>-0.02</v>
      </c>
      <c r="U600" s="38">
        <v>0.06</v>
      </c>
      <c r="V600" s="33">
        <v>676.05</v>
      </c>
    </row>
    <row r="601" spans="1:22" ht="16.8" x14ac:dyDescent="0.3">
      <c r="A601" s="20">
        <v>60</v>
      </c>
      <c r="B601" s="20">
        <v>50</v>
      </c>
      <c r="C601" s="20">
        <v>50.19</v>
      </c>
      <c r="D601" s="20">
        <v>-0.19</v>
      </c>
      <c r="E601" s="20">
        <v>0.02</v>
      </c>
      <c r="F601" s="20">
        <v>1095.29</v>
      </c>
      <c r="Q601" s="33">
        <v>60</v>
      </c>
      <c r="R601" s="33">
        <v>50.01</v>
      </c>
      <c r="S601" s="38">
        <v>50</v>
      </c>
      <c r="T601" s="38">
        <v>-0.01</v>
      </c>
      <c r="U601" s="33">
        <v>0.01</v>
      </c>
      <c r="V601" s="33">
        <v>676.3</v>
      </c>
    </row>
    <row r="602" spans="1:22" ht="16.8" x14ac:dyDescent="0.3">
      <c r="A602" s="24">
        <v>60.1</v>
      </c>
      <c r="B602" s="24">
        <v>50</v>
      </c>
      <c r="C602" s="24">
        <v>50.22</v>
      </c>
      <c r="D602" s="24">
        <v>-0.22</v>
      </c>
      <c r="E602" s="24">
        <v>-0.03</v>
      </c>
      <c r="F602" s="24">
        <v>1046.7</v>
      </c>
      <c r="Q602" s="33">
        <v>60.1</v>
      </c>
      <c r="R602" s="33">
        <v>50.03</v>
      </c>
      <c r="S602" s="33">
        <v>50</v>
      </c>
      <c r="T602" s="33">
        <v>-0.03</v>
      </c>
      <c r="U602" s="38">
        <v>-0.02</v>
      </c>
      <c r="V602" s="33">
        <v>671.89</v>
      </c>
    </row>
  </sheetData>
  <mergeCells count="28">
    <mergeCell ref="X30:Y30"/>
    <mergeCell ref="X32:Y32"/>
    <mergeCell ref="X33:Y33"/>
    <mergeCell ref="X35:Z35"/>
    <mergeCell ref="X36:Z36"/>
    <mergeCell ref="H36:J36"/>
    <mergeCell ref="X15:AA15"/>
    <mergeCell ref="Z16:AA16"/>
    <mergeCell ref="Z17:AA17"/>
    <mergeCell ref="X19:Z19"/>
    <mergeCell ref="X20:Z20"/>
    <mergeCell ref="X22:AA22"/>
    <mergeCell ref="Z23:AA23"/>
    <mergeCell ref="Z24:AA24"/>
    <mergeCell ref="X29:Y29"/>
    <mergeCell ref="J24:K24"/>
    <mergeCell ref="H29:I29"/>
    <mergeCell ref="H30:I30"/>
    <mergeCell ref="H32:I32"/>
    <mergeCell ref="H33:I33"/>
    <mergeCell ref="H35:J35"/>
    <mergeCell ref="J23:K23"/>
    <mergeCell ref="H22:K22"/>
    <mergeCell ref="H15:K15"/>
    <mergeCell ref="H19:J19"/>
    <mergeCell ref="J16:K16"/>
    <mergeCell ref="J17:K17"/>
    <mergeCell ref="H20:J20"/>
  </mergeCells>
  <dataValidations count="6">
    <dataValidation allowBlank="1" showInputMessage="1" showErrorMessage="1" prompt="TBL_HST[CH6]" sqref="V2:V602 F2:F602" xr:uid="{3B54AF2D-D060-4786-BE51-B2205B1AE06B}"/>
    <dataValidation allowBlank="1" showInputMessage="1" showErrorMessage="1" prompt="TBL_HST[CH5]" sqref="U2:U602 E2:E602" xr:uid="{1F2C80FE-17E0-426E-AD86-17DFBA0B8FB7}"/>
    <dataValidation allowBlank="1" showInputMessage="1" showErrorMessage="1" prompt="TBL_HST[CH4]" sqref="T2:T602 D2:D602" xr:uid="{E67ABDE5-F608-46FA-8211-3D50A6F3ADC6}"/>
    <dataValidation allowBlank="1" showInputMessage="1" showErrorMessage="1" prompt="TBL_HST[CH3]" sqref="S2:S602 C2:C602" xr:uid="{BDF8C830-2D13-48D4-9B82-7C89C0276C15}"/>
    <dataValidation allowBlank="1" showInputMessage="1" showErrorMessage="1" prompt="TBL_HST[CH2]" sqref="R2:R602 B2:B602" xr:uid="{5654BBF7-0D2B-4CAD-95EC-9E6344066B4E}"/>
    <dataValidation allowBlank="1" showInputMessage="1" showErrorMessage="1" prompt="TBL_HST[CH1]" sqref="Q2:Q602 A2:A602" xr:uid="{920B5750-75E0-40AE-9ABF-E0AE0E96CDF6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8953C-2626-461F-882A-C8072AD6BBCA}">
  <dimension ref="A1:AA602"/>
  <sheetViews>
    <sheetView topLeftCell="F1" zoomScale="115" zoomScaleNormal="70" workbookViewId="0">
      <selection activeCell="J19" sqref="J19"/>
    </sheetView>
  </sheetViews>
  <sheetFormatPr defaultRowHeight="14.4" x14ac:dyDescent="0.3"/>
  <cols>
    <col min="6" max="6" width="10" customWidth="1"/>
    <col min="8" max="8" width="12.88671875" customWidth="1"/>
    <col min="9" max="9" width="17.6640625" customWidth="1"/>
    <col min="10" max="10" width="15.77734375" customWidth="1"/>
    <col min="11" max="11" width="7.88671875" customWidth="1"/>
    <col min="17" max="21" width="9" bestFit="1" customWidth="1"/>
    <col min="22" max="22" width="9.77734375" bestFit="1" customWidth="1"/>
    <col min="24" max="24" width="14.6640625" customWidth="1"/>
    <col min="25" max="25" width="14.77734375" customWidth="1"/>
  </cols>
  <sheetData>
    <row r="1" spans="1:27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ht="16.8" x14ac:dyDescent="0.3">
      <c r="A2" s="20">
        <v>0.1</v>
      </c>
      <c r="B2" s="20">
        <v>53</v>
      </c>
      <c r="C2" s="20">
        <v>27.61</v>
      </c>
      <c r="D2" s="20">
        <v>25.39</v>
      </c>
      <c r="E2" s="20">
        <v>6</v>
      </c>
      <c r="F2" s="20">
        <v>2048</v>
      </c>
      <c r="Q2" s="20">
        <v>0.1</v>
      </c>
      <c r="R2" s="20">
        <v>34.39</v>
      </c>
      <c r="S2" s="26">
        <v>53</v>
      </c>
      <c r="T2" s="20">
        <v>18.61</v>
      </c>
      <c r="U2" s="26">
        <v>18.61</v>
      </c>
      <c r="V2" s="20">
        <v>3405.68</v>
      </c>
    </row>
    <row r="3" spans="1:27" ht="16.8" x14ac:dyDescent="0.3">
      <c r="A3" s="20">
        <v>0.2</v>
      </c>
      <c r="B3" s="20">
        <v>53</v>
      </c>
      <c r="C3" s="20">
        <v>27.76</v>
      </c>
      <c r="D3" s="20">
        <v>25.24</v>
      </c>
      <c r="E3" s="20">
        <v>-0.15</v>
      </c>
      <c r="F3" s="20">
        <v>3414.91</v>
      </c>
      <c r="Q3" s="20">
        <v>0.2</v>
      </c>
      <c r="R3" s="20">
        <v>35.090000000000003</v>
      </c>
      <c r="S3" s="20">
        <v>53</v>
      </c>
      <c r="T3" s="20">
        <v>17.91</v>
      </c>
      <c r="U3" s="26">
        <v>-0.7</v>
      </c>
      <c r="V3" s="20">
        <v>2873.53</v>
      </c>
    </row>
    <row r="4" spans="1:27" ht="16.8" x14ac:dyDescent="0.3">
      <c r="A4" s="20">
        <v>0.3</v>
      </c>
      <c r="B4" s="20">
        <v>53</v>
      </c>
      <c r="C4" s="20">
        <v>27.76</v>
      </c>
      <c r="D4" s="20">
        <v>25.24</v>
      </c>
      <c r="E4" s="20">
        <v>0</v>
      </c>
      <c r="F4" s="20">
        <v>3449.57</v>
      </c>
      <c r="Q4" s="20">
        <v>0.3</v>
      </c>
      <c r="R4" s="20">
        <v>35.130000000000003</v>
      </c>
      <c r="S4" s="26">
        <v>53</v>
      </c>
      <c r="T4" s="20">
        <v>17.87</v>
      </c>
      <c r="U4" s="26">
        <v>-0.04</v>
      </c>
      <c r="V4" s="20">
        <v>2924.18</v>
      </c>
    </row>
    <row r="5" spans="1:27" ht="16.8" x14ac:dyDescent="0.3">
      <c r="A5" s="20">
        <v>0.4</v>
      </c>
      <c r="B5" s="20">
        <v>53</v>
      </c>
      <c r="C5" s="20">
        <v>27.81</v>
      </c>
      <c r="D5" s="20">
        <v>25.19</v>
      </c>
      <c r="E5" s="20">
        <v>-0.06</v>
      </c>
      <c r="F5" s="20">
        <v>3436.36</v>
      </c>
      <c r="Q5" s="20">
        <v>0.4</v>
      </c>
      <c r="R5" s="20">
        <v>35.270000000000003</v>
      </c>
      <c r="S5" s="20">
        <v>53</v>
      </c>
      <c r="T5" s="26">
        <v>17.73</v>
      </c>
      <c r="U5" s="26">
        <v>-0.14000000000000001</v>
      </c>
      <c r="V5" s="20">
        <v>2941.17</v>
      </c>
    </row>
    <row r="6" spans="1:27" ht="16.8" x14ac:dyDescent="0.3">
      <c r="A6" s="20">
        <v>0.5</v>
      </c>
      <c r="B6" s="20">
        <v>53</v>
      </c>
      <c r="C6" s="20">
        <v>27.85</v>
      </c>
      <c r="D6" s="20">
        <v>25.15</v>
      </c>
      <c r="E6" s="20">
        <v>-0.03</v>
      </c>
      <c r="F6" s="20">
        <v>3442.07</v>
      </c>
      <c r="Q6" s="20">
        <v>0.5</v>
      </c>
      <c r="R6" s="20">
        <v>35.369999999999997</v>
      </c>
      <c r="S6" s="20">
        <v>53</v>
      </c>
      <c r="T6" s="20">
        <v>17.63</v>
      </c>
      <c r="U6" s="26">
        <v>-0.1</v>
      </c>
      <c r="V6" s="20">
        <v>2966.07</v>
      </c>
    </row>
    <row r="7" spans="1:27" ht="16.8" x14ac:dyDescent="0.3">
      <c r="A7" s="20">
        <v>0.6</v>
      </c>
      <c r="B7" s="20">
        <v>53</v>
      </c>
      <c r="C7" s="20">
        <v>27.93</v>
      </c>
      <c r="D7" s="20">
        <v>25.07</v>
      </c>
      <c r="E7" s="20">
        <v>-0.08</v>
      </c>
      <c r="F7" s="20">
        <v>3429.61</v>
      </c>
      <c r="Q7" s="20">
        <v>0.6</v>
      </c>
      <c r="R7" s="20">
        <v>35.520000000000003</v>
      </c>
      <c r="S7" s="26">
        <v>53</v>
      </c>
      <c r="T7" s="26">
        <v>17.48</v>
      </c>
      <c r="U7" s="26">
        <v>-0.15</v>
      </c>
      <c r="V7" s="20">
        <v>2982.58</v>
      </c>
    </row>
    <row r="8" spans="1:27" ht="16.8" x14ac:dyDescent="0.3">
      <c r="A8" s="20">
        <v>0.7</v>
      </c>
      <c r="B8" s="20">
        <v>53</v>
      </c>
      <c r="C8" s="20">
        <v>28.11</v>
      </c>
      <c r="D8" s="20">
        <v>24.89</v>
      </c>
      <c r="E8" s="20">
        <v>-0.18</v>
      </c>
      <c r="F8" s="20">
        <v>3405.91</v>
      </c>
      <c r="Q8" s="20">
        <v>0.7</v>
      </c>
      <c r="R8" s="20">
        <v>35.79</v>
      </c>
      <c r="S8" s="20">
        <v>53</v>
      </c>
      <c r="T8" s="20">
        <v>17.21</v>
      </c>
      <c r="U8" s="20">
        <v>-0.27</v>
      </c>
      <c r="V8" s="20">
        <v>2976.13</v>
      </c>
    </row>
    <row r="9" spans="1:27" ht="16.8" x14ac:dyDescent="0.3">
      <c r="A9" s="20">
        <v>0.8</v>
      </c>
      <c r="B9" s="20">
        <v>53</v>
      </c>
      <c r="C9" s="20">
        <v>28.39</v>
      </c>
      <c r="D9" s="20">
        <v>24.61</v>
      </c>
      <c r="E9" s="20">
        <v>-0.28000000000000003</v>
      </c>
      <c r="F9" s="20">
        <v>3381.31</v>
      </c>
      <c r="Q9" s="20">
        <v>0.8</v>
      </c>
      <c r="R9" s="20">
        <v>36.07</v>
      </c>
      <c r="S9" s="26">
        <v>53</v>
      </c>
      <c r="T9" s="26">
        <v>16.93</v>
      </c>
      <c r="U9" s="26">
        <v>-0.27</v>
      </c>
      <c r="V9" s="20">
        <v>2972.15</v>
      </c>
    </row>
    <row r="10" spans="1:27" ht="16.8" x14ac:dyDescent="0.3">
      <c r="A10" s="20">
        <v>0.9</v>
      </c>
      <c r="B10" s="20">
        <v>53</v>
      </c>
      <c r="C10" s="20">
        <v>28.67</v>
      </c>
      <c r="D10" s="20">
        <v>24.33</v>
      </c>
      <c r="E10" s="20">
        <v>-0.28000000000000003</v>
      </c>
      <c r="F10" s="20">
        <v>3380.27</v>
      </c>
      <c r="Q10" s="32">
        <v>0.9</v>
      </c>
      <c r="R10" s="32">
        <v>36.369999999999997</v>
      </c>
      <c r="S10" s="32">
        <v>53</v>
      </c>
      <c r="T10" s="32">
        <v>16.63</v>
      </c>
      <c r="U10" s="32">
        <v>-0.31</v>
      </c>
      <c r="V10" s="32">
        <v>2961.63</v>
      </c>
    </row>
    <row r="11" spans="1:27" ht="16.8" x14ac:dyDescent="0.3">
      <c r="A11" s="20">
        <v>1</v>
      </c>
      <c r="B11" s="20">
        <v>53</v>
      </c>
      <c r="C11" s="20">
        <v>29.02</v>
      </c>
      <c r="D11" s="20">
        <v>23.98</v>
      </c>
      <c r="E11" s="20">
        <v>-0.35</v>
      </c>
      <c r="F11" s="20">
        <v>3379.9</v>
      </c>
      <c r="Q11" s="32">
        <v>1</v>
      </c>
      <c r="R11" s="32">
        <v>36.82</v>
      </c>
      <c r="S11" s="34">
        <v>53</v>
      </c>
      <c r="T11" s="34">
        <v>16.18</v>
      </c>
      <c r="U11" s="34">
        <v>-0.44</v>
      </c>
      <c r="V11" s="32">
        <v>2926.11</v>
      </c>
    </row>
    <row r="12" spans="1:27" ht="16.8" x14ac:dyDescent="0.3">
      <c r="A12" s="20">
        <v>1.1000000000000001</v>
      </c>
      <c r="B12" s="20">
        <v>53</v>
      </c>
      <c r="C12" s="20">
        <v>29.41</v>
      </c>
      <c r="D12" s="20">
        <v>23.59</v>
      </c>
      <c r="E12" s="20">
        <v>-0.39</v>
      </c>
      <c r="F12" s="20">
        <v>3387.04</v>
      </c>
      <c r="Q12" s="32">
        <v>1.1000000000000001</v>
      </c>
      <c r="R12" s="32">
        <v>37.22</v>
      </c>
      <c r="S12" s="32">
        <v>53</v>
      </c>
      <c r="T12" s="32">
        <v>15.78</v>
      </c>
      <c r="U12" s="34">
        <v>-0.4</v>
      </c>
      <c r="V12" s="32">
        <v>2900.24</v>
      </c>
    </row>
    <row r="13" spans="1:27" ht="16.8" x14ac:dyDescent="0.3">
      <c r="A13" s="20">
        <v>1.2</v>
      </c>
      <c r="B13" s="20">
        <v>53</v>
      </c>
      <c r="C13" s="20">
        <v>29.84</v>
      </c>
      <c r="D13" s="20">
        <v>23.16</v>
      </c>
      <c r="E13" s="20">
        <v>-0.43</v>
      </c>
      <c r="F13" s="20">
        <v>3392.83</v>
      </c>
      <c r="Q13" s="32">
        <v>1.2</v>
      </c>
      <c r="R13" s="32">
        <v>37.729999999999997</v>
      </c>
      <c r="S13" s="34">
        <v>53</v>
      </c>
      <c r="T13" s="34">
        <v>15.27</v>
      </c>
      <c r="U13" s="34">
        <v>-0.52</v>
      </c>
      <c r="V13" s="32">
        <v>2851.83</v>
      </c>
    </row>
    <row r="14" spans="1:27" ht="16.8" x14ac:dyDescent="0.3">
      <c r="A14" s="20">
        <v>1.3</v>
      </c>
      <c r="B14" s="20">
        <v>53</v>
      </c>
      <c r="C14" s="20">
        <v>30.26</v>
      </c>
      <c r="D14" s="20">
        <v>22.74</v>
      </c>
      <c r="E14" s="20">
        <v>-0.42</v>
      </c>
      <c r="F14" s="20">
        <v>3392.2</v>
      </c>
      <c r="Q14" s="32">
        <v>1.3</v>
      </c>
      <c r="R14" s="32">
        <v>38.19</v>
      </c>
      <c r="S14" s="32">
        <v>53</v>
      </c>
      <c r="T14" s="32">
        <v>14.81</v>
      </c>
      <c r="U14" s="34">
        <v>-0.45</v>
      </c>
      <c r="V14" s="32">
        <v>2816.73</v>
      </c>
    </row>
    <row r="15" spans="1:27" ht="16.8" x14ac:dyDescent="0.3">
      <c r="A15" s="20">
        <v>1.4</v>
      </c>
      <c r="B15" s="20">
        <v>53</v>
      </c>
      <c r="C15" s="20">
        <v>30.79</v>
      </c>
      <c r="D15" s="20">
        <v>22.21</v>
      </c>
      <c r="E15" s="20">
        <v>-0.53</v>
      </c>
      <c r="F15" s="20">
        <v>3408.71</v>
      </c>
      <c r="Q15" s="32">
        <v>1.4</v>
      </c>
      <c r="R15" s="32">
        <v>38.68</v>
      </c>
      <c r="S15" s="34">
        <v>53</v>
      </c>
      <c r="T15" s="32">
        <v>14.32</v>
      </c>
      <c r="U15" s="34">
        <v>-0.5</v>
      </c>
      <c r="V15" s="32">
        <v>2770.2</v>
      </c>
    </row>
    <row r="16" spans="1:27" ht="16.8" x14ac:dyDescent="0.3">
      <c r="A16" s="20">
        <v>1.5</v>
      </c>
      <c r="B16" s="20">
        <v>53</v>
      </c>
      <c r="C16" s="20">
        <v>31.33</v>
      </c>
      <c r="D16" s="20">
        <v>21.67</v>
      </c>
      <c r="E16" s="20">
        <v>-0.54</v>
      </c>
      <c r="F16" s="20">
        <v>3410.56</v>
      </c>
      <c r="H16" s="55" t="s">
        <v>46</v>
      </c>
      <c r="I16" s="56"/>
      <c r="J16" s="56"/>
      <c r="K16" s="57"/>
      <c r="Q16" s="32">
        <v>1.5</v>
      </c>
      <c r="R16" s="32">
        <v>39.19</v>
      </c>
      <c r="S16" s="32">
        <v>53</v>
      </c>
      <c r="T16" s="34">
        <v>13.81</v>
      </c>
      <c r="U16" s="34">
        <v>-0.51</v>
      </c>
      <c r="V16" s="32">
        <v>2722.21</v>
      </c>
      <c r="X16" s="55" t="s">
        <v>46</v>
      </c>
      <c r="Y16" s="56"/>
      <c r="Z16" s="56"/>
      <c r="AA16" s="57"/>
    </row>
    <row r="17" spans="1:27" ht="16.8" x14ac:dyDescent="0.3">
      <c r="A17" s="32">
        <v>1.6</v>
      </c>
      <c r="B17" s="20">
        <v>53</v>
      </c>
      <c r="C17" s="20">
        <v>31.84</v>
      </c>
      <c r="D17" s="20">
        <v>21.16</v>
      </c>
      <c r="E17" s="20">
        <v>-0.51</v>
      </c>
      <c r="F17" s="20">
        <v>3406.18</v>
      </c>
      <c r="H17" s="30" t="s">
        <v>47</v>
      </c>
      <c r="I17" s="30" t="s">
        <v>48</v>
      </c>
      <c r="J17" s="55" t="s">
        <v>49</v>
      </c>
      <c r="K17" s="57"/>
      <c r="Q17" s="32">
        <v>1.6</v>
      </c>
      <c r="R17" s="32">
        <v>39.72</v>
      </c>
      <c r="S17" s="34">
        <v>53</v>
      </c>
      <c r="T17" s="32">
        <v>13.28</v>
      </c>
      <c r="U17" s="32">
        <v>-0.52</v>
      </c>
      <c r="V17" s="32">
        <v>2670.3</v>
      </c>
      <c r="X17" s="30" t="s">
        <v>47</v>
      </c>
      <c r="Y17" s="30" t="s">
        <v>48</v>
      </c>
      <c r="Z17" s="55" t="s">
        <v>49</v>
      </c>
      <c r="AA17" s="57"/>
    </row>
    <row r="18" spans="1:27" ht="16.8" x14ac:dyDescent="0.3">
      <c r="A18" s="20">
        <v>1.7</v>
      </c>
      <c r="B18" s="20">
        <v>53</v>
      </c>
      <c r="C18" s="20">
        <v>32.450000000000003</v>
      </c>
      <c r="D18" s="20">
        <v>20.55</v>
      </c>
      <c r="E18" s="20">
        <v>-0.61</v>
      </c>
      <c r="F18" s="20">
        <v>3421.75</v>
      </c>
      <c r="H18" s="30">
        <f>C2+0.1*('53'!B2-C2)</f>
        <v>30.149000000000001</v>
      </c>
      <c r="I18" s="30">
        <f>C2+0.9*(B2-C2)</f>
        <v>50.460999999999999</v>
      </c>
      <c r="J18" s="55">
        <f>A54-A25</f>
        <v>2.9</v>
      </c>
      <c r="K18" s="57"/>
      <c r="Q18" s="32">
        <v>1.7</v>
      </c>
      <c r="R18" s="32">
        <v>40.22</v>
      </c>
      <c r="S18" s="32">
        <v>53</v>
      </c>
      <c r="T18" s="34">
        <v>12.78</v>
      </c>
      <c r="U18" s="34">
        <v>-0.51</v>
      </c>
      <c r="V18" s="32">
        <v>2620.5100000000002</v>
      </c>
      <c r="X18" s="30">
        <f>R2+0.1*(S2-R2)</f>
        <v>36.250999999999998</v>
      </c>
      <c r="Y18" s="30">
        <f>R2+0.9*(S2-R2)</f>
        <v>51.138999999999996</v>
      </c>
      <c r="Z18" s="55">
        <f>Q48-Q10</f>
        <v>3.8000000000000003</v>
      </c>
      <c r="AA18" s="57"/>
    </row>
    <row r="19" spans="1:27" ht="16.8" x14ac:dyDescent="0.3">
      <c r="A19" s="20">
        <v>1.8</v>
      </c>
      <c r="B19" s="20">
        <v>53</v>
      </c>
      <c r="C19" s="20">
        <v>32.99</v>
      </c>
      <c r="D19" s="20">
        <v>20.010000000000002</v>
      </c>
      <c r="E19" s="20">
        <v>-0.54</v>
      </c>
      <c r="F19" s="20">
        <v>3409.94</v>
      </c>
      <c r="Q19" s="32">
        <v>1.8</v>
      </c>
      <c r="R19" s="32">
        <v>40.78</v>
      </c>
      <c r="S19" s="34">
        <v>53</v>
      </c>
      <c r="T19" s="32">
        <v>12.22</v>
      </c>
      <c r="U19" s="32">
        <v>-0.56000000000000005</v>
      </c>
      <c r="V19" s="32">
        <v>2560.3200000000002</v>
      </c>
    </row>
    <row r="20" spans="1:27" ht="16.8" x14ac:dyDescent="0.3">
      <c r="A20" s="20">
        <v>1.9</v>
      </c>
      <c r="B20" s="20">
        <v>53</v>
      </c>
      <c r="C20" s="20">
        <v>33.54</v>
      </c>
      <c r="D20" s="20">
        <v>19.46</v>
      </c>
      <c r="E20" s="20">
        <v>-0.56000000000000005</v>
      </c>
      <c r="F20" s="20">
        <v>3413.06</v>
      </c>
      <c r="H20" s="55" t="s">
        <v>50</v>
      </c>
      <c r="I20" s="56"/>
      <c r="J20" s="57"/>
      <c r="Q20" s="32">
        <v>1.9</v>
      </c>
      <c r="R20" s="32">
        <v>41.28</v>
      </c>
      <c r="S20" s="32">
        <v>53</v>
      </c>
      <c r="T20" s="34">
        <v>11.72</v>
      </c>
      <c r="U20" s="34">
        <v>-0.5</v>
      </c>
      <c r="V20" s="32">
        <v>2510.34</v>
      </c>
      <c r="X20" s="55" t="s">
        <v>50</v>
      </c>
      <c r="Y20" s="56"/>
      <c r="Z20" s="57"/>
    </row>
    <row r="21" spans="1:27" ht="16.8" x14ac:dyDescent="0.3">
      <c r="A21" s="20">
        <v>2</v>
      </c>
      <c r="B21" s="20">
        <v>53</v>
      </c>
      <c r="C21" s="20">
        <v>34.15</v>
      </c>
      <c r="D21" s="20">
        <v>18.850000000000001</v>
      </c>
      <c r="E21" s="20">
        <v>-0.6</v>
      </c>
      <c r="F21" s="20">
        <v>3420.49</v>
      </c>
      <c r="H21" s="58">
        <f>((MAX(C2:C111)-B2)/B2)*100</f>
        <v>3.2264150943396244</v>
      </c>
      <c r="I21" s="58"/>
      <c r="J21" s="58"/>
      <c r="Q21" s="32">
        <v>2</v>
      </c>
      <c r="R21" s="32">
        <v>41.81</v>
      </c>
      <c r="S21" s="34">
        <v>53</v>
      </c>
      <c r="T21" s="32">
        <v>11.19</v>
      </c>
      <c r="U21" s="32">
        <v>-0.53</v>
      </c>
      <c r="V21" s="32">
        <v>2451.96</v>
      </c>
      <c r="X21" s="58">
        <f>((MAX(R2:R111)-S2)/S2)*100</f>
        <v>2.0754716981132102</v>
      </c>
      <c r="Y21" s="58"/>
      <c r="Z21" s="58"/>
    </row>
    <row r="22" spans="1:27" ht="16.8" x14ac:dyDescent="0.3">
      <c r="A22" s="20">
        <v>2.1</v>
      </c>
      <c r="B22" s="20">
        <v>53</v>
      </c>
      <c r="C22" s="20">
        <v>34.69</v>
      </c>
      <c r="D22" s="20">
        <v>18.309999999999999</v>
      </c>
      <c r="E22" s="20">
        <v>-0.54</v>
      </c>
      <c r="F22" s="20">
        <v>3411.19</v>
      </c>
      <c r="Q22" s="32">
        <v>2.1</v>
      </c>
      <c r="R22" s="32">
        <v>42.38</v>
      </c>
      <c r="S22" s="32">
        <v>53</v>
      </c>
      <c r="T22" s="34">
        <v>10.62</v>
      </c>
      <c r="U22" s="34">
        <v>-0.56999999999999995</v>
      </c>
      <c r="V22" s="32">
        <v>2385.75</v>
      </c>
    </row>
    <row r="23" spans="1:27" ht="16.8" x14ac:dyDescent="0.3">
      <c r="A23" s="20">
        <v>2.2000000000000002</v>
      </c>
      <c r="B23" s="20">
        <v>53</v>
      </c>
      <c r="C23" s="20">
        <v>35.29</v>
      </c>
      <c r="D23" s="20">
        <v>17.71</v>
      </c>
      <c r="E23" s="20">
        <v>-0.6</v>
      </c>
      <c r="F23" s="20">
        <v>3419.27</v>
      </c>
      <c r="H23" s="54"/>
      <c r="I23" s="54"/>
      <c r="J23" s="54"/>
      <c r="K23" s="54"/>
      <c r="Q23" s="32">
        <v>2.2000000000000002</v>
      </c>
      <c r="R23" s="32">
        <v>42.85</v>
      </c>
      <c r="S23" s="32">
        <v>53</v>
      </c>
      <c r="T23" s="32">
        <v>10.15</v>
      </c>
      <c r="U23" s="34">
        <v>-0.47</v>
      </c>
      <c r="V23" s="32">
        <v>2338.37</v>
      </c>
      <c r="X23" s="54"/>
      <c r="Y23" s="54"/>
      <c r="Z23" s="54"/>
      <c r="AA23" s="54"/>
    </row>
    <row r="24" spans="1:27" ht="16.8" x14ac:dyDescent="0.3">
      <c r="A24" s="20">
        <v>2.2999999999999998</v>
      </c>
      <c r="B24" s="20">
        <v>53</v>
      </c>
      <c r="C24" s="20">
        <v>35.85</v>
      </c>
      <c r="D24" s="20">
        <v>17.149999999999999</v>
      </c>
      <c r="E24" s="20">
        <v>-0.56000000000000005</v>
      </c>
      <c r="F24" s="20">
        <v>3413.68</v>
      </c>
      <c r="J24" s="54"/>
      <c r="K24" s="54"/>
      <c r="Q24" s="32">
        <v>2.2999999999999998</v>
      </c>
      <c r="R24" s="32">
        <v>43.35</v>
      </c>
      <c r="S24" s="34">
        <v>53</v>
      </c>
      <c r="T24" s="34">
        <v>9.65</v>
      </c>
      <c r="U24" s="34">
        <v>-0.5</v>
      </c>
      <c r="V24" s="32">
        <v>2281.4899999999998</v>
      </c>
      <c r="Z24" s="54"/>
      <c r="AA24" s="54"/>
    </row>
    <row r="25" spans="1:27" ht="16.8" x14ac:dyDescent="0.3">
      <c r="A25" s="45">
        <v>2.4</v>
      </c>
      <c r="B25" s="20">
        <v>53</v>
      </c>
      <c r="C25" s="20">
        <v>36.4</v>
      </c>
      <c r="D25" s="20">
        <v>16.600000000000001</v>
      </c>
      <c r="E25" s="20">
        <v>-0.56000000000000005</v>
      </c>
      <c r="F25" s="20">
        <v>3413.06</v>
      </c>
      <c r="H25" s="31"/>
      <c r="I25" s="31"/>
      <c r="J25" s="54"/>
      <c r="K25" s="54"/>
      <c r="Q25" s="32">
        <v>2.4</v>
      </c>
      <c r="R25" s="32">
        <v>43.85</v>
      </c>
      <c r="S25" s="32">
        <v>53</v>
      </c>
      <c r="T25" s="32">
        <v>9.15</v>
      </c>
      <c r="U25" s="34">
        <v>-0.5</v>
      </c>
      <c r="V25" s="32">
        <v>2224.2399999999998</v>
      </c>
      <c r="X25" s="31"/>
      <c r="Y25" s="31"/>
      <c r="Z25" s="54"/>
      <c r="AA25" s="54"/>
    </row>
    <row r="26" spans="1:27" ht="16.8" x14ac:dyDescent="0.3">
      <c r="A26" s="20">
        <v>2.5</v>
      </c>
      <c r="B26" s="20">
        <v>53</v>
      </c>
      <c r="C26" s="20">
        <v>37.01</v>
      </c>
      <c r="D26" s="20">
        <v>15.99</v>
      </c>
      <c r="E26" s="20">
        <v>-0.6</v>
      </c>
      <c r="F26" s="20">
        <v>3416.64</v>
      </c>
      <c r="Q26" s="32">
        <v>2.5</v>
      </c>
      <c r="R26" s="32">
        <v>44.32</v>
      </c>
      <c r="S26" s="34">
        <v>53</v>
      </c>
      <c r="T26" s="32">
        <v>8.68</v>
      </c>
      <c r="U26" s="34">
        <v>-0.47</v>
      </c>
      <c r="V26" s="32">
        <v>2171.7399999999998</v>
      </c>
    </row>
    <row r="27" spans="1:27" ht="16.8" x14ac:dyDescent="0.3">
      <c r="A27" s="20">
        <v>2.6</v>
      </c>
      <c r="B27" s="20">
        <v>53</v>
      </c>
      <c r="C27" s="20">
        <v>37.6</v>
      </c>
      <c r="D27" s="20">
        <v>15.4</v>
      </c>
      <c r="E27" s="20">
        <v>-0.59</v>
      </c>
      <c r="F27" s="20">
        <v>3410.55</v>
      </c>
      <c r="H27" s="29" t="s">
        <v>51</v>
      </c>
      <c r="I27" s="29">
        <f>ABS(AVERAGE(C301:C602))</f>
        <v>52.960496688741671</v>
      </c>
      <c r="Q27" s="32">
        <v>2.6</v>
      </c>
      <c r="R27" s="32">
        <v>44.73</v>
      </c>
      <c r="S27" s="32">
        <v>53</v>
      </c>
      <c r="T27" s="34">
        <v>8.27</v>
      </c>
      <c r="U27" s="34">
        <v>-0.41</v>
      </c>
      <c r="V27" s="32">
        <v>2127.7199999999998</v>
      </c>
      <c r="X27" s="29" t="s">
        <v>51</v>
      </c>
      <c r="Y27" s="29">
        <f>ABS(AVERAGE(R301:R602))</f>
        <v>53.096589403973518</v>
      </c>
    </row>
    <row r="28" spans="1:27" ht="16.8" x14ac:dyDescent="0.3">
      <c r="A28" s="20">
        <v>2.7</v>
      </c>
      <c r="B28" s="20">
        <v>53</v>
      </c>
      <c r="C28" s="20">
        <v>38.130000000000003</v>
      </c>
      <c r="D28" s="20">
        <v>14.87</v>
      </c>
      <c r="E28" s="20">
        <v>-0.53</v>
      </c>
      <c r="F28" s="20">
        <v>3402.26</v>
      </c>
      <c r="H28" s="29" t="s">
        <v>52</v>
      </c>
      <c r="I28" s="29">
        <f>((I27-53)/53)*100</f>
        <v>-7.4534549544017323E-2</v>
      </c>
      <c r="Q28" s="32">
        <v>2.7</v>
      </c>
      <c r="R28" s="32">
        <v>45.23</v>
      </c>
      <c r="S28" s="34">
        <v>53</v>
      </c>
      <c r="T28" s="32">
        <v>7.77</v>
      </c>
      <c r="U28" s="32">
        <v>-0.5</v>
      </c>
      <c r="V28" s="32">
        <v>2065.17</v>
      </c>
      <c r="X28" s="29" t="s">
        <v>52</v>
      </c>
      <c r="Y28" s="29">
        <f>((Y27-53)/53)*100</f>
        <v>0.18224415844059916</v>
      </c>
    </row>
    <row r="29" spans="1:27" ht="16.8" x14ac:dyDescent="0.3">
      <c r="A29" s="20">
        <v>2.8</v>
      </c>
      <c r="B29" s="20">
        <v>53</v>
      </c>
      <c r="C29" s="20">
        <v>38.68</v>
      </c>
      <c r="D29" s="20">
        <v>14.32</v>
      </c>
      <c r="E29" s="20">
        <v>-0.55000000000000004</v>
      </c>
      <c r="F29" s="20">
        <v>3393.59</v>
      </c>
      <c r="Q29" s="32">
        <v>2.8</v>
      </c>
      <c r="R29" s="32">
        <v>45.65</v>
      </c>
      <c r="S29" s="32">
        <v>53</v>
      </c>
      <c r="T29" s="34">
        <v>7.35</v>
      </c>
      <c r="U29" s="34">
        <v>-0.42</v>
      </c>
      <c r="V29" s="32">
        <v>2018.35</v>
      </c>
    </row>
    <row r="30" spans="1:27" ht="16.8" x14ac:dyDescent="0.3">
      <c r="A30" s="20">
        <v>2.9</v>
      </c>
      <c r="B30" s="20">
        <v>53</v>
      </c>
      <c r="C30" s="20">
        <v>39.26</v>
      </c>
      <c r="D30" s="20">
        <v>13.74</v>
      </c>
      <c r="E30" s="20">
        <v>-0.57999999999999996</v>
      </c>
      <c r="F30" s="20">
        <v>3392.67</v>
      </c>
      <c r="H30" s="58" t="s">
        <v>53</v>
      </c>
      <c r="I30" s="58"/>
      <c r="Q30" s="32">
        <v>2.9</v>
      </c>
      <c r="R30" s="32">
        <v>46.07</v>
      </c>
      <c r="S30" s="34">
        <v>53</v>
      </c>
      <c r="T30" s="32">
        <v>6.93</v>
      </c>
      <c r="U30" s="32">
        <v>-0.42</v>
      </c>
      <c r="V30" s="32">
        <v>1968.64</v>
      </c>
      <c r="X30" s="58" t="s">
        <v>53</v>
      </c>
      <c r="Y30" s="58"/>
    </row>
    <row r="31" spans="1:27" ht="16.8" x14ac:dyDescent="0.3">
      <c r="A31" s="20">
        <v>3</v>
      </c>
      <c r="B31" s="20">
        <v>53</v>
      </c>
      <c r="C31" s="20">
        <v>39.76</v>
      </c>
      <c r="D31" s="20">
        <v>13.24</v>
      </c>
      <c r="E31" s="20">
        <v>-0.5</v>
      </c>
      <c r="F31" s="20">
        <v>3400.61</v>
      </c>
      <c r="H31" s="58" cm="1">
        <f t="array" ref="H31">SUMPRODUCT(ABS(D2:D603)*0.1)</f>
        <v>84.547000000000125</v>
      </c>
      <c r="I31" s="58"/>
      <c r="Q31" s="32">
        <v>3</v>
      </c>
      <c r="R31" s="32">
        <v>46.48</v>
      </c>
      <c r="S31" s="32">
        <v>53</v>
      </c>
      <c r="T31" s="34">
        <v>6.52</v>
      </c>
      <c r="U31" s="34">
        <v>-0.41</v>
      </c>
      <c r="V31" s="32">
        <v>1919.43</v>
      </c>
      <c r="X31" s="58" cm="1">
        <f t="array" ref="X31">SUMPRODUCT(ABS(T2:T602)*0.1)</f>
        <v>58.105000000000111</v>
      </c>
      <c r="Y31" s="58"/>
    </row>
    <row r="32" spans="1:27" ht="16.8" x14ac:dyDescent="0.3">
      <c r="A32" s="20">
        <v>3.1</v>
      </c>
      <c r="B32" s="20">
        <v>53</v>
      </c>
      <c r="C32" s="20">
        <v>40.36</v>
      </c>
      <c r="D32" s="20">
        <v>12.64</v>
      </c>
      <c r="E32" s="20">
        <v>-0.6</v>
      </c>
      <c r="F32" s="20">
        <v>3409.68</v>
      </c>
      <c r="Q32" s="32">
        <v>3.1</v>
      </c>
      <c r="R32" s="32">
        <v>46.83</v>
      </c>
      <c r="S32" s="34">
        <v>53</v>
      </c>
      <c r="T32" s="32">
        <v>6.17</v>
      </c>
      <c r="U32" s="32">
        <v>-0.35</v>
      </c>
      <c r="V32" s="32">
        <v>1879.4</v>
      </c>
    </row>
    <row r="33" spans="1:26" ht="16.8" x14ac:dyDescent="0.3">
      <c r="A33" s="20">
        <v>3.2</v>
      </c>
      <c r="B33" s="20">
        <v>53</v>
      </c>
      <c r="C33" s="20">
        <v>40.92</v>
      </c>
      <c r="D33" s="20">
        <v>12.08</v>
      </c>
      <c r="E33" s="20">
        <v>-0.56000000000000005</v>
      </c>
      <c r="F33" s="20">
        <v>3413.69</v>
      </c>
      <c r="H33" s="58" t="s">
        <v>54</v>
      </c>
      <c r="I33" s="58"/>
      <c r="Q33" s="32">
        <v>3.2</v>
      </c>
      <c r="R33" s="32">
        <v>47.24</v>
      </c>
      <c r="S33" s="32">
        <v>53</v>
      </c>
      <c r="T33" s="34">
        <v>5.76</v>
      </c>
      <c r="U33" s="34">
        <v>-0.41</v>
      </c>
      <c r="V33" s="32">
        <v>1826.89</v>
      </c>
      <c r="X33" s="58" t="s">
        <v>54</v>
      </c>
      <c r="Y33" s="58"/>
    </row>
    <row r="34" spans="1:26" ht="16.8" x14ac:dyDescent="0.3">
      <c r="A34" s="20">
        <v>3.3</v>
      </c>
      <c r="B34" s="20">
        <v>53</v>
      </c>
      <c r="C34" s="20">
        <v>41.44</v>
      </c>
      <c r="D34" s="20">
        <v>11.56</v>
      </c>
      <c r="E34" s="20">
        <v>-0.52</v>
      </c>
      <c r="F34" s="20">
        <v>3406.8</v>
      </c>
      <c r="H34" s="58" cm="1">
        <f t="array" ref="H34">SUMPRODUCT(((D2:D602)^2)*0.1)</f>
        <v>1469.0680899999929</v>
      </c>
      <c r="I34" s="58"/>
      <c r="Q34" s="32">
        <v>3.3</v>
      </c>
      <c r="R34" s="32">
        <v>47.62</v>
      </c>
      <c r="S34" s="32">
        <v>53</v>
      </c>
      <c r="T34" s="32">
        <v>5.38</v>
      </c>
      <c r="U34" s="32">
        <v>-0.38</v>
      </c>
      <c r="V34" s="32">
        <v>1780.68</v>
      </c>
      <c r="X34" s="58" cm="1">
        <f t="array" ref="X34">SUMPRODUCT(((T2:T602)^2)*0.1)</f>
        <v>596.19277000000216</v>
      </c>
      <c r="Y34" s="58"/>
    </row>
    <row r="35" spans="1:26" ht="16.8" x14ac:dyDescent="0.3">
      <c r="A35" s="20">
        <v>3.4</v>
      </c>
      <c r="B35" s="20">
        <v>53</v>
      </c>
      <c r="C35" s="20">
        <v>41.94</v>
      </c>
      <c r="D35" s="20">
        <v>11.06</v>
      </c>
      <c r="E35" s="20">
        <v>-0.5</v>
      </c>
      <c r="F35" s="20">
        <v>3404.3</v>
      </c>
      <c r="Q35" s="32">
        <v>3.4</v>
      </c>
      <c r="R35" s="32">
        <v>47.95</v>
      </c>
      <c r="S35" s="34">
        <v>53</v>
      </c>
      <c r="T35" s="34">
        <v>5.05</v>
      </c>
      <c r="U35" s="34">
        <v>-0.33</v>
      </c>
      <c r="V35" s="32">
        <v>1741.68</v>
      </c>
    </row>
    <row r="36" spans="1:26" ht="16.8" x14ac:dyDescent="0.3">
      <c r="A36" s="20">
        <v>3.5</v>
      </c>
      <c r="B36" s="20">
        <v>53</v>
      </c>
      <c r="C36" s="20">
        <v>42.56</v>
      </c>
      <c r="D36" s="20">
        <v>10.44</v>
      </c>
      <c r="E36" s="20">
        <v>-0.62</v>
      </c>
      <c r="F36" s="20">
        <v>3409.25</v>
      </c>
      <c r="H36" s="58" t="s">
        <v>55</v>
      </c>
      <c r="I36" s="58"/>
      <c r="J36" s="58"/>
      <c r="Q36" s="32">
        <v>3.5</v>
      </c>
      <c r="R36" s="32">
        <v>48.27</v>
      </c>
      <c r="S36" s="32">
        <v>53</v>
      </c>
      <c r="T36" s="32">
        <v>4.7300000000000004</v>
      </c>
      <c r="U36" s="32">
        <v>-0.31</v>
      </c>
      <c r="V36" s="32">
        <v>1703.7</v>
      </c>
      <c r="X36" s="58" t="s">
        <v>55</v>
      </c>
      <c r="Y36" s="58"/>
      <c r="Z36" s="58"/>
    </row>
    <row r="37" spans="1:26" ht="16.8" x14ac:dyDescent="0.3">
      <c r="A37" s="20">
        <v>3.6</v>
      </c>
      <c r="B37" s="20">
        <v>53</v>
      </c>
      <c r="C37" s="20">
        <v>43.06</v>
      </c>
      <c r="D37" s="20">
        <v>9.94</v>
      </c>
      <c r="E37" s="20">
        <v>-0.5</v>
      </c>
      <c r="F37" s="20">
        <v>3404.3</v>
      </c>
      <c r="H37" s="58" cm="1">
        <f t="array" ref="H37">SUMPRODUCT(A2:A603 * ABS(D2:D603) * 0.1)</f>
        <v>274.80769999999973</v>
      </c>
      <c r="I37" s="58"/>
      <c r="J37" s="58"/>
      <c r="Q37" s="32">
        <v>3.6</v>
      </c>
      <c r="R37" s="32">
        <v>48.56</v>
      </c>
      <c r="S37" s="34">
        <v>53</v>
      </c>
      <c r="T37" s="34">
        <v>4.4400000000000004</v>
      </c>
      <c r="U37" s="32">
        <v>-0.3</v>
      </c>
      <c r="V37" s="32">
        <v>1667.57</v>
      </c>
      <c r="X37" s="58" cm="1">
        <f t="array" ref="X37">SUMPRODUCT(Q2:Q603 * ABS(T2:T603) * 0.1)</f>
        <v>353.87639999999988</v>
      </c>
      <c r="Y37" s="58"/>
      <c r="Z37" s="58"/>
    </row>
    <row r="38" spans="1:26" ht="16.8" x14ac:dyDescent="0.3">
      <c r="A38" s="20">
        <v>3.7</v>
      </c>
      <c r="B38" s="20">
        <v>53</v>
      </c>
      <c r="C38" s="20">
        <v>43.6</v>
      </c>
      <c r="D38" s="20">
        <v>9.4</v>
      </c>
      <c r="E38" s="20">
        <v>-0.54</v>
      </c>
      <c r="F38" s="20">
        <v>3410.56</v>
      </c>
      <c r="Q38" s="32">
        <v>3.7</v>
      </c>
      <c r="R38" s="32">
        <v>48.88</v>
      </c>
      <c r="S38" s="32">
        <v>53</v>
      </c>
      <c r="T38" s="32">
        <v>4.12</v>
      </c>
      <c r="U38" s="34">
        <v>-0.31</v>
      </c>
      <c r="V38" s="32">
        <v>1627.41</v>
      </c>
    </row>
    <row r="39" spans="1:26" ht="16.8" x14ac:dyDescent="0.3">
      <c r="A39" s="20">
        <v>3.8</v>
      </c>
      <c r="B39" s="20">
        <v>53</v>
      </c>
      <c r="C39" s="20">
        <v>44.1</v>
      </c>
      <c r="D39" s="20">
        <v>8.9</v>
      </c>
      <c r="E39" s="20">
        <v>-0.51</v>
      </c>
      <c r="F39" s="20">
        <v>3405.56</v>
      </c>
      <c r="Q39" s="32">
        <v>3.8</v>
      </c>
      <c r="R39" s="32">
        <v>49.16</v>
      </c>
      <c r="S39" s="34">
        <v>53</v>
      </c>
      <c r="T39" s="34">
        <v>3.84</v>
      </c>
      <c r="U39" s="32">
        <v>-0.28000000000000003</v>
      </c>
      <c r="V39" s="32">
        <v>1592.82</v>
      </c>
    </row>
    <row r="40" spans="1:26" ht="16.8" x14ac:dyDescent="0.3">
      <c r="A40" s="20">
        <v>3.9</v>
      </c>
      <c r="B40" s="20">
        <v>53</v>
      </c>
      <c r="C40" s="20">
        <v>44.63</v>
      </c>
      <c r="D40" s="20">
        <v>8.3699999999999992</v>
      </c>
      <c r="E40" s="20">
        <v>-0.52</v>
      </c>
      <c r="F40" s="20">
        <v>3408.06</v>
      </c>
      <c r="Q40" s="32">
        <v>3.9</v>
      </c>
      <c r="R40" s="32">
        <v>49.46</v>
      </c>
      <c r="S40" s="32">
        <v>53</v>
      </c>
      <c r="T40" s="32">
        <v>3.54</v>
      </c>
      <c r="U40" s="34">
        <v>-0.3</v>
      </c>
      <c r="V40" s="32">
        <v>1553.85</v>
      </c>
    </row>
    <row r="41" spans="1:26" ht="16.8" x14ac:dyDescent="0.3">
      <c r="A41" s="20">
        <v>4</v>
      </c>
      <c r="B41" s="20">
        <v>53</v>
      </c>
      <c r="C41" s="20">
        <v>45.12</v>
      </c>
      <c r="D41" s="20">
        <v>7.88</v>
      </c>
      <c r="E41" s="20">
        <v>-0.49</v>
      </c>
      <c r="F41" s="20">
        <v>3402.4</v>
      </c>
      <c r="Q41" s="32">
        <v>4</v>
      </c>
      <c r="R41" s="32">
        <v>49.73</v>
      </c>
      <c r="S41" s="34">
        <v>53</v>
      </c>
      <c r="T41" s="34">
        <v>3.27</v>
      </c>
      <c r="U41" s="32">
        <v>-0.27</v>
      </c>
      <c r="V41" s="32">
        <v>1519.01</v>
      </c>
    </row>
    <row r="42" spans="1:26" ht="16.8" x14ac:dyDescent="0.3">
      <c r="A42" s="20">
        <v>4.0999999999999996</v>
      </c>
      <c r="B42" s="20">
        <v>53</v>
      </c>
      <c r="C42" s="20">
        <v>45.68</v>
      </c>
      <c r="D42" s="20">
        <v>7.32</v>
      </c>
      <c r="E42" s="20">
        <v>-0.56000000000000005</v>
      </c>
      <c r="F42" s="20">
        <v>3414.3</v>
      </c>
      <c r="Q42" s="32">
        <v>4.0999999999999996</v>
      </c>
      <c r="R42" s="32">
        <v>49.95</v>
      </c>
      <c r="S42" s="32">
        <v>53</v>
      </c>
      <c r="T42" s="32">
        <v>3.05</v>
      </c>
      <c r="U42" s="34">
        <v>-0.22</v>
      </c>
      <c r="V42" s="32">
        <v>1493.28</v>
      </c>
    </row>
    <row r="43" spans="1:26" ht="16.8" x14ac:dyDescent="0.3">
      <c r="A43" s="20">
        <v>4.2</v>
      </c>
      <c r="B43" s="20">
        <v>53</v>
      </c>
      <c r="C43" s="20">
        <v>46.14</v>
      </c>
      <c r="D43" s="20">
        <v>6.86</v>
      </c>
      <c r="E43" s="20">
        <v>-0.46</v>
      </c>
      <c r="F43" s="20">
        <v>3397.96</v>
      </c>
      <c r="Q43" s="32">
        <v>4.2</v>
      </c>
      <c r="R43" s="32">
        <v>50.21</v>
      </c>
      <c r="S43" s="32">
        <v>53</v>
      </c>
      <c r="T43" s="34">
        <v>2.79</v>
      </c>
      <c r="U43" s="32">
        <v>-0.26</v>
      </c>
      <c r="V43" s="32">
        <v>1458.32</v>
      </c>
    </row>
    <row r="44" spans="1:26" ht="16.8" x14ac:dyDescent="0.3">
      <c r="A44" s="20">
        <v>4.3</v>
      </c>
      <c r="B44" s="20">
        <v>53</v>
      </c>
      <c r="C44" s="20">
        <v>46.67</v>
      </c>
      <c r="D44" s="20">
        <v>6.33</v>
      </c>
      <c r="E44" s="20">
        <v>-0.53</v>
      </c>
      <c r="F44" s="20">
        <v>3409.33</v>
      </c>
      <c r="Q44" s="32">
        <v>4.3</v>
      </c>
      <c r="R44" s="32">
        <v>50.43</v>
      </c>
      <c r="S44" s="34">
        <v>53</v>
      </c>
      <c r="T44" s="32">
        <v>2.57</v>
      </c>
      <c r="U44" s="34">
        <v>-0.23</v>
      </c>
      <c r="V44" s="32">
        <v>1429.64</v>
      </c>
    </row>
    <row r="45" spans="1:26" ht="16.8" x14ac:dyDescent="0.3">
      <c r="A45" s="20">
        <v>4.4000000000000004</v>
      </c>
      <c r="B45" s="20">
        <v>53</v>
      </c>
      <c r="C45" s="20">
        <v>47.18</v>
      </c>
      <c r="D45" s="20">
        <v>5.82</v>
      </c>
      <c r="E45" s="20">
        <v>-0.51</v>
      </c>
      <c r="F45" s="20">
        <v>3406.18</v>
      </c>
      <c r="Q45" s="32">
        <v>4.4000000000000004</v>
      </c>
      <c r="R45" s="32">
        <v>50.69</v>
      </c>
      <c r="S45" s="32">
        <v>53</v>
      </c>
      <c r="T45" s="32">
        <v>2.31</v>
      </c>
      <c r="U45" s="32">
        <v>-0.26</v>
      </c>
      <c r="V45" s="32">
        <v>1393.76</v>
      </c>
    </row>
    <row r="46" spans="1:26" ht="16.8" x14ac:dyDescent="0.3">
      <c r="A46" s="20">
        <v>4.5</v>
      </c>
      <c r="B46" s="20">
        <v>53</v>
      </c>
      <c r="C46" s="20">
        <v>47.62</v>
      </c>
      <c r="D46" s="20">
        <v>5.38</v>
      </c>
      <c r="E46" s="20">
        <v>-0.44</v>
      </c>
      <c r="F46" s="20">
        <v>3394.13</v>
      </c>
      <c r="Q46" s="32">
        <v>4.5</v>
      </c>
      <c r="R46" s="32">
        <v>50.81</v>
      </c>
      <c r="S46" s="34">
        <v>53</v>
      </c>
      <c r="T46" s="34">
        <v>2.19</v>
      </c>
      <c r="U46" s="34">
        <v>-0.12</v>
      </c>
      <c r="V46" s="32">
        <v>1383.14</v>
      </c>
    </row>
    <row r="47" spans="1:26" ht="16.8" x14ac:dyDescent="0.3">
      <c r="A47" s="20">
        <v>4.5999999999999996</v>
      </c>
      <c r="B47" s="20">
        <v>53</v>
      </c>
      <c r="C47" s="20">
        <v>48.09</v>
      </c>
      <c r="D47" s="20">
        <v>4.91</v>
      </c>
      <c r="E47" s="20">
        <v>-0.47</v>
      </c>
      <c r="F47" s="20">
        <v>3399.22</v>
      </c>
      <c r="Q47" s="32">
        <v>4.5999999999999996</v>
      </c>
      <c r="R47" s="32">
        <v>51.06</v>
      </c>
      <c r="S47" s="32">
        <v>53</v>
      </c>
      <c r="T47" s="32">
        <v>1.94</v>
      </c>
      <c r="U47" s="32">
        <v>-0.25</v>
      </c>
      <c r="V47" s="32">
        <v>1345.35</v>
      </c>
    </row>
    <row r="48" spans="1:26" ht="16.8" x14ac:dyDescent="0.3">
      <c r="A48" s="20">
        <v>4.7</v>
      </c>
      <c r="B48" s="20">
        <v>53</v>
      </c>
      <c r="C48" s="20">
        <v>48.6</v>
      </c>
      <c r="D48" s="20">
        <v>4.4000000000000004</v>
      </c>
      <c r="E48" s="20">
        <v>-0.52</v>
      </c>
      <c r="F48" s="20">
        <v>3406.8</v>
      </c>
      <c r="Q48" s="32">
        <v>4.7</v>
      </c>
      <c r="R48" s="32">
        <v>51.26</v>
      </c>
      <c r="S48" s="34">
        <v>53</v>
      </c>
      <c r="T48" s="34">
        <v>1.74</v>
      </c>
      <c r="U48" s="32">
        <v>-0.2</v>
      </c>
      <c r="V48" s="32">
        <v>1318.94</v>
      </c>
    </row>
    <row r="49" spans="1:22" ht="16.8" x14ac:dyDescent="0.3">
      <c r="A49" s="20">
        <v>4.8</v>
      </c>
      <c r="B49" s="20">
        <v>53</v>
      </c>
      <c r="C49" s="20">
        <v>49.07</v>
      </c>
      <c r="D49" s="20">
        <v>3.93</v>
      </c>
      <c r="E49" s="20">
        <v>-0.47</v>
      </c>
      <c r="F49" s="20">
        <v>3399.23</v>
      </c>
      <c r="Q49" s="20">
        <v>4.8</v>
      </c>
      <c r="R49" s="20">
        <v>51.47</v>
      </c>
      <c r="S49" s="20">
        <v>53</v>
      </c>
      <c r="T49" s="20">
        <v>1.53</v>
      </c>
      <c r="U49" s="26">
        <v>-0.21</v>
      </c>
      <c r="V49" s="20">
        <v>1289.42</v>
      </c>
    </row>
    <row r="50" spans="1:22" ht="16.8" x14ac:dyDescent="0.3">
      <c r="A50" s="20">
        <v>4.9000000000000004</v>
      </c>
      <c r="B50" s="20">
        <v>53</v>
      </c>
      <c r="C50" s="20">
        <v>49.56</v>
      </c>
      <c r="D50" s="20">
        <v>3.44</v>
      </c>
      <c r="E50" s="20">
        <v>-0.49</v>
      </c>
      <c r="F50" s="20">
        <v>3403.03</v>
      </c>
      <c r="Q50" s="20">
        <v>4.9000000000000004</v>
      </c>
      <c r="R50" s="20">
        <v>51.62</v>
      </c>
      <c r="S50" s="26">
        <v>53</v>
      </c>
      <c r="T50" s="26">
        <v>1.38</v>
      </c>
      <c r="U50" s="20">
        <v>-0.15</v>
      </c>
      <c r="V50" s="20">
        <v>1271.4100000000001</v>
      </c>
    </row>
    <row r="51" spans="1:22" ht="16.8" x14ac:dyDescent="0.3">
      <c r="A51" s="20">
        <v>5</v>
      </c>
      <c r="B51" s="20">
        <v>53</v>
      </c>
      <c r="C51" s="20">
        <v>50.02</v>
      </c>
      <c r="D51" s="20">
        <v>2.98</v>
      </c>
      <c r="E51" s="20">
        <v>-0.46</v>
      </c>
      <c r="F51" s="20">
        <v>3368.28</v>
      </c>
      <c r="Q51" s="20">
        <v>5</v>
      </c>
      <c r="R51" s="20">
        <v>51.78</v>
      </c>
      <c r="S51" s="20">
        <v>53</v>
      </c>
      <c r="T51" s="20">
        <v>1.22</v>
      </c>
      <c r="U51" s="26">
        <v>-0.16</v>
      </c>
      <c r="V51" s="20">
        <v>1248.58</v>
      </c>
    </row>
    <row r="52" spans="1:22" ht="16.8" x14ac:dyDescent="0.3">
      <c r="A52" s="32">
        <v>5.0999999999999996</v>
      </c>
      <c r="B52" s="20">
        <v>53</v>
      </c>
      <c r="C52" s="20">
        <v>50.49</v>
      </c>
      <c r="D52" s="20">
        <v>2.5099999999999998</v>
      </c>
      <c r="E52" s="20">
        <v>-0.47</v>
      </c>
      <c r="F52" s="20">
        <v>2995.46</v>
      </c>
      <c r="Q52" s="20">
        <v>5.0999999999999996</v>
      </c>
      <c r="R52" s="20">
        <v>51.95</v>
      </c>
      <c r="S52" s="26">
        <v>53</v>
      </c>
      <c r="T52" s="26">
        <v>1.05</v>
      </c>
      <c r="U52" s="20">
        <v>-0.17</v>
      </c>
      <c r="V52" s="20">
        <v>1224.28</v>
      </c>
    </row>
    <row r="53" spans="1:22" ht="16.8" x14ac:dyDescent="0.3">
      <c r="A53" s="20">
        <v>5.2</v>
      </c>
      <c r="B53" s="20">
        <v>53</v>
      </c>
      <c r="C53" s="20">
        <v>50.9</v>
      </c>
      <c r="D53" s="20">
        <v>2.1</v>
      </c>
      <c r="E53" s="20">
        <v>-0.41</v>
      </c>
      <c r="F53" s="20">
        <v>2747.28</v>
      </c>
      <c r="Q53" s="20">
        <v>5.2</v>
      </c>
      <c r="R53" s="20">
        <v>52.06</v>
      </c>
      <c r="S53" s="20">
        <v>53</v>
      </c>
      <c r="T53" s="20">
        <v>0.94</v>
      </c>
      <c r="U53" s="26">
        <v>-0.11</v>
      </c>
      <c r="V53" s="20">
        <v>1210.1099999999999</v>
      </c>
    </row>
    <row r="54" spans="1:22" ht="16.8" x14ac:dyDescent="0.3">
      <c r="A54" s="45">
        <v>5.3</v>
      </c>
      <c r="B54" s="20">
        <v>53</v>
      </c>
      <c r="C54" s="20">
        <v>51.39</v>
      </c>
      <c r="D54" s="20">
        <v>1.61</v>
      </c>
      <c r="E54" s="20">
        <v>-0.49</v>
      </c>
      <c r="F54" s="20">
        <v>2110.7399999999998</v>
      </c>
      <c r="Q54" s="35">
        <v>5.3</v>
      </c>
      <c r="R54" s="35">
        <v>52.21</v>
      </c>
      <c r="S54" s="36">
        <v>53</v>
      </c>
      <c r="T54" s="36">
        <v>0.79</v>
      </c>
      <c r="U54" s="35">
        <v>-0.15</v>
      </c>
      <c r="V54" s="35">
        <v>1188.43</v>
      </c>
    </row>
    <row r="55" spans="1:22" ht="16.8" x14ac:dyDescent="0.3">
      <c r="A55" s="20">
        <v>5.4</v>
      </c>
      <c r="B55" s="20">
        <v>53</v>
      </c>
      <c r="C55" s="20">
        <v>51.83</v>
      </c>
      <c r="D55" s="20">
        <v>1.17</v>
      </c>
      <c r="E55" s="20">
        <v>-0.44</v>
      </c>
      <c r="F55" s="20">
        <v>1800</v>
      </c>
      <c r="Q55" s="20">
        <v>5.4</v>
      </c>
      <c r="R55" s="20">
        <v>52.33</v>
      </c>
      <c r="S55" s="20">
        <v>53</v>
      </c>
      <c r="T55" s="20">
        <v>0.67</v>
      </c>
      <c r="U55" s="26">
        <v>-0.12</v>
      </c>
      <c r="V55" s="20">
        <v>1171.6199999999999</v>
      </c>
    </row>
    <row r="56" spans="1:22" ht="16.8" x14ac:dyDescent="0.3">
      <c r="A56" s="20">
        <v>5.5</v>
      </c>
      <c r="B56" s="20">
        <v>53</v>
      </c>
      <c r="C56" s="20">
        <v>52.18</v>
      </c>
      <c r="D56" s="20">
        <v>0.82</v>
      </c>
      <c r="E56" s="20">
        <v>-0.35</v>
      </c>
      <c r="F56" s="20">
        <v>1800</v>
      </c>
      <c r="Q56" s="20">
        <v>5.5</v>
      </c>
      <c r="R56" s="20">
        <v>52.45</v>
      </c>
      <c r="S56" s="26">
        <v>53</v>
      </c>
      <c r="T56" s="26">
        <v>0.55000000000000004</v>
      </c>
      <c r="U56" s="20">
        <v>-0.12</v>
      </c>
      <c r="V56" s="20">
        <v>1153.94</v>
      </c>
    </row>
    <row r="57" spans="1:22" ht="16.8" x14ac:dyDescent="0.3">
      <c r="A57" s="20">
        <v>5.6</v>
      </c>
      <c r="B57" s="20">
        <v>53</v>
      </c>
      <c r="C57" s="20">
        <v>52.59</v>
      </c>
      <c r="D57" s="20">
        <v>0.41</v>
      </c>
      <c r="E57" s="20">
        <v>-0.41</v>
      </c>
      <c r="F57" s="20">
        <v>1411.37</v>
      </c>
      <c r="Q57" s="20">
        <v>5.6</v>
      </c>
      <c r="R57" s="20">
        <v>52.61</v>
      </c>
      <c r="S57" s="20">
        <v>53</v>
      </c>
      <c r="T57" s="20">
        <v>0.39</v>
      </c>
      <c r="U57" s="20">
        <v>-0.16</v>
      </c>
      <c r="V57" s="20">
        <v>1128.6099999999999</v>
      </c>
    </row>
    <row r="58" spans="1:22" ht="16.8" x14ac:dyDescent="0.3">
      <c r="A58" s="20">
        <v>5.7</v>
      </c>
      <c r="B58" s="20">
        <v>53</v>
      </c>
      <c r="C58" s="20">
        <v>52.91</v>
      </c>
      <c r="D58" s="20">
        <v>0.09</v>
      </c>
      <c r="E58" s="20">
        <v>-0.32</v>
      </c>
      <c r="F58" s="20">
        <v>1225.98</v>
      </c>
      <c r="Q58" s="20">
        <v>5.7</v>
      </c>
      <c r="R58" s="20">
        <v>52.69</v>
      </c>
      <c r="S58" s="26">
        <v>53</v>
      </c>
      <c r="T58" s="26">
        <v>0.31</v>
      </c>
      <c r="U58" s="26">
        <v>-0.08</v>
      </c>
      <c r="V58" s="20">
        <v>1118.6300000000001</v>
      </c>
    </row>
    <row r="59" spans="1:22" ht="16.8" x14ac:dyDescent="0.3">
      <c r="A59" s="20">
        <v>5.8</v>
      </c>
      <c r="B59" s="20">
        <v>53</v>
      </c>
      <c r="C59" s="20">
        <v>53.29</v>
      </c>
      <c r="D59" s="20">
        <v>-0.28999999999999998</v>
      </c>
      <c r="E59" s="20">
        <v>-0.38</v>
      </c>
      <c r="F59" s="20">
        <v>1016.17</v>
      </c>
      <c r="Q59" s="20">
        <v>5.8</v>
      </c>
      <c r="R59" s="20">
        <v>52.8</v>
      </c>
      <c r="S59" s="20">
        <v>53</v>
      </c>
      <c r="T59" s="20">
        <v>0.2</v>
      </c>
      <c r="U59" s="20">
        <v>-0.1</v>
      </c>
      <c r="V59" s="20">
        <v>1102.1099999999999</v>
      </c>
    </row>
    <row r="60" spans="1:22" ht="16.8" x14ac:dyDescent="0.3">
      <c r="A60" s="20">
        <v>5.9</v>
      </c>
      <c r="B60" s="20">
        <v>53</v>
      </c>
      <c r="C60" s="20">
        <v>53.58</v>
      </c>
      <c r="D60" s="20">
        <v>-0.57999999999999996</v>
      </c>
      <c r="E60" s="20">
        <v>-0.28999999999999998</v>
      </c>
      <c r="F60" s="20">
        <v>899.77</v>
      </c>
      <c r="Q60" s="20">
        <v>5.9</v>
      </c>
      <c r="R60" s="20">
        <v>52.96</v>
      </c>
      <c r="S60" s="26">
        <v>53</v>
      </c>
      <c r="T60" s="26">
        <v>0.04</v>
      </c>
      <c r="U60" s="26">
        <v>-0.17</v>
      </c>
      <c r="V60" s="20">
        <v>1074.1199999999999</v>
      </c>
    </row>
    <row r="61" spans="1:22" ht="16.8" x14ac:dyDescent="0.3">
      <c r="A61" s="20">
        <v>6</v>
      </c>
      <c r="B61" s="20">
        <v>53</v>
      </c>
      <c r="C61" s="20">
        <v>53.88</v>
      </c>
      <c r="D61" s="20">
        <v>-0.88</v>
      </c>
      <c r="E61" s="20">
        <v>-0.3</v>
      </c>
      <c r="F61" s="20">
        <v>62.42</v>
      </c>
      <c r="Q61" s="20">
        <v>6</v>
      </c>
      <c r="R61" s="20">
        <v>52.99</v>
      </c>
      <c r="S61" s="20">
        <v>53</v>
      </c>
      <c r="T61" s="20">
        <v>0.01</v>
      </c>
      <c r="U61" s="20">
        <v>-0.02</v>
      </c>
      <c r="V61" s="20">
        <v>1073.8399999999999</v>
      </c>
    </row>
    <row r="62" spans="1:22" ht="16.8" x14ac:dyDescent="0.3">
      <c r="A62" s="20">
        <v>6.1</v>
      </c>
      <c r="B62" s="20">
        <v>53</v>
      </c>
      <c r="C62" s="20">
        <v>54.14</v>
      </c>
      <c r="D62" s="20">
        <v>-1.1399999999999999</v>
      </c>
      <c r="E62" s="20">
        <v>-0.26</v>
      </c>
      <c r="F62" s="20">
        <v>59.82</v>
      </c>
      <c r="Q62" s="20">
        <v>6.1</v>
      </c>
      <c r="R62" s="20">
        <v>53.08</v>
      </c>
      <c r="S62" s="26">
        <v>53</v>
      </c>
      <c r="T62" s="20">
        <v>-0.08</v>
      </c>
      <c r="U62" s="26">
        <v>-0.09</v>
      </c>
      <c r="V62" s="20">
        <v>1058.22</v>
      </c>
    </row>
    <row r="63" spans="1:22" ht="16.8" x14ac:dyDescent="0.3">
      <c r="A63" s="20">
        <v>6.2</v>
      </c>
      <c r="B63" s="20">
        <v>53</v>
      </c>
      <c r="C63" s="20">
        <v>54.31</v>
      </c>
      <c r="D63" s="20">
        <v>-1.31</v>
      </c>
      <c r="E63" s="20">
        <v>-0.18</v>
      </c>
      <c r="F63" s="20">
        <v>55.73</v>
      </c>
      <c r="Q63" s="20">
        <v>6.2</v>
      </c>
      <c r="R63" s="20">
        <v>53.18</v>
      </c>
      <c r="S63" s="20">
        <v>53</v>
      </c>
      <c r="T63" s="26">
        <v>-0.18</v>
      </c>
      <c r="U63" s="20">
        <v>-0.1</v>
      </c>
      <c r="V63" s="20">
        <v>1041</v>
      </c>
    </row>
    <row r="64" spans="1:22" ht="16.8" x14ac:dyDescent="0.3">
      <c r="A64" s="20">
        <v>6.3</v>
      </c>
      <c r="B64" s="20">
        <v>53</v>
      </c>
      <c r="C64" s="20">
        <v>54.49</v>
      </c>
      <c r="D64" s="20">
        <v>-1.49</v>
      </c>
      <c r="E64" s="20">
        <v>-0.17</v>
      </c>
      <c r="F64" s="20">
        <v>55.55</v>
      </c>
      <c r="Q64" s="20">
        <v>6.3</v>
      </c>
      <c r="R64" s="20">
        <v>53.25</v>
      </c>
      <c r="S64" s="26">
        <v>53</v>
      </c>
      <c r="T64" s="20">
        <v>-0.25</v>
      </c>
      <c r="U64" s="26">
        <v>-7.0000000000000007E-2</v>
      </c>
      <c r="V64" s="20">
        <v>1029.82</v>
      </c>
    </row>
    <row r="65" spans="1:22" ht="16.8" x14ac:dyDescent="0.3">
      <c r="A65" s="20">
        <v>6.4</v>
      </c>
      <c r="B65" s="20">
        <v>53</v>
      </c>
      <c r="C65" s="20">
        <v>54.64</v>
      </c>
      <c r="D65" s="20">
        <v>-1.64</v>
      </c>
      <c r="E65" s="20">
        <v>-0.15</v>
      </c>
      <c r="F65" s="20">
        <v>54.54</v>
      </c>
      <c r="Q65" s="20">
        <v>6.4</v>
      </c>
      <c r="R65" s="20">
        <v>53.33</v>
      </c>
      <c r="S65" s="20">
        <v>53</v>
      </c>
      <c r="T65" s="26">
        <v>-0.33</v>
      </c>
      <c r="U65" s="20">
        <v>-7.0000000000000007E-2</v>
      </c>
      <c r="V65" s="20">
        <v>1017.71</v>
      </c>
    </row>
    <row r="66" spans="1:22" ht="16.8" x14ac:dyDescent="0.3">
      <c r="A66" s="20">
        <v>6.5</v>
      </c>
      <c r="B66" s="20">
        <v>53</v>
      </c>
      <c r="C66" s="20">
        <v>54.71</v>
      </c>
      <c r="D66" s="20">
        <v>-1.71</v>
      </c>
      <c r="E66" s="20">
        <v>-7.0000000000000007E-2</v>
      </c>
      <c r="F66" s="20">
        <v>52.04</v>
      </c>
      <c r="Q66" s="20">
        <v>6.5</v>
      </c>
      <c r="R66" s="20">
        <v>53.39</v>
      </c>
      <c r="S66" s="26">
        <v>53</v>
      </c>
      <c r="T66" s="20">
        <v>-0.39</v>
      </c>
      <c r="U66" s="26">
        <v>-0.06</v>
      </c>
      <c r="V66" s="20">
        <v>1006.89</v>
      </c>
    </row>
    <row r="67" spans="1:22" ht="16.8" x14ac:dyDescent="0.3">
      <c r="A67" s="20">
        <v>6.6</v>
      </c>
      <c r="B67" s="20">
        <v>53</v>
      </c>
      <c r="C67" s="20">
        <v>54.69</v>
      </c>
      <c r="D67" s="20">
        <v>-1.69</v>
      </c>
      <c r="E67" s="20">
        <v>0.01</v>
      </c>
      <c r="F67" s="20">
        <v>51.95</v>
      </c>
      <c r="Q67" s="20">
        <v>6.6</v>
      </c>
      <c r="R67" s="20">
        <v>53.45</v>
      </c>
      <c r="S67" s="20">
        <v>53</v>
      </c>
      <c r="T67" s="26">
        <v>-0.45</v>
      </c>
      <c r="U67" s="20">
        <v>-0.06</v>
      </c>
      <c r="V67" s="20">
        <v>997.22</v>
      </c>
    </row>
    <row r="68" spans="1:22" ht="16.8" x14ac:dyDescent="0.3">
      <c r="A68" s="20">
        <v>6.7</v>
      </c>
      <c r="B68" s="20">
        <v>53</v>
      </c>
      <c r="C68" s="20">
        <v>54.71</v>
      </c>
      <c r="D68" s="20">
        <v>-1.71</v>
      </c>
      <c r="E68" s="20">
        <v>-0.01</v>
      </c>
      <c r="F68" s="20">
        <v>52.03</v>
      </c>
      <c r="Q68" s="20">
        <v>6.7</v>
      </c>
      <c r="R68" s="20">
        <v>53.49</v>
      </c>
      <c r="S68" s="26">
        <v>53</v>
      </c>
      <c r="T68" s="20">
        <v>-0.49</v>
      </c>
      <c r="U68" s="26">
        <v>-0.04</v>
      </c>
      <c r="V68" s="20">
        <v>990.17</v>
      </c>
    </row>
    <row r="69" spans="1:22" ht="16.8" x14ac:dyDescent="0.3">
      <c r="A69" s="20">
        <v>6.8</v>
      </c>
      <c r="B69" s="20">
        <v>53</v>
      </c>
      <c r="C69" s="20">
        <v>54.66</v>
      </c>
      <c r="D69" s="20">
        <v>-1.66</v>
      </c>
      <c r="E69" s="20">
        <v>0.04</v>
      </c>
      <c r="F69" s="20">
        <v>51.75</v>
      </c>
      <c r="Q69" s="20">
        <v>6.8</v>
      </c>
      <c r="R69" s="20">
        <v>53.6</v>
      </c>
      <c r="S69" s="20">
        <v>53</v>
      </c>
      <c r="T69" s="26">
        <v>-0.6</v>
      </c>
      <c r="U69" s="20">
        <v>-0.11</v>
      </c>
      <c r="V69" s="20">
        <v>969.36</v>
      </c>
    </row>
    <row r="70" spans="1:22" ht="16.8" x14ac:dyDescent="0.3">
      <c r="A70" s="20">
        <v>6.9</v>
      </c>
      <c r="B70" s="20">
        <v>53</v>
      </c>
      <c r="C70" s="20">
        <v>54.54</v>
      </c>
      <c r="D70" s="20">
        <v>-1.54</v>
      </c>
      <c r="E70" s="20">
        <v>0.12</v>
      </c>
      <c r="F70" s="20">
        <v>53.36</v>
      </c>
      <c r="Q70" s="20">
        <v>6.9</v>
      </c>
      <c r="R70" s="20">
        <v>53.63</v>
      </c>
      <c r="S70" s="26">
        <v>53</v>
      </c>
      <c r="T70" s="20">
        <v>-0.63</v>
      </c>
      <c r="U70" s="20">
        <v>-0.02</v>
      </c>
      <c r="V70" s="20">
        <v>966.26</v>
      </c>
    </row>
    <row r="71" spans="1:22" ht="16.8" x14ac:dyDescent="0.3">
      <c r="A71" s="20">
        <v>7</v>
      </c>
      <c r="B71" s="20">
        <v>53</v>
      </c>
      <c r="C71" s="20">
        <v>54.47</v>
      </c>
      <c r="D71" s="20">
        <v>-1.47</v>
      </c>
      <c r="E71" s="20">
        <v>7.0000000000000007E-2</v>
      </c>
      <c r="F71" s="20">
        <v>52.12</v>
      </c>
      <c r="Q71" s="20">
        <v>7</v>
      </c>
      <c r="R71" s="20">
        <v>53.67</v>
      </c>
      <c r="S71" s="20">
        <v>53</v>
      </c>
      <c r="T71" s="26">
        <v>-0.67</v>
      </c>
      <c r="U71" s="26">
        <v>-0.05</v>
      </c>
      <c r="V71" s="20">
        <v>956.56</v>
      </c>
    </row>
    <row r="72" spans="1:22" ht="16.8" x14ac:dyDescent="0.3">
      <c r="A72" s="20">
        <v>7.1</v>
      </c>
      <c r="B72" s="20">
        <v>53</v>
      </c>
      <c r="C72" s="20">
        <v>54.37</v>
      </c>
      <c r="D72" s="20">
        <v>-1.37</v>
      </c>
      <c r="E72" s="20">
        <v>0.1</v>
      </c>
      <c r="F72" s="20">
        <v>52.85</v>
      </c>
      <c r="Q72" s="20">
        <v>7.1</v>
      </c>
      <c r="R72" s="20">
        <v>53.73</v>
      </c>
      <c r="S72" s="26">
        <v>53</v>
      </c>
      <c r="T72" s="20">
        <v>-0.73</v>
      </c>
      <c r="U72" s="20">
        <v>-0.06</v>
      </c>
      <c r="V72" s="20">
        <v>945.84</v>
      </c>
    </row>
    <row r="73" spans="1:22" ht="16.8" x14ac:dyDescent="0.3">
      <c r="A73" s="20">
        <v>7.2</v>
      </c>
      <c r="B73" s="20">
        <v>53</v>
      </c>
      <c r="C73" s="20">
        <v>54.21</v>
      </c>
      <c r="D73" s="20">
        <v>-1.21</v>
      </c>
      <c r="E73" s="20">
        <v>0.16</v>
      </c>
      <c r="F73" s="20">
        <v>54.86</v>
      </c>
      <c r="Q73" s="20">
        <v>7.2</v>
      </c>
      <c r="R73" s="20">
        <v>53.83</v>
      </c>
      <c r="S73" s="20">
        <v>53</v>
      </c>
      <c r="T73" s="26">
        <v>-0.83</v>
      </c>
      <c r="U73" s="26">
        <v>-0.1</v>
      </c>
      <c r="V73" s="20">
        <v>927.82</v>
      </c>
    </row>
    <row r="74" spans="1:22" ht="16.8" x14ac:dyDescent="0.3">
      <c r="A74" s="20">
        <v>7.3</v>
      </c>
      <c r="B74" s="20">
        <v>53</v>
      </c>
      <c r="C74" s="20">
        <v>54.05</v>
      </c>
      <c r="D74" s="20">
        <v>-1.05</v>
      </c>
      <c r="E74" s="20">
        <v>0.16</v>
      </c>
      <c r="F74" s="20">
        <v>55.03</v>
      </c>
      <c r="Q74" s="20">
        <v>7.3</v>
      </c>
      <c r="R74" s="20">
        <v>53.8</v>
      </c>
      <c r="S74" s="20">
        <v>53</v>
      </c>
      <c r="T74" s="20">
        <v>-0.8</v>
      </c>
      <c r="U74" s="20">
        <v>0.02</v>
      </c>
      <c r="V74" s="20">
        <v>932.66</v>
      </c>
    </row>
    <row r="75" spans="1:22" ht="16.8" x14ac:dyDescent="0.3">
      <c r="A75" s="20">
        <v>7.4</v>
      </c>
      <c r="B75" s="20">
        <v>53</v>
      </c>
      <c r="C75" s="20">
        <v>53.85</v>
      </c>
      <c r="D75" s="20">
        <v>-0.85</v>
      </c>
      <c r="E75" s="20">
        <v>0.2</v>
      </c>
      <c r="F75" s="20">
        <v>57.59</v>
      </c>
      <c r="Q75" s="20">
        <v>7.4</v>
      </c>
      <c r="R75" s="20">
        <v>53.86</v>
      </c>
      <c r="S75" s="26">
        <v>53</v>
      </c>
      <c r="T75" s="20">
        <v>-0.86</v>
      </c>
      <c r="U75" s="26">
        <v>-0.06</v>
      </c>
      <c r="V75" s="20">
        <v>919.91</v>
      </c>
    </row>
    <row r="76" spans="1:22" ht="16.8" x14ac:dyDescent="0.3">
      <c r="A76" s="20">
        <v>7.5</v>
      </c>
      <c r="B76" s="20">
        <v>53</v>
      </c>
      <c r="C76" s="20">
        <v>53.69</v>
      </c>
      <c r="D76" s="20">
        <v>-0.69</v>
      </c>
      <c r="E76" s="20">
        <v>0.17</v>
      </c>
      <c r="F76" s="20">
        <v>1220.6400000000001</v>
      </c>
      <c r="Q76" s="20">
        <v>7.5</v>
      </c>
      <c r="R76" s="20">
        <v>53.88</v>
      </c>
      <c r="S76" s="20">
        <v>53</v>
      </c>
      <c r="T76" s="26">
        <v>-0.88</v>
      </c>
      <c r="U76" s="20">
        <v>-0.02</v>
      </c>
      <c r="V76" s="20">
        <v>914.87</v>
      </c>
    </row>
    <row r="77" spans="1:22" ht="16.8" x14ac:dyDescent="0.3">
      <c r="A77" s="20">
        <v>7.6</v>
      </c>
      <c r="B77" s="20">
        <v>53</v>
      </c>
      <c r="C77" s="20">
        <v>53.52</v>
      </c>
      <c r="D77" s="20">
        <v>-0.52</v>
      </c>
      <c r="E77" s="20">
        <v>0.17</v>
      </c>
      <c r="F77" s="20">
        <v>1285.6400000000001</v>
      </c>
      <c r="Q77" s="20">
        <v>7.6</v>
      </c>
      <c r="R77" s="20">
        <v>53.91</v>
      </c>
      <c r="S77" s="26">
        <v>53</v>
      </c>
      <c r="T77" s="20">
        <v>-0.91</v>
      </c>
      <c r="U77" s="26">
        <v>-0.02</v>
      </c>
      <c r="V77" s="20">
        <v>908.99</v>
      </c>
    </row>
    <row r="78" spans="1:22" ht="16.8" x14ac:dyDescent="0.3">
      <c r="A78" s="20">
        <v>7.7</v>
      </c>
      <c r="B78" s="20">
        <v>53</v>
      </c>
      <c r="C78" s="20">
        <v>53.32</v>
      </c>
      <c r="D78" s="20">
        <v>-0.32</v>
      </c>
      <c r="E78" s="20">
        <v>0.19</v>
      </c>
      <c r="F78" s="20">
        <v>1303.67</v>
      </c>
      <c r="Q78" s="20">
        <v>7.7</v>
      </c>
      <c r="R78" s="20">
        <v>53.93</v>
      </c>
      <c r="S78" s="20">
        <v>53</v>
      </c>
      <c r="T78" s="26">
        <v>-0.93</v>
      </c>
      <c r="U78" s="20">
        <v>-0.02</v>
      </c>
      <c r="V78" s="20">
        <v>903.06</v>
      </c>
    </row>
    <row r="79" spans="1:22" ht="16.8" x14ac:dyDescent="0.3">
      <c r="A79" s="20">
        <v>7.8</v>
      </c>
      <c r="B79" s="20">
        <v>53</v>
      </c>
      <c r="C79" s="20">
        <v>53.16</v>
      </c>
      <c r="D79" s="20">
        <v>-0.16</v>
      </c>
      <c r="E79" s="20">
        <v>0.16</v>
      </c>
      <c r="F79" s="20">
        <v>1296.3</v>
      </c>
      <c r="Q79" s="20">
        <v>7.8</v>
      </c>
      <c r="R79" s="20">
        <v>53.94</v>
      </c>
      <c r="S79" s="26">
        <v>53</v>
      </c>
      <c r="T79" s="20">
        <v>-0.94</v>
      </c>
      <c r="U79" s="26">
        <v>-0.01</v>
      </c>
      <c r="V79" s="20">
        <v>900.02</v>
      </c>
    </row>
    <row r="80" spans="1:22" ht="16.8" x14ac:dyDescent="0.3">
      <c r="A80" s="20">
        <v>7.9</v>
      </c>
      <c r="B80" s="20">
        <v>53</v>
      </c>
      <c r="C80" s="20">
        <v>53.02</v>
      </c>
      <c r="D80" s="20">
        <v>-0.02</v>
      </c>
      <c r="E80" s="20">
        <v>0.15</v>
      </c>
      <c r="F80" s="20">
        <v>1309.53</v>
      </c>
      <c r="Q80" s="20">
        <v>7.9</v>
      </c>
      <c r="R80" s="20">
        <v>53.96</v>
      </c>
      <c r="S80" s="20">
        <v>53</v>
      </c>
      <c r="T80" s="26">
        <v>-0.96</v>
      </c>
      <c r="U80" s="20">
        <v>-0.02</v>
      </c>
      <c r="V80" s="20">
        <v>895.1</v>
      </c>
    </row>
    <row r="81" spans="1:22" ht="16.8" x14ac:dyDescent="0.3">
      <c r="A81" s="20">
        <v>8</v>
      </c>
      <c r="B81" s="20">
        <v>53</v>
      </c>
      <c r="C81" s="20">
        <v>52.83</v>
      </c>
      <c r="D81" s="20">
        <v>0.17</v>
      </c>
      <c r="E81" s="20">
        <v>0.19</v>
      </c>
      <c r="F81" s="20">
        <v>1358.96</v>
      </c>
      <c r="Q81" s="20">
        <v>8</v>
      </c>
      <c r="R81" s="20">
        <v>54.02</v>
      </c>
      <c r="S81" s="26">
        <v>53</v>
      </c>
      <c r="T81" s="20">
        <v>-1.02</v>
      </c>
      <c r="U81" s="26">
        <v>-0.06</v>
      </c>
      <c r="V81" s="20">
        <v>881.49</v>
      </c>
    </row>
    <row r="82" spans="1:22" ht="16.8" x14ac:dyDescent="0.3">
      <c r="A82" s="20">
        <v>8.1</v>
      </c>
      <c r="B82" s="20">
        <v>53</v>
      </c>
      <c r="C82" s="20">
        <v>52.73</v>
      </c>
      <c r="D82" s="20">
        <v>0.27</v>
      </c>
      <c r="E82" s="20">
        <v>0.1</v>
      </c>
      <c r="F82" s="20">
        <v>1316.94</v>
      </c>
      <c r="Q82" s="20">
        <v>8.1</v>
      </c>
      <c r="R82" s="20">
        <v>54.01</v>
      </c>
      <c r="S82" s="20">
        <v>53</v>
      </c>
      <c r="T82" s="26">
        <v>-1.01</v>
      </c>
      <c r="U82" s="20">
        <v>0.01</v>
      </c>
      <c r="V82" s="20">
        <v>882.17</v>
      </c>
    </row>
    <row r="83" spans="1:22" ht="16.8" x14ac:dyDescent="0.3">
      <c r="A83" s="20">
        <v>8.1999999999999993</v>
      </c>
      <c r="B83" s="20">
        <v>53</v>
      </c>
      <c r="C83" s="20">
        <v>52.63</v>
      </c>
      <c r="D83" s="20">
        <v>0.37</v>
      </c>
      <c r="E83" s="20">
        <v>0.1</v>
      </c>
      <c r="F83" s="20">
        <v>1384.16</v>
      </c>
      <c r="Q83" s="20">
        <v>8.1999999999999993</v>
      </c>
      <c r="R83" s="20">
        <v>54</v>
      </c>
      <c r="S83" s="26">
        <v>53</v>
      </c>
      <c r="T83" s="20">
        <v>-1</v>
      </c>
      <c r="U83" s="26">
        <v>0.02</v>
      </c>
      <c r="V83" s="20">
        <v>882.59</v>
      </c>
    </row>
    <row r="84" spans="1:22" ht="16.8" x14ac:dyDescent="0.3">
      <c r="A84" s="20">
        <v>8.3000000000000007</v>
      </c>
      <c r="B84" s="20">
        <v>53</v>
      </c>
      <c r="C84" s="20">
        <v>52.57</v>
      </c>
      <c r="D84" s="20">
        <v>0.43</v>
      </c>
      <c r="E84" s="20">
        <v>0.06</v>
      </c>
      <c r="F84" s="20">
        <v>1425.26</v>
      </c>
      <c r="Q84" s="20">
        <v>8.3000000000000007</v>
      </c>
      <c r="R84" s="20">
        <v>54.05</v>
      </c>
      <c r="S84" s="20">
        <v>53</v>
      </c>
      <c r="T84" s="26">
        <v>-1.05</v>
      </c>
      <c r="U84" s="26">
        <v>-0.06</v>
      </c>
      <c r="V84" s="20">
        <v>869.59</v>
      </c>
    </row>
    <row r="85" spans="1:22" ht="16.8" x14ac:dyDescent="0.3">
      <c r="A85" s="20">
        <v>8.4</v>
      </c>
      <c r="B85" s="20">
        <v>53</v>
      </c>
      <c r="C85" s="20">
        <v>52.51</v>
      </c>
      <c r="D85" s="20">
        <v>0.49</v>
      </c>
      <c r="E85" s="20">
        <v>0.06</v>
      </c>
      <c r="F85" s="20">
        <v>1465.73</v>
      </c>
      <c r="Q85" s="20">
        <v>8.4</v>
      </c>
      <c r="R85" s="20">
        <v>54.04</v>
      </c>
      <c r="S85" s="26">
        <v>53</v>
      </c>
      <c r="T85" s="20">
        <v>-1.04</v>
      </c>
      <c r="U85" s="26">
        <v>0.01</v>
      </c>
      <c r="V85" s="20">
        <v>870</v>
      </c>
    </row>
    <row r="86" spans="1:22" ht="16.8" x14ac:dyDescent="0.3">
      <c r="A86" s="20">
        <v>8.5</v>
      </c>
      <c r="B86" s="20">
        <v>53</v>
      </c>
      <c r="C86" s="20">
        <v>52.46</v>
      </c>
      <c r="D86" s="20">
        <v>0.54</v>
      </c>
      <c r="E86" s="20">
        <v>0.05</v>
      </c>
      <c r="F86" s="20">
        <v>1506.39</v>
      </c>
      <c r="Q86" s="20">
        <v>8.5</v>
      </c>
      <c r="R86" s="20">
        <v>54.04</v>
      </c>
      <c r="S86" s="20">
        <v>53</v>
      </c>
      <c r="T86" s="26">
        <v>-1.04</v>
      </c>
      <c r="U86" s="26">
        <v>0</v>
      </c>
      <c r="V86" s="20">
        <v>867.4</v>
      </c>
    </row>
    <row r="87" spans="1:22" ht="16.8" x14ac:dyDescent="0.3">
      <c r="A87" s="20">
        <v>8.6</v>
      </c>
      <c r="B87" s="20">
        <v>53</v>
      </c>
      <c r="C87" s="20">
        <v>52.46</v>
      </c>
      <c r="D87" s="20">
        <v>0.54</v>
      </c>
      <c r="E87" s="20">
        <v>0</v>
      </c>
      <c r="F87" s="20">
        <v>1506.39</v>
      </c>
      <c r="Q87" s="20">
        <v>8.6</v>
      </c>
      <c r="R87" s="20">
        <v>54.07</v>
      </c>
      <c r="S87" s="20">
        <v>53</v>
      </c>
      <c r="T87" s="20">
        <v>-1.07</v>
      </c>
      <c r="U87" s="20">
        <v>-0.02</v>
      </c>
      <c r="V87" s="20">
        <v>860.58</v>
      </c>
    </row>
    <row r="88" spans="1:22" ht="16.8" x14ac:dyDescent="0.3">
      <c r="A88" s="20">
        <v>8.6999999999999993</v>
      </c>
      <c r="B88" s="20">
        <v>53</v>
      </c>
      <c r="C88" s="20">
        <v>52.46</v>
      </c>
      <c r="D88" s="20">
        <v>0.54</v>
      </c>
      <c r="E88" s="20">
        <v>0</v>
      </c>
      <c r="F88" s="20">
        <v>1509.67</v>
      </c>
      <c r="Q88" s="20">
        <v>8.6999999999999993</v>
      </c>
      <c r="R88" s="20">
        <v>54.04</v>
      </c>
      <c r="S88" s="26">
        <v>53</v>
      </c>
      <c r="T88" s="26">
        <v>-1.04</v>
      </c>
      <c r="U88" s="26">
        <v>0.03</v>
      </c>
      <c r="V88" s="20">
        <v>864.6</v>
      </c>
    </row>
    <row r="89" spans="1:22" ht="16.8" x14ac:dyDescent="0.3">
      <c r="A89" s="20">
        <v>8.8000000000000007</v>
      </c>
      <c r="B89" s="20">
        <v>53</v>
      </c>
      <c r="C89" s="20">
        <v>52.44</v>
      </c>
      <c r="D89" s="20">
        <v>0.56000000000000005</v>
      </c>
      <c r="E89" s="20">
        <v>0.02</v>
      </c>
      <c r="F89" s="20">
        <v>1526.52</v>
      </c>
      <c r="Q89" s="20">
        <v>8.8000000000000007</v>
      </c>
      <c r="R89" s="20">
        <v>54.03</v>
      </c>
      <c r="S89" s="20">
        <v>53</v>
      </c>
      <c r="T89" s="20">
        <v>-1.03</v>
      </c>
      <c r="U89" s="20">
        <v>0.01</v>
      </c>
      <c r="V89" s="20">
        <v>862.91</v>
      </c>
    </row>
    <row r="90" spans="1:22" ht="16.8" x14ac:dyDescent="0.3">
      <c r="A90" s="20">
        <v>8.9</v>
      </c>
      <c r="B90" s="20">
        <v>53</v>
      </c>
      <c r="C90" s="20">
        <v>52.47</v>
      </c>
      <c r="D90" s="20">
        <v>0.53</v>
      </c>
      <c r="E90" s="20">
        <v>-0.03</v>
      </c>
      <c r="F90" s="20">
        <v>1503.12</v>
      </c>
      <c r="Q90" s="20">
        <v>8.9</v>
      </c>
      <c r="R90" s="20">
        <v>54.05</v>
      </c>
      <c r="S90" s="26">
        <v>53</v>
      </c>
      <c r="T90" s="20">
        <v>-1.05</v>
      </c>
      <c r="U90" s="26">
        <v>-0.02</v>
      </c>
      <c r="V90" s="20">
        <v>855.93</v>
      </c>
    </row>
    <row r="91" spans="1:22" ht="16.8" x14ac:dyDescent="0.3">
      <c r="A91" s="20">
        <v>9</v>
      </c>
      <c r="B91" s="20">
        <v>53</v>
      </c>
      <c r="C91" s="20">
        <v>52.46</v>
      </c>
      <c r="D91" s="20">
        <v>0.54</v>
      </c>
      <c r="E91" s="20">
        <v>0</v>
      </c>
      <c r="F91" s="20">
        <v>1506.39</v>
      </c>
      <c r="Q91" s="20">
        <v>9</v>
      </c>
      <c r="R91" s="20">
        <v>54.1</v>
      </c>
      <c r="S91" s="20">
        <v>53</v>
      </c>
      <c r="T91" s="26">
        <v>-1.1000000000000001</v>
      </c>
      <c r="U91" s="20">
        <v>-0.05</v>
      </c>
      <c r="V91" s="20">
        <v>845.24</v>
      </c>
    </row>
    <row r="92" spans="1:22" ht="16.8" x14ac:dyDescent="0.3">
      <c r="A92" s="20">
        <v>9.1</v>
      </c>
      <c r="B92" s="20">
        <v>53</v>
      </c>
      <c r="C92" s="20">
        <v>52.55</v>
      </c>
      <c r="D92" s="20">
        <v>0.45</v>
      </c>
      <c r="E92" s="20">
        <v>-0.09</v>
      </c>
      <c r="F92" s="20">
        <v>1439.41</v>
      </c>
      <c r="Q92" s="20">
        <v>9.1</v>
      </c>
      <c r="R92" s="20">
        <v>54.09</v>
      </c>
      <c r="S92" s="26">
        <v>53</v>
      </c>
      <c r="T92" s="20">
        <v>-1.0900000000000001</v>
      </c>
      <c r="U92" s="26">
        <v>0.01</v>
      </c>
      <c r="V92" s="20">
        <v>845.35</v>
      </c>
    </row>
    <row r="93" spans="1:22" ht="16.8" x14ac:dyDescent="0.3">
      <c r="A93" s="20">
        <v>9.1999999999999993</v>
      </c>
      <c r="B93" s="20">
        <v>53</v>
      </c>
      <c r="C93" s="20">
        <v>52.59</v>
      </c>
      <c r="D93" s="20">
        <v>0.41</v>
      </c>
      <c r="E93" s="20">
        <v>-0.04</v>
      </c>
      <c r="F93" s="20">
        <v>1414.13</v>
      </c>
      <c r="Q93" s="20">
        <v>9.1999999999999993</v>
      </c>
      <c r="R93" s="20">
        <v>54.06</v>
      </c>
      <c r="S93" s="20">
        <v>53</v>
      </c>
      <c r="T93" s="26">
        <v>-1.06</v>
      </c>
      <c r="U93" s="20">
        <v>0.03</v>
      </c>
      <c r="V93" s="20">
        <v>848.54</v>
      </c>
    </row>
    <row r="94" spans="1:22" ht="16.8" x14ac:dyDescent="0.3">
      <c r="A94" s="20">
        <v>9.3000000000000007</v>
      </c>
      <c r="B94" s="20">
        <v>53</v>
      </c>
      <c r="C94" s="20">
        <v>52.61</v>
      </c>
      <c r="D94" s="20">
        <v>0.39</v>
      </c>
      <c r="E94" s="20">
        <v>-0.03</v>
      </c>
      <c r="F94" s="20">
        <v>1394.98</v>
      </c>
      <c r="Q94" s="20">
        <v>9.3000000000000007</v>
      </c>
      <c r="R94" s="20">
        <v>54.09</v>
      </c>
      <c r="S94" s="26">
        <v>53</v>
      </c>
      <c r="T94" s="20">
        <v>-1.0900000000000001</v>
      </c>
      <c r="U94" s="26">
        <v>-0.03</v>
      </c>
      <c r="V94" s="20">
        <v>839.42</v>
      </c>
    </row>
    <row r="95" spans="1:22" ht="16.8" x14ac:dyDescent="0.3">
      <c r="A95" s="20">
        <v>9.4</v>
      </c>
      <c r="B95" s="20">
        <v>53</v>
      </c>
      <c r="C95" s="20">
        <v>52.68</v>
      </c>
      <c r="D95" s="20">
        <v>0.32</v>
      </c>
      <c r="E95" s="20">
        <v>-7.0000000000000007E-2</v>
      </c>
      <c r="F95" s="20">
        <v>1349.28</v>
      </c>
      <c r="Q95" s="20">
        <v>9.4</v>
      </c>
      <c r="R95" s="20">
        <v>54.08</v>
      </c>
      <c r="S95" s="20">
        <v>53</v>
      </c>
      <c r="T95" s="26">
        <v>-1.08</v>
      </c>
      <c r="U95" s="26">
        <v>0.02</v>
      </c>
      <c r="V95" s="20">
        <v>840.63</v>
      </c>
    </row>
    <row r="96" spans="1:22" ht="16.8" x14ac:dyDescent="0.3">
      <c r="A96" s="20">
        <v>9.5</v>
      </c>
      <c r="B96" s="20">
        <v>53</v>
      </c>
      <c r="C96" s="20">
        <v>52.71</v>
      </c>
      <c r="D96" s="20">
        <v>0.28999999999999998</v>
      </c>
      <c r="E96" s="20">
        <v>-0.03</v>
      </c>
      <c r="F96" s="20">
        <v>1330.47</v>
      </c>
      <c r="Q96" s="20">
        <v>9.5</v>
      </c>
      <c r="R96" s="20">
        <v>54.06</v>
      </c>
      <c r="S96" s="26">
        <v>53</v>
      </c>
      <c r="T96" s="20">
        <v>-1.06</v>
      </c>
      <c r="U96" s="26">
        <v>0.02</v>
      </c>
      <c r="V96" s="20">
        <v>840.72</v>
      </c>
    </row>
    <row r="97" spans="1:22" ht="16.8" x14ac:dyDescent="0.3">
      <c r="A97" s="20">
        <v>9.6</v>
      </c>
      <c r="B97" s="20">
        <v>53</v>
      </c>
      <c r="C97" s="20">
        <v>52.78</v>
      </c>
      <c r="D97" s="20">
        <v>0.22</v>
      </c>
      <c r="E97" s="20">
        <v>-0.06</v>
      </c>
      <c r="F97" s="20">
        <v>1286.6600000000001</v>
      </c>
      <c r="Q97" s="20">
        <v>9.6</v>
      </c>
      <c r="R97" s="20">
        <v>54.08</v>
      </c>
      <c r="S97" s="20">
        <v>53</v>
      </c>
      <c r="T97" s="20">
        <v>-1.08</v>
      </c>
      <c r="U97" s="26">
        <v>-0.02</v>
      </c>
      <c r="V97" s="20">
        <v>833.47</v>
      </c>
    </row>
    <row r="98" spans="1:22" ht="16.8" x14ac:dyDescent="0.3">
      <c r="A98" s="20">
        <v>9.6999999999999993</v>
      </c>
      <c r="B98" s="20">
        <v>53</v>
      </c>
      <c r="C98" s="20">
        <v>52.84</v>
      </c>
      <c r="D98" s="20">
        <v>0.16</v>
      </c>
      <c r="E98" s="20">
        <v>-0.06</v>
      </c>
      <c r="F98" s="20">
        <v>1240.3800000000001</v>
      </c>
      <c r="Q98" s="20">
        <v>9.6999999999999993</v>
      </c>
      <c r="R98" s="20">
        <v>54.1</v>
      </c>
      <c r="S98" s="26">
        <v>53</v>
      </c>
      <c r="T98" s="26">
        <v>-1.1000000000000001</v>
      </c>
      <c r="U98" s="26">
        <v>-0.02</v>
      </c>
      <c r="V98" s="20">
        <v>828.6</v>
      </c>
    </row>
    <row r="99" spans="1:22" ht="16.8" x14ac:dyDescent="0.3">
      <c r="A99" s="20">
        <v>9.8000000000000007</v>
      </c>
      <c r="B99" s="20">
        <v>53</v>
      </c>
      <c r="C99" s="20">
        <v>52.93</v>
      </c>
      <c r="D99" s="20">
        <v>7.0000000000000007E-2</v>
      </c>
      <c r="E99" s="20">
        <v>-0.09</v>
      </c>
      <c r="F99" s="20">
        <v>1170.47</v>
      </c>
      <c r="Q99" s="20">
        <v>9.8000000000000007</v>
      </c>
      <c r="R99" s="20">
        <v>54.08</v>
      </c>
      <c r="S99" s="20">
        <v>53</v>
      </c>
      <c r="T99" s="20">
        <v>-1.08</v>
      </c>
      <c r="U99" s="26">
        <v>0.02</v>
      </c>
      <c r="V99" s="20">
        <v>829.41</v>
      </c>
    </row>
    <row r="100" spans="1:22" ht="16.8" x14ac:dyDescent="0.3">
      <c r="A100" s="20">
        <v>9.9</v>
      </c>
      <c r="B100" s="20">
        <v>53</v>
      </c>
      <c r="C100" s="20">
        <v>52.92</v>
      </c>
      <c r="D100" s="20">
        <v>0.08</v>
      </c>
      <c r="E100" s="20">
        <v>0</v>
      </c>
      <c r="F100" s="20">
        <v>1172.48</v>
      </c>
      <c r="Q100" s="20">
        <v>9.9</v>
      </c>
      <c r="R100" s="20">
        <v>54.04</v>
      </c>
      <c r="S100" s="26">
        <v>53</v>
      </c>
      <c r="T100" s="26">
        <v>-1.04</v>
      </c>
      <c r="U100" s="26">
        <v>0.05</v>
      </c>
      <c r="V100" s="20">
        <v>835.37</v>
      </c>
    </row>
    <row r="101" spans="1:22" ht="16.8" x14ac:dyDescent="0.3">
      <c r="A101" s="20">
        <v>10</v>
      </c>
      <c r="B101" s="20">
        <v>53</v>
      </c>
      <c r="C101" s="20">
        <v>53.03</v>
      </c>
      <c r="D101" s="20">
        <v>-0.03</v>
      </c>
      <c r="E101" s="20">
        <v>-0.1</v>
      </c>
      <c r="F101" s="20">
        <v>1093.42</v>
      </c>
      <c r="Q101" s="20">
        <v>10</v>
      </c>
      <c r="R101" s="20">
        <v>53.96</v>
      </c>
      <c r="S101" s="20">
        <v>53</v>
      </c>
      <c r="T101" s="20">
        <v>-0.96</v>
      </c>
      <c r="U101" s="26">
        <v>0.08</v>
      </c>
      <c r="V101" s="20">
        <v>846.58</v>
      </c>
    </row>
    <row r="102" spans="1:22" ht="16.8" x14ac:dyDescent="0.3">
      <c r="A102" s="20">
        <v>10.1</v>
      </c>
      <c r="B102" s="20">
        <v>53</v>
      </c>
      <c r="C102" s="20">
        <v>53.06</v>
      </c>
      <c r="D102" s="20">
        <v>-0.06</v>
      </c>
      <c r="E102" s="20">
        <v>-0.04</v>
      </c>
      <c r="F102" s="20">
        <v>1084.8699999999999</v>
      </c>
      <c r="Q102" s="20">
        <v>10.1</v>
      </c>
      <c r="R102" s="20">
        <v>54</v>
      </c>
      <c r="S102" s="20">
        <v>53</v>
      </c>
      <c r="T102" s="26">
        <v>-1</v>
      </c>
      <c r="U102" s="20">
        <v>-0.05</v>
      </c>
      <c r="V102" s="20">
        <v>833.59</v>
      </c>
    </row>
    <row r="103" spans="1:22" ht="16.8" x14ac:dyDescent="0.3">
      <c r="A103" s="20">
        <v>10.199999999999999</v>
      </c>
      <c r="B103" s="20">
        <v>53</v>
      </c>
      <c r="C103" s="20">
        <v>53.13</v>
      </c>
      <c r="D103" s="20">
        <v>-0.13</v>
      </c>
      <c r="E103" s="20">
        <v>-0.06</v>
      </c>
      <c r="F103" s="20">
        <v>1069.58</v>
      </c>
      <c r="Q103" s="20">
        <v>10.199999999999999</v>
      </c>
      <c r="R103" s="20">
        <v>53.82</v>
      </c>
      <c r="S103" s="26">
        <v>53</v>
      </c>
      <c r="T103" s="20">
        <v>-0.82</v>
      </c>
      <c r="U103" s="26">
        <v>0.19</v>
      </c>
      <c r="V103" s="20">
        <v>866.36</v>
      </c>
    </row>
    <row r="104" spans="1:22" ht="16.8" x14ac:dyDescent="0.3">
      <c r="A104" s="20">
        <v>10.3</v>
      </c>
      <c r="B104" s="20">
        <v>53</v>
      </c>
      <c r="C104" s="20">
        <v>53.15</v>
      </c>
      <c r="D104" s="20">
        <v>-0.15</v>
      </c>
      <c r="E104" s="20">
        <v>-0.02</v>
      </c>
      <c r="F104" s="20">
        <v>1064.8</v>
      </c>
      <c r="Q104" s="20">
        <v>10.3</v>
      </c>
      <c r="R104" s="20">
        <v>54.03</v>
      </c>
      <c r="S104" s="20">
        <v>53</v>
      </c>
      <c r="T104" s="26">
        <v>-1.03</v>
      </c>
      <c r="U104" s="20">
        <v>-0.21</v>
      </c>
      <c r="V104" s="20">
        <v>821.69</v>
      </c>
    </row>
    <row r="105" spans="1:22" ht="16.8" x14ac:dyDescent="0.3">
      <c r="A105" s="20">
        <v>10.4</v>
      </c>
      <c r="B105" s="20">
        <v>53</v>
      </c>
      <c r="C105" s="20">
        <v>53.17</v>
      </c>
      <c r="D105" s="20">
        <v>-0.17</v>
      </c>
      <c r="E105" s="20">
        <v>-0.02</v>
      </c>
      <c r="F105" s="20">
        <v>1060.01</v>
      </c>
      <c r="Q105" s="20">
        <v>10.4</v>
      </c>
      <c r="R105" s="20">
        <v>53.5</v>
      </c>
      <c r="S105" s="26">
        <v>53</v>
      </c>
      <c r="T105" s="20">
        <v>-0.5</v>
      </c>
      <c r="U105" s="26">
        <v>0.52</v>
      </c>
      <c r="V105" s="20">
        <v>920.21</v>
      </c>
    </row>
    <row r="106" spans="1:22" ht="16.8" x14ac:dyDescent="0.3">
      <c r="A106" s="20">
        <v>10.5</v>
      </c>
      <c r="B106" s="20">
        <v>53</v>
      </c>
      <c r="C106" s="20">
        <v>53.19</v>
      </c>
      <c r="D106" s="20">
        <v>-0.19</v>
      </c>
      <c r="E106" s="20">
        <v>-0.02</v>
      </c>
      <c r="F106" s="20">
        <v>1055.1600000000001</v>
      </c>
      <c r="Q106" s="20">
        <v>10.5</v>
      </c>
      <c r="R106" s="20">
        <v>54.02</v>
      </c>
      <c r="S106" s="20">
        <v>53</v>
      </c>
      <c r="T106" s="26">
        <v>-1.02</v>
      </c>
      <c r="U106" s="26">
        <v>-0.52</v>
      </c>
      <c r="V106" s="20">
        <v>812.09</v>
      </c>
    </row>
    <row r="107" spans="1:22" ht="16.8" x14ac:dyDescent="0.3">
      <c r="A107" s="20">
        <v>10.6</v>
      </c>
      <c r="B107" s="20">
        <v>53</v>
      </c>
      <c r="C107" s="20">
        <v>53.19</v>
      </c>
      <c r="D107" s="20">
        <v>-0.19</v>
      </c>
      <c r="E107" s="20">
        <v>-0.01</v>
      </c>
      <c r="F107" s="20">
        <v>1053.21</v>
      </c>
      <c r="Q107" s="20">
        <v>10.6</v>
      </c>
      <c r="R107" s="20">
        <v>53.46</v>
      </c>
      <c r="S107" s="26">
        <v>53</v>
      </c>
      <c r="T107" s="20">
        <v>-0.46</v>
      </c>
      <c r="U107" s="26">
        <v>0.56000000000000005</v>
      </c>
      <c r="V107" s="20">
        <v>925.36</v>
      </c>
    </row>
    <row r="108" spans="1:22" ht="16.8" x14ac:dyDescent="0.3">
      <c r="A108" s="20">
        <v>10.7</v>
      </c>
      <c r="B108" s="20">
        <v>53</v>
      </c>
      <c r="C108" s="20">
        <v>53.22</v>
      </c>
      <c r="D108" s="20">
        <v>-0.22</v>
      </c>
      <c r="E108" s="20">
        <v>-0.02</v>
      </c>
      <c r="F108" s="20">
        <v>1047.25</v>
      </c>
      <c r="Q108" s="20">
        <v>10.7</v>
      </c>
      <c r="R108" s="20">
        <v>54.03</v>
      </c>
      <c r="S108" s="20">
        <v>53</v>
      </c>
      <c r="T108" s="20">
        <v>-1.03</v>
      </c>
      <c r="U108" s="26">
        <v>-0.56999999999999995</v>
      </c>
      <c r="V108" s="20">
        <v>806.06</v>
      </c>
    </row>
    <row r="109" spans="1:22" ht="16.8" x14ac:dyDescent="0.3">
      <c r="A109" s="20">
        <v>10.8</v>
      </c>
      <c r="B109" s="20">
        <v>53</v>
      </c>
      <c r="C109" s="20">
        <v>53.23</v>
      </c>
      <c r="D109" s="20">
        <v>-0.23</v>
      </c>
      <c r="E109" s="20">
        <v>-0.02</v>
      </c>
      <c r="F109" s="20">
        <v>1043.23</v>
      </c>
      <c r="Q109" s="20">
        <v>10.8</v>
      </c>
      <c r="R109" s="20">
        <v>53.36</v>
      </c>
      <c r="S109" s="26">
        <v>53</v>
      </c>
      <c r="T109" s="26">
        <v>-0.36</v>
      </c>
      <c r="U109" s="26">
        <v>0.67</v>
      </c>
      <c r="V109" s="20">
        <v>939.83</v>
      </c>
    </row>
    <row r="110" spans="1:22" ht="16.8" x14ac:dyDescent="0.3">
      <c r="A110" s="20">
        <v>10.9</v>
      </c>
      <c r="B110" s="20">
        <v>53</v>
      </c>
      <c r="C110" s="20">
        <v>53.2</v>
      </c>
      <c r="D110" s="20">
        <v>-0.2</v>
      </c>
      <c r="E110" s="20">
        <v>0.03</v>
      </c>
      <c r="F110" s="20">
        <v>1114.76</v>
      </c>
      <c r="Q110" s="20">
        <v>10.9</v>
      </c>
      <c r="R110" s="20">
        <v>54.01</v>
      </c>
      <c r="S110" s="20">
        <v>53</v>
      </c>
      <c r="T110" s="20">
        <v>-1.01</v>
      </c>
      <c r="U110" s="26">
        <v>-0.65</v>
      </c>
      <c r="V110" s="20">
        <v>803.5</v>
      </c>
    </row>
    <row r="111" spans="1:22" ht="16.8" x14ac:dyDescent="0.3">
      <c r="A111" s="20">
        <v>11</v>
      </c>
      <c r="B111" s="20">
        <v>53</v>
      </c>
      <c r="C111" s="20">
        <v>53.23</v>
      </c>
      <c r="D111" s="20">
        <v>-0.23</v>
      </c>
      <c r="E111" s="20">
        <v>-0.03</v>
      </c>
      <c r="F111" s="20">
        <v>1043.23</v>
      </c>
      <c r="Q111" s="20">
        <v>11</v>
      </c>
      <c r="R111" s="20">
        <v>53.37</v>
      </c>
      <c r="S111" s="26">
        <v>53</v>
      </c>
      <c r="T111" s="26">
        <v>-0.37</v>
      </c>
      <c r="U111" s="26">
        <v>0.64</v>
      </c>
      <c r="V111" s="20">
        <v>934.81</v>
      </c>
    </row>
    <row r="112" spans="1:22" ht="16.8" x14ac:dyDescent="0.3">
      <c r="A112" s="20">
        <v>11.1</v>
      </c>
      <c r="B112" s="20">
        <v>53</v>
      </c>
      <c r="C112" s="20">
        <v>53.22</v>
      </c>
      <c r="D112" s="20">
        <v>-0.22</v>
      </c>
      <c r="E112" s="20">
        <v>0.02</v>
      </c>
      <c r="F112" s="20">
        <v>1080.8599999999999</v>
      </c>
      <c r="Q112" s="20">
        <v>11.1</v>
      </c>
      <c r="R112" s="20">
        <v>53.96</v>
      </c>
      <c r="S112" s="20">
        <v>53</v>
      </c>
      <c r="T112" s="20">
        <v>-0.96</v>
      </c>
      <c r="U112" s="26">
        <v>-0.59</v>
      </c>
      <c r="V112" s="20">
        <v>810.84</v>
      </c>
    </row>
    <row r="113" spans="1:22" ht="16.8" x14ac:dyDescent="0.3">
      <c r="A113" s="20">
        <v>11.2</v>
      </c>
      <c r="B113" s="20">
        <v>53</v>
      </c>
      <c r="C113" s="20">
        <v>53.19</v>
      </c>
      <c r="D113" s="20">
        <v>-0.19</v>
      </c>
      <c r="E113" s="20">
        <v>0.02</v>
      </c>
      <c r="F113" s="20">
        <v>1101.6400000000001</v>
      </c>
      <c r="Q113" s="20">
        <v>11.2</v>
      </c>
      <c r="R113" s="20">
        <v>53.36</v>
      </c>
      <c r="S113" s="26">
        <v>53</v>
      </c>
      <c r="T113" s="26">
        <v>-0.36</v>
      </c>
      <c r="U113" s="26">
        <v>0.6</v>
      </c>
      <c r="V113" s="20">
        <v>931.89</v>
      </c>
    </row>
    <row r="114" spans="1:22" ht="16.8" x14ac:dyDescent="0.3">
      <c r="A114" s="20">
        <v>11.3</v>
      </c>
      <c r="B114" s="20">
        <v>53</v>
      </c>
      <c r="C114" s="20">
        <v>53.19</v>
      </c>
      <c r="D114" s="20">
        <v>-0.19</v>
      </c>
      <c r="E114" s="20">
        <v>0</v>
      </c>
      <c r="F114" s="20">
        <v>1062.71</v>
      </c>
      <c r="Q114" s="20">
        <v>11.3</v>
      </c>
      <c r="R114" s="20">
        <v>53.88</v>
      </c>
      <c r="S114" s="20">
        <v>53</v>
      </c>
      <c r="T114" s="20">
        <v>-0.88</v>
      </c>
      <c r="U114" s="20">
        <v>-0.52</v>
      </c>
      <c r="V114" s="20">
        <v>822.37</v>
      </c>
    </row>
    <row r="115" spans="1:22" ht="16.8" x14ac:dyDescent="0.3">
      <c r="A115" s="20">
        <v>11.4</v>
      </c>
      <c r="B115" s="20">
        <v>53</v>
      </c>
      <c r="C115" s="20">
        <v>53.16</v>
      </c>
      <c r="D115" s="20">
        <v>-0.16</v>
      </c>
      <c r="E115" s="20">
        <v>0.03</v>
      </c>
      <c r="F115" s="20">
        <v>1115.78</v>
      </c>
      <c r="Q115" s="20">
        <v>11.4</v>
      </c>
      <c r="R115" s="20">
        <v>53.34</v>
      </c>
      <c r="S115" s="26">
        <v>53</v>
      </c>
      <c r="T115" s="26">
        <v>-0.34</v>
      </c>
      <c r="U115" s="26">
        <v>0.53</v>
      </c>
      <c r="V115" s="20">
        <v>930.06</v>
      </c>
    </row>
    <row r="116" spans="1:22" ht="16.8" x14ac:dyDescent="0.3">
      <c r="A116" s="20">
        <v>11.5</v>
      </c>
      <c r="B116" s="20">
        <v>53</v>
      </c>
      <c r="C116" s="20">
        <v>53.18</v>
      </c>
      <c r="D116" s="20">
        <v>-0.18</v>
      </c>
      <c r="E116" s="20">
        <v>-0.02</v>
      </c>
      <c r="F116" s="20">
        <v>1056.1199999999999</v>
      </c>
      <c r="Q116" s="20">
        <v>11.5</v>
      </c>
      <c r="R116" s="20">
        <v>53.67</v>
      </c>
      <c r="S116" s="20">
        <v>53</v>
      </c>
      <c r="T116" s="20">
        <v>-0.67</v>
      </c>
      <c r="U116" s="20">
        <v>-0.33</v>
      </c>
      <c r="V116" s="20">
        <v>856.05</v>
      </c>
    </row>
    <row r="117" spans="1:22" ht="16.8" x14ac:dyDescent="0.3">
      <c r="A117" s="20">
        <v>11.6</v>
      </c>
      <c r="B117" s="20">
        <v>53</v>
      </c>
      <c r="C117" s="20">
        <v>53.18</v>
      </c>
      <c r="D117" s="20">
        <v>-0.18</v>
      </c>
      <c r="E117" s="20">
        <v>0</v>
      </c>
      <c r="F117" s="20">
        <v>1065.57</v>
      </c>
      <c r="Q117" s="20">
        <v>11.6</v>
      </c>
      <c r="R117" s="20">
        <v>53.3</v>
      </c>
      <c r="S117" s="20">
        <v>53</v>
      </c>
      <c r="T117" s="26">
        <v>-0.3</v>
      </c>
      <c r="U117" s="26">
        <v>0.38</v>
      </c>
      <c r="V117" s="20">
        <v>931.74</v>
      </c>
    </row>
    <row r="118" spans="1:22" ht="16.8" x14ac:dyDescent="0.3">
      <c r="A118" s="20">
        <v>11.7</v>
      </c>
      <c r="B118" s="20">
        <v>53</v>
      </c>
      <c r="C118" s="20">
        <v>53.15</v>
      </c>
      <c r="D118" s="20">
        <v>-0.15</v>
      </c>
      <c r="E118" s="20">
        <v>0.03</v>
      </c>
      <c r="F118" s="20">
        <v>1118.28</v>
      </c>
      <c r="Q118" s="20">
        <v>11.7</v>
      </c>
      <c r="R118" s="20">
        <v>53.57</v>
      </c>
      <c r="S118" s="26">
        <v>53</v>
      </c>
      <c r="T118" s="20">
        <v>-0.56999999999999995</v>
      </c>
      <c r="U118" s="26">
        <v>-0.27</v>
      </c>
      <c r="V118" s="20">
        <v>871.83</v>
      </c>
    </row>
    <row r="119" spans="1:22" ht="16.8" x14ac:dyDescent="0.3">
      <c r="A119" s="20">
        <v>11.8</v>
      </c>
      <c r="B119" s="20">
        <v>53</v>
      </c>
      <c r="C119" s="20">
        <v>53.16</v>
      </c>
      <c r="D119" s="20">
        <v>-0.16</v>
      </c>
      <c r="E119" s="20">
        <v>-0.01</v>
      </c>
      <c r="F119" s="20">
        <v>1060.98</v>
      </c>
      <c r="Q119" s="20">
        <v>11.8</v>
      </c>
      <c r="R119" s="20">
        <v>53.29</v>
      </c>
      <c r="S119" s="20">
        <v>53</v>
      </c>
      <c r="T119" s="20">
        <v>-0.28999999999999998</v>
      </c>
      <c r="U119" s="26">
        <v>0.28000000000000003</v>
      </c>
      <c r="V119" s="20">
        <v>928.71</v>
      </c>
    </row>
    <row r="120" spans="1:22" ht="16.8" x14ac:dyDescent="0.3">
      <c r="A120" s="20">
        <v>11.9</v>
      </c>
      <c r="B120" s="20">
        <v>53</v>
      </c>
      <c r="C120" s="20">
        <v>53.15</v>
      </c>
      <c r="D120" s="20">
        <v>-0.15</v>
      </c>
      <c r="E120" s="20">
        <v>0.02</v>
      </c>
      <c r="F120" s="20">
        <v>1096.8900000000001</v>
      </c>
      <c r="Q120" s="20">
        <v>11.9</v>
      </c>
      <c r="R120" s="20">
        <v>53.37</v>
      </c>
      <c r="S120" s="26">
        <v>53</v>
      </c>
      <c r="T120" s="26">
        <v>-0.37</v>
      </c>
      <c r="U120" s="26">
        <v>-0.08</v>
      </c>
      <c r="V120" s="20">
        <v>906.53</v>
      </c>
    </row>
    <row r="121" spans="1:22" ht="16.8" x14ac:dyDescent="0.3">
      <c r="A121" s="20">
        <v>12</v>
      </c>
      <c r="B121" s="20">
        <v>53</v>
      </c>
      <c r="C121" s="20">
        <v>53.11</v>
      </c>
      <c r="D121" s="20">
        <v>-0.11</v>
      </c>
      <c r="E121" s="20">
        <v>0.04</v>
      </c>
      <c r="F121" s="20">
        <v>1140.6400000000001</v>
      </c>
      <c r="Q121" s="20">
        <v>12</v>
      </c>
      <c r="R121" s="20">
        <v>53.3</v>
      </c>
      <c r="S121" s="20">
        <v>53</v>
      </c>
      <c r="T121" s="20">
        <v>-0.3</v>
      </c>
      <c r="U121" s="20">
        <v>7.0000000000000007E-2</v>
      </c>
      <c r="V121" s="20">
        <v>920.89</v>
      </c>
    </row>
    <row r="122" spans="1:22" ht="16.8" x14ac:dyDescent="0.3">
      <c r="A122" s="20">
        <v>12.1</v>
      </c>
      <c r="B122" s="20">
        <v>53</v>
      </c>
      <c r="C122" s="20">
        <v>53.09</v>
      </c>
      <c r="D122" s="20">
        <v>-0.09</v>
      </c>
      <c r="E122" s="20">
        <v>0.02</v>
      </c>
      <c r="F122" s="20">
        <v>1116.9000000000001</v>
      </c>
      <c r="Q122" s="20">
        <v>12.1</v>
      </c>
      <c r="R122" s="20">
        <v>53.33</v>
      </c>
      <c r="S122" s="26">
        <v>53</v>
      </c>
      <c r="T122" s="26">
        <v>-0.33</v>
      </c>
      <c r="U122" s="26">
        <v>-0.03</v>
      </c>
      <c r="V122" s="20">
        <v>912.57</v>
      </c>
    </row>
    <row r="123" spans="1:22" ht="16.8" x14ac:dyDescent="0.3">
      <c r="A123" s="20">
        <v>12.2</v>
      </c>
      <c r="B123" s="20">
        <v>53</v>
      </c>
      <c r="C123" s="20">
        <v>53.09</v>
      </c>
      <c r="D123" s="20">
        <v>-0.09</v>
      </c>
      <c r="E123" s="20">
        <v>0</v>
      </c>
      <c r="F123" s="20">
        <v>1078.1600000000001</v>
      </c>
      <c r="Q123" s="20">
        <v>12.2</v>
      </c>
      <c r="R123" s="20">
        <v>53.33</v>
      </c>
      <c r="S123" s="20">
        <v>53</v>
      </c>
      <c r="T123" s="20">
        <v>-0.33</v>
      </c>
      <c r="U123" s="20">
        <v>0</v>
      </c>
      <c r="V123" s="20">
        <v>912.59</v>
      </c>
    </row>
    <row r="124" spans="1:22" ht="16.8" x14ac:dyDescent="0.3">
      <c r="A124" s="20">
        <v>12.3</v>
      </c>
      <c r="B124" s="20">
        <v>53</v>
      </c>
      <c r="C124" s="20">
        <v>53.02</v>
      </c>
      <c r="D124" s="20">
        <v>-0.02</v>
      </c>
      <c r="E124" s="20">
        <v>7.0000000000000007E-2</v>
      </c>
      <c r="F124" s="20">
        <v>1217.07</v>
      </c>
      <c r="Q124" s="20">
        <v>12.3</v>
      </c>
      <c r="R124" s="20">
        <v>53.29</v>
      </c>
      <c r="S124" s="26">
        <v>53</v>
      </c>
      <c r="T124" s="26">
        <v>-0.28999999999999998</v>
      </c>
      <c r="U124" s="26">
        <v>0.04</v>
      </c>
      <c r="V124" s="20">
        <v>919.22</v>
      </c>
    </row>
    <row r="125" spans="1:22" ht="16.8" x14ac:dyDescent="0.3">
      <c r="A125" s="20">
        <v>12.4</v>
      </c>
      <c r="B125" s="20">
        <v>53</v>
      </c>
      <c r="C125" s="20">
        <v>53.06</v>
      </c>
      <c r="D125" s="20">
        <v>-0.06</v>
      </c>
      <c r="E125" s="20">
        <v>-0.04</v>
      </c>
      <c r="F125" s="20">
        <v>1084.8399999999999</v>
      </c>
      <c r="Q125" s="20">
        <v>12.4</v>
      </c>
      <c r="R125" s="20">
        <v>53.29</v>
      </c>
      <c r="S125" s="20">
        <v>53</v>
      </c>
      <c r="T125" s="20">
        <v>-0.28999999999999998</v>
      </c>
      <c r="U125" s="26">
        <v>0</v>
      </c>
      <c r="V125" s="20">
        <v>917.59</v>
      </c>
    </row>
    <row r="126" spans="1:22" ht="16.8" x14ac:dyDescent="0.3">
      <c r="A126" s="20">
        <v>12.5</v>
      </c>
      <c r="B126" s="20">
        <v>53</v>
      </c>
      <c r="C126" s="20">
        <v>53.01</v>
      </c>
      <c r="D126" s="20">
        <v>-0.01</v>
      </c>
      <c r="E126" s="20">
        <v>0.06</v>
      </c>
      <c r="F126" s="20">
        <v>1196.3699999999999</v>
      </c>
      <c r="Q126" s="20">
        <v>12.5</v>
      </c>
      <c r="R126" s="20">
        <v>53.34</v>
      </c>
      <c r="S126" s="26">
        <v>53</v>
      </c>
      <c r="T126" s="26">
        <v>-0.34</v>
      </c>
      <c r="U126" s="26">
        <v>-0.06</v>
      </c>
      <c r="V126" s="20">
        <v>906.6</v>
      </c>
    </row>
    <row r="127" spans="1:22" ht="16.8" x14ac:dyDescent="0.3">
      <c r="A127" s="20">
        <v>12.6</v>
      </c>
      <c r="B127" s="20">
        <v>53</v>
      </c>
      <c r="C127" s="20">
        <v>52.97</v>
      </c>
      <c r="D127" s="20">
        <v>0.03</v>
      </c>
      <c r="E127" s="20">
        <v>0.03</v>
      </c>
      <c r="F127" s="20">
        <v>1159.06</v>
      </c>
      <c r="Q127" s="20">
        <v>12.6</v>
      </c>
      <c r="R127" s="20">
        <v>53.3</v>
      </c>
      <c r="S127" s="20">
        <v>53</v>
      </c>
      <c r="T127" s="20">
        <v>-0.3</v>
      </c>
      <c r="U127" s="26">
        <v>0.04</v>
      </c>
      <c r="V127" s="20">
        <v>914.54</v>
      </c>
    </row>
    <row r="128" spans="1:22" ht="16.8" x14ac:dyDescent="0.3">
      <c r="A128" s="20">
        <v>12.7</v>
      </c>
      <c r="B128" s="20">
        <v>53</v>
      </c>
      <c r="C128" s="20">
        <v>53.01</v>
      </c>
      <c r="D128" s="20">
        <v>-0.01</v>
      </c>
      <c r="E128" s="20">
        <v>-0.03</v>
      </c>
      <c r="F128" s="20">
        <v>1098.7</v>
      </c>
      <c r="Q128" s="20">
        <v>12.7</v>
      </c>
      <c r="R128" s="20">
        <v>53.3</v>
      </c>
      <c r="S128" s="26">
        <v>53</v>
      </c>
      <c r="T128" s="20">
        <v>-0.3</v>
      </c>
      <c r="U128" s="20">
        <v>0.01</v>
      </c>
      <c r="V128" s="20">
        <v>914.35</v>
      </c>
    </row>
    <row r="129" spans="1:22" ht="16.8" x14ac:dyDescent="0.3">
      <c r="A129" s="20">
        <v>12.8</v>
      </c>
      <c r="B129" s="20">
        <v>53</v>
      </c>
      <c r="C129" s="20">
        <v>52.93</v>
      </c>
      <c r="D129" s="20">
        <v>7.0000000000000007E-2</v>
      </c>
      <c r="E129" s="20">
        <v>7.0000000000000007E-2</v>
      </c>
      <c r="F129" s="20">
        <v>1221.24</v>
      </c>
      <c r="Q129" s="20">
        <v>12.8</v>
      </c>
      <c r="R129" s="20">
        <v>53.35</v>
      </c>
      <c r="S129" s="20">
        <v>53</v>
      </c>
      <c r="T129" s="26">
        <v>-0.35</v>
      </c>
      <c r="U129" s="26">
        <v>-0.06</v>
      </c>
      <c r="V129" s="20">
        <v>903.16</v>
      </c>
    </row>
    <row r="130" spans="1:22" ht="16.8" x14ac:dyDescent="0.3">
      <c r="A130" s="20">
        <v>12.9</v>
      </c>
      <c r="B130" s="20">
        <v>53</v>
      </c>
      <c r="C130" s="20">
        <v>52.94</v>
      </c>
      <c r="D130" s="20">
        <v>0.06</v>
      </c>
      <c r="E130" s="20">
        <v>0</v>
      </c>
      <c r="F130" s="20">
        <v>1161.79</v>
      </c>
      <c r="Q130" s="20">
        <v>12.9</v>
      </c>
      <c r="R130" s="20">
        <v>53.25</v>
      </c>
      <c r="S130" s="26">
        <v>53</v>
      </c>
      <c r="T130" s="20">
        <v>-0.25</v>
      </c>
      <c r="U130" s="20">
        <v>0.1</v>
      </c>
      <c r="V130" s="20">
        <v>921.4</v>
      </c>
    </row>
    <row r="131" spans="1:22" ht="16.8" x14ac:dyDescent="0.3">
      <c r="A131" s="20">
        <v>13</v>
      </c>
      <c r="B131" s="20">
        <v>53</v>
      </c>
      <c r="C131" s="20">
        <v>52.93</v>
      </c>
      <c r="D131" s="20">
        <v>7.0000000000000007E-2</v>
      </c>
      <c r="E131" s="20">
        <v>0</v>
      </c>
      <c r="F131" s="20">
        <v>1165.3800000000001</v>
      </c>
      <c r="Q131" s="20">
        <v>13</v>
      </c>
      <c r="R131" s="20">
        <v>53.37</v>
      </c>
      <c r="S131" s="20">
        <v>53</v>
      </c>
      <c r="T131" s="26">
        <v>-0.37</v>
      </c>
      <c r="U131" s="26">
        <v>-0.11</v>
      </c>
      <c r="V131" s="20">
        <v>897.84</v>
      </c>
    </row>
    <row r="132" spans="1:22" ht="16.8" x14ac:dyDescent="0.3">
      <c r="A132" s="20">
        <v>13.1</v>
      </c>
      <c r="B132" s="20">
        <v>53</v>
      </c>
      <c r="C132" s="20">
        <v>52.94</v>
      </c>
      <c r="D132" s="20">
        <v>0.06</v>
      </c>
      <c r="E132" s="20">
        <v>-0.01</v>
      </c>
      <c r="F132" s="20">
        <v>1154.5</v>
      </c>
      <c r="Q132" s="20">
        <v>13.1</v>
      </c>
      <c r="R132" s="20">
        <v>53.3</v>
      </c>
      <c r="S132" s="20">
        <v>53</v>
      </c>
      <c r="T132" s="20">
        <v>-0.3</v>
      </c>
      <c r="U132" s="20">
        <v>7.0000000000000007E-2</v>
      </c>
      <c r="V132" s="20">
        <v>912.98</v>
      </c>
    </row>
    <row r="133" spans="1:22" ht="16.8" x14ac:dyDescent="0.3">
      <c r="A133" s="20">
        <v>13.2</v>
      </c>
      <c r="B133" s="20">
        <v>53</v>
      </c>
      <c r="C133" s="20">
        <v>52.92</v>
      </c>
      <c r="D133" s="20">
        <v>0.08</v>
      </c>
      <c r="E133" s="20">
        <v>0.02</v>
      </c>
      <c r="F133" s="20">
        <v>1172.48</v>
      </c>
      <c r="Q133" s="20">
        <v>13.2</v>
      </c>
      <c r="R133" s="20">
        <v>53.27</v>
      </c>
      <c r="S133" s="26">
        <v>53</v>
      </c>
      <c r="T133" s="26">
        <v>-0.27</v>
      </c>
      <c r="U133" s="26">
        <v>0.02</v>
      </c>
      <c r="V133" s="20">
        <v>914.98</v>
      </c>
    </row>
    <row r="134" spans="1:22" ht="16.8" x14ac:dyDescent="0.3">
      <c r="A134" s="20">
        <v>13.3</v>
      </c>
      <c r="B134" s="20">
        <v>53</v>
      </c>
      <c r="C134" s="20">
        <v>52.92</v>
      </c>
      <c r="D134" s="20">
        <v>0.08</v>
      </c>
      <c r="E134" s="20">
        <v>0</v>
      </c>
      <c r="F134" s="20">
        <v>1175.96</v>
      </c>
      <c r="Q134" s="20">
        <v>13.3</v>
      </c>
      <c r="R134" s="20">
        <v>53.3</v>
      </c>
      <c r="S134" s="20">
        <v>53</v>
      </c>
      <c r="T134" s="20">
        <v>-0.3</v>
      </c>
      <c r="U134" s="20">
        <v>-0.02</v>
      </c>
      <c r="V134" s="20">
        <v>909.35</v>
      </c>
    </row>
    <row r="135" spans="1:22" ht="16.8" x14ac:dyDescent="0.3">
      <c r="A135" s="20">
        <v>13.4</v>
      </c>
      <c r="B135" s="20">
        <v>53</v>
      </c>
      <c r="C135" s="20">
        <v>52.9</v>
      </c>
      <c r="D135" s="20">
        <v>0.1</v>
      </c>
      <c r="E135" s="20">
        <v>0.02</v>
      </c>
      <c r="F135" s="20">
        <v>1196.31</v>
      </c>
      <c r="Q135" s="20">
        <v>13.4</v>
      </c>
      <c r="R135" s="20">
        <v>53.27</v>
      </c>
      <c r="S135" s="26">
        <v>53</v>
      </c>
      <c r="T135" s="26">
        <v>-0.27</v>
      </c>
      <c r="U135" s="26">
        <v>0.02</v>
      </c>
      <c r="V135" s="20">
        <v>913.68</v>
      </c>
    </row>
    <row r="136" spans="1:22" ht="16.8" x14ac:dyDescent="0.3">
      <c r="A136" s="20">
        <v>13.5</v>
      </c>
      <c r="B136" s="20">
        <v>53</v>
      </c>
      <c r="C136" s="20">
        <v>52.91</v>
      </c>
      <c r="D136" s="20">
        <v>0.09</v>
      </c>
      <c r="E136" s="20">
        <v>-0.02</v>
      </c>
      <c r="F136" s="20">
        <v>1182.8599999999999</v>
      </c>
      <c r="Q136" s="20">
        <v>13.5</v>
      </c>
      <c r="R136" s="20">
        <v>53.32</v>
      </c>
      <c r="S136" s="20">
        <v>53</v>
      </c>
      <c r="T136" s="20">
        <v>-0.32</v>
      </c>
      <c r="U136" s="20">
        <v>-0.05</v>
      </c>
      <c r="V136" s="20">
        <v>903.63</v>
      </c>
    </row>
    <row r="137" spans="1:22" ht="16.8" x14ac:dyDescent="0.3">
      <c r="A137" s="20">
        <v>13.6</v>
      </c>
      <c r="B137" s="20">
        <v>53</v>
      </c>
      <c r="C137" s="20">
        <v>52.93</v>
      </c>
      <c r="D137" s="20">
        <v>7.0000000000000007E-2</v>
      </c>
      <c r="E137" s="20">
        <v>-0.02</v>
      </c>
      <c r="F137" s="20">
        <v>1168.95</v>
      </c>
      <c r="Q137" s="20">
        <v>13.6</v>
      </c>
      <c r="R137" s="20">
        <v>53.29</v>
      </c>
      <c r="S137" s="26">
        <v>53</v>
      </c>
      <c r="T137" s="26">
        <v>-0.28999999999999998</v>
      </c>
      <c r="U137" s="26">
        <v>0.03</v>
      </c>
      <c r="V137" s="20">
        <v>909.95</v>
      </c>
    </row>
    <row r="138" spans="1:22" ht="16.8" x14ac:dyDescent="0.3">
      <c r="A138" s="20">
        <v>13.7</v>
      </c>
      <c r="B138" s="20">
        <v>53</v>
      </c>
      <c r="C138" s="20">
        <v>52.92</v>
      </c>
      <c r="D138" s="20">
        <v>0.08</v>
      </c>
      <c r="E138" s="20">
        <v>0.01</v>
      </c>
      <c r="F138" s="20">
        <v>1175.96</v>
      </c>
      <c r="Q138" s="20">
        <v>13.7</v>
      </c>
      <c r="R138" s="20">
        <v>53.32</v>
      </c>
      <c r="S138" s="20">
        <v>53</v>
      </c>
      <c r="T138" s="20">
        <v>-0.32</v>
      </c>
      <c r="U138" s="26">
        <v>-0.03</v>
      </c>
      <c r="V138" s="20">
        <v>902.62</v>
      </c>
    </row>
    <row r="139" spans="1:22" ht="16.8" x14ac:dyDescent="0.3">
      <c r="A139" s="20">
        <v>13.8</v>
      </c>
      <c r="B139" s="20">
        <v>53</v>
      </c>
      <c r="C139" s="20">
        <v>52.87</v>
      </c>
      <c r="D139" s="20">
        <v>0.13</v>
      </c>
      <c r="E139" s="20">
        <v>0.05</v>
      </c>
      <c r="F139" s="20">
        <v>1215.71</v>
      </c>
      <c r="Q139" s="20">
        <v>13.8</v>
      </c>
      <c r="R139" s="20">
        <v>53.34</v>
      </c>
      <c r="S139" s="26">
        <v>53</v>
      </c>
      <c r="T139" s="20">
        <v>-0.34</v>
      </c>
      <c r="U139" s="26">
        <v>-0.02</v>
      </c>
      <c r="V139" s="20">
        <v>898.23</v>
      </c>
    </row>
    <row r="140" spans="1:22" ht="16.8" x14ac:dyDescent="0.3">
      <c r="A140" s="20">
        <v>13.9</v>
      </c>
      <c r="B140" s="20">
        <v>53</v>
      </c>
      <c r="C140" s="20">
        <v>52.87</v>
      </c>
      <c r="D140" s="20">
        <v>0.13</v>
      </c>
      <c r="E140" s="20">
        <v>0</v>
      </c>
      <c r="F140" s="20">
        <v>1215.71</v>
      </c>
      <c r="Q140" s="20">
        <v>13.9</v>
      </c>
      <c r="R140" s="20">
        <v>53.3</v>
      </c>
      <c r="S140" s="20">
        <v>53</v>
      </c>
      <c r="T140" s="26">
        <v>-0.3</v>
      </c>
      <c r="U140" s="20">
        <v>0.05</v>
      </c>
      <c r="V140" s="20">
        <v>906.87</v>
      </c>
    </row>
    <row r="141" spans="1:22" ht="16.8" x14ac:dyDescent="0.3">
      <c r="A141" s="20">
        <v>14</v>
      </c>
      <c r="B141" s="20">
        <v>53</v>
      </c>
      <c r="C141" s="20">
        <v>52.9</v>
      </c>
      <c r="D141" s="20">
        <v>0.1</v>
      </c>
      <c r="E141" s="20">
        <v>-0.02</v>
      </c>
      <c r="F141" s="20">
        <v>1196.31</v>
      </c>
      <c r="Q141" s="20">
        <v>14</v>
      </c>
      <c r="R141" s="20">
        <v>53.3</v>
      </c>
      <c r="S141" s="20">
        <v>53</v>
      </c>
      <c r="T141" s="26">
        <v>-0.3</v>
      </c>
      <c r="U141" s="26">
        <v>-0.01</v>
      </c>
      <c r="V141" s="20">
        <v>903.56</v>
      </c>
    </row>
    <row r="142" spans="1:22" ht="16.8" x14ac:dyDescent="0.3">
      <c r="A142" s="20">
        <v>14.1</v>
      </c>
      <c r="B142" s="20">
        <v>53</v>
      </c>
      <c r="C142" s="20">
        <v>52.9</v>
      </c>
      <c r="D142" s="20">
        <v>0.1</v>
      </c>
      <c r="E142" s="20">
        <v>-0.01</v>
      </c>
      <c r="F142" s="20">
        <v>1189.6500000000001</v>
      </c>
      <c r="Q142" s="20">
        <v>14.1</v>
      </c>
      <c r="R142" s="20">
        <v>53.28</v>
      </c>
      <c r="S142" s="26">
        <v>53</v>
      </c>
      <c r="T142" s="20">
        <v>-0.28000000000000003</v>
      </c>
      <c r="U142" s="20">
        <v>0.02</v>
      </c>
      <c r="V142" s="20">
        <v>907.48</v>
      </c>
    </row>
    <row r="143" spans="1:22" ht="16.8" x14ac:dyDescent="0.3">
      <c r="A143" s="20">
        <v>14.2</v>
      </c>
      <c r="B143" s="20">
        <v>53</v>
      </c>
      <c r="C143" s="20">
        <v>52.88</v>
      </c>
      <c r="D143" s="20">
        <v>0.12</v>
      </c>
      <c r="E143" s="20">
        <v>0.03</v>
      </c>
      <c r="F143" s="20">
        <v>1212.56</v>
      </c>
      <c r="Q143" s="20">
        <v>14.2</v>
      </c>
      <c r="R143" s="20">
        <v>53.34</v>
      </c>
      <c r="S143" s="20">
        <v>53</v>
      </c>
      <c r="T143" s="26">
        <v>-0.34</v>
      </c>
      <c r="U143" s="26">
        <v>-0.06</v>
      </c>
      <c r="V143" s="20">
        <v>895.93</v>
      </c>
    </row>
    <row r="144" spans="1:22" ht="16.8" x14ac:dyDescent="0.3">
      <c r="A144" s="20">
        <v>14.3</v>
      </c>
      <c r="B144" s="20">
        <v>53</v>
      </c>
      <c r="C144" s="20">
        <v>52.93</v>
      </c>
      <c r="D144" s="20">
        <v>7.0000000000000007E-2</v>
      </c>
      <c r="E144" s="20">
        <v>-0.05</v>
      </c>
      <c r="F144" s="20">
        <v>1169.1400000000001</v>
      </c>
      <c r="Q144" s="20">
        <v>14.3</v>
      </c>
      <c r="R144" s="20">
        <v>53.32</v>
      </c>
      <c r="S144" s="26">
        <v>53</v>
      </c>
      <c r="T144" s="20">
        <v>-0.32</v>
      </c>
      <c r="U144" s="20">
        <v>0.02</v>
      </c>
      <c r="V144" s="20">
        <v>899.47</v>
      </c>
    </row>
    <row r="145" spans="1:22" ht="16.8" x14ac:dyDescent="0.3">
      <c r="A145" s="20">
        <v>14.4</v>
      </c>
      <c r="B145" s="20">
        <v>53</v>
      </c>
      <c r="C145" s="20">
        <v>52.91</v>
      </c>
      <c r="D145" s="20">
        <v>0.09</v>
      </c>
      <c r="E145" s="20">
        <v>0.02</v>
      </c>
      <c r="F145" s="20">
        <v>1182.8599999999999</v>
      </c>
      <c r="Q145" s="20">
        <v>14.4</v>
      </c>
      <c r="R145" s="20">
        <v>53.25</v>
      </c>
      <c r="S145" s="20">
        <v>53</v>
      </c>
      <c r="T145" s="20">
        <v>-0.25</v>
      </c>
      <c r="U145" s="26">
        <v>7.0000000000000007E-2</v>
      </c>
      <c r="V145" s="20">
        <v>911.62</v>
      </c>
    </row>
    <row r="146" spans="1:22" ht="16.8" x14ac:dyDescent="0.3">
      <c r="A146" s="20">
        <v>14.5</v>
      </c>
      <c r="B146" s="20">
        <v>53</v>
      </c>
      <c r="C146" s="20">
        <v>52.94</v>
      </c>
      <c r="D146" s="20">
        <v>0.06</v>
      </c>
      <c r="E146" s="20">
        <v>-0.02</v>
      </c>
      <c r="F146" s="20">
        <v>1161.79</v>
      </c>
      <c r="Q146" s="20">
        <v>14.5</v>
      </c>
      <c r="R146" s="20">
        <v>53.27</v>
      </c>
      <c r="S146" s="26">
        <v>53</v>
      </c>
      <c r="T146" s="26">
        <v>-0.27</v>
      </c>
      <c r="U146" s="20">
        <v>-0.02</v>
      </c>
      <c r="V146" s="20">
        <v>904.88</v>
      </c>
    </row>
    <row r="147" spans="1:22" ht="16.8" x14ac:dyDescent="0.3">
      <c r="A147" s="20">
        <v>14.6</v>
      </c>
      <c r="B147" s="20">
        <v>53</v>
      </c>
      <c r="C147" s="20">
        <v>52.9</v>
      </c>
      <c r="D147" s="20">
        <v>0.1</v>
      </c>
      <c r="E147" s="20">
        <v>0.03</v>
      </c>
      <c r="F147" s="20">
        <v>1189.6500000000001</v>
      </c>
      <c r="Q147" s="20">
        <v>14.6</v>
      </c>
      <c r="R147" s="20">
        <v>53.3</v>
      </c>
      <c r="S147" s="20">
        <v>53</v>
      </c>
      <c r="T147" s="20">
        <v>-0.3</v>
      </c>
      <c r="U147" s="26">
        <v>-0.03</v>
      </c>
      <c r="V147" s="20">
        <v>898.94</v>
      </c>
    </row>
    <row r="148" spans="1:22" ht="16.8" x14ac:dyDescent="0.3">
      <c r="A148" s="20">
        <v>14.7</v>
      </c>
      <c r="B148" s="20">
        <v>53</v>
      </c>
      <c r="C148" s="20">
        <v>52.92</v>
      </c>
      <c r="D148" s="20">
        <v>0.08</v>
      </c>
      <c r="E148" s="20">
        <v>-0.02</v>
      </c>
      <c r="F148" s="20">
        <v>1175.96</v>
      </c>
      <c r="Q148" s="20">
        <v>14.7</v>
      </c>
      <c r="R148" s="20">
        <v>53.29</v>
      </c>
      <c r="S148" s="26">
        <v>53</v>
      </c>
      <c r="T148" s="26">
        <v>-0.28999999999999998</v>
      </c>
      <c r="U148" s="20">
        <v>0.02</v>
      </c>
      <c r="V148" s="20">
        <v>901.97</v>
      </c>
    </row>
    <row r="149" spans="1:22" ht="16.8" x14ac:dyDescent="0.3">
      <c r="A149" s="20">
        <v>14.8</v>
      </c>
      <c r="B149" s="20">
        <v>53</v>
      </c>
      <c r="C149" s="20">
        <v>52.91</v>
      </c>
      <c r="D149" s="20">
        <v>0.09</v>
      </c>
      <c r="E149" s="20">
        <v>0.01</v>
      </c>
      <c r="F149" s="20">
        <v>1186.27</v>
      </c>
      <c r="Q149" s="20">
        <v>14.8</v>
      </c>
      <c r="R149" s="20">
        <v>53.32</v>
      </c>
      <c r="S149" s="20">
        <v>53</v>
      </c>
      <c r="T149" s="20">
        <v>-0.32</v>
      </c>
      <c r="U149" s="20">
        <v>-0.03</v>
      </c>
      <c r="V149" s="20">
        <v>895.02</v>
      </c>
    </row>
    <row r="150" spans="1:22" ht="16.8" x14ac:dyDescent="0.3">
      <c r="A150" s="20">
        <v>14.9</v>
      </c>
      <c r="B150" s="20">
        <v>53</v>
      </c>
      <c r="C150" s="20">
        <v>52.93</v>
      </c>
      <c r="D150" s="20">
        <v>7.0000000000000007E-2</v>
      </c>
      <c r="E150" s="20">
        <v>-0.02</v>
      </c>
      <c r="F150" s="20">
        <v>1165.3800000000001</v>
      </c>
      <c r="Q150" s="20">
        <v>14.9</v>
      </c>
      <c r="R150" s="20">
        <v>53.3</v>
      </c>
      <c r="S150" s="26">
        <v>53</v>
      </c>
      <c r="T150" s="26">
        <v>-0.3</v>
      </c>
      <c r="U150" s="26">
        <v>0.02</v>
      </c>
      <c r="V150" s="20">
        <v>898.01</v>
      </c>
    </row>
    <row r="151" spans="1:22" ht="16.8" x14ac:dyDescent="0.3">
      <c r="A151" s="20">
        <v>15</v>
      </c>
      <c r="B151" s="20">
        <v>53</v>
      </c>
      <c r="C151" s="20">
        <v>52.92</v>
      </c>
      <c r="D151" s="20">
        <v>0.08</v>
      </c>
      <c r="E151" s="20">
        <v>0.01</v>
      </c>
      <c r="F151" s="20">
        <v>1175.96</v>
      </c>
      <c r="Q151" s="20">
        <v>15</v>
      </c>
      <c r="R151" s="20">
        <v>53.27</v>
      </c>
      <c r="S151" s="20">
        <v>53</v>
      </c>
      <c r="T151" s="20">
        <v>-0.27</v>
      </c>
      <c r="U151" s="20">
        <v>0.03</v>
      </c>
      <c r="V151" s="20">
        <v>902.82</v>
      </c>
    </row>
    <row r="152" spans="1:22" ht="16.8" x14ac:dyDescent="0.3">
      <c r="A152" s="20">
        <v>15.1</v>
      </c>
      <c r="B152" s="20">
        <v>53</v>
      </c>
      <c r="C152" s="20">
        <v>52.95</v>
      </c>
      <c r="D152" s="20">
        <v>0.05</v>
      </c>
      <c r="E152" s="20">
        <v>-0.03</v>
      </c>
      <c r="F152" s="20">
        <v>1150.8</v>
      </c>
      <c r="Q152" s="20">
        <v>15.1</v>
      </c>
      <c r="R152" s="20">
        <v>53.28</v>
      </c>
      <c r="S152" s="26">
        <v>53</v>
      </c>
      <c r="T152" s="26">
        <v>-0.28000000000000003</v>
      </c>
      <c r="U152" s="26">
        <v>-0.01</v>
      </c>
      <c r="V152" s="20">
        <v>899.95</v>
      </c>
    </row>
    <row r="153" spans="1:22" ht="16.8" x14ac:dyDescent="0.3">
      <c r="A153" s="20">
        <v>15.2</v>
      </c>
      <c r="B153" s="20">
        <v>53</v>
      </c>
      <c r="C153" s="20">
        <v>52.94</v>
      </c>
      <c r="D153" s="20">
        <v>0.06</v>
      </c>
      <c r="E153" s="20">
        <v>0.01</v>
      </c>
      <c r="F153" s="20">
        <v>1161.79</v>
      </c>
      <c r="Q153" s="20">
        <v>15.2</v>
      </c>
      <c r="R153" s="20">
        <v>53.27</v>
      </c>
      <c r="S153" s="20">
        <v>53</v>
      </c>
      <c r="T153" s="20">
        <v>-0.27</v>
      </c>
      <c r="U153" s="26">
        <v>0.01</v>
      </c>
      <c r="V153" s="20">
        <v>900.98</v>
      </c>
    </row>
    <row r="154" spans="1:22" ht="16.8" x14ac:dyDescent="0.3">
      <c r="A154" s="20">
        <v>15.3</v>
      </c>
      <c r="B154" s="20">
        <v>53</v>
      </c>
      <c r="C154" s="20">
        <v>52.95</v>
      </c>
      <c r="D154" s="20">
        <v>0.05</v>
      </c>
      <c r="E154" s="20">
        <v>-0.01</v>
      </c>
      <c r="F154" s="20">
        <v>1150.8</v>
      </c>
      <c r="Q154" s="20">
        <v>15.3</v>
      </c>
      <c r="R154" s="20">
        <v>53.28</v>
      </c>
      <c r="S154" s="20">
        <v>53</v>
      </c>
      <c r="T154" s="26">
        <v>-0.28000000000000003</v>
      </c>
      <c r="U154" s="26">
        <v>-0.01</v>
      </c>
      <c r="V154" s="20">
        <v>898.69</v>
      </c>
    </row>
    <row r="155" spans="1:22" ht="16.8" x14ac:dyDescent="0.3">
      <c r="A155" s="20">
        <v>15.4</v>
      </c>
      <c r="B155" s="20">
        <v>53</v>
      </c>
      <c r="C155" s="20">
        <v>52.92</v>
      </c>
      <c r="D155" s="20">
        <v>0.08</v>
      </c>
      <c r="E155" s="20">
        <v>0.02</v>
      </c>
      <c r="F155" s="20">
        <v>1172.48</v>
      </c>
      <c r="Q155" s="20">
        <v>15.4</v>
      </c>
      <c r="R155" s="20">
        <v>53.3</v>
      </c>
      <c r="S155" s="26">
        <v>53</v>
      </c>
      <c r="T155" s="20">
        <v>-0.3</v>
      </c>
      <c r="U155" s="26">
        <v>-0.02</v>
      </c>
      <c r="V155" s="20">
        <v>893.81</v>
      </c>
    </row>
    <row r="156" spans="1:22" ht="16.8" x14ac:dyDescent="0.3">
      <c r="A156" s="20">
        <v>15.5</v>
      </c>
      <c r="B156" s="20">
        <v>53</v>
      </c>
      <c r="C156" s="20">
        <v>52.95</v>
      </c>
      <c r="D156" s="20">
        <v>0.05</v>
      </c>
      <c r="E156" s="20">
        <v>-0.02</v>
      </c>
      <c r="F156" s="20">
        <v>1150.8</v>
      </c>
      <c r="Q156" s="20">
        <v>15.5</v>
      </c>
      <c r="R156" s="20">
        <v>53.26</v>
      </c>
      <c r="S156" s="20">
        <v>53</v>
      </c>
      <c r="T156" s="26">
        <v>-0.26</v>
      </c>
      <c r="U156" s="26">
        <v>0.04</v>
      </c>
      <c r="V156" s="20">
        <v>901.07</v>
      </c>
    </row>
    <row r="157" spans="1:22" ht="16.8" x14ac:dyDescent="0.3">
      <c r="A157" s="20">
        <v>15.6</v>
      </c>
      <c r="B157" s="20">
        <v>53</v>
      </c>
      <c r="C157" s="20">
        <v>52.97</v>
      </c>
      <c r="D157" s="20">
        <v>0.03</v>
      </c>
      <c r="E157" s="20">
        <v>-0.02</v>
      </c>
      <c r="F157" s="20">
        <v>1127.78</v>
      </c>
      <c r="Q157" s="20">
        <v>15.6</v>
      </c>
      <c r="R157" s="20">
        <v>53.25</v>
      </c>
      <c r="S157" s="26">
        <v>53</v>
      </c>
      <c r="T157" s="20">
        <v>-0.25</v>
      </c>
      <c r="U157" s="26">
        <v>0.02</v>
      </c>
      <c r="V157" s="20">
        <v>902.45</v>
      </c>
    </row>
    <row r="158" spans="1:22" ht="16.8" x14ac:dyDescent="0.3">
      <c r="A158" s="20">
        <v>15.7</v>
      </c>
      <c r="B158" s="20">
        <v>53</v>
      </c>
      <c r="C158" s="20">
        <v>52.92</v>
      </c>
      <c r="D158" s="20">
        <v>0.08</v>
      </c>
      <c r="E158" s="20">
        <v>0.06</v>
      </c>
      <c r="F158" s="20">
        <v>1197.6400000000001</v>
      </c>
      <c r="Q158" s="20">
        <v>15.7</v>
      </c>
      <c r="R158" s="20">
        <v>53.26</v>
      </c>
      <c r="S158" s="20">
        <v>53</v>
      </c>
      <c r="T158" s="20">
        <v>-0.26</v>
      </c>
      <c r="U158" s="26">
        <v>-0.02</v>
      </c>
      <c r="V158" s="20">
        <v>898.54</v>
      </c>
    </row>
    <row r="159" spans="1:22" ht="16.8" x14ac:dyDescent="0.3">
      <c r="A159" s="20">
        <v>15.8</v>
      </c>
      <c r="B159" s="20">
        <v>53</v>
      </c>
      <c r="C159" s="20">
        <v>52.94</v>
      </c>
      <c r="D159" s="20">
        <v>0.06</v>
      </c>
      <c r="E159" s="20">
        <v>-0.03</v>
      </c>
      <c r="F159" s="20">
        <v>1154.5</v>
      </c>
      <c r="Q159" s="20">
        <v>15.8</v>
      </c>
      <c r="R159" s="20">
        <v>53.25</v>
      </c>
      <c r="S159" s="26">
        <v>53</v>
      </c>
      <c r="T159" s="26">
        <v>-0.25</v>
      </c>
      <c r="U159" s="20">
        <v>0.01</v>
      </c>
      <c r="V159" s="20">
        <v>899.8</v>
      </c>
    </row>
    <row r="160" spans="1:22" ht="16.8" x14ac:dyDescent="0.3">
      <c r="A160" s="20">
        <v>15.9</v>
      </c>
      <c r="B160" s="20">
        <v>53</v>
      </c>
      <c r="C160" s="20">
        <v>52.92</v>
      </c>
      <c r="D160" s="20">
        <v>0.08</v>
      </c>
      <c r="E160" s="20">
        <v>0.02</v>
      </c>
      <c r="F160" s="20">
        <v>1172.48</v>
      </c>
      <c r="Q160" s="20">
        <v>15.9</v>
      </c>
      <c r="R160" s="20">
        <v>53.3</v>
      </c>
      <c r="S160" s="20">
        <v>53</v>
      </c>
      <c r="T160" s="20">
        <v>-0.3</v>
      </c>
      <c r="U160" s="26">
        <v>-0.05</v>
      </c>
      <c r="V160" s="20">
        <v>890.17</v>
      </c>
    </row>
    <row r="161" spans="1:22" ht="16.8" x14ac:dyDescent="0.3">
      <c r="A161" s="20">
        <v>16</v>
      </c>
      <c r="B161" s="20">
        <v>53</v>
      </c>
      <c r="C161" s="20">
        <v>52.94</v>
      </c>
      <c r="D161" s="20">
        <v>0.06</v>
      </c>
      <c r="E161" s="20">
        <v>-0.02</v>
      </c>
      <c r="F161" s="20">
        <v>1158.1600000000001</v>
      </c>
      <c r="Q161" s="20">
        <v>16</v>
      </c>
      <c r="R161" s="20">
        <v>53.24</v>
      </c>
      <c r="S161" s="26">
        <v>53</v>
      </c>
      <c r="T161" s="26">
        <v>-0.24</v>
      </c>
      <c r="U161" s="26">
        <v>0.06</v>
      </c>
      <c r="V161" s="20">
        <v>902.43</v>
      </c>
    </row>
    <row r="162" spans="1:22" ht="16.8" x14ac:dyDescent="0.3">
      <c r="A162" s="20">
        <v>16.100000000000001</v>
      </c>
      <c r="B162" s="20">
        <v>53</v>
      </c>
      <c r="C162" s="20">
        <v>52.92</v>
      </c>
      <c r="D162" s="20">
        <v>0.08</v>
      </c>
      <c r="E162" s="20">
        <v>0.02</v>
      </c>
      <c r="F162" s="20">
        <v>1179.44</v>
      </c>
      <c r="Q162" s="20">
        <v>16.100000000000001</v>
      </c>
      <c r="R162" s="20">
        <v>53.31</v>
      </c>
      <c r="S162" s="20">
        <v>53</v>
      </c>
      <c r="T162" s="20">
        <v>-0.31</v>
      </c>
      <c r="U162" s="20">
        <v>-7.0000000000000007E-2</v>
      </c>
      <c r="V162" s="20">
        <v>887.06</v>
      </c>
    </row>
    <row r="163" spans="1:22" ht="16.8" x14ac:dyDescent="0.3">
      <c r="A163" s="20">
        <v>16.2</v>
      </c>
      <c r="B163" s="20">
        <v>53</v>
      </c>
      <c r="C163" s="20">
        <v>52.94</v>
      </c>
      <c r="D163" s="20">
        <v>0.06</v>
      </c>
      <c r="E163" s="20">
        <v>-0.02</v>
      </c>
      <c r="F163" s="20">
        <v>1161.79</v>
      </c>
      <c r="Q163" s="20">
        <v>16.2</v>
      </c>
      <c r="R163" s="20">
        <v>53.31</v>
      </c>
      <c r="S163" s="20">
        <v>53</v>
      </c>
      <c r="T163" s="26">
        <v>-0.31</v>
      </c>
      <c r="U163" s="26">
        <v>0</v>
      </c>
      <c r="V163" s="20">
        <v>888.09</v>
      </c>
    </row>
    <row r="164" spans="1:22" ht="16.8" x14ac:dyDescent="0.3">
      <c r="A164" s="20">
        <v>16.3</v>
      </c>
      <c r="B164" s="20">
        <v>53</v>
      </c>
      <c r="C164" s="20">
        <v>52.94</v>
      </c>
      <c r="D164" s="20">
        <v>0.06</v>
      </c>
      <c r="E164" s="20">
        <v>-0.01</v>
      </c>
      <c r="F164" s="20">
        <v>1154.5</v>
      </c>
      <c r="Q164" s="20">
        <v>16.3</v>
      </c>
      <c r="R164" s="20">
        <v>53.26</v>
      </c>
      <c r="S164" s="26">
        <v>53</v>
      </c>
      <c r="T164" s="20">
        <v>-0.26</v>
      </c>
      <c r="U164" s="20">
        <v>0.05</v>
      </c>
      <c r="V164" s="20">
        <v>896.22</v>
      </c>
    </row>
    <row r="165" spans="1:22" ht="16.8" x14ac:dyDescent="0.3">
      <c r="A165" s="20">
        <v>16.399999999999999</v>
      </c>
      <c r="B165" s="20">
        <v>53</v>
      </c>
      <c r="C165" s="20">
        <v>52.92</v>
      </c>
      <c r="D165" s="20">
        <v>0.08</v>
      </c>
      <c r="E165" s="20">
        <v>0.03</v>
      </c>
      <c r="F165" s="20">
        <v>1179.44</v>
      </c>
      <c r="Q165" s="20">
        <v>16.399999999999999</v>
      </c>
      <c r="R165" s="20">
        <v>53.24</v>
      </c>
      <c r="S165" s="20">
        <v>53</v>
      </c>
      <c r="T165" s="26">
        <v>-0.24</v>
      </c>
      <c r="U165" s="26">
        <v>0.02</v>
      </c>
      <c r="V165" s="20">
        <v>898.88</v>
      </c>
    </row>
    <row r="166" spans="1:22" ht="16.8" x14ac:dyDescent="0.3">
      <c r="A166" s="20">
        <v>16.5</v>
      </c>
      <c r="B166" s="20">
        <v>53</v>
      </c>
      <c r="C166" s="20">
        <v>52.9</v>
      </c>
      <c r="D166" s="20">
        <v>0.1</v>
      </c>
      <c r="E166" s="20">
        <v>0.02</v>
      </c>
      <c r="F166" s="20">
        <v>1193</v>
      </c>
      <c r="Q166" s="20">
        <v>16.5</v>
      </c>
      <c r="R166" s="20">
        <v>53.26</v>
      </c>
      <c r="S166" s="26">
        <v>53</v>
      </c>
      <c r="T166" s="20">
        <v>-0.26</v>
      </c>
      <c r="U166" s="20">
        <v>-0.02</v>
      </c>
      <c r="V166" s="20">
        <v>893.33</v>
      </c>
    </row>
    <row r="167" spans="1:22" ht="16.8" x14ac:dyDescent="0.3">
      <c r="A167" s="20">
        <v>16.600000000000001</v>
      </c>
      <c r="B167" s="20">
        <v>53</v>
      </c>
      <c r="C167" s="20">
        <v>52.9</v>
      </c>
      <c r="D167" s="20">
        <v>0.1</v>
      </c>
      <c r="E167" s="20">
        <v>0</v>
      </c>
      <c r="F167" s="20">
        <v>1196.31</v>
      </c>
      <c r="Q167" s="20">
        <v>16.600000000000001</v>
      </c>
      <c r="R167" s="20">
        <v>53.27</v>
      </c>
      <c r="S167" s="20">
        <v>53</v>
      </c>
      <c r="T167" s="26">
        <v>-0.27</v>
      </c>
      <c r="U167" s="26">
        <v>-0.01</v>
      </c>
      <c r="V167" s="20">
        <v>891.83</v>
      </c>
    </row>
    <row r="168" spans="1:22" ht="16.8" x14ac:dyDescent="0.3">
      <c r="A168" s="20">
        <v>16.7</v>
      </c>
      <c r="B168" s="20">
        <v>53</v>
      </c>
      <c r="C168" s="20">
        <v>52.94</v>
      </c>
      <c r="D168" s="20">
        <v>0.06</v>
      </c>
      <c r="E168" s="20">
        <v>-0.04</v>
      </c>
      <c r="F168" s="20">
        <v>1161.8</v>
      </c>
      <c r="Q168" s="20">
        <v>16.7</v>
      </c>
      <c r="R168" s="20">
        <v>53.27</v>
      </c>
      <c r="S168" s="26">
        <v>53</v>
      </c>
      <c r="T168" s="20">
        <v>-0.27</v>
      </c>
      <c r="U168" s="20">
        <v>0</v>
      </c>
      <c r="V168" s="20">
        <v>891.4</v>
      </c>
    </row>
    <row r="169" spans="1:22" ht="16.8" x14ac:dyDescent="0.3">
      <c r="A169" s="20">
        <v>16.8</v>
      </c>
      <c r="B169" s="20">
        <v>53</v>
      </c>
      <c r="C169" s="20">
        <v>52.87</v>
      </c>
      <c r="D169" s="20">
        <v>0.13</v>
      </c>
      <c r="E169" s="20">
        <v>0.06</v>
      </c>
      <c r="F169" s="20">
        <v>1215.71</v>
      </c>
      <c r="Q169" s="20">
        <v>16.8</v>
      </c>
      <c r="R169" s="20">
        <v>53.27</v>
      </c>
      <c r="S169" s="20">
        <v>53</v>
      </c>
      <c r="T169" s="26">
        <v>-0.27</v>
      </c>
      <c r="U169" s="26">
        <v>0</v>
      </c>
      <c r="V169" s="20">
        <v>890.77</v>
      </c>
    </row>
    <row r="170" spans="1:22" ht="16.8" x14ac:dyDescent="0.3">
      <c r="A170" s="20">
        <v>16.899999999999999</v>
      </c>
      <c r="B170" s="20">
        <v>53</v>
      </c>
      <c r="C170" s="20">
        <v>52.92</v>
      </c>
      <c r="D170" s="20">
        <v>0.08</v>
      </c>
      <c r="E170" s="20">
        <v>-0.05</v>
      </c>
      <c r="F170" s="20">
        <v>1175.96</v>
      </c>
      <c r="Q170" s="20">
        <v>16.899999999999999</v>
      </c>
      <c r="R170" s="20">
        <v>53.24</v>
      </c>
      <c r="S170" s="26">
        <v>53</v>
      </c>
      <c r="T170" s="20">
        <v>-0.24</v>
      </c>
      <c r="U170" s="26">
        <v>0.03</v>
      </c>
      <c r="V170" s="20">
        <v>896.05</v>
      </c>
    </row>
    <row r="171" spans="1:22" ht="16.8" x14ac:dyDescent="0.3">
      <c r="A171" s="20">
        <v>17</v>
      </c>
      <c r="B171" s="20">
        <v>53</v>
      </c>
      <c r="C171" s="20">
        <v>52.88</v>
      </c>
      <c r="D171" s="20">
        <v>0.12</v>
      </c>
      <c r="E171" s="20">
        <v>0.04</v>
      </c>
      <c r="F171" s="20">
        <v>1212.56</v>
      </c>
      <c r="Q171" s="20">
        <v>17</v>
      </c>
      <c r="R171" s="20">
        <v>53.23</v>
      </c>
      <c r="S171" s="20">
        <v>53</v>
      </c>
      <c r="T171" s="20">
        <v>-0.23</v>
      </c>
      <c r="U171" s="26">
        <v>0.01</v>
      </c>
      <c r="V171" s="20">
        <v>896.2</v>
      </c>
    </row>
    <row r="172" spans="1:22" ht="16.8" x14ac:dyDescent="0.3">
      <c r="A172" s="20">
        <v>17.100000000000001</v>
      </c>
      <c r="B172" s="20">
        <v>53</v>
      </c>
      <c r="C172" s="20">
        <v>52.92</v>
      </c>
      <c r="D172" s="20">
        <v>0.08</v>
      </c>
      <c r="E172" s="20">
        <v>-0.04</v>
      </c>
      <c r="F172" s="20">
        <v>1179.44</v>
      </c>
      <c r="Q172" s="20">
        <v>17.100000000000001</v>
      </c>
      <c r="R172" s="20">
        <v>53.24</v>
      </c>
      <c r="S172" s="20">
        <v>53</v>
      </c>
      <c r="T172" s="26">
        <v>-0.24</v>
      </c>
      <c r="U172" s="26">
        <v>-0.01</v>
      </c>
      <c r="V172" s="20">
        <v>894</v>
      </c>
    </row>
    <row r="173" spans="1:22" ht="16.8" x14ac:dyDescent="0.3">
      <c r="A173" s="20">
        <v>17.2</v>
      </c>
      <c r="B173" s="20">
        <v>53</v>
      </c>
      <c r="C173" s="20">
        <v>52.94</v>
      </c>
      <c r="D173" s="20">
        <v>0.06</v>
      </c>
      <c r="E173" s="20">
        <v>-0.02</v>
      </c>
      <c r="F173" s="20">
        <v>1161.79</v>
      </c>
      <c r="Q173" s="20">
        <v>17.2</v>
      </c>
      <c r="R173" s="20">
        <v>53.28</v>
      </c>
      <c r="S173" s="26">
        <v>53</v>
      </c>
      <c r="T173" s="20">
        <v>-0.28000000000000003</v>
      </c>
      <c r="U173" s="26">
        <v>-0.04</v>
      </c>
      <c r="V173" s="20">
        <v>886.27</v>
      </c>
    </row>
    <row r="174" spans="1:22" ht="16.8" x14ac:dyDescent="0.3">
      <c r="A174" s="20">
        <v>17.3</v>
      </c>
      <c r="B174" s="20">
        <v>53</v>
      </c>
      <c r="C174" s="20">
        <v>52.91</v>
      </c>
      <c r="D174" s="20">
        <v>0.09</v>
      </c>
      <c r="E174" s="20">
        <v>0.02</v>
      </c>
      <c r="F174" s="20">
        <v>1182.8599999999999</v>
      </c>
      <c r="Q174" s="20">
        <v>17.3</v>
      </c>
      <c r="R174" s="20">
        <v>53.19</v>
      </c>
      <c r="S174" s="20">
        <v>53</v>
      </c>
      <c r="T174" s="26">
        <v>-0.19</v>
      </c>
      <c r="U174" s="26">
        <v>0.09</v>
      </c>
      <c r="V174" s="20">
        <v>902.82</v>
      </c>
    </row>
    <row r="175" spans="1:22" ht="16.8" x14ac:dyDescent="0.3">
      <c r="A175" s="20">
        <v>17.399999999999999</v>
      </c>
      <c r="B175" s="20">
        <v>53</v>
      </c>
      <c r="C175" s="20">
        <v>52.92</v>
      </c>
      <c r="D175" s="20">
        <v>0.08</v>
      </c>
      <c r="E175" s="20">
        <v>0</v>
      </c>
      <c r="F175" s="20">
        <v>1179.44</v>
      </c>
      <c r="Q175" s="20">
        <v>17.399999999999999</v>
      </c>
      <c r="R175" s="20">
        <v>53.22</v>
      </c>
      <c r="S175" s="26">
        <v>53</v>
      </c>
      <c r="T175" s="20">
        <v>-0.22</v>
      </c>
      <c r="U175" s="26">
        <v>-0.03</v>
      </c>
      <c r="V175" s="20">
        <v>894.35</v>
      </c>
    </row>
    <row r="176" spans="1:22" ht="16.8" x14ac:dyDescent="0.3">
      <c r="A176" s="20">
        <v>17.5</v>
      </c>
      <c r="B176" s="20">
        <v>53</v>
      </c>
      <c r="C176" s="20">
        <v>52.9</v>
      </c>
      <c r="D176" s="20">
        <v>0.1</v>
      </c>
      <c r="E176" s="20">
        <v>0.01</v>
      </c>
      <c r="F176" s="20">
        <v>1189.6500000000001</v>
      </c>
      <c r="Q176" s="20">
        <v>17.5</v>
      </c>
      <c r="R176" s="20">
        <v>53.22</v>
      </c>
      <c r="S176" s="20">
        <v>53</v>
      </c>
      <c r="T176" s="26">
        <v>-0.22</v>
      </c>
      <c r="U176" s="26">
        <v>0</v>
      </c>
      <c r="V176" s="20">
        <v>894.61</v>
      </c>
    </row>
    <row r="177" spans="1:22" ht="16.8" x14ac:dyDescent="0.3">
      <c r="A177" s="20">
        <v>17.600000000000001</v>
      </c>
      <c r="B177" s="20">
        <v>53</v>
      </c>
      <c r="C177" s="20">
        <v>52.94</v>
      </c>
      <c r="D177" s="20">
        <v>0.06</v>
      </c>
      <c r="E177" s="20">
        <v>-0.04</v>
      </c>
      <c r="F177" s="20">
        <v>1154.58</v>
      </c>
      <c r="Q177" s="20">
        <v>17.600000000000001</v>
      </c>
      <c r="R177" s="20">
        <v>53.27</v>
      </c>
      <c r="S177" s="26">
        <v>53</v>
      </c>
      <c r="T177" s="20">
        <v>-0.27</v>
      </c>
      <c r="U177" s="26">
        <v>-0.05</v>
      </c>
      <c r="V177" s="20">
        <v>885.26</v>
      </c>
    </row>
    <row r="178" spans="1:22" ht="16.8" x14ac:dyDescent="0.3">
      <c r="A178" s="20">
        <v>17.7</v>
      </c>
      <c r="B178" s="20">
        <v>53</v>
      </c>
      <c r="C178" s="20">
        <v>52.92</v>
      </c>
      <c r="D178" s="20">
        <v>0.08</v>
      </c>
      <c r="E178" s="20">
        <v>0.02</v>
      </c>
      <c r="F178" s="20">
        <v>1175.96</v>
      </c>
      <c r="Q178" s="20">
        <v>17.7</v>
      </c>
      <c r="R178" s="20">
        <v>53.26</v>
      </c>
      <c r="S178" s="20">
        <v>53</v>
      </c>
      <c r="T178" s="26">
        <v>-0.26</v>
      </c>
      <c r="U178" s="26">
        <v>0.01</v>
      </c>
      <c r="V178" s="20">
        <v>887.27</v>
      </c>
    </row>
    <row r="179" spans="1:22" ht="16.8" x14ac:dyDescent="0.3">
      <c r="A179" s="20">
        <v>17.8</v>
      </c>
      <c r="B179" s="20">
        <v>53</v>
      </c>
      <c r="C179" s="20">
        <v>52.92</v>
      </c>
      <c r="D179" s="20">
        <v>0.08</v>
      </c>
      <c r="E179" s="20">
        <v>0</v>
      </c>
      <c r="F179" s="20">
        <v>1175.96</v>
      </c>
      <c r="Q179" s="20">
        <v>17.8</v>
      </c>
      <c r="R179" s="20">
        <v>53.22</v>
      </c>
      <c r="S179" s="26">
        <v>53</v>
      </c>
      <c r="T179" s="20">
        <v>-0.22</v>
      </c>
      <c r="U179" s="26">
        <v>0.04</v>
      </c>
      <c r="V179" s="20">
        <v>893.84</v>
      </c>
    </row>
    <row r="180" spans="1:22" ht="16.8" x14ac:dyDescent="0.3">
      <c r="A180" s="20">
        <v>17.899999999999999</v>
      </c>
      <c r="B180" s="20">
        <v>53</v>
      </c>
      <c r="C180" s="20">
        <v>52.92</v>
      </c>
      <c r="D180" s="20">
        <v>0.08</v>
      </c>
      <c r="E180" s="20">
        <v>0</v>
      </c>
      <c r="F180" s="20">
        <v>1175.96</v>
      </c>
      <c r="Q180" s="20">
        <v>17.899999999999999</v>
      </c>
      <c r="R180" s="20">
        <v>53.21</v>
      </c>
      <c r="S180" s="20">
        <v>53</v>
      </c>
      <c r="T180" s="20">
        <v>-0.21</v>
      </c>
      <c r="U180" s="26">
        <v>0.02</v>
      </c>
      <c r="V180" s="20">
        <v>895.31</v>
      </c>
    </row>
    <row r="181" spans="1:22" ht="16.8" x14ac:dyDescent="0.3">
      <c r="A181" s="20">
        <v>18</v>
      </c>
      <c r="B181" s="20">
        <v>53</v>
      </c>
      <c r="C181" s="20">
        <v>52.93</v>
      </c>
      <c r="D181" s="20">
        <v>7.0000000000000007E-2</v>
      </c>
      <c r="E181" s="20">
        <v>-0.01</v>
      </c>
      <c r="F181" s="20">
        <v>1168.95</v>
      </c>
      <c r="Q181" s="20">
        <v>18</v>
      </c>
      <c r="R181" s="20">
        <v>53.21</v>
      </c>
      <c r="S181" s="26">
        <v>53</v>
      </c>
      <c r="T181" s="26">
        <v>-0.21</v>
      </c>
      <c r="U181" s="26">
        <v>0</v>
      </c>
      <c r="V181" s="20">
        <v>894.45</v>
      </c>
    </row>
    <row r="182" spans="1:22" ht="16.8" x14ac:dyDescent="0.3">
      <c r="A182" s="20">
        <v>18.100000000000001</v>
      </c>
      <c r="B182" s="20">
        <v>53</v>
      </c>
      <c r="C182" s="20">
        <v>52.96</v>
      </c>
      <c r="D182" s="20">
        <v>0.04</v>
      </c>
      <c r="E182" s="20">
        <v>-0.03</v>
      </c>
      <c r="F182" s="20">
        <v>1139.53</v>
      </c>
      <c r="Q182" s="20">
        <v>18.100000000000001</v>
      </c>
      <c r="R182" s="20">
        <v>53.17</v>
      </c>
      <c r="S182" s="20">
        <v>53</v>
      </c>
      <c r="T182" s="20">
        <v>-0.17</v>
      </c>
      <c r="U182" s="20">
        <v>0.04</v>
      </c>
      <c r="V182" s="20">
        <v>901.35</v>
      </c>
    </row>
    <row r="183" spans="1:22" ht="16.8" x14ac:dyDescent="0.3">
      <c r="A183" s="20">
        <v>18.2</v>
      </c>
      <c r="B183" s="20">
        <v>53</v>
      </c>
      <c r="C183" s="20">
        <v>52.96</v>
      </c>
      <c r="D183" s="20">
        <v>0.04</v>
      </c>
      <c r="E183" s="20">
        <v>0</v>
      </c>
      <c r="F183" s="20">
        <v>1143.28</v>
      </c>
      <c r="Q183" s="20">
        <v>18.2</v>
      </c>
      <c r="R183" s="20">
        <v>53.24</v>
      </c>
      <c r="S183" s="20">
        <v>53</v>
      </c>
      <c r="T183" s="26">
        <v>-0.24</v>
      </c>
      <c r="U183" s="26">
        <v>-7.0000000000000007E-2</v>
      </c>
      <c r="V183" s="20">
        <v>886.73</v>
      </c>
    </row>
    <row r="184" spans="1:22" ht="16.8" x14ac:dyDescent="0.3">
      <c r="A184" s="20">
        <v>18.3</v>
      </c>
      <c r="B184" s="20">
        <v>53</v>
      </c>
      <c r="C184" s="20">
        <v>52.96</v>
      </c>
      <c r="D184" s="20">
        <v>0.04</v>
      </c>
      <c r="E184" s="20">
        <v>0</v>
      </c>
      <c r="F184" s="20">
        <v>1139.47</v>
      </c>
      <c r="Q184" s="20">
        <v>18.3</v>
      </c>
      <c r="R184" s="20">
        <v>53.23</v>
      </c>
      <c r="S184" s="26">
        <v>53</v>
      </c>
      <c r="T184" s="20">
        <v>-0.23</v>
      </c>
      <c r="U184" s="20">
        <v>0.01</v>
      </c>
      <c r="V184" s="20">
        <v>889.39</v>
      </c>
    </row>
    <row r="185" spans="1:22" ht="16.8" x14ac:dyDescent="0.3">
      <c r="A185" s="20">
        <v>18.399999999999999</v>
      </c>
      <c r="B185" s="20">
        <v>53</v>
      </c>
      <c r="C185" s="20">
        <v>52.96</v>
      </c>
      <c r="D185" s="20">
        <v>0.04</v>
      </c>
      <c r="E185" s="20">
        <v>0</v>
      </c>
      <c r="F185" s="20">
        <v>1139.47</v>
      </c>
      <c r="Q185" s="20">
        <v>18.399999999999999</v>
      </c>
      <c r="R185" s="20">
        <v>53.21</v>
      </c>
      <c r="S185" s="20">
        <v>53</v>
      </c>
      <c r="T185" s="26">
        <v>-0.21</v>
      </c>
      <c r="U185" s="26">
        <v>0.02</v>
      </c>
      <c r="V185" s="20">
        <v>891.62</v>
      </c>
    </row>
    <row r="186" spans="1:22" ht="16.8" x14ac:dyDescent="0.3">
      <c r="A186" s="20">
        <v>18.5</v>
      </c>
      <c r="B186" s="20">
        <v>53</v>
      </c>
      <c r="C186" s="20">
        <v>52.91</v>
      </c>
      <c r="D186" s="20">
        <v>0.09</v>
      </c>
      <c r="E186" s="20">
        <v>0.05</v>
      </c>
      <c r="F186" s="20">
        <v>1191.6600000000001</v>
      </c>
      <c r="Q186" s="20">
        <v>18.5</v>
      </c>
      <c r="R186" s="20">
        <v>53.25</v>
      </c>
      <c r="S186" s="26">
        <v>53</v>
      </c>
      <c r="T186" s="20">
        <v>-0.25</v>
      </c>
      <c r="U186" s="20">
        <v>-0.03</v>
      </c>
      <c r="V186" s="20">
        <v>884.84</v>
      </c>
    </row>
    <row r="187" spans="1:22" ht="16.8" x14ac:dyDescent="0.3">
      <c r="A187" s="20">
        <v>18.600000000000001</v>
      </c>
      <c r="B187" s="20">
        <v>53</v>
      </c>
      <c r="C187" s="20">
        <v>52.93</v>
      </c>
      <c r="D187" s="20">
        <v>7.0000000000000007E-2</v>
      </c>
      <c r="E187" s="20">
        <v>-0.02</v>
      </c>
      <c r="F187" s="20">
        <v>1165.3800000000001</v>
      </c>
      <c r="Q187" s="20">
        <v>18.600000000000001</v>
      </c>
      <c r="R187" s="20">
        <v>53.22</v>
      </c>
      <c r="S187" s="20">
        <v>53</v>
      </c>
      <c r="T187" s="26">
        <v>-0.22</v>
      </c>
      <c r="U187" s="26">
        <v>0.02</v>
      </c>
      <c r="V187" s="20">
        <v>889.47</v>
      </c>
    </row>
    <row r="188" spans="1:22" ht="16.8" x14ac:dyDescent="0.3">
      <c r="A188" s="20">
        <v>18.7</v>
      </c>
      <c r="B188" s="20">
        <v>53</v>
      </c>
      <c r="C188" s="20">
        <v>52.94</v>
      </c>
      <c r="D188" s="20">
        <v>0.06</v>
      </c>
      <c r="E188" s="20">
        <v>-0.01</v>
      </c>
      <c r="F188" s="20">
        <v>1158.1600000000001</v>
      </c>
      <c r="Q188" s="20">
        <v>18.7</v>
      </c>
      <c r="R188" s="20">
        <v>53.2</v>
      </c>
      <c r="S188" s="26">
        <v>53</v>
      </c>
      <c r="T188" s="20">
        <v>-0.2</v>
      </c>
      <c r="U188" s="20">
        <v>0.02</v>
      </c>
      <c r="V188" s="20">
        <v>892.8</v>
      </c>
    </row>
    <row r="189" spans="1:22" ht="16.8" x14ac:dyDescent="0.3">
      <c r="A189" s="20">
        <v>18.8</v>
      </c>
      <c r="B189" s="20">
        <v>53</v>
      </c>
      <c r="C189" s="20">
        <v>52.94</v>
      </c>
      <c r="D189" s="20">
        <v>0.06</v>
      </c>
      <c r="E189" s="20">
        <v>0</v>
      </c>
      <c r="F189" s="20">
        <v>1154.5</v>
      </c>
      <c r="Q189" s="20">
        <v>18.8</v>
      </c>
      <c r="R189" s="20">
        <v>53.22</v>
      </c>
      <c r="S189" s="20">
        <v>53</v>
      </c>
      <c r="T189" s="26">
        <v>-0.22</v>
      </c>
      <c r="U189" s="26">
        <v>-0.02</v>
      </c>
      <c r="V189" s="20">
        <v>887.34</v>
      </c>
    </row>
    <row r="190" spans="1:22" ht="16.8" x14ac:dyDescent="0.3">
      <c r="A190" s="20">
        <v>18.899999999999999</v>
      </c>
      <c r="B190" s="20">
        <v>53</v>
      </c>
      <c r="C190" s="20">
        <v>52.95</v>
      </c>
      <c r="D190" s="20">
        <v>0.05</v>
      </c>
      <c r="E190" s="20">
        <v>0</v>
      </c>
      <c r="F190" s="20">
        <v>1150.8</v>
      </c>
      <c r="Q190" s="20">
        <v>18.899999999999999</v>
      </c>
      <c r="R190" s="20">
        <v>53.21</v>
      </c>
      <c r="S190" s="26">
        <v>53</v>
      </c>
      <c r="T190" s="20">
        <v>-0.21</v>
      </c>
      <c r="U190" s="20">
        <v>0.01</v>
      </c>
      <c r="V190" s="20">
        <v>888.88</v>
      </c>
    </row>
    <row r="191" spans="1:22" ht="16.8" x14ac:dyDescent="0.3">
      <c r="A191" s="20">
        <v>19</v>
      </c>
      <c r="B191" s="20">
        <v>53</v>
      </c>
      <c r="C191" s="20">
        <v>52.99</v>
      </c>
      <c r="D191" s="20">
        <v>0.01</v>
      </c>
      <c r="E191" s="20">
        <v>-0.04</v>
      </c>
      <c r="F191" s="20">
        <v>1111.5999999999999</v>
      </c>
      <c r="Q191" s="20">
        <v>19</v>
      </c>
      <c r="R191" s="20">
        <v>53.21</v>
      </c>
      <c r="S191" s="20">
        <v>53</v>
      </c>
      <c r="T191" s="26">
        <v>-0.21</v>
      </c>
      <c r="U191" s="26">
        <v>0.01</v>
      </c>
      <c r="V191" s="20">
        <v>889.67</v>
      </c>
    </row>
    <row r="192" spans="1:22" ht="16.8" x14ac:dyDescent="0.3">
      <c r="A192" s="20">
        <v>19.100000000000001</v>
      </c>
      <c r="B192" s="20">
        <v>53</v>
      </c>
      <c r="C192" s="20">
        <v>52.91</v>
      </c>
      <c r="D192" s="20">
        <v>0.09</v>
      </c>
      <c r="E192" s="20">
        <v>0.08</v>
      </c>
      <c r="F192" s="20">
        <v>1226.93</v>
      </c>
      <c r="Q192" s="20">
        <v>19.100000000000001</v>
      </c>
      <c r="R192" s="20">
        <v>53.25</v>
      </c>
      <c r="S192" s="20">
        <v>53</v>
      </c>
      <c r="T192" s="20">
        <v>-0.25</v>
      </c>
      <c r="U192" s="20">
        <v>-0.05</v>
      </c>
      <c r="V192" s="20">
        <v>880.15</v>
      </c>
    </row>
    <row r="193" spans="1:22" ht="16.8" x14ac:dyDescent="0.3">
      <c r="A193" s="20">
        <v>19.2</v>
      </c>
      <c r="B193" s="20">
        <v>53</v>
      </c>
      <c r="C193" s="20">
        <v>52.95</v>
      </c>
      <c r="D193" s="20">
        <v>0.05</v>
      </c>
      <c r="E193" s="20">
        <v>-0.04</v>
      </c>
      <c r="F193" s="20">
        <v>1150.8499999999999</v>
      </c>
      <c r="Q193" s="20">
        <v>19.2</v>
      </c>
      <c r="R193" s="20">
        <v>53.25</v>
      </c>
      <c r="S193" s="26">
        <v>53</v>
      </c>
      <c r="T193" s="20">
        <v>-0.25</v>
      </c>
      <c r="U193" s="26">
        <v>0.01</v>
      </c>
      <c r="V193" s="20">
        <v>882.2</v>
      </c>
    </row>
    <row r="194" spans="1:22" ht="16.8" x14ac:dyDescent="0.3">
      <c r="A194" s="20">
        <v>19.3</v>
      </c>
      <c r="B194" s="20">
        <v>53</v>
      </c>
      <c r="C194" s="20">
        <v>52.95</v>
      </c>
      <c r="D194" s="20">
        <v>0.05</v>
      </c>
      <c r="E194" s="20">
        <v>0</v>
      </c>
      <c r="F194" s="20">
        <v>1150.8</v>
      </c>
      <c r="Q194" s="20">
        <v>19.3</v>
      </c>
      <c r="R194" s="20">
        <v>53.3</v>
      </c>
      <c r="S194" s="20">
        <v>53</v>
      </c>
      <c r="T194" s="26">
        <v>-0.3</v>
      </c>
      <c r="U194" s="20">
        <v>-0.05</v>
      </c>
      <c r="V194" s="20">
        <v>872.59</v>
      </c>
    </row>
    <row r="195" spans="1:22" ht="16.8" x14ac:dyDescent="0.3">
      <c r="A195" s="20">
        <v>19.399999999999999</v>
      </c>
      <c r="B195" s="20">
        <v>53</v>
      </c>
      <c r="C195" s="20">
        <v>52.93</v>
      </c>
      <c r="D195" s="20">
        <v>7.0000000000000007E-2</v>
      </c>
      <c r="E195" s="20">
        <v>0.02</v>
      </c>
      <c r="F195" s="20">
        <v>1165.3800000000001</v>
      </c>
      <c r="Q195" s="20">
        <v>19.399999999999999</v>
      </c>
      <c r="R195" s="20">
        <v>53.24</v>
      </c>
      <c r="S195" s="26">
        <v>53</v>
      </c>
      <c r="T195" s="20">
        <v>-0.24</v>
      </c>
      <c r="U195" s="26">
        <v>0.06</v>
      </c>
      <c r="V195" s="20">
        <v>883.4</v>
      </c>
    </row>
    <row r="196" spans="1:22" ht="16.8" x14ac:dyDescent="0.3">
      <c r="A196" s="20">
        <v>19.5</v>
      </c>
      <c r="B196" s="20">
        <v>53</v>
      </c>
      <c r="C196" s="20">
        <v>52.92</v>
      </c>
      <c r="D196" s="20">
        <v>0.08</v>
      </c>
      <c r="E196" s="20">
        <v>0.02</v>
      </c>
      <c r="F196" s="20">
        <v>1179.44</v>
      </c>
      <c r="Q196" s="20">
        <v>19.5</v>
      </c>
      <c r="R196" s="20">
        <v>53.23</v>
      </c>
      <c r="S196" s="20">
        <v>53</v>
      </c>
      <c r="T196" s="26">
        <v>-0.23</v>
      </c>
      <c r="U196" s="20">
        <v>0.01</v>
      </c>
      <c r="V196" s="20">
        <v>882.97</v>
      </c>
    </row>
    <row r="197" spans="1:22" ht="16.8" x14ac:dyDescent="0.3">
      <c r="A197" s="20">
        <v>19.600000000000001</v>
      </c>
      <c r="B197" s="20">
        <v>53</v>
      </c>
      <c r="C197" s="20">
        <v>52.92</v>
      </c>
      <c r="D197" s="20">
        <v>0.08</v>
      </c>
      <c r="E197" s="20">
        <v>-0.01</v>
      </c>
      <c r="F197" s="20">
        <v>1172.48</v>
      </c>
      <c r="Q197" s="20">
        <v>19.600000000000001</v>
      </c>
      <c r="R197" s="20">
        <v>53.17</v>
      </c>
      <c r="S197" s="26">
        <v>53</v>
      </c>
      <c r="T197" s="20">
        <v>-0.17</v>
      </c>
      <c r="U197" s="26">
        <v>0.06</v>
      </c>
      <c r="V197" s="20">
        <v>892.56</v>
      </c>
    </row>
    <row r="198" spans="1:22" ht="16.8" x14ac:dyDescent="0.3">
      <c r="A198" s="20">
        <v>19.7</v>
      </c>
      <c r="B198" s="20">
        <v>53</v>
      </c>
      <c r="C198" s="20">
        <v>52.92</v>
      </c>
      <c r="D198" s="20">
        <v>0.08</v>
      </c>
      <c r="E198" s="20">
        <v>0.01</v>
      </c>
      <c r="F198" s="20">
        <v>1179.44</v>
      </c>
      <c r="Q198" s="20">
        <v>19.7</v>
      </c>
      <c r="R198" s="20">
        <v>53.23</v>
      </c>
      <c r="S198" s="20">
        <v>53</v>
      </c>
      <c r="T198" s="26">
        <v>-0.23</v>
      </c>
      <c r="U198" s="26">
        <v>-0.06</v>
      </c>
      <c r="V198" s="20">
        <v>880.49</v>
      </c>
    </row>
    <row r="199" spans="1:22" ht="16.8" x14ac:dyDescent="0.3">
      <c r="A199" s="20">
        <v>19.8</v>
      </c>
      <c r="B199" s="20">
        <v>53</v>
      </c>
      <c r="C199" s="20">
        <v>52.92</v>
      </c>
      <c r="D199" s="20">
        <v>0.08</v>
      </c>
      <c r="E199" s="20">
        <v>0</v>
      </c>
      <c r="F199" s="20">
        <v>1179.44</v>
      </c>
      <c r="Q199" s="20">
        <v>19.8</v>
      </c>
      <c r="R199" s="20">
        <v>53.14</v>
      </c>
      <c r="S199" s="26">
        <v>53</v>
      </c>
      <c r="T199" s="20">
        <v>-0.14000000000000001</v>
      </c>
      <c r="U199" s="26">
        <v>0.09</v>
      </c>
      <c r="V199" s="20">
        <v>897.53</v>
      </c>
    </row>
    <row r="200" spans="1:22" ht="16.8" x14ac:dyDescent="0.3">
      <c r="A200" s="20">
        <v>19.899999999999999</v>
      </c>
      <c r="B200" s="20">
        <v>53</v>
      </c>
      <c r="C200" s="20">
        <v>52.96</v>
      </c>
      <c r="D200" s="20">
        <v>0.04</v>
      </c>
      <c r="E200" s="20">
        <v>-0.05</v>
      </c>
      <c r="F200" s="20">
        <v>1135.8699999999999</v>
      </c>
      <c r="Q200" s="20">
        <v>19.899999999999999</v>
      </c>
      <c r="R200" s="20">
        <v>53.17</v>
      </c>
      <c r="S200" s="20">
        <v>53</v>
      </c>
      <c r="T200" s="26">
        <v>-0.17</v>
      </c>
      <c r="U200" s="26">
        <v>-0.02</v>
      </c>
      <c r="V200" s="20">
        <v>890.66</v>
      </c>
    </row>
    <row r="201" spans="1:22" ht="16.8" x14ac:dyDescent="0.3">
      <c r="A201" s="20">
        <v>20</v>
      </c>
      <c r="B201" s="20">
        <v>53</v>
      </c>
      <c r="C201" s="20">
        <v>52.92</v>
      </c>
      <c r="D201" s="20">
        <v>0.08</v>
      </c>
      <c r="E201" s="20">
        <v>0.05</v>
      </c>
      <c r="F201" s="20">
        <v>1185.3399999999999</v>
      </c>
      <c r="Q201" s="20">
        <v>20</v>
      </c>
      <c r="R201" s="20">
        <v>53.25</v>
      </c>
      <c r="S201" s="26">
        <v>53</v>
      </c>
      <c r="T201" s="20">
        <v>-0.25</v>
      </c>
      <c r="U201" s="20">
        <v>-0.09</v>
      </c>
      <c r="V201" s="20">
        <v>874.63</v>
      </c>
    </row>
    <row r="202" spans="1:22" ht="16.8" x14ac:dyDescent="0.3">
      <c r="A202" s="20">
        <v>20.100000000000001</v>
      </c>
      <c r="B202" s="20">
        <v>53</v>
      </c>
      <c r="C202" s="20">
        <v>52.88</v>
      </c>
      <c r="D202" s="20">
        <v>0.12</v>
      </c>
      <c r="E202" s="20">
        <v>0.04</v>
      </c>
      <c r="F202" s="20">
        <v>1209.3499999999999</v>
      </c>
      <c r="Q202" s="20">
        <v>20.100000000000001</v>
      </c>
      <c r="R202" s="20">
        <v>53.21</v>
      </c>
      <c r="S202" s="20">
        <v>53</v>
      </c>
      <c r="T202" s="26">
        <v>-0.21</v>
      </c>
      <c r="U202" s="26">
        <v>0.04</v>
      </c>
      <c r="V202" s="20">
        <v>883.54</v>
      </c>
    </row>
    <row r="203" spans="1:22" ht="16.8" x14ac:dyDescent="0.3">
      <c r="A203" s="20">
        <v>20.2</v>
      </c>
      <c r="B203" s="20">
        <v>53</v>
      </c>
      <c r="C203" s="20">
        <v>52.89</v>
      </c>
      <c r="D203" s="20">
        <v>0.11</v>
      </c>
      <c r="E203" s="20">
        <v>-0.01</v>
      </c>
      <c r="F203" s="20">
        <v>1199.6199999999999</v>
      </c>
      <c r="Q203" s="20">
        <v>20.2</v>
      </c>
      <c r="R203" s="20">
        <v>53.23</v>
      </c>
      <c r="S203" s="20">
        <v>53</v>
      </c>
      <c r="T203" s="20">
        <v>-0.23</v>
      </c>
      <c r="U203" s="20">
        <v>-0.02</v>
      </c>
      <c r="V203" s="20">
        <v>879.13</v>
      </c>
    </row>
    <row r="204" spans="1:22" ht="16.8" x14ac:dyDescent="0.3">
      <c r="A204" s="20">
        <v>20.3</v>
      </c>
      <c r="B204" s="20">
        <v>53</v>
      </c>
      <c r="C204" s="20">
        <v>52.89</v>
      </c>
      <c r="D204" s="20">
        <v>0.11</v>
      </c>
      <c r="E204" s="20">
        <v>0</v>
      </c>
      <c r="F204" s="20">
        <v>1202.8800000000001</v>
      </c>
      <c r="Q204" s="20">
        <v>20.3</v>
      </c>
      <c r="R204" s="20">
        <v>53.23</v>
      </c>
      <c r="S204" s="26">
        <v>53</v>
      </c>
      <c r="T204" s="20">
        <v>-0.23</v>
      </c>
      <c r="U204" s="26">
        <v>0</v>
      </c>
      <c r="V204" s="20">
        <v>878.99</v>
      </c>
    </row>
    <row r="205" spans="1:22" ht="16.8" x14ac:dyDescent="0.3">
      <c r="A205" s="20">
        <v>20.399999999999999</v>
      </c>
      <c r="B205" s="20">
        <v>53</v>
      </c>
      <c r="C205" s="20">
        <v>52.88</v>
      </c>
      <c r="D205" s="20">
        <v>0.12</v>
      </c>
      <c r="E205" s="20">
        <v>0</v>
      </c>
      <c r="F205" s="20">
        <v>1206.1400000000001</v>
      </c>
      <c r="Q205" s="20">
        <v>20.399999999999999</v>
      </c>
      <c r="R205" s="20">
        <v>53.17</v>
      </c>
      <c r="S205" s="20">
        <v>53</v>
      </c>
      <c r="T205" s="26">
        <v>-0.17</v>
      </c>
      <c r="U205" s="26">
        <v>0.06</v>
      </c>
      <c r="V205" s="20">
        <v>890.26</v>
      </c>
    </row>
    <row r="206" spans="1:22" ht="16.8" x14ac:dyDescent="0.3">
      <c r="A206" s="20">
        <v>20.5</v>
      </c>
      <c r="B206" s="20">
        <v>53</v>
      </c>
      <c r="C206" s="20">
        <v>52.9</v>
      </c>
      <c r="D206" s="20">
        <v>0.1</v>
      </c>
      <c r="E206" s="20">
        <v>-0.01</v>
      </c>
      <c r="F206" s="20">
        <v>1196.31</v>
      </c>
      <c r="Q206" s="20">
        <v>20.5</v>
      </c>
      <c r="R206" s="20">
        <v>53.23</v>
      </c>
      <c r="S206" s="26">
        <v>53</v>
      </c>
      <c r="T206" s="20">
        <v>-0.23</v>
      </c>
      <c r="U206" s="26">
        <v>-0.06</v>
      </c>
      <c r="V206" s="20">
        <v>876.53</v>
      </c>
    </row>
    <row r="207" spans="1:22" ht="16.8" x14ac:dyDescent="0.3">
      <c r="A207" s="20">
        <v>20.6</v>
      </c>
      <c r="B207" s="20">
        <v>53</v>
      </c>
      <c r="C207" s="20">
        <v>52.89</v>
      </c>
      <c r="D207" s="20">
        <v>0.11</v>
      </c>
      <c r="E207" s="20">
        <v>0.01</v>
      </c>
      <c r="F207" s="20">
        <v>1202.8800000000001</v>
      </c>
      <c r="Q207" s="20">
        <v>20.6</v>
      </c>
      <c r="R207" s="20">
        <v>53.18</v>
      </c>
      <c r="S207" s="20">
        <v>53</v>
      </c>
      <c r="T207" s="26">
        <v>-0.18</v>
      </c>
      <c r="U207" s="26">
        <v>0.05</v>
      </c>
      <c r="V207" s="20">
        <v>886.39</v>
      </c>
    </row>
    <row r="208" spans="1:22" ht="16.8" x14ac:dyDescent="0.3">
      <c r="A208" s="20">
        <v>20.7</v>
      </c>
      <c r="B208" s="20">
        <v>53</v>
      </c>
      <c r="C208" s="20">
        <v>52.91</v>
      </c>
      <c r="D208" s="20">
        <v>0.09</v>
      </c>
      <c r="E208" s="20">
        <v>-0.02</v>
      </c>
      <c r="F208" s="20">
        <v>18620.8</v>
      </c>
      <c r="Q208" s="20">
        <v>20.7</v>
      </c>
      <c r="R208" s="20">
        <v>53.18</v>
      </c>
      <c r="S208" s="26">
        <v>53</v>
      </c>
      <c r="T208" s="20">
        <v>-0.18</v>
      </c>
      <c r="U208" s="26">
        <v>0</v>
      </c>
      <c r="V208" s="20">
        <v>884.81</v>
      </c>
    </row>
    <row r="209" spans="1:22" ht="16.8" x14ac:dyDescent="0.3">
      <c r="A209" s="20">
        <v>20.9</v>
      </c>
      <c r="B209" s="20">
        <v>53</v>
      </c>
      <c r="C209" s="20">
        <v>52.88</v>
      </c>
      <c r="D209" s="20">
        <v>0.12</v>
      </c>
      <c r="E209" s="20">
        <v>0.02</v>
      </c>
      <c r="F209" s="20">
        <v>1206.1400000000001</v>
      </c>
      <c r="Q209" s="20">
        <v>20.8</v>
      </c>
      <c r="R209" s="20">
        <v>53.22</v>
      </c>
      <c r="S209" s="20">
        <v>53</v>
      </c>
      <c r="T209" s="26">
        <v>-0.22</v>
      </c>
      <c r="U209" s="26">
        <v>-0.04</v>
      </c>
      <c r="V209" s="20">
        <v>877.02</v>
      </c>
    </row>
    <row r="210" spans="1:22" ht="16.8" x14ac:dyDescent="0.3">
      <c r="A210" s="20">
        <v>21</v>
      </c>
      <c r="B210" s="20">
        <v>53</v>
      </c>
      <c r="C210" s="20">
        <v>52.91</v>
      </c>
      <c r="D210" s="20">
        <v>0.09</v>
      </c>
      <c r="E210" s="20">
        <v>-0.03</v>
      </c>
      <c r="F210" s="20">
        <v>1182.8599999999999</v>
      </c>
      <c r="Q210" s="20">
        <v>20.9</v>
      </c>
      <c r="R210" s="20">
        <v>53.2</v>
      </c>
      <c r="S210" s="26">
        <v>53</v>
      </c>
      <c r="T210" s="20">
        <v>-0.2</v>
      </c>
      <c r="U210" s="26">
        <v>0.02</v>
      </c>
      <c r="V210" s="20">
        <v>881.9</v>
      </c>
    </row>
    <row r="211" spans="1:22" ht="16.8" x14ac:dyDescent="0.3">
      <c r="A211" s="20">
        <v>21.1</v>
      </c>
      <c r="B211" s="20">
        <v>53</v>
      </c>
      <c r="C211" s="20">
        <v>52.9</v>
      </c>
      <c r="D211" s="20">
        <v>0.1</v>
      </c>
      <c r="E211" s="20">
        <v>0.01</v>
      </c>
      <c r="F211" s="20">
        <v>1189.6500000000001</v>
      </c>
      <c r="Q211" s="20">
        <v>21</v>
      </c>
      <c r="R211" s="20">
        <v>53.14</v>
      </c>
      <c r="S211" s="20">
        <v>53</v>
      </c>
      <c r="T211" s="26">
        <v>-0.14000000000000001</v>
      </c>
      <c r="U211" s="26">
        <v>0.06</v>
      </c>
      <c r="V211" s="20">
        <v>891.19</v>
      </c>
    </row>
    <row r="212" spans="1:22" ht="16.8" x14ac:dyDescent="0.3">
      <c r="A212" s="20">
        <v>21.2</v>
      </c>
      <c r="B212" s="20">
        <v>53</v>
      </c>
      <c r="C212" s="20">
        <v>52.91</v>
      </c>
      <c r="D212" s="20">
        <v>0.09</v>
      </c>
      <c r="E212" s="20">
        <v>0</v>
      </c>
      <c r="F212" s="20">
        <v>1186.27</v>
      </c>
      <c r="Q212" s="20">
        <v>21.1</v>
      </c>
      <c r="R212" s="20">
        <v>53.21</v>
      </c>
      <c r="S212" s="26">
        <v>53</v>
      </c>
      <c r="T212" s="20">
        <v>-0.21</v>
      </c>
      <c r="U212" s="26">
        <v>-0.06</v>
      </c>
      <c r="V212" s="20">
        <v>877.71</v>
      </c>
    </row>
    <row r="213" spans="1:22" ht="16.8" x14ac:dyDescent="0.3">
      <c r="A213" s="20">
        <v>21.3</v>
      </c>
      <c r="B213" s="20">
        <v>53</v>
      </c>
      <c r="C213" s="20">
        <v>52.9</v>
      </c>
      <c r="D213" s="20">
        <v>0.1</v>
      </c>
      <c r="E213" s="20">
        <v>0.01</v>
      </c>
      <c r="F213" s="20">
        <v>1196.31</v>
      </c>
      <c r="Q213" s="20">
        <v>21.2</v>
      </c>
      <c r="R213" s="20">
        <v>53.15</v>
      </c>
      <c r="S213" s="20">
        <v>53</v>
      </c>
      <c r="T213" s="20">
        <v>-0.15</v>
      </c>
      <c r="U213" s="26">
        <v>0.06</v>
      </c>
      <c r="V213" s="20">
        <v>889.1</v>
      </c>
    </row>
    <row r="214" spans="1:22" ht="16.8" x14ac:dyDescent="0.3">
      <c r="A214" s="20">
        <v>21.4</v>
      </c>
      <c r="B214" s="20">
        <v>53</v>
      </c>
      <c r="C214" s="20">
        <v>52.89</v>
      </c>
      <c r="D214" s="20">
        <v>0.11</v>
      </c>
      <c r="E214" s="20">
        <v>0.01</v>
      </c>
      <c r="F214" s="20">
        <v>1202.8800000000001</v>
      </c>
      <c r="Q214" s="20">
        <v>21.3</v>
      </c>
      <c r="R214" s="20">
        <v>53.2</v>
      </c>
      <c r="S214" s="26">
        <v>53</v>
      </c>
      <c r="T214" s="26">
        <v>-0.2</v>
      </c>
      <c r="U214" s="20">
        <v>-0.05</v>
      </c>
      <c r="V214" s="20">
        <v>878.56</v>
      </c>
    </row>
    <row r="215" spans="1:22" ht="16.8" x14ac:dyDescent="0.3">
      <c r="A215" s="20">
        <v>21.5</v>
      </c>
      <c r="B215" s="20">
        <v>53</v>
      </c>
      <c r="C215" s="20">
        <v>52.88</v>
      </c>
      <c r="D215" s="20">
        <v>0.12</v>
      </c>
      <c r="E215" s="20">
        <v>0</v>
      </c>
      <c r="F215" s="20">
        <v>1206.1400000000001</v>
      </c>
      <c r="Q215" s="20">
        <v>21.4</v>
      </c>
      <c r="R215" s="20">
        <v>53.21</v>
      </c>
      <c r="S215" s="20">
        <v>53</v>
      </c>
      <c r="T215" s="20">
        <v>-0.21</v>
      </c>
      <c r="U215" s="26">
        <v>-0.02</v>
      </c>
      <c r="V215" s="20">
        <v>876.31</v>
      </c>
    </row>
    <row r="216" spans="1:22" ht="16.8" x14ac:dyDescent="0.3">
      <c r="A216" s="20">
        <v>21.6</v>
      </c>
      <c r="B216" s="20">
        <v>53</v>
      </c>
      <c r="C216" s="20">
        <v>52.9</v>
      </c>
      <c r="D216" s="20">
        <v>0.1</v>
      </c>
      <c r="E216" s="20">
        <v>-0.01</v>
      </c>
      <c r="F216" s="20">
        <v>1196.31</v>
      </c>
      <c r="Q216" s="20">
        <v>21.5</v>
      </c>
      <c r="R216" s="20">
        <v>53.17</v>
      </c>
      <c r="S216" s="26">
        <v>53</v>
      </c>
      <c r="T216" s="26">
        <v>-0.17</v>
      </c>
      <c r="U216" s="20">
        <v>0.04</v>
      </c>
      <c r="V216" s="20">
        <v>883.58</v>
      </c>
    </row>
    <row r="217" spans="1:22" ht="16.8" x14ac:dyDescent="0.3">
      <c r="A217" s="20">
        <v>21.7</v>
      </c>
      <c r="B217" s="20">
        <v>53</v>
      </c>
      <c r="C217" s="20">
        <v>52.9</v>
      </c>
      <c r="D217" s="20">
        <v>0.1</v>
      </c>
      <c r="E217" s="20">
        <v>-0.01</v>
      </c>
      <c r="F217" s="20">
        <v>1189.6500000000001</v>
      </c>
      <c r="Q217" s="20">
        <v>21.6</v>
      </c>
      <c r="R217" s="20">
        <v>53.2</v>
      </c>
      <c r="S217" s="20">
        <v>53</v>
      </c>
      <c r="T217" s="20">
        <v>-0.2</v>
      </c>
      <c r="U217" s="26">
        <v>-0.02</v>
      </c>
      <c r="V217" s="20">
        <v>877.78</v>
      </c>
    </row>
    <row r="218" spans="1:22" ht="16.8" x14ac:dyDescent="0.3">
      <c r="A218" s="20">
        <v>21.8</v>
      </c>
      <c r="B218" s="20">
        <v>53</v>
      </c>
      <c r="C218" s="20">
        <v>52.92</v>
      </c>
      <c r="D218" s="20">
        <v>0.08</v>
      </c>
      <c r="E218" s="20">
        <v>-0.02</v>
      </c>
      <c r="F218" s="20">
        <v>1175.96</v>
      </c>
      <c r="Q218" s="20">
        <v>21.7</v>
      </c>
      <c r="R218" s="20">
        <v>53.15</v>
      </c>
      <c r="S218" s="20">
        <v>53</v>
      </c>
      <c r="T218" s="26">
        <v>-0.15</v>
      </c>
      <c r="U218" s="26">
        <v>0.05</v>
      </c>
      <c r="V218" s="20">
        <v>886.76</v>
      </c>
    </row>
    <row r="219" spans="1:22" ht="16.8" x14ac:dyDescent="0.3">
      <c r="A219" s="20">
        <v>21.9</v>
      </c>
      <c r="B219" s="20">
        <v>53</v>
      </c>
      <c r="C219" s="20">
        <v>52.95</v>
      </c>
      <c r="D219" s="20">
        <v>0.05</v>
      </c>
      <c r="E219" s="20">
        <v>-0.03</v>
      </c>
      <c r="F219" s="20">
        <v>1150.8</v>
      </c>
      <c r="Q219" s="20">
        <v>21.8</v>
      </c>
      <c r="R219" s="20">
        <v>53.17</v>
      </c>
      <c r="S219" s="26">
        <v>53</v>
      </c>
      <c r="T219" s="20">
        <v>-0.17</v>
      </c>
      <c r="U219" s="26">
        <v>-0.02</v>
      </c>
      <c r="V219" s="20">
        <v>880.83</v>
      </c>
    </row>
    <row r="220" spans="1:22" ht="16.8" x14ac:dyDescent="0.3">
      <c r="A220" s="20">
        <v>22</v>
      </c>
      <c r="B220" s="20">
        <v>53</v>
      </c>
      <c r="C220" s="20">
        <v>52.94</v>
      </c>
      <c r="D220" s="20">
        <v>0.06</v>
      </c>
      <c r="E220" s="20">
        <v>0.01</v>
      </c>
      <c r="F220" s="20">
        <v>1161.79</v>
      </c>
      <c r="Q220" s="20">
        <v>21.9</v>
      </c>
      <c r="R220" s="20">
        <v>53.17</v>
      </c>
      <c r="S220" s="20">
        <v>53</v>
      </c>
      <c r="T220" s="26">
        <v>-0.17</v>
      </c>
      <c r="U220" s="20">
        <v>0.01</v>
      </c>
      <c r="V220" s="20">
        <v>882.48</v>
      </c>
    </row>
    <row r="221" spans="1:22" ht="16.8" x14ac:dyDescent="0.3">
      <c r="A221" s="20">
        <v>22.1</v>
      </c>
      <c r="B221" s="20">
        <v>53</v>
      </c>
      <c r="C221" s="20">
        <v>52.95</v>
      </c>
      <c r="D221" s="20">
        <v>0.05</v>
      </c>
      <c r="E221" s="20">
        <v>-0.02</v>
      </c>
      <c r="F221" s="20">
        <v>1147.06</v>
      </c>
      <c r="Q221" s="20">
        <v>22</v>
      </c>
      <c r="R221" s="20">
        <v>53.19</v>
      </c>
      <c r="S221" s="26">
        <v>53</v>
      </c>
      <c r="T221" s="20">
        <v>-0.19</v>
      </c>
      <c r="U221" s="26">
        <v>-0.02</v>
      </c>
      <c r="V221" s="20">
        <v>877.48</v>
      </c>
    </row>
    <row r="222" spans="1:22" ht="16.8" x14ac:dyDescent="0.3">
      <c r="A222" s="20">
        <v>22.2</v>
      </c>
      <c r="B222" s="20">
        <v>53</v>
      </c>
      <c r="C222" s="20">
        <v>52.95</v>
      </c>
      <c r="D222" s="20">
        <v>0.05</v>
      </c>
      <c r="E222" s="20">
        <v>0</v>
      </c>
      <c r="F222" s="20">
        <v>1147.06</v>
      </c>
      <c r="Q222" s="20">
        <v>22.1</v>
      </c>
      <c r="R222" s="20">
        <v>53.19</v>
      </c>
      <c r="S222" s="20">
        <v>53</v>
      </c>
      <c r="T222" s="26">
        <v>-0.19</v>
      </c>
      <c r="U222" s="20">
        <v>0</v>
      </c>
      <c r="V222" s="20">
        <v>877.62</v>
      </c>
    </row>
    <row r="223" spans="1:22" ht="16.8" x14ac:dyDescent="0.3">
      <c r="A223" s="20">
        <v>22.3</v>
      </c>
      <c r="B223" s="20">
        <v>53</v>
      </c>
      <c r="C223" s="20">
        <v>52.94</v>
      </c>
      <c r="D223" s="20">
        <v>0.06</v>
      </c>
      <c r="E223" s="20">
        <v>0.01</v>
      </c>
      <c r="F223" s="20">
        <v>1154.5</v>
      </c>
      <c r="Q223" s="20">
        <v>22.2</v>
      </c>
      <c r="R223" s="20">
        <v>53.16</v>
      </c>
      <c r="S223" s="26">
        <v>53</v>
      </c>
      <c r="T223" s="20">
        <v>-0.16</v>
      </c>
      <c r="U223" s="26">
        <v>0.03</v>
      </c>
      <c r="V223" s="20">
        <v>883.08</v>
      </c>
    </row>
    <row r="224" spans="1:22" ht="16.8" x14ac:dyDescent="0.3">
      <c r="A224" s="20">
        <v>22.4</v>
      </c>
      <c r="B224" s="20">
        <v>53</v>
      </c>
      <c r="C224" s="20">
        <v>52.96</v>
      </c>
      <c r="D224" s="20">
        <v>0.04</v>
      </c>
      <c r="E224" s="20">
        <v>-0.02</v>
      </c>
      <c r="F224" s="20">
        <v>1135.6199999999999</v>
      </c>
      <c r="Q224" s="20">
        <v>22.3</v>
      </c>
      <c r="R224" s="20">
        <v>53.17</v>
      </c>
      <c r="S224" s="20">
        <v>53</v>
      </c>
      <c r="T224" s="20">
        <v>-0.17</v>
      </c>
      <c r="U224" s="26">
        <v>-0.02</v>
      </c>
      <c r="V224" s="20">
        <v>879</v>
      </c>
    </row>
    <row r="225" spans="1:22" ht="16.8" x14ac:dyDescent="0.3">
      <c r="A225" s="20">
        <v>22.5</v>
      </c>
      <c r="B225" s="20">
        <v>53</v>
      </c>
      <c r="C225" s="20">
        <v>52.95</v>
      </c>
      <c r="D225" s="20">
        <v>0.05</v>
      </c>
      <c r="E225" s="20">
        <v>0.02</v>
      </c>
      <c r="F225" s="20">
        <v>1150.8</v>
      </c>
      <c r="Q225" s="20">
        <v>22.4</v>
      </c>
      <c r="R225" s="20">
        <v>53.16</v>
      </c>
      <c r="S225" s="26">
        <v>53</v>
      </c>
      <c r="T225" s="26">
        <v>-0.16</v>
      </c>
      <c r="U225" s="20">
        <v>0.02</v>
      </c>
      <c r="V225" s="20">
        <v>881.93</v>
      </c>
    </row>
    <row r="226" spans="1:22" ht="16.8" x14ac:dyDescent="0.3">
      <c r="A226" s="20">
        <v>22.6</v>
      </c>
      <c r="B226" s="20">
        <v>53</v>
      </c>
      <c r="C226" s="20">
        <v>52.95</v>
      </c>
      <c r="D226" s="20">
        <v>0.05</v>
      </c>
      <c r="E226" s="20">
        <v>0</v>
      </c>
      <c r="F226" s="20">
        <v>1150.8</v>
      </c>
      <c r="Q226" s="20">
        <v>22.5</v>
      </c>
      <c r="R226" s="20">
        <v>53.14</v>
      </c>
      <c r="S226" s="20">
        <v>53</v>
      </c>
      <c r="T226" s="20">
        <v>-0.14000000000000001</v>
      </c>
      <c r="U226" s="26">
        <v>0.02</v>
      </c>
      <c r="V226" s="20">
        <v>884.13</v>
      </c>
    </row>
    <row r="227" spans="1:22" ht="16.8" x14ac:dyDescent="0.3">
      <c r="A227" s="20">
        <v>22.7</v>
      </c>
      <c r="B227" s="20">
        <v>53</v>
      </c>
      <c r="C227" s="20">
        <v>53</v>
      </c>
      <c r="D227" s="20">
        <v>0</v>
      </c>
      <c r="E227" s="20">
        <v>-0.05</v>
      </c>
      <c r="F227" s="20">
        <v>1103.1300000000001</v>
      </c>
      <c r="Q227" s="20">
        <v>22.6</v>
      </c>
      <c r="R227" s="20">
        <v>53.17</v>
      </c>
      <c r="S227" s="26">
        <v>53</v>
      </c>
      <c r="T227" s="26">
        <v>-0.17</v>
      </c>
      <c r="U227" s="20">
        <v>-0.02</v>
      </c>
      <c r="V227" s="20">
        <v>878.99</v>
      </c>
    </row>
    <row r="228" spans="1:22" ht="16.8" x14ac:dyDescent="0.3">
      <c r="A228" s="20">
        <v>22.8</v>
      </c>
      <c r="B228" s="20">
        <v>53</v>
      </c>
      <c r="C228" s="20">
        <v>52.97</v>
      </c>
      <c r="D228" s="20">
        <v>0.03</v>
      </c>
      <c r="E228" s="20">
        <v>0.03</v>
      </c>
      <c r="F228" s="20">
        <v>1152.22</v>
      </c>
      <c r="Q228" s="20">
        <v>22.7</v>
      </c>
      <c r="R228" s="20">
        <v>53.1</v>
      </c>
      <c r="S228" s="20">
        <v>53</v>
      </c>
      <c r="T228" s="20">
        <v>-0.1</v>
      </c>
      <c r="U228" s="26">
        <v>0.06</v>
      </c>
      <c r="V228" s="20">
        <v>890.99</v>
      </c>
    </row>
    <row r="229" spans="1:22" ht="16.8" x14ac:dyDescent="0.3">
      <c r="A229" s="20">
        <v>22.9</v>
      </c>
      <c r="B229" s="20">
        <v>53</v>
      </c>
      <c r="C229" s="20">
        <v>52.97</v>
      </c>
      <c r="D229" s="20">
        <v>0.03</v>
      </c>
      <c r="E229" s="20">
        <v>0</v>
      </c>
      <c r="F229" s="20">
        <v>1127.75</v>
      </c>
      <c r="Q229" s="20">
        <v>22.8</v>
      </c>
      <c r="R229" s="20">
        <v>53.17</v>
      </c>
      <c r="S229" s="20">
        <v>53</v>
      </c>
      <c r="T229" s="26">
        <v>-0.17</v>
      </c>
      <c r="U229" s="20">
        <v>-0.06</v>
      </c>
      <c r="V229" s="20">
        <v>877.41</v>
      </c>
    </row>
    <row r="230" spans="1:22" ht="16.8" x14ac:dyDescent="0.3">
      <c r="A230" s="20">
        <v>23</v>
      </c>
      <c r="B230" s="20">
        <v>53</v>
      </c>
      <c r="C230" s="20">
        <v>52.95</v>
      </c>
      <c r="D230" s="20">
        <v>0.05</v>
      </c>
      <c r="E230" s="20">
        <v>0.02</v>
      </c>
      <c r="F230" s="20">
        <v>1147.06</v>
      </c>
      <c r="Q230" s="20">
        <v>22.9</v>
      </c>
      <c r="R230" s="20">
        <v>53.15</v>
      </c>
      <c r="S230" s="26">
        <v>53</v>
      </c>
      <c r="T230" s="20">
        <v>-0.15</v>
      </c>
      <c r="U230" s="26">
        <v>0.02</v>
      </c>
      <c r="V230" s="20">
        <v>881.52</v>
      </c>
    </row>
    <row r="231" spans="1:22" ht="16.8" x14ac:dyDescent="0.3">
      <c r="A231" s="20">
        <v>23.1</v>
      </c>
      <c r="B231" s="20">
        <v>53</v>
      </c>
      <c r="C231" s="20">
        <v>52.95</v>
      </c>
      <c r="D231" s="20">
        <v>0.05</v>
      </c>
      <c r="E231" s="20">
        <v>0</v>
      </c>
      <c r="F231" s="20">
        <v>1150.8</v>
      </c>
      <c r="Q231" s="20">
        <v>23</v>
      </c>
      <c r="R231" s="20">
        <v>53.07</v>
      </c>
      <c r="S231" s="20">
        <v>53</v>
      </c>
      <c r="T231" s="26">
        <v>-7.0000000000000007E-2</v>
      </c>
      <c r="U231" s="26">
        <v>0.08</v>
      </c>
      <c r="V231" s="20">
        <v>895.54</v>
      </c>
    </row>
    <row r="232" spans="1:22" ht="16.8" x14ac:dyDescent="0.3">
      <c r="A232" s="20">
        <v>23.2</v>
      </c>
      <c r="B232" s="20">
        <v>53</v>
      </c>
      <c r="C232" s="20">
        <v>52.95</v>
      </c>
      <c r="D232" s="20">
        <v>0.05</v>
      </c>
      <c r="E232" s="20">
        <v>0</v>
      </c>
      <c r="F232" s="20">
        <v>1147.06</v>
      </c>
      <c r="Q232" s="20">
        <v>23.1</v>
      </c>
      <c r="R232" s="20">
        <v>53.14</v>
      </c>
      <c r="S232" s="26">
        <v>53</v>
      </c>
      <c r="T232" s="20">
        <v>-0.14000000000000001</v>
      </c>
      <c r="U232" s="20">
        <v>-7.0000000000000007E-2</v>
      </c>
      <c r="V232" s="20">
        <v>880.17</v>
      </c>
    </row>
    <row r="233" spans="1:22" ht="16.8" x14ac:dyDescent="0.3">
      <c r="A233" s="20">
        <v>23.3</v>
      </c>
      <c r="B233" s="20">
        <v>53</v>
      </c>
      <c r="C233" s="20">
        <v>52.96</v>
      </c>
      <c r="D233" s="20">
        <v>0.04</v>
      </c>
      <c r="E233" s="20">
        <v>-0.01</v>
      </c>
      <c r="F233" s="20">
        <v>1135.6199999999999</v>
      </c>
      <c r="Q233" s="20">
        <v>23.2</v>
      </c>
      <c r="R233" s="20">
        <v>53.12</v>
      </c>
      <c r="S233" s="20">
        <v>53</v>
      </c>
      <c r="T233" s="20">
        <v>-0.12</v>
      </c>
      <c r="U233" s="26">
        <v>0.02</v>
      </c>
      <c r="V233" s="20">
        <v>886.01</v>
      </c>
    </row>
    <row r="234" spans="1:22" ht="16.8" x14ac:dyDescent="0.3">
      <c r="A234" s="20">
        <v>23.4</v>
      </c>
      <c r="B234" s="20">
        <v>53</v>
      </c>
      <c r="C234" s="20">
        <v>52.96</v>
      </c>
      <c r="D234" s="20">
        <v>0.04</v>
      </c>
      <c r="E234" s="20">
        <v>0</v>
      </c>
      <c r="F234" s="20">
        <v>1135.6199999999999</v>
      </c>
      <c r="Q234" s="20">
        <v>23.3</v>
      </c>
      <c r="R234" s="20">
        <v>53.11</v>
      </c>
      <c r="S234" s="26">
        <v>53</v>
      </c>
      <c r="T234" s="26">
        <v>-0.11</v>
      </c>
      <c r="U234" s="20">
        <v>0.01</v>
      </c>
      <c r="V234" s="20">
        <v>886.63</v>
      </c>
    </row>
    <row r="235" spans="1:22" ht="16.8" x14ac:dyDescent="0.3">
      <c r="A235" s="20">
        <v>23.5</v>
      </c>
      <c r="B235" s="20">
        <v>53</v>
      </c>
      <c r="C235" s="20">
        <v>52.92</v>
      </c>
      <c r="D235" s="20">
        <v>0.08</v>
      </c>
      <c r="E235" s="20">
        <v>0.04</v>
      </c>
      <c r="F235" s="20">
        <v>1172.55</v>
      </c>
      <c r="Q235" s="20">
        <v>23.4</v>
      </c>
      <c r="R235" s="20">
        <v>53.13</v>
      </c>
      <c r="S235" s="20">
        <v>53</v>
      </c>
      <c r="T235" s="20">
        <v>-0.13</v>
      </c>
      <c r="U235" s="26">
        <v>-0.02</v>
      </c>
      <c r="V235" s="20">
        <v>881.76</v>
      </c>
    </row>
    <row r="236" spans="1:22" ht="16.8" x14ac:dyDescent="0.3">
      <c r="A236" s="20">
        <v>23.6</v>
      </c>
      <c r="B236" s="20">
        <v>53</v>
      </c>
      <c r="C236" s="20">
        <v>52.95</v>
      </c>
      <c r="D236" s="20">
        <v>0.05</v>
      </c>
      <c r="E236" s="20">
        <v>-0.03</v>
      </c>
      <c r="F236" s="20">
        <v>1147.06</v>
      </c>
      <c r="Q236" s="20">
        <v>23.5</v>
      </c>
      <c r="R236" s="20">
        <v>53.12</v>
      </c>
      <c r="S236" s="26">
        <v>53</v>
      </c>
      <c r="T236" s="26">
        <v>-0.12</v>
      </c>
      <c r="U236" s="20">
        <v>0.02</v>
      </c>
      <c r="V236" s="20">
        <v>884.98</v>
      </c>
    </row>
    <row r="237" spans="1:22" ht="16.8" x14ac:dyDescent="0.3">
      <c r="A237" s="20">
        <v>23.7</v>
      </c>
      <c r="B237" s="20">
        <v>53</v>
      </c>
      <c r="C237" s="20">
        <v>52.92</v>
      </c>
      <c r="D237" s="20">
        <v>0.08</v>
      </c>
      <c r="E237" s="20">
        <v>0.03</v>
      </c>
      <c r="F237" s="20">
        <v>1175.96</v>
      </c>
      <c r="Q237" s="20">
        <v>23.6</v>
      </c>
      <c r="R237" s="20">
        <v>53.11</v>
      </c>
      <c r="S237" s="20">
        <v>53</v>
      </c>
      <c r="T237" s="20">
        <v>-0.11</v>
      </c>
      <c r="U237" s="26">
        <v>0.01</v>
      </c>
      <c r="V237" s="20">
        <v>885.8</v>
      </c>
    </row>
    <row r="238" spans="1:22" ht="16.8" x14ac:dyDescent="0.3">
      <c r="A238" s="20">
        <v>23.8</v>
      </c>
      <c r="B238" s="20">
        <v>53</v>
      </c>
      <c r="C238" s="20">
        <v>52.94</v>
      </c>
      <c r="D238" s="20">
        <v>0.06</v>
      </c>
      <c r="E238" s="20">
        <v>-0.02</v>
      </c>
      <c r="F238" s="20">
        <v>1154.5</v>
      </c>
      <c r="Q238" s="20">
        <v>23.7</v>
      </c>
      <c r="R238" s="20">
        <v>53.14</v>
      </c>
      <c r="S238" s="20">
        <v>53</v>
      </c>
      <c r="T238" s="26">
        <v>-0.14000000000000001</v>
      </c>
      <c r="U238" s="20">
        <v>-0.03</v>
      </c>
      <c r="V238" s="20">
        <v>879.45</v>
      </c>
    </row>
    <row r="239" spans="1:22" ht="16.8" x14ac:dyDescent="0.3">
      <c r="A239" s="20">
        <v>23.9</v>
      </c>
      <c r="B239" s="20">
        <v>53</v>
      </c>
      <c r="C239" s="20">
        <v>52.91</v>
      </c>
      <c r="D239" s="20">
        <v>0.09</v>
      </c>
      <c r="E239" s="20">
        <v>0.03</v>
      </c>
      <c r="F239" s="20">
        <v>1182.8599999999999</v>
      </c>
      <c r="Q239" s="20">
        <v>23.8</v>
      </c>
      <c r="R239" s="20">
        <v>53.09</v>
      </c>
      <c r="S239" s="26">
        <v>53</v>
      </c>
      <c r="T239" s="20">
        <v>-0.09</v>
      </c>
      <c r="U239" s="26">
        <v>0.05</v>
      </c>
      <c r="V239" s="20">
        <v>888.75</v>
      </c>
    </row>
    <row r="240" spans="1:22" ht="16.8" x14ac:dyDescent="0.3">
      <c r="A240" s="20">
        <v>24</v>
      </c>
      <c r="B240" s="20">
        <v>53</v>
      </c>
      <c r="C240" s="20">
        <v>52.93</v>
      </c>
      <c r="D240" s="20">
        <v>7.0000000000000007E-2</v>
      </c>
      <c r="E240" s="20">
        <v>-0.02</v>
      </c>
      <c r="F240" s="20">
        <v>1165.3800000000001</v>
      </c>
      <c r="Q240" s="20">
        <v>23.9</v>
      </c>
      <c r="R240" s="20">
        <v>53.09</v>
      </c>
      <c r="S240" s="20">
        <v>53</v>
      </c>
      <c r="T240" s="26">
        <v>-0.09</v>
      </c>
      <c r="U240" s="26">
        <v>0.01</v>
      </c>
      <c r="V240" s="20">
        <v>888.85</v>
      </c>
    </row>
    <row r="241" spans="1:22" ht="16.8" x14ac:dyDescent="0.3">
      <c r="A241" s="20">
        <v>24.1</v>
      </c>
      <c r="B241" s="20">
        <v>53</v>
      </c>
      <c r="C241" s="20">
        <v>52.91</v>
      </c>
      <c r="D241" s="20">
        <v>0.09</v>
      </c>
      <c r="E241" s="20">
        <v>0.02</v>
      </c>
      <c r="F241" s="20">
        <v>1182.8599999999999</v>
      </c>
      <c r="Q241" s="20">
        <v>24</v>
      </c>
      <c r="R241" s="20">
        <v>53.05</v>
      </c>
      <c r="S241" s="26">
        <v>53</v>
      </c>
      <c r="T241" s="20">
        <v>-0.05</v>
      </c>
      <c r="U241" s="26">
        <v>0.03</v>
      </c>
      <c r="V241" s="20">
        <v>894.36</v>
      </c>
    </row>
    <row r="242" spans="1:22" ht="16.8" x14ac:dyDescent="0.3">
      <c r="A242" s="20">
        <v>24.2</v>
      </c>
      <c r="B242" s="20">
        <v>53</v>
      </c>
      <c r="C242" s="20">
        <v>52.91</v>
      </c>
      <c r="D242" s="20">
        <v>0.09</v>
      </c>
      <c r="E242" s="20">
        <v>0</v>
      </c>
      <c r="F242" s="20">
        <v>1182.8599999999999</v>
      </c>
      <c r="Q242" s="20">
        <v>24.1</v>
      </c>
      <c r="R242" s="20">
        <v>53.14</v>
      </c>
      <c r="S242" s="20">
        <v>53</v>
      </c>
      <c r="T242" s="26">
        <v>-0.14000000000000001</v>
      </c>
      <c r="U242" s="20">
        <v>-0.09</v>
      </c>
      <c r="V242" s="20">
        <v>877.24</v>
      </c>
    </row>
    <row r="243" spans="1:22" ht="16.8" x14ac:dyDescent="0.3">
      <c r="A243" s="20">
        <v>24.3</v>
      </c>
      <c r="B243" s="20">
        <v>53</v>
      </c>
      <c r="C243" s="20">
        <v>52.94</v>
      </c>
      <c r="D243" s="20">
        <v>0.06</v>
      </c>
      <c r="E243" s="20">
        <v>-0.03</v>
      </c>
      <c r="F243" s="20">
        <v>1154.5</v>
      </c>
      <c r="Q243" s="20">
        <v>24.2</v>
      </c>
      <c r="R243" s="20">
        <v>53.07</v>
      </c>
      <c r="S243" s="26">
        <v>53</v>
      </c>
      <c r="T243" s="20">
        <v>-7.0000000000000007E-2</v>
      </c>
      <c r="U243" s="26">
        <v>7.0000000000000007E-2</v>
      </c>
      <c r="V243" s="20">
        <v>892.31</v>
      </c>
    </row>
    <row r="244" spans="1:22" ht="16.8" x14ac:dyDescent="0.3">
      <c r="A244" s="20">
        <v>24.4</v>
      </c>
      <c r="B244" s="20">
        <v>53</v>
      </c>
      <c r="C244" s="20">
        <v>52.9</v>
      </c>
      <c r="D244" s="20">
        <v>0.1</v>
      </c>
      <c r="E244" s="20">
        <v>0.04</v>
      </c>
      <c r="F244" s="20">
        <v>1189.6500000000001</v>
      </c>
      <c r="Q244" s="20">
        <v>24.3</v>
      </c>
      <c r="R244" s="20">
        <v>53.09</v>
      </c>
      <c r="S244" s="20">
        <v>53</v>
      </c>
      <c r="T244" s="20">
        <v>-0.09</v>
      </c>
      <c r="U244" s="20">
        <v>-0.02</v>
      </c>
      <c r="V244" s="20">
        <v>887.46</v>
      </c>
    </row>
    <row r="245" spans="1:22" ht="16.8" x14ac:dyDescent="0.3">
      <c r="A245" s="20">
        <v>24.5</v>
      </c>
      <c r="B245" s="20">
        <v>53</v>
      </c>
      <c r="C245" s="20">
        <v>52.92</v>
      </c>
      <c r="D245" s="20">
        <v>0.08</v>
      </c>
      <c r="E245" s="20">
        <v>-0.01</v>
      </c>
      <c r="F245" s="20">
        <v>1179.44</v>
      </c>
      <c r="Q245" s="20">
        <v>24.4</v>
      </c>
      <c r="R245" s="20">
        <v>53.03</v>
      </c>
      <c r="S245" s="26">
        <v>53</v>
      </c>
      <c r="T245" s="26">
        <v>-0.03</v>
      </c>
      <c r="U245" s="26">
        <v>0.06</v>
      </c>
      <c r="V245" s="20">
        <v>897.97</v>
      </c>
    </row>
    <row r="246" spans="1:22" ht="16.8" x14ac:dyDescent="0.3">
      <c r="A246" s="20">
        <v>24.6</v>
      </c>
      <c r="B246" s="20">
        <v>53</v>
      </c>
      <c r="C246" s="20">
        <v>52.92</v>
      </c>
      <c r="D246" s="20">
        <v>0.08</v>
      </c>
      <c r="E246" s="20">
        <v>0</v>
      </c>
      <c r="F246" s="20">
        <v>1179.44</v>
      </c>
      <c r="Q246" s="20">
        <v>24.5</v>
      </c>
      <c r="R246" s="20">
        <v>53.09</v>
      </c>
      <c r="S246" s="20">
        <v>53</v>
      </c>
      <c r="T246" s="20">
        <v>-0.09</v>
      </c>
      <c r="U246" s="20">
        <v>-0.06</v>
      </c>
      <c r="V246" s="20">
        <v>884.76</v>
      </c>
    </row>
    <row r="247" spans="1:22" ht="16.8" x14ac:dyDescent="0.3">
      <c r="A247" s="20">
        <v>24.7</v>
      </c>
      <c r="B247" s="20">
        <v>53</v>
      </c>
      <c r="C247" s="20">
        <v>52.9</v>
      </c>
      <c r="D247" s="20">
        <v>0.1</v>
      </c>
      <c r="E247" s="20">
        <v>0.02</v>
      </c>
      <c r="F247" s="20">
        <v>1193</v>
      </c>
      <c r="Q247" s="20">
        <v>24.6</v>
      </c>
      <c r="R247" s="20">
        <v>53.15</v>
      </c>
      <c r="S247" s="26">
        <v>53</v>
      </c>
      <c r="T247" s="26">
        <v>-0.15</v>
      </c>
      <c r="U247" s="26">
        <v>-0.06</v>
      </c>
      <c r="V247" s="20">
        <v>875.76</v>
      </c>
    </row>
    <row r="248" spans="1:22" ht="16.8" x14ac:dyDescent="0.3">
      <c r="A248" s="20">
        <v>24.8</v>
      </c>
      <c r="B248" s="20">
        <v>53</v>
      </c>
      <c r="C248" s="20">
        <v>52.88</v>
      </c>
      <c r="D248" s="20">
        <v>0.12</v>
      </c>
      <c r="E248" s="20">
        <v>0.02</v>
      </c>
      <c r="F248" s="20">
        <v>1206.1400000000001</v>
      </c>
      <c r="Q248" s="20">
        <v>24.7</v>
      </c>
      <c r="R248" s="20">
        <v>53.12</v>
      </c>
      <c r="S248" s="20">
        <v>53</v>
      </c>
      <c r="T248" s="20">
        <v>-0.12</v>
      </c>
      <c r="U248" s="26">
        <v>0.03</v>
      </c>
      <c r="V248" s="20">
        <v>882.67</v>
      </c>
    </row>
    <row r="249" spans="1:22" ht="16.8" x14ac:dyDescent="0.3">
      <c r="A249" s="20">
        <v>24.9</v>
      </c>
      <c r="B249" s="20">
        <v>53</v>
      </c>
      <c r="C249" s="20">
        <v>52.93</v>
      </c>
      <c r="D249" s="20">
        <v>7.0000000000000007E-2</v>
      </c>
      <c r="E249" s="20">
        <v>-0.05</v>
      </c>
      <c r="F249" s="20">
        <v>1165.52</v>
      </c>
      <c r="Q249" s="20">
        <v>24.8</v>
      </c>
      <c r="R249" s="20">
        <v>53.09</v>
      </c>
      <c r="S249" s="26">
        <v>53</v>
      </c>
      <c r="T249" s="26">
        <v>-0.09</v>
      </c>
      <c r="U249" s="20">
        <v>0.03</v>
      </c>
      <c r="V249" s="20">
        <v>887.53</v>
      </c>
    </row>
    <row r="250" spans="1:22" ht="16.8" x14ac:dyDescent="0.3">
      <c r="A250" s="20">
        <v>25</v>
      </c>
      <c r="B250" s="20">
        <v>53</v>
      </c>
      <c r="C250" s="20">
        <v>52.95</v>
      </c>
      <c r="D250" s="20">
        <v>0.05</v>
      </c>
      <c r="E250" s="20">
        <v>-0.02</v>
      </c>
      <c r="F250" s="20">
        <v>1150.8</v>
      </c>
      <c r="Q250" s="20">
        <v>24.9</v>
      </c>
      <c r="R250" s="20">
        <v>53.12</v>
      </c>
      <c r="S250" s="20">
        <v>53</v>
      </c>
      <c r="T250" s="20">
        <v>-0.12</v>
      </c>
      <c r="U250" s="26">
        <v>-0.03</v>
      </c>
      <c r="V250" s="20">
        <v>880.66</v>
      </c>
    </row>
    <row r="251" spans="1:22" ht="16.8" x14ac:dyDescent="0.3">
      <c r="A251" s="20">
        <v>25.1</v>
      </c>
      <c r="B251" s="20">
        <v>53</v>
      </c>
      <c r="C251" s="20">
        <v>52.91</v>
      </c>
      <c r="D251" s="20">
        <v>0.09</v>
      </c>
      <c r="E251" s="20">
        <v>0.04</v>
      </c>
      <c r="F251" s="20">
        <v>1182.8599999999999</v>
      </c>
      <c r="Q251" s="20">
        <v>25</v>
      </c>
      <c r="R251" s="20">
        <v>53.08</v>
      </c>
      <c r="S251" s="20">
        <v>53</v>
      </c>
      <c r="T251" s="20">
        <v>-0.08</v>
      </c>
      <c r="U251" s="26">
        <v>0.04</v>
      </c>
      <c r="V251" s="20">
        <v>888.53</v>
      </c>
    </row>
    <row r="252" spans="1:22" ht="16.8" x14ac:dyDescent="0.3">
      <c r="A252" s="20">
        <v>25.2</v>
      </c>
      <c r="B252" s="20">
        <v>53</v>
      </c>
      <c r="C252" s="20">
        <v>52.94</v>
      </c>
      <c r="D252" s="20">
        <v>0.06</v>
      </c>
      <c r="E252" s="20">
        <v>-0.03</v>
      </c>
      <c r="F252" s="20">
        <v>1158.1600000000001</v>
      </c>
      <c r="Q252" s="20">
        <v>25.1</v>
      </c>
      <c r="R252" s="20">
        <v>53.13</v>
      </c>
      <c r="S252" s="26">
        <v>53</v>
      </c>
      <c r="T252" s="26">
        <v>-0.13</v>
      </c>
      <c r="U252" s="26">
        <v>-0.06</v>
      </c>
      <c r="V252" s="20">
        <v>877.06</v>
      </c>
    </row>
    <row r="253" spans="1:22" ht="16.8" x14ac:dyDescent="0.3">
      <c r="A253" s="20">
        <v>25.3</v>
      </c>
      <c r="B253" s="20">
        <v>53</v>
      </c>
      <c r="C253" s="20">
        <v>52.89</v>
      </c>
      <c r="D253" s="20">
        <v>0.11</v>
      </c>
      <c r="E253" s="20">
        <v>0.05</v>
      </c>
      <c r="F253" s="20">
        <v>1202.8800000000001</v>
      </c>
      <c r="Q253" s="20">
        <v>25.2</v>
      </c>
      <c r="R253" s="20">
        <v>53.12</v>
      </c>
      <c r="S253" s="20">
        <v>53</v>
      </c>
      <c r="T253" s="20">
        <v>-0.12</v>
      </c>
      <c r="U253" s="26">
        <v>0.02</v>
      </c>
      <c r="V253" s="20">
        <v>881.06</v>
      </c>
    </row>
    <row r="254" spans="1:22" ht="16.8" x14ac:dyDescent="0.3">
      <c r="A254" s="20">
        <v>25.4</v>
      </c>
      <c r="B254" s="20">
        <v>53</v>
      </c>
      <c r="C254" s="20">
        <v>52.93</v>
      </c>
      <c r="D254" s="20">
        <v>7.0000000000000007E-2</v>
      </c>
      <c r="E254" s="20">
        <v>-0.04</v>
      </c>
      <c r="F254" s="20">
        <v>1168.95</v>
      </c>
      <c r="Q254" s="20">
        <v>25.3</v>
      </c>
      <c r="R254" s="20">
        <v>53.09</v>
      </c>
      <c r="S254" s="26">
        <v>53</v>
      </c>
      <c r="T254" s="26">
        <v>-0.09</v>
      </c>
      <c r="U254" s="26">
        <v>0.03</v>
      </c>
      <c r="V254" s="20">
        <v>886.3</v>
      </c>
    </row>
    <row r="255" spans="1:22" ht="16.8" x14ac:dyDescent="0.3">
      <c r="A255" s="20">
        <v>25.5</v>
      </c>
      <c r="B255" s="20">
        <v>53</v>
      </c>
      <c r="C255" s="20">
        <v>52.93</v>
      </c>
      <c r="D255" s="20">
        <v>7.0000000000000007E-2</v>
      </c>
      <c r="E255" s="20">
        <v>0</v>
      </c>
      <c r="F255" s="20">
        <v>1168.95</v>
      </c>
      <c r="Q255" s="20">
        <v>25.4</v>
      </c>
      <c r="R255" s="20">
        <v>53.1</v>
      </c>
      <c r="S255" s="20">
        <v>53</v>
      </c>
      <c r="T255" s="20">
        <v>-0.1</v>
      </c>
      <c r="U255" s="26">
        <v>-0.02</v>
      </c>
      <c r="V255" s="20">
        <v>882.38</v>
      </c>
    </row>
    <row r="256" spans="1:22" ht="16.8" x14ac:dyDescent="0.3">
      <c r="A256" s="20">
        <v>25.6</v>
      </c>
      <c r="B256" s="20">
        <v>53</v>
      </c>
      <c r="C256" s="20">
        <v>52.95</v>
      </c>
      <c r="D256" s="20">
        <v>0.05</v>
      </c>
      <c r="E256" s="20">
        <v>-0.02</v>
      </c>
      <c r="F256" s="20">
        <v>1150.8</v>
      </c>
      <c r="Q256" s="20">
        <v>25.5</v>
      </c>
      <c r="R256" s="20">
        <v>53.11</v>
      </c>
      <c r="S256" s="26">
        <v>53</v>
      </c>
      <c r="T256" s="26">
        <v>-0.11</v>
      </c>
      <c r="U256" s="26">
        <v>-0.01</v>
      </c>
      <c r="V256" s="20">
        <v>881.06</v>
      </c>
    </row>
    <row r="257" spans="1:22" ht="16.8" x14ac:dyDescent="0.3">
      <c r="A257" s="20">
        <v>25.7</v>
      </c>
      <c r="B257" s="20">
        <v>53</v>
      </c>
      <c r="C257" s="20">
        <v>52.9</v>
      </c>
      <c r="D257" s="20">
        <v>0.1</v>
      </c>
      <c r="E257" s="20">
        <v>0.05</v>
      </c>
      <c r="F257" s="20">
        <v>1193</v>
      </c>
      <c r="Q257" s="20">
        <v>25.6</v>
      </c>
      <c r="R257" s="20">
        <v>53.1</v>
      </c>
      <c r="S257" s="20">
        <v>53</v>
      </c>
      <c r="T257" s="20">
        <v>-0.1</v>
      </c>
      <c r="U257" s="26">
        <v>0.01</v>
      </c>
      <c r="V257" s="20">
        <v>882.47</v>
      </c>
    </row>
    <row r="258" spans="1:22" ht="16.8" x14ac:dyDescent="0.3">
      <c r="A258" s="20">
        <v>25.8</v>
      </c>
      <c r="B258" s="20">
        <v>53</v>
      </c>
      <c r="C258" s="20">
        <v>52.9</v>
      </c>
      <c r="D258" s="20">
        <v>0.1</v>
      </c>
      <c r="E258" s="20">
        <v>0</v>
      </c>
      <c r="F258" s="20">
        <v>1189.6500000000001</v>
      </c>
      <c r="Q258" s="20">
        <v>25.7</v>
      </c>
      <c r="R258" s="20">
        <v>53.07</v>
      </c>
      <c r="S258" s="26">
        <v>53</v>
      </c>
      <c r="T258" s="26">
        <v>-7.0000000000000007E-2</v>
      </c>
      <c r="U258" s="26">
        <v>0.03</v>
      </c>
      <c r="V258" s="20">
        <v>887.94</v>
      </c>
    </row>
    <row r="259" spans="1:22" ht="16.8" x14ac:dyDescent="0.3">
      <c r="A259" s="20">
        <v>25.9</v>
      </c>
      <c r="B259" s="20">
        <v>53</v>
      </c>
      <c r="C259" s="20">
        <v>52.94</v>
      </c>
      <c r="D259" s="20">
        <v>0.06</v>
      </c>
      <c r="E259" s="20">
        <v>-0.04</v>
      </c>
      <c r="F259" s="20">
        <v>1158.1600000000001</v>
      </c>
      <c r="Q259" s="20">
        <v>25.8</v>
      </c>
      <c r="R259" s="20">
        <v>53.07</v>
      </c>
      <c r="S259" s="20">
        <v>53</v>
      </c>
      <c r="T259" s="20">
        <v>-7.0000000000000007E-2</v>
      </c>
      <c r="U259" s="20">
        <v>0</v>
      </c>
      <c r="V259" s="20">
        <v>887.01</v>
      </c>
    </row>
    <row r="260" spans="1:22" ht="16.8" x14ac:dyDescent="0.3">
      <c r="A260" s="20">
        <v>26</v>
      </c>
      <c r="B260" s="20">
        <v>53</v>
      </c>
      <c r="C260" s="20">
        <v>52.92</v>
      </c>
      <c r="D260" s="20">
        <v>0.08</v>
      </c>
      <c r="E260" s="20">
        <v>0.02</v>
      </c>
      <c r="F260" s="20">
        <v>1175.96</v>
      </c>
      <c r="Q260" s="20">
        <v>25.9</v>
      </c>
      <c r="R260" s="20">
        <v>53.06</v>
      </c>
      <c r="S260" s="26">
        <v>53</v>
      </c>
      <c r="T260" s="26">
        <v>-0.06</v>
      </c>
      <c r="U260" s="26">
        <v>0.01</v>
      </c>
      <c r="V260" s="20">
        <v>888.32</v>
      </c>
    </row>
    <row r="261" spans="1:22" ht="16.8" x14ac:dyDescent="0.3">
      <c r="A261" s="20">
        <v>26.1</v>
      </c>
      <c r="B261" s="20">
        <v>53</v>
      </c>
      <c r="C261" s="20">
        <v>52.89</v>
      </c>
      <c r="D261" s="20">
        <v>0.11</v>
      </c>
      <c r="E261" s="20">
        <v>0.03</v>
      </c>
      <c r="F261" s="20">
        <v>1199.6199999999999</v>
      </c>
      <c r="Q261" s="20">
        <v>26</v>
      </c>
      <c r="R261" s="20">
        <v>53.12</v>
      </c>
      <c r="S261" s="20">
        <v>53</v>
      </c>
      <c r="T261" s="20">
        <v>-0.12</v>
      </c>
      <c r="U261" s="20">
        <v>-0.06</v>
      </c>
      <c r="V261" s="20">
        <v>877.67</v>
      </c>
    </row>
    <row r="262" spans="1:22" ht="16.8" x14ac:dyDescent="0.3">
      <c r="A262" s="20">
        <v>26.2</v>
      </c>
      <c r="B262" s="20">
        <v>53</v>
      </c>
      <c r="C262" s="20">
        <v>52.89</v>
      </c>
      <c r="D262" s="20">
        <v>0.11</v>
      </c>
      <c r="E262" s="20">
        <v>0</v>
      </c>
      <c r="F262" s="20">
        <v>1202.8800000000001</v>
      </c>
      <c r="Q262" s="20">
        <v>26.1</v>
      </c>
      <c r="R262" s="20">
        <v>53.05</v>
      </c>
      <c r="S262" s="26">
        <v>53</v>
      </c>
      <c r="T262" s="26">
        <v>-0.05</v>
      </c>
      <c r="U262" s="26">
        <v>0.06</v>
      </c>
      <c r="V262" s="20">
        <v>890.55</v>
      </c>
    </row>
    <row r="263" spans="1:22" ht="16.8" x14ac:dyDescent="0.3">
      <c r="A263" s="20">
        <v>26.3</v>
      </c>
      <c r="B263" s="20">
        <v>53</v>
      </c>
      <c r="C263" s="20">
        <v>52.9</v>
      </c>
      <c r="D263" s="20">
        <v>0.1</v>
      </c>
      <c r="E263" s="20">
        <v>-0.01</v>
      </c>
      <c r="F263" s="20">
        <v>1193</v>
      </c>
      <c r="Q263" s="20">
        <v>26.2</v>
      </c>
      <c r="R263" s="20">
        <v>53.09</v>
      </c>
      <c r="S263" s="20">
        <v>53</v>
      </c>
      <c r="T263" s="20">
        <v>-0.09</v>
      </c>
      <c r="U263" s="26">
        <v>-0.03</v>
      </c>
      <c r="V263" s="20">
        <v>882.98</v>
      </c>
    </row>
    <row r="264" spans="1:22" ht="16.8" x14ac:dyDescent="0.3">
      <c r="A264" s="20">
        <v>26.4</v>
      </c>
      <c r="B264" s="20">
        <v>53</v>
      </c>
      <c r="C264" s="20">
        <v>52.93</v>
      </c>
      <c r="D264" s="20">
        <v>7.0000000000000007E-2</v>
      </c>
      <c r="E264" s="20">
        <v>-0.03</v>
      </c>
      <c r="F264" s="20">
        <v>1165.3800000000001</v>
      </c>
      <c r="Q264" s="20">
        <v>26.3</v>
      </c>
      <c r="R264" s="20">
        <v>53.09</v>
      </c>
      <c r="S264" s="20">
        <v>53</v>
      </c>
      <c r="T264" s="26">
        <v>-0.09</v>
      </c>
      <c r="U264" s="26">
        <v>0</v>
      </c>
      <c r="V264" s="20">
        <v>883.56</v>
      </c>
    </row>
    <row r="265" spans="1:22" ht="16.8" x14ac:dyDescent="0.3">
      <c r="A265" s="20">
        <v>26.5</v>
      </c>
      <c r="B265" s="20">
        <v>53</v>
      </c>
      <c r="C265" s="20">
        <v>52.89</v>
      </c>
      <c r="D265" s="20">
        <v>0.11</v>
      </c>
      <c r="E265" s="20">
        <v>0.04</v>
      </c>
      <c r="F265" s="20">
        <v>1199.6199999999999</v>
      </c>
      <c r="Q265" s="20">
        <v>26.4</v>
      </c>
      <c r="R265" s="20">
        <v>53.04</v>
      </c>
      <c r="S265" s="26">
        <v>53</v>
      </c>
      <c r="T265" s="20">
        <v>-0.04</v>
      </c>
      <c r="U265" s="26">
        <v>0.05</v>
      </c>
      <c r="V265" s="20">
        <v>892.2</v>
      </c>
    </row>
    <row r="266" spans="1:22" ht="16.8" x14ac:dyDescent="0.3">
      <c r="A266" s="20">
        <v>26.6</v>
      </c>
      <c r="B266" s="20">
        <v>53</v>
      </c>
      <c r="C266" s="20">
        <v>52.92</v>
      </c>
      <c r="D266" s="20">
        <v>0.08</v>
      </c>
      <c r="E266" s="20">
        <v>-0.02</v>
      </c>
      <c r="F266" s="20">
        <v>1179.44</v>
      </c>
      <c r="Q266" s="20">
        <v>26.5</v>
      </c>
      <c r="R266" s="20">
        <v>53.17</v>
      </c>
      <c r="S266" s="20">
        <v>53</v>
      </c>
      <c r="T266" s="26">
        <v>-0.17</v>
      </c>
      <c r="U266" s="26">
        <v>-0.13</v>
      </c>
      <c r="V266" s="20">
        <v>867.36</v>
      </c>
    </row>
    <row r="267" spans="1:22" ht="16.8" x14ac:dyDescent="0.3">
      <c r="A267" s="20">
        <v>26.7</v>
      </c>
      <c r="B267" s="20">
        <v>53</v>
      </c>
      <c r="C267" s="20">
        <v>52.91</v>
      </c>
      <c r="D267" s="20">
        <v>0.09</v>
      </c>
      <c r="E267" s="20">
        <v>0.01</v>
      </c>
      <c r="F267" s="20">
        <v>1186.27</v>
      </c>
      <c r="Q267" s="20">
        <v>26.6</v>
      </c>
      <c r="R267" s="20">
        <v>53.11</v>
      </c>
      <c r="S267" s="26">
        <v>53</v>
      </c>
      <c r="T267" s="20">
        <v>-0.11</v>
      </c>
      <c r="U267" s="26">
        <v>0.06</v>
      </c>
      <c r="V267" s="20">
        <v>880.4</v>
      </c>
    </row>
    <row r="268" spans="1:22" ht="16.8" x14ac:dyDescent="0.3">
      <c r="A268" s="20">
        <v>26.8</v>
      </c>
      <c r="B268" s="20">
        <v>53</v>
      </c>
      <c r="C268" s="20">
        <v>52.94</v>
      </c>
      <c r="D268" s="20">
        <v>0.06</v>
      </c>
      <c r="E268" s="20">
        <v>-0.03</v>
      </c>
      <c r="F268" s="20">
        <v>1161.79</v>
      </c>
      <c r="Q268" s="20">
        <v>26.7</v>
      </c>
      <c r="R268" s="20">
        <v>53.09</v>
      </c>
      <c r="S268" s="20">
        <v>53</v>
      </c>
      <c r="T268" s="26">
        <v>-0.09</v>
      </c>
      <c r="U268" s="20">
        <v>0.02</v>
      </c>
      <c r="V268" s="20">
        <v>881.74</v>
      </c>
    </row>
    <row r="269" spans="1:22" ht="16.8" x14ac:dyDescent="0.3">
      <c r="A269" s="20">
        <v>26.9</v>
      </c>
      <c r="B269" s="20">
        <v>53</v>
      </c>
      <c r="C269" s="20">
        <v>52.98</v>
      </c>
      <c r="D269" s="20">
        <v>0.02</v>
      </c>
      <c r="E269" s="20">
        <v>-0.04</v>
      </c>
      <c r="F269" s="20">
        <v>1119.8599999999999</v>
      </c>
      <c r="Q269" s="20">
        <v>26.8</v>
      </c>
      <c r="R269" s="20">
        <v>53.13</v>
      </c>
      <c r="S269" s="26">
        <v>53</v>
      </c>
      <c r="T269" s="20">
        <v>-0.13</v>
      </c>
      <c r="U269" s="26">
        <v>-0.03</v>
      </c>
      <c r="V269" s="20">
        <v>875.24</v>
      </c>
    </row>
    <row r="270" spans="1:22" ht="16.8" x14ac:dyDescent="0.3">
      <c r="A270" s="20">
        <v>27</v>
      </c>
      <c r="B270" s="20">
        <v>53</v>
      </c>
      <c r="C270" s="20">
        <v>52.92</v>
      </c>
      <c r="D270" s="20">
        <v>0.08</v>
      </c>
      <c r="E270" s="20">
        <v>0.06</v>
      </c>
      <c r="F270" s="20">
        <v>1203.67</v>
      </c>
      <c r="Q270" s="20">
        <v>26.9</v>
      </c>
      <c r="R270" s="20">
        <v>53.13</v>
      </c>
      <c r="S270" s="20">
        <v>53</v>
      </c>
      <c r="T270" s="26">
        <v>-0.13</v>
      </c>
      <c r="U270" s="20">
        <v>0</v>
      </c>
      <c r="V270" s="20">
        <v>875.72</v>
      </c>
    </row>
    <row r="271" spans="1:22" ht="16.8" x14ac:dyDescent="0.3">
      <c r="A271" s="20">
        <v>27.1</v>
      </c>
      <c r="B271" s="20">
        <v>53</v>
      </c>
      <c r="C271" s="20">
        <v>52.93</v>
      </c>
      <c r="D271" s="20">
        <v>7.0000000000000007E-2</v>
      </c>
      <c r="E271" s="20">
        <v>-0.01</v>
      </c>
      <c r="F271" s="20">
        <v>1168.95</v>
      </c>
      <c r="Q271" s="20">
        <v>27</v>
      </c>
      <c r="R271" s="20">
        <v>53.17</v>
      </c>
      <c r="S271" s="26">
        <v>53</v>
      </c>
      <c r="T271" s="20">
        <v>-0.17</v>
      </c>
      <c r="U271" s="26">
        <v>-0.04</v>
      </c>
      <c r="V271" s="20">
        <v>868.06</v>
      </c>
    </row>
    <row r="272" spans="1:22" ht="16.8" x14ac:dyDescent="0.3">
      <c r="A272" s="20">
        <v>27.2</v>
      </c>
      <c r="B272" s="20">
        <v>53</v>
      </c>
      <c r="C272" s="20">
        <v>52.92</v>
      </c>
      <c r="D272" s="20">
        <v>0.08</v>
      </c>
      <c r="E272" s="20">
        <v>0</v>
      </c>
      <c r="F272" s="20">
        <v>1172.48</v>
      </c>
      <c r="Q272" s="20">
        <v>27.1</v>
      </c>
      <c r="R272" s="20">
        <v>53.09</v>
      </c>
      <c r="S272" s="20">
        <v>53</v>
      </c>
      <c r="T272" s="20">
        <v>-0.09</v>
      </c>
      <c r="U272" s="20">
        <v>7.0000000000000007E-2</v>
      </c>
      <c r="V272" s="20">
        <v>881.92</v>
      </c>
    </row>
    <row r="273" spans="1:22" ht="16.8" x14ac:dyDescent="0.3">
      <c r="A273" s="20">
        <v>27.3</v>
      </c>
      <c r="B273" s="20">
        <v>53</v>
      </c>
      <c r="C273" s="20">
        <v>52.94</v>
      </c>
      <c r="D273" s="20">
        <v>0.06</v>
      </c>
      <c r="E273" s="20">
        <v>-0.02</v>
      </c>
      <c r="F273" s="20">
        <v>1158.1600000000001</v>
      </c>
      <c r="Q273" s="20">
        <v>27.2</v>
      </c>
      <c r="R273" s="20">
        <v>53.15</v>
      </c>
      <c r="S273" s="26">
        <v>53</v>
      </c>
      <c r="T273" s="26">
        <v>-0.15</v>
      </c>
      <c r="U273" s="26">
        <v>-0.06</v>
      </c>
      <c r="V273" s="20">
        <v>869.64</v>
      </c>
    </row>
    <row r="274" spans="1:22" ht="16.8" x14ac:dyDescent="0.3">
      <c r="A274" s="20">
        <v>27.4</v>
      </c>
      <c r="B274" s="20">
        <v>53</v>
      </c>
      <c r="C274" s="20">
        <v>52.94</v>
      </c>
      <c r="D274" s="20">
        <v>0.06</v>
      </c>
      <c r="E274" s="20">
        <v>0</v>
      </c>
      <c r="F274" s="20">
        <v>1158.1600000000001</v>
      </c>
      <c r="Q274" s="20">
        <v>27.3</v>
      </c>
      <c r="R274" s="20">
        <v>53.1</v>
      </c>
      <c r="S274" s="20">
        <v>53</v>
      </c>
      <c r="T274" s="20">
        <v>-0.1</v>
      </c>
      <c r="U274" s="20">
        <v>0.05</v>
      </c>
      <c r="V274" s="20">
        <v>879.49</v>
      </c>
    </row>
    <row r="275" spans="1:22" ht="16.8" x14ac:dyDescent="0.3">
      <c r="A275" s="20">
        <v>27.5</v>
      </c>
      <c r="B275" s="20">
        <v>53</v>
      </c>
      <c r="C275" s="20">
        <v>52.94</v>
      </c>
      <c r="D275" s="20">
        <v>0.06</v>
      </c>
      <c r="E275" s="20">
        <v>0</v>
      </c>
      <c r="F275" s="20">
        <v>1158.1600000000001</v>
      </c>
      <c r="Q275" s="20">
        <v>27.4</v>
      </c>
      <c r="R275" s="20">
        <v>53.11</v>
      </c>
      <c r="S275" s="20">
        <v>53</v>
      </c>
      <c r="T275" s="26">
        <v>-0.11</v>
      </c>
      <c r="U275" s="26">
        <v>-0.01</v>
      </c>
      <c r="V275" s="20">
        <v>876.63</v>
      </c>
    </row>
    <row r="276" spans="1:22" ht="16.8" x14ac:dyDescent="0.3">
      <c r="A276" s="20">
        <v>27.6</v>
      </c>
      <c r="B276" s="20">
        <v>53</v>
      </c>
      <c r="C276" s="20">
        <v>52.97</v>
      </c>
      <c r="D276" s="20">
        <v>0.03</v>
      </c>
      <c r="E276" s="20">
        <v>-0.03</v>
      </c>
      <c r="F276" s="20">
        <v>1131.75</v>
      </c>
      <c r="Q276" s="20">
        <v>27.5</v>
      </c>
      <c r="R276" s="20">
        <v>53.18</v>
      </c>
      <c r="S276" s="26">
        <v>53</v>
      </c>
      <c r="T276" s="20">
        <v>-0.18</v>
      </c>
      <c r="U276" s="26">
        <v>-7.0000000000000007E-2</v>
      </c>
      <c r="V276" s="20">
        <v>863.29</v>
      </c>
    </row>
    <row r="277" spans="1:22" ht="16.8" x14ac:dyDescent="0.3">
      <c r="A277" s="20">
        <v>27.7</v>
      </c>
      <c r="B277" s="20">
        <v>53</v>
      </c>
      <c r="C277" s="20">
        <v>52.94</v>
      </c>
      <c r="D277" s="20">
        <v>0.06</v>
      </c>
      <c r="E277" s="20">
        <v>0.02</v>
      </c>
      <c r="F277" s="20">
        <v>1154.5</v>
      </c>
      <c r="Q277" s="20">
        <v>27.6</v>
      </c>
      <c r="R277" s="20">
        <v>53.11</v>
      </c>
      <c r="S277" s="20">
        <v>53</v>
      </c>
      <c r="T277" s="26">
        <v>-0.11</v>
      </c>
      <c r="U277" s="26">
        <v>7.0000000000000007E-2</v>
      </c>
      <c r="V277" s="20">
        <v>877.89</v>
      </c>
    </row>
    <row r="278" spans="1:22" ht="16.8" x14ac:dyDescent="0.3">
      <c r="A278" s="20">
        <v>27.8</v>
      </c>
      <c r="B278" s="20">
        <v>53</v>
      </c>
      <c r="C278" s="20">
        <v>52.94</v>
      </c>
      <c r="D278" s="20">
        <v>0.06</v>
      </c>
      <c r="E278" s="20">
        <v>0</v>
      </c>
      <c r="F278" s="20">
        <v>1158.1600000000001</v>
      </c>
      <c r="Q278" s="20">
        <v>27.7</v>
      </c>
      <c r="R278" s="20">
        <v>53.17</v>
      </c>
      <c r="S278" s="26">
        <v>53</v>
      </c>
      <c r="T278" s="20">
        <v>-0.17</v>
      </c>
      <c r="U278" s="26">
        <v>-0.06</v>
      </c>
      <c r="V278" s="20">
        <v>865.57</v>
      </c>
    </row>
    <row r="279" spans="1:22" ht="16.8" x14ac:dyDescent="0.3">
      <c r="A279" s="20">
        <v>27.9</v>
      </c>
      <c r="B279" s="20">
        <v>53</v>
      </c>
      <c r="C279" s="20">
        <v>52.94</v>
      </c>
      <c r="D279" s="20">
        <v>0.06</v>
      </c>
      <c r="E279" s="20">
        <v>0</v>
      </c>
      <c r="F279" s="20">
        <v>1154.5</v>
      </c>
      <c r="Q279" s="20">
        <v>27.8</v>
      </c>
      <c r="R279" s="20">
        <v>53.17</v>
      </c>
      <c r="S279" s="20">
        <v>53</v>
      </c>
      <c r="T279" s="26">
        <v>-0.17</v>
      </c>
      <c r="U279" s="20">
        <v>-0.01</v>
      </c>
      <c r="V279" s="20">
        <v>865.07</v>
      </c>
    </row>
    <row r="280" spans="1:22" ht="16.8" x14ac:dyDescent="0.3">
      <c r="A280" s="20">
        <v>28</v>
      </c>
      <c r="B280" s="20">
        <v>53</v>
      </c>
      <c r="C280" s="20">
        <v>52.95</v>
      </c>
      <c r="D280" s="20">
        <v>0.05</v>
      </c>
      <c r="E280" s="20">
        <v>0</v>
      </c>
      <c r="F280" s="20">
        <v>1150.8</v>
      </c>
      <c r="Q280" s="20">
        <v>27.9</v>
      </c>
      <c r="R280" s="20">
        <v>53.13</v>
      </c>
      <c r="S280" s="26">
        <v>53</v>
      </c>
      <c r="T280" s="20">
        <v>-0.13</v>
      </c>
      <c r="U280" s="26">
        <v>0.05</v>
      </c>
      <c r="V280" s="20">
        <v>873.71</v>
      </c>
    </row>
    <row r="281" spans="1:22" ht="16.8" x14ac:dyDescent="0.3">
      <c r="A281" s="20">
        <v>28.1</v>
      </c>
      <c r="B281" s="20">
        <v>53</v>
      </c>
      <c r="C281" s="20">
        <v>52.97</v>
      </c>
      <c r="D281" s="20">
        <v>0.03</v>
      </c>
      <c r="E281" s="20">
        <v>-0.02</v>
      </c>
      <c r="F281" s="20">
        <v>1131.71</v>
      </c>
      <c r="Q281" s="20">
        <v>28</v>
      </c>
      <c r="R281" s="20">
        <v>53.12</v>
      </c>
      <c r="S281" s="20">
        <v>53</v>
      </c>
      <c r="T281" s="20">
        <v>-0.12</v>
      </c>
      <c r="U281" s="20">
        <v>0.01</v>
      </c>
      <c r="V281" s="20">
        <v>873.73</v>
      </c>
    </row>
    <row r="282" spans="1:22" ht="16.8" x14ac:dyDescent="0.3">
      <c r="A282" s="20">
        <v>28.2</v>
      </c>
      <c r="B282" s="20">
        <v>53</v>
      </c>
      <c r="C282" s="20">
        <v>52.93</v>
      </c>
      <c r="D282" s="20">
        <v>7.0000000000000007E-2</v>
      </c>
      <c r="E282" s="20">
        <v>0.04</v>
      </c>
      <c r="F282" s="20">
        <v>1165.8900000000001</v>
      </c>
      <c r="Q282" s="20">
        <v>28.1</v>
      </c>
      <c r="R282" s="20">
        <v>53.15</v>
      </c>
      <c r="S282" s="26">
        <v>53</v>
      </c>
      <c r="T282" s="26">
        <v>-0.15</v>
      </c>
      <c r="U282" s="26">
        <v>-0.03</v>
      </c>
      <c r="V282" s="20">
        <v>867.37</v>
      </c>
    </row>
    <row r="283" spans="1:22" ht="16.8" x14ac:dyDescent="0.3">
      <c r="A283" s="20">
        <v>28.3</v>
      </c>
      <c r="B283" s="20">
        <v>53</v>
      </c>
      <c r="C283" s="20">
        <v>52.93</v>
      </c>
      <c r="D283" s="20">
        <v>7.0000000000000007E-2</v>
      </c>
      <c r="E283" s="20">
        <v>0</v>
      </c>
      <c r="F283" s="20">
        <v>1168.95</v>
      </c>
      <c r="Q283" s="20">
        <v>28.2</v>
      </c>
      <c r="R283" s="20">
        <v>53.15</v>
      </c>
      <c r="S283" s="20">
        <v>53</v>
      </c>
      <c r="T283" s="20">
        <v>-0.15</v>
      </c>
      <c r="U283" s="26">
        <v>0</v>
      </c>
      <c r="V283" s="20">
        <v>867.8</v>
      </c>
    </row>
    <row r="284" spans="1:22" ht="16.8" x14ac:dyDescent="0.3">
      <c r="A284" s="20">
        <v>28.4</v>
      </c>
      <c r="B284" s="20">
        <v>53</v>
      </c>
      <c r="C284" s="20">
        <v>52.93</v>
      </c>
      <c r="D284" s="20">
        <v>7.0000000000000007E-2</v>
      </c>
      <c r="E284" s="20">
        <v>0</v>
      </c>
      <c r="F284" s="20">
        <v>1165.3800000000001</v>
      </c>
      <c r="Q284" s="20">
        <v>28.3</v>
      </c>
      <c r="R284" s="20">
        <v>53.15</v>
      </c>
      <c r="S284" s="26">
        <v>53</v>
      </c>
      <c r="T284" s="26">
        <v>-0.15</v>
      </c>
      <c r="U284" s="26">
        <v>0</v>
      </c>
      <c r="V284" s="20">
        <v>867.45</v>
      </c>
    </row>
    <row r="285" spans="1:22" ht="16.8" x14ac:dyDescent="0.3">
      <c r="A285" s="20">
        <v>28.5</v>
      </c>
      <c r="B285" s="20">
        <v>53</v>
      </c>
      <c r="C285" s="20">
        <v>52.98</v>
      </c>
      <c r="D285" s="20">
        <v>0.02</v>
      </c>
      <c r="E285" s="20">
        <v>-0.05</v>
      </c>
      <c r="F285" s="20">
        <v>1119.8900000000001</v>
      </c>
      <c r="Q285" s="20">
        <v>28.4</v>
      </c>
      <c r="R285" s="20">
        <v>53.1</v>
      </c>
      <c r="S285" s="20">
        <v>53</v>
      </c>
      <c r="T285" s="20">
        <v>-0.1</v>
      </c>
      <c r="U285" s="26">
        <v>0.05</v>
      </c>
      <c r="V285" s="20">
        <v>875.95</v>
      </c>
    </row>
    <row r="286" spans="1:22" ht="16.8" x14ac:dyDescent="0.3">
      <c r="A286" s="20">
        <v>28.6</v>
      </c>
      <c r="B286" s="20">
        <v>53</v>
      </c>
      <c r="C286" s="20">
        <v>52.95</v>
      </c>
      <c r="D286" s="20">
        <v>0.05</v>
      </c>
      <c r="E286" s="20">
        <v>0.03</v>
      </c>
      <c r="F286" s="20">
        <v>1152.24</v>
      </c>
      <c r="Q286" s="20">
        <v>28.5</v>
      </c>
      <c r="R286" s="20">
        <v>53.17</v>
      </c>
      <c r="S286" s="20">
        <v>53</v>
      </c>
      <c r="T286" s="26">
        <v>-0.17</v>
      </c>
      <c r="U286" s="26">
        <v>-0.06</v>
      </c>
      <c r="V286" s="20">
        <v>862.76</v>
      </c>
    </row>
    <row r="287" spans="1:22" ht="16.8" x14ac:dyDescent="0.3">
      <c r="A287" s="20">
        <v>28.7</v>
      </c>
      <c r="B287" s="20">
        <v>53</v>
      </c>
      <c r="C287" s="20">
        <v>52.95</v>
      </c>
      <c r="D287" s="20">
        <v>0.05</v>
      </c>
      <c r="E287" s="20">
        <v>0</v>
      </c>
      <c r="F287" s="20">
        <v>1147.06</v>
      </c>
      <c r="Q287" s="20">
        <v>28.6</v>
      </c>
      <c r="R287" s="20">
        <v>53.15</v>
      </c>
      <c r="S287" s="26">
        <v>53</v>
      </c>
      <c r="T287" s="20">
        <v>-0.15</v>
      </c>
      <c r="U287" s="26">
        <v>0.02</v>
      </c>
      <c r="V287" s="20">
        <v>866.88</v>
      </c>
    </row>
    <row r="288" spans="1:22" ht="16.8" x14ac:dyDescent="0.3">
      <c r="A288" s="20">
        <v>28.8</v>
      </c>
      <c r="B288" s="20">
        <v>53</v>
      </c>
      <c r="C288" s="20">
        <v>52.96</v>
      </c>
      <c r="D288" s="20">
        <v>0.04</v>
      </c>
      <c r="E288" s="20">
        <v>-0.01</v>
      </c>
      <c r="F288" s="20">
        <v>1135.6199999999999</v>
      </c>
      <c r="Q288" s="20">
        <v>28.7</v>
      </c>
      <c r="R288" s="20">
        <v>53.14</v>
      </c>
      <c r="S288" s="20">
        <v>53</v>
      </c>
      <c r="T288" s="26">
        <v>-0.14000000000000001</v>
      </c>
      <c r="U288" s="26">
        <v>0.01</v>
      </c>
      <c r="V288" s="20">
        <v>867.62</v>
      </c>
    </row>
    <row r="289" spans="1:22" ht="16.8" x14ac:dyDescent="0.3">
      <c r="A289" s="20">
        <v>28.9</v>
      </c>
      <c r="B289" s="20">
        <v>53</v>
      </c>
      <c r="C289" s="20">
        <v>52.92</v>
      </c>
      <c r="D289" s="20">
        <v>0.08</v>
      </c>
      <c r="E289" s="20">
        <v>0.05</v>
      </c>
      <c r="F289" s="20">
        <v>1185.3399999999999</v>
      </c>
      <c r="Q289" s="20">
        <v>28.8</v>
      </c>
      <c r="R289" s="20">
        <v>53.13</v>
      </c>
      <c r="S289" s="26">
        <v>53</v>
      </c>
      <c r="T289" s="20">
        <v>-0.13</v>
      </c>
      <c r="U289" s="20">
        <v>0.02</v>
      </c>
      <c r="V289" s="20">
        <v>870.05</v>
      </c>
    </row>
    <row r="290" spans="1:22" ht="16.8" x14ac:dyDescent="0.3">
      <c r="A290" s="20">
        <v>29</v>
      </c>
      <c r="B290" s="20">
        <v>53</v>
      </c>
      <c r="C290" s="20">
        <v>52.91</v>
      </c>
      <c r="D290" s="20">
        <v>0.09</v>
      </c>
      <c r="E290" s="20">
        <v>0</v>
      </c>
      <c r="F290" s="20">
        <v>1182.8599999999999</v>
      </c>
      <c r="Q290" s="20">
        <v>28.9</v>
      </c>
      <c r="R290" s="20">
        <v>53.13</v>
      </c>
      <c r="S290" s="20">
        <v>53</v>
      </c>
      <c r="T290" s="26">
        <v>-0.13</v>
      </c>
      <c r="U290" s="26">
        <v>0</v>
      </c>
      <c r="V290" s="20">
        <v>869.37</v>
      </c>
    </row>
    <row r="291" spans="1:22" ht="16.8" x14ac:dyDescent="0.3">
      <c r="A291" s="20">
        <v>29.1</v>
      </c>
      <c r="B291" s="20">
        <v>53</v>
      </c>
      <c r="C291" s="20">
        <v>52.96</v>
      </c>
      <c r="D291" s="20">
        <v>0.04</v>
      </c>
      <c r="E291" s="20">
        <v>-0.04</v>
      </c>
      <c r="F291" s="20">
        <v>1143.48</v>
      </c>
      <c r="Q291" s="20">
        <v>29</v>
      </c>
      <c r="R291" s="20">
        <v>53.11</v>
      </c>
      <c r="S291" s="26">
        <v>53</v>
      </c>
      <c r="T291" s="20">
        <v>-0.11</v>
      </c>
      <c r="U291" s="20">
        <v>0.02</v>
      </c>
      <c r="V291" s="20">
        <v>872.03</v>
      </c>
    </row>
    <row r="292" spans="1:22" ht="16.8" x14ac:dyDescent="0.3">
      <c r="A292" s="20">
        <v>29.2</v>
      </c>
      <c r="B292" s="20">
        <v>53</v>
      </c>
      <c r="C292" s="20">
        <v>52.92</v>
      </c>
      <c r="D292" s="20">
        <v>0.08</v>
      </c>
      <c r="E292" s="20">
        <v>0.04</v>
      </c>
      <c r="F292" s="20">
        <v>1179.44</v>
      </c>
      <c r="Q292" s="20">
        <v>29.1</v>
      </c>
      <c r="R292" s="20">
        <v>53.11</v>
      </c>
      <c r="S292" s="20">
        <v>53</v>
      </c>
      <c r="T292" s="20">
        <v>-0.11</v>
      </c>
      <c r="U292" s="26">
        <v>0</v>
      </c>
      <c r="V292" s="20">
        <v>871.39</v>
      </c>
    </row>
    <row r="293" spans="1:22" ht="16.8" x14ac:dyDescent="0.3">
      <c r="A293" s="20">
        <v>29.3</v>
      </c>
      <c r="B293" s="20">
        <v>53</v>
      </c>
      <c r="C293" s="20">
        <v>52.9</v>
      </c>
      <c r="D293" s="20">
        <v>0.1</v>
      </c>
      <c r="E293" s="20">
        <v>0.01</v>
      </c>
      <c r="F293" s="20">
        <v>1189.6500000000001</v>
      </c>
      <c r="Q293" s="20">
        <v>29.2</v>
      </c>
      <c r="R293" s="20">
        <v>53.13</v>
      </c>
      <c r="S293" s="26">
        <v>53</v>
      </c>
      <c r="T293" s="26">
        <v>-0.13</v>
      </c>
      <c r="U293" s="26">
        <v>-0.02</v>
      </c>
      <c r="V293" s="20">
        <v>868.19</v>
      </c>
    </row>
    <row r="294" spans="1:22" ht="16.8" x14ac:dyDescent="0.3">
      <c r="A294" s="20">
        <v>29.4</v>
      </c>
      <c r="B294" s="20">
        <v>53</v>
      </c>
      <c r="C294" s="20">
        <v>52.94</v>
      </c>
      <c r="D294" s="20">
        <v>0.06</v>
      </c>
      <c r="E294" s="20">
        <v>-0.03</v>
      </c>
      <c r="F294" s="20">
        <v>1161.79</v>
      </c>
      <c r="Q294" s="20">
        <v>29.3</v>
      </c>
      <c r="R294" s="20">
        <v>53.15</v>
      </c>
      <c r="S294" s="20">
        <v>53</v>
      </c>
      <c r="T294" s="20">
        <v>-0.15</v>
      </c>
      <c r="U294" s="26">
        <v>-0.02</v>
      </c>
      <c r="V294" s="20">
        <v>863.86</v>
      </c>
    </row>
    <row r="295" spans="1:22" ht="16.8" x14ac:dyDescent="0.3">
      <c r="A295" s="20">
        <v>29.5</v>
      </c>
      <c r="B295" s="20">
        <v>53</v>
      </c>
      <c r="C295" s="20">
        <v>52.91</v>
      </c>
      <c r="D295" s="20">
        <v>0.09</v>
      </c>
      <c r="E295" s="20">
        <v>0.03</v>
      </c>
      <c r="F295" s="20">
        <v>1186.27</v>
      </c>
      <c r="Q295" s="20">
        <v>29.4</v>
      </c>
      <c r="R295" s="20">
        <v>53.14</v>
      </c>
      <c r="S295" s="20">
        <v>53</v>
      </c>
      <c r="T295" s="26">
        <v>-0.14000000000000001</v>
      </c>
      <c r="U295" s="26">
        <v>0.01</v>
      </c>
      <c r="V295" s="20">
        <v>865.57</v>
      </c>
    </row>
    <row r="296" spans="1:22" ht="16.8" x14ac:dyDescent="0.3">
      <c r="A296" s="20">
        <v>29.6</v>
      </c>
      <c r="B296" s="20">
        <v>53</v>
      </c>
      <c r="C296" s="20">
        <v>52.91</v>
      </c>
      <c r="D296" s="20">
        <v>0.09</v>
      </c>
      <c r="E296" s="20">
        <v>0</v>
      </c>
      <c r="F296" s="20">
        <v>1182.8599999999999</v>
      </c>
      <c r="Q296" s="20">
        <v>29.5</v>
      </c>
      <c r="R296" s="20">
        <v>53.13</v>
      </c>
      <c r="S296" s="26">
        <v>53</v>
      </c>
      <c r="T296" s="20">
        <v>-0.13</v>
      </c>
      <c r="U296" s="26">
        <v>0.01</v>
      </c>
      <c r="V296" s="20">
        <v>866.52</v>
      </c>
    </row>
    <row r="297" spans="1:22" ht="16.8" x14ac:dyDescent="0.3">
      <c r="A297" s="20">
        <v>29.7</v>
      </c>
      <c r="B297" s="20">
        <v>53</v>
      </c>
      <c r="C297" s="20">
        <v>52.93</v>
      </c>
      <c r="D297" s="20">
        <v>7.0000000000000007E-2</v>
      </c>
      <c r="E297" s="20">
        <v>-0.02</v>
      </c>
      <c r="F297" s="20">
        <v>1165.3800000000001</v>
      </c>
      <c r="Q297" s="20">
        <v>29.6</v>
      </c>
      <c r="R297" s="20">
        <v>53.11</v>
      </c>
      <c r="S297" s="20">
        <v>53</v>
      </c>
      <c r="T297" s="26">
        <v>-0.11</v>
      </c>
      <c r="U297" s="26">
        <v>0.02</v>
      </c>
      <c r="V297" s="20">
        <v>870.45</v>
      </c>
    </row>
    <row r="298" spans="1:22" ht="16.8" x14ac:dyDescent="0.3">
      <c r="A298" s="20">
        <v>29.8</v>
      </c>
      <c r="B298" s="20">
        <v>53</v>
      </c>
      <c r="C298" s="20">
        <v>52.89</v>
      </c>
      <c r="D298" s="20">
        <v>0.11</v>
      </c>
      <c r="E298" s="20">
        <v>0.04</v>
      </c>
      <c r="F298" s="20">
        <v>1199.6199999999999</v>
      </c>
      <c r="Q298" s="20">
        <v>29.7</v>
      </c>
      <c r="R298" s="20">
        <v>53.1</v>
      </c>
      <c r="S298" s="26">
        <v>53</v>
      </c>
      <c r="T298" s="20">
        <v>-0.1</v>
      </c>
      <c r="U298" s="26">
        <v>0.01</v>
      </c>
      <c r="V298" s="20">
        <v>871.09</v>
      </c>
    </row>
    <row r="299" spans="1:22" ht="16.8" x14ac:dyDescent="0.3">
      <c r="A299" s="20">
        <v>29.9</v>
      </c>
      <c r="B299" s="20">
        <v>53</v>
      </c>
      <c r="C299" s="20">
        <v>52.93</v>
      </c>
      <c r="D299" s="20">
        <v>7.0000000000000007E-2</v>
      </c>
      <c r="E299" s="20">
        <v>-0.04</v>
      </c>
      <c r="F299" s="20">
        <v>1165.3800000000001</v>
      </c>
      <c r="Q299" s="20">
        <v>29.8</v>
      </c>
      <c r="R299" s="20">
        <v>53.09</v>
      </c>
      <c r="S299" s="20">
        <v>53</v>
      </c>
      <c r="T299" s="26">
        <v>-0.09</v>
      </c>
      <c r="U299" s="26">
        <v>0.01</v>
      </c>
      <c r="V299" s="20">
        <v>872.14</v>
      </c>
    </row>
    <row r="300" spans="1:22" ht="16.8" x14ac:dyDescent="0.3">
      <c r="A300" s="20">
        <v>30</v>
      </c>
      <c r="B300" s="20">
        <v>53</v>
      </c>
      <c r="C300" s="20">
        <v>52.9</v>
      </c>
      <c r="D300" s="20">
        <v>0.1</v>
      </c>
      <c r="E300" s="20">
        <v>0.03</v>
      </c>
      <c r="F300" s="20">
        <v>1193</v>
      </c>
      <c r="Q300" s="20">
        <v>29.9</v>
      </c>
      <c r="R300" s="20">
        <v>53.1</v>
      </c>
      <c r="S300" s="26">
        <v>53</v>
      </c>
      <c r="T300" s="20">
        <v>-0.1</v>
      </c>
      <c r="U300" s="20">
        <v>-0.01</v>
      </c>
      <c r="V300" s="20">
        <v>870.25</v>
      </c>
    </row>
    <row r="301" spans="1:22" ht="16.8" x14ac:dyDescent="0.3">
      <c r="A301" s="20">
        <v>30.1</v>
      </c>
      <c r="B301" s="20">
        <v>53</v>
      </c>
      <c r="C301" s="20">
        <v>52.9</v>
      </c>
      <c r="D301" s="20">
        <v>0.1</v>
      </c>
      <c r="E301" s="20">
        <v>0</v>
      </c>
      <c r="F301" s="20">
        <v>1193</v>
      </c>
      <c r="Q301" s="20">
        <v>30</v>
      </c>
      <c r="R301" s="20">
        <v>53.13</v>
      </c>
      <c r="S301" s="20">
        <v>53</v>
      </c>
      <c r="T301" s="26">
        <v>-0.13</v>
      </c>
      <c r="U301" s="26">
        <v>-0.02</v>
      </c>
      <c r="V301" s="20">
        <v>865.79</v>
      </c>
    </row>
    <row r="302" spans="1:22" ht="16.8" x14ac:dyDescent="0.3">
      <c r="A302" s="20">
        <v>30.2</v>
      </c>
      <c r="B302" s="20">
        <v>53</v>
      </c>
      <c r="C302" s="20">
        <v>52.93</v>
      </c>
      <c r="D302" s="20">
        <v>7.0000000000000007E-2</v>
      </c>
      <c r="E302" s="20">
        <v>-0.03</v>
      </c>
      <c r="F302" s="20">
        <v>1168.95</v>
      </c>
      <c r="Q302" s="20">
        <v>30.1</v>
      </c>
      <c r="R302" s="20">
        <v>53.09</v>
      </c>
      <c r="S302" s="20">
        <v>53</v>
      </c>
      <c r="T302" s="20">
        <v>-0.09</v>
      </c>
      <c r="U302" s="20">
        <v>0.03</v>
      </c>
      <c r="V302" s="20">
        <v>871.98</v>
      </c>
    </row>
    <row r="303" spans="1:22" ht="16.8" x14ac:dyDescent="0.3">
      <c r="A303" s="20">
        <v>30.3</v>
      </c>
      <c r="B303" s="20">
        <v>53</v>
      </c>
      <c r="C303" s="20">
        <v>52.94</v>
      </c>
      <c r="D303" s="20">
        <v>0.06</v>
      </c>
      <c r="E303" s="20">
        <v>-0.01</v>
      </c>
      <c r="F303" s="20">
        <v>1161.79</v>
      </c>
      <c r="Q303" s="20">
        <v>30.2</v>
      </c>
      <c r="R303" s="20">
        <v>53.13</v>
      </c>
      <c r="S303" s="26">
        <v>53</v>
      </c>
      <c r="T303" s="20">
        <v>-0.13</v>
      </c>
      <c r="U303" s="26">
        <v>-0.04</v>
      </c>
      <c r="V303" s="20">
        <v>863.61</v>
      </c>
    </row>
    <row r="304" spans="1:22" ht="16.8" x14ac:dyDescent="0.3">
      <c r="A304" s="20">
        <v>30.4</v>
      </c>
      <c r="B304" s="20">
        <v>53</v>
      </c>
      <c r="C304" s="20">
        <v>52.93</v>
      </c>
      <c r="D304" s="20">
        <v>7.0000000000000007E-2</v>
      </c>
      <c r="E304" s="20">
        <v>0</v>
      </c>
      <c r="F304" s="20">
        <v>1165.3800000000001</v>
      </c>
      <c r="Q304" s="20">
        <v>30.3</v>
      </c>
      <c r="R304" s="20">
        <v>53.1</v>
      </c>
      <c r="S304" s="20">
        <v>53</v>
      </c>
      <c r="T304" s="26">
        <v>-0.1</v>
      </c>
      <c r="U304" s="20">
        <v>0.03</v>
      </c>
      <c r="V304" s="20">
        <v>870.17</v>
      </c>
    </row>
    <row r="305" spans="1:22" ht="16.8" x14ac:dyDescent="0.3">
      <c r="A305" s="20">
        <v>30.5</v>
      </c>
      <c r="B305" s="20">
        <v>53</v>
      </c>
      <c r="C305" s="20">
        <v>52.93</v>
      </c>
      <c r="D305" s="20">
        <v>7.0000000000000007E-2</v>
      </c>
      <c r="E305" s="20">
        <v>0</v>
      </c>
      <c r="F305" s="20">
        <v>1165.3800000000001</v>
      </c>
      <c r="Q305" s="20">
        <v>30.4</v>
      </c>
      <c r="R305" s="20">
        <v>53.17</v>
      </c>
      <c r="S305" s="20">
        <v>53</v>
      </c>
      <c r="T305" s="20">
        <v>-0.17</v>
      </c>
      <c r="U305" s="26">
        <v>-7.0000000000000007E-2</v>
      </c>
      <c r="V305" s="20">
        <v>855.89</v>
      </c>
    </row>
    <row r="306" spans="1:22" ht="16.8" x14ac:dyDescent="0.3">
      <c r="A306" s="20">
        <v>30.6</v>
      </c>
      <c r="B306" s="20">
        <v>53</v>
      </c>
      <c r="C306" s="20">
        <v>52.95</v>
      </c>
      <c r="D306" s="20">
        <v>0.05</v>
      </c>
      <c r="E306" s="20">
        <v>-0.02</v>
      </c>
      <c r="F306" s="20">
        <v>1147.06</v>
      </c>
      <c r="Q306" s="20">
        <v>30.5</v>
      </c>
      <c r="R306" s="20">
        <v>53.08</v>
      </c>
      <c r="S306" s="26">
        <v>53</v>
      </c>
      <c r="T306" s="26">
        <v>-0.08</v>
      </c>
      <c r="U306" s="26">
        <v>0.1</v>
      </c>
      <c r="V306" s="20">
        <v>874.93</v>
      </c>
    </row>
    <row r="307" spans="1:22" ht="16.8" x14ac:dyDescent="0.3">
      <c r="A307" s="20">
        <v>30.7</v>
      </c>
      <c r="B307" s="20">
        <v>53</v>
      </c>
      <c r="C307" s="20">
        <v>52.94</v>
      </c>
      <c r="D307" s="20">
        <v>0.06</v>
      </c>
      <c r="E307" s="20">
        <v>0.02</v>
      </c>
      <c r="F307" s="20">
        <v>1161.79</v>
      </c>
      <c r="Q307" s="20">
        <v>30.6</v>
      </c>
      <c r="R307" s="20">
        <v>53.11</v>
      </c>
      <c r="S307" s="20">
        <v>53</v>
      </c>
      <c r="T307" s="20">
        <v>-0.11</v>
      </c>
      <c r="U307" s="26">
        <v>-0.03</v>
      </c>
      <c r="V307" s="20">
        <v>866.53</v>
      </c>
    </row>
    <row r="308" spans="1:22" ht="16.8" x14ac:dyDescent="0.3">
      <c r="A308" s="20">
        <v>30.8</v>
      </c>
      <c r="B308" s="20">
        <v>53</v>
      </c>
      <c r="C308" s="20">
        <v>52.94</v>
      </c>
      <c r="D308" s="20">
        <v>0.06</v>
      </c>
      <c r="E308" s="20">
        <v>0</v>
      </c>
      <c r="F308" s="20">
        <v>1158.1600000000001</v>
      </c>
      <c r="Q308" s="20">
        <v>30.7</v>
      </c>
      <c r="R308" s="20">
        <v>53.11</v>
      </c>
      <c r="S308" s="26">
        <v>53</v>
      </c>
      <c r="T308" s="26">
        <v>-0.11</v>
      </c>
      <c r="U308" s="26">
        <v>0</v>
      </c>
      <c r="V308" s="20">
        <v>867.05</v>
      </c>
    </row>
    <row r="309" spans="1:22" ht="16.8" x14ac:dyDescent="0.3">
      <c r="A309" s="20">
        <v>30.9</v>
      </c>
      <c r="B309" s="20">
        <v>53</v>
      </c>
      <c r="C309" s="20">
        <v>52.97</v>
      </c>
      <c r="D309" s="20">
        <v>0.03</v>
      </c>
      <c r="E309" s="20">
        <v>-0.03</v>
      </c>
      <c r="F309" s="20">
        <v>1127.83</v>
      </c>
      <c r="Q309" s="20">
        <v>30.8</v>
      </c>
      <c r="R309" s="20">
        <v>53.11</v>
      </c>
      <c r="S309" s="20">
        <v>53</v>
      </c>
      <c r="T309" s="20">
        <v>-0.11</v>
      </c>
      <c r="U309" s="26">
        <v>0</v>
      </c>
      <c r="V309" s="20">
        <v>866.8</v>
      </c>
    </row>
    <row r="310" spans="1:22" ht="16.8" x14ac:dyDescent="0.3">
      <c r="A310" s="20">
        <v>31</v>
      </c>
      <c r="B310" s="20">
        <v>53</v>
      </c>
      <c r="C310" s="20">
        <v>52.96</v>
      </c>
      <c r="D310" s="20">
        <v>0.04</v>
      </c>
      <c r="E310" s="20">
        <v>0.01</v>
      </c>
      <c r="F310" s="20">
        <v>1135.6199999999999</v>
      </c>
      <c r="Q310" s="20">
        <v>30.9</v>
      </c>
      <c r="R310" s="20">
        <v>53.16</v>
      </c>
      <c r="S310" s="26">
        <v>53</v>
      </c>
      <c r="T310" s="26">
        <v>-0.16</v>
      </c>
      <c r="U310" s="26">
        <v>-0.05</v>
      </c>
      <c r="V310" s="20">
        <v>857.7</v>
      </c>
    </row>
    <row r="311" spans="1:22" ht="16.8" x14ac:dyDescent="0.3">
      <c r="A311" s="20">
        <v>31.1</v>
      </c>
      <c r="B311" s="20">
        <v>53</v>
      </c>
      <c r="C311" s="20">
        <v>52.93</v>
      </c>
      <c r="D311" s="20">
        <v>7.0000000000000007E-2</v>
      </c>
      <c r="E311" s="20">
        <v>0.04</v>
      </c>
      <c r="F311" s="20">
        <v>1168.95</v>
      </c>
      <c r="Q311" s="20">
        <v>31</v>
      </c>
      <c r="R311" s="20">
        <v>53.13</v>
      </c>
      <c r="S311" s="20">
        <v>53</v>
      </c>
      <c r="T311" s="20">
        <v>-0.13</v>
      </c>
      <c r="U311" s="20">
        <v>0.02</v>
      </c>
      <c r="V311" s="20">
        <v>862.92</v>
      </c>
    </row>
    <row r="312" spans="1:22" ht="16.8" x14ac:dyDescent="0.3">
      <c r="A312" s="20">
        <v>31.2</v>
      </c>
      <c r="B312" s="20">
        <v>53</v>
      </c>
      <c r="C312" s="20">
        <v>52.96</v>
      </c>
      <c r="D312" s="20">
        <v>0.04</v>
      </c>
      <c r="E312" s="20">
        <v>-0.03</v>
      </c>
      <c r="F312" s="20">
        <v>1139.53</v>
      </c>
      <c r="Q312" s="20">
        <v>31.1</v>
      </c>
      <c r="R312" s="20">
        <v>53.09</v>
      </c>
      <c r="S312" s="26">
        <v>53</v>
      </c>
      <c r="T312" s="20">
        <v>-0.09</v>
      </c>
      <c r="U312" s="26">
        <v>0.04</v>
      </c>
      <c r="V312" s="20">
        <v>869.4</v>
      </c>
    </row>
    <row r="313" spans="1:22" ht="16.8" x14ac:dyDescent="0.3">
      <c r="A313" s="20">
        <v>31.3</v>
      </c>
      <c r="B313" s="20">
        <v>53</v>
      </c>
      <c r="C313" s="20">
        <v>52.93</v>
      </c>
      <c r="D313" s="20">
        <v>7.0000000000000007E-2</v>
      </c>
      <c r="E313" s="20">
        <v>0.03</v>
      </c>
      <c r="F313" s="20">
        <v>1168.95</v>
      </c>
      <c r="Q313" s="20">
        <v>31.2</v>
      </c>
      <c r="R313" s="20">
        <v>53.09</v>
      </c>
      <c r="S313" s="20">
        <v>53</v>
      </c>
      <c r="T313" s="26">
        <v>-0.09</v>
      </c>
      <c r="U313" s="20">
        <v>0.01</v>
      </c>
      <c r="V313" s="20">
        <v>869.7</v>
      </c>
    </row>
    <row r="314" spans="1:22" ht="16.8" x14ac:dyDescent="0.3">
      <c r="A314" s="20">
        <v>31.4</v>
      </c>
      <c r="B314" s="20">
        <v>53</v>
      </c>
      <c r="C314" s="20">
        <v>52.96</v>
      </c>
      <c r="D314" s="20">
        <v>0.04</v>
      </c>
      <c r="E314" s="20">
        <v>-0.03</v>
      </c>
      <c r="F314" s="20">
        <v>1139.53</v>
      </c>
      <c r="Q314" s="20">
        <v>31.3</v>
      </c>
      <c r="R314" s="20">
        <v>53.12</v>
      </c>
      <c r="S314" s="26">
        <v>53</v>
      </c>
      <c r="T314" s="20">
        <v>-0.12</v>
      </c>
      <c r="U314" s="26">
        <v>-0.03</v>
      </c>
      <c r="V314" s="20">
        <v>863.41</v>
      </c>
    </row>
    <row r="315" spans="1:22" ht="16.8" x14ac:dyDescent="0.3">
      <c r="A315" s="20">
        <v>31.5</v>
      </c>
      <c r="B315" s="20">
        <v>53</v>
      </c>
      <c r="C315" s="20">
        <v>52.97</v>
      </c>
      <c r="D315" s="20">
        <v>0.03</v>
      </c>
      <c r="E315" s="20">
        <v>-0.01</v>
      </c>
      <c r="F315" s="20">
        <v>1127.75</v>
      </c>
      <c r="Q315" s="20">
        <v>31.4</v>
      </c>
      <c r="R315" s="20">
        <v>53.1</v>
      </c>
      <c r="S315" s="20">
        <v>53</v>
      </c>
      <c r="T315" s="26">
        <v>-0.1</v>
      </c>
      <c r="U315" s="26">
        <v>0.02</v>
      </c>
      <c r="V315" s="20">
        <v>866.86</v>
      </c>
    </row>
    <row r="316" spans="1:22" ht="16.8" x14ac:dyDescent="0.3">
      <c r="A316" s="20">
        <v>31.6</v>
      </c>
      <c r="B316" s="20">
        <v>53</v>
      </c>
      <c r="C316" s="20">
        <v>52.94</v>
      </c>
      <c r="D316" s="20">
        <v>0.06</v>
      </c>
      <c r="E316" s="20">
        <v>0.03</v>
      </c>
      <c r="F316" s="20">
        <v>1154.5</v>
      </c>
      <c r="Q316" s="20">
        <v>31.5</v>
      </c>
      <c r="R316" s="20">
        <v>53.08</v>
      </c>
      <c r="S316" s="26">
        <v>53</v>
      </c>
      <c r="T316" s="20">
        <v>-0.08</v>
      </c>
      <c r="U316" s="26">
        <v>0.02</v>
      </c>
      <c r="V316" s="20">
        <v>870.66</v>
      </c>
    </row>
    <row r="317" spans="1:22" ht="16.8" x14ac:dyDescent="0.3">
      <c r="A317" s="20">
        <v>31.7</v>
      </c>
      <c r="B317" s="20">
        <v>53</v>
      </c>
      <c r="C317" s="20">
        <v>52.95</v>
      </c>
      <c r="D317" s="20">
        <v>0.05</v>
      </c>
      <c r="E317" s="20">
        <v>0</v>
      </c>
      <c r="F317" s="20">
        <v>1150.8</v>
      </c>
      <c r="Q317" s="20">
        <v>31.6</v>
      </c>
      <c r="R317" s="20">
        <v>53.13</v>
      </c>
      <c r="S317" s="20">
        <v>53</v>
      </c>
      <c r="T317" s="26">
        <v>-0.13</v>
      </c>
      <c r="U317" s="26">
        <v>-0.05</v>
      </c>
      <c r="V317" s="20">
        <v>861.05</v>
      </c>
    </row>
    <row r="318" spans="1:22" ht="16.8" x14ac:dyDescent="0.3">
      <c r="A318" s="20">
        <v>31.8</v>
      </c>
      <c r="B318" s="20">
        <v>53</v>
      </c>
      <c r="C318" s="20">
        <v>52.95</v>
      </c>
      <c r="D318" s="20">
        <v>0.05</v>
      </c>
      <c r="E318" s="20">
        <v>0</v>
      </c>
      <c r="F318" s="20">
        <v>1150.8</v>
      </c>
      <c r="Q318" s="20">
        <v>31.7</v>
      </c>
      <c r="R318" s="20">
        <v>53.08</v>
      </c>
      <c r="S318" s="20">
        <v>53</v>
      </c>
      <c r="T318" s="20">
        <v>-0.08</v>
      </c>
      <c r="U318" s="26">
        <v>0.05</v>
      </c>
      <c r="V318" s="20">
        <v>870.77</v>
      </c>
    </row>
    <row r="319" spans="1:22" ht="16.8" x14ac:dyDescent="0.3">
      <c r="A319" s="20">
        <v>31.9</v>
      </c>
      <c r="B319" s="20">
        <v>53</v>
      </c>
      <c r="C319" s="20">
        <v>52.97</v>
      </c>
      <c r="D319" s="20">
        <v>0.03</v>
      </c>
      <c r="E319" s="20">
        <v>-0.02</v>
      </c>
      <c r="F319" s="20">
        <v>1127.78</v>
      </c>
      <c r="Q319" s="20">
        <v>31.8</v>
      </c>
      <c r="R319" s="20">
        <v>53.1</v>
      </c>
      <c r="S319" s="26">
        <v>53</v>
      </c>
      <c r="T319" s="26">
        <v>-0.1</v>
      </c>
      <c r="U319" s="26">
        <v>-0.02</v>
      </c>
      <c r="V319" s="20">
        <v>865.01</v>
      </c>
    </row>
    <row r="320" spans="1:22" ht="16.8" x14ac:dyDescent="0.3">
      <c r="A320" s="20">
        <v>32</v>
      </c>
      <c r="B320" s="20">
        <v>53</v>
      </c>
      <c r="C320" s="20">
        <v>52.94</v>
      </c>
      <c r="D320" s="20">
        <v>0.06</v>
      </c>
      <c r="E320" s="20">
        <v>0.03</v>
      </c>
      <c r="F320" s="20">
        <v>1159.1500000000001</v>
      </c>
      <c r="Q320" s="20">
        <v>31.9</v>
      </c>
      <c r="R320" s="20">
        <v>53.07</v>
      </c>
      <c r="S320" s="20">
        <v>53</v>
      </c>
      <c r="T320" s="20">
        <v>-7.0000000000000007E-2</v>
      </c>
      <c r="U320" s="26">
        <v>0.03</v>
      </c>
      <c r="V320" s="20">
        <v>871.25</v>
      </c>
    </row>
    <row r="321" spans="1:22" ht="16.8" x14ac:dyDescent="0.3">
      <c r="A321" s="20">
        <v>32.1</v>
      </c>
      <c r="B321" s="20">
        <v>53</v>
      </c>
      <c r="C321" s="20">
        <v>52.96</v>
      </c>
      <c r="D321" s="20">
        <v>0.04</v>
      </c>
      <c r="E321" s="20">
        <v>-0.02</v>
      </c>
      <c r="F321" s="20">
        <v>1139.47</v>
      </c>
      <c r="Q321" s="20">
        <v>32</v>
      </c>
      <c r="R321" s="20">
        <v>53.08</v>
      </c>
      <c r="S321" s="20">
        <v>53</v>
      </c>
      <c r="T321" s="26">
        <v>-0.08</v>
      </c>
      <c r="U321" s="26">
        <v>-0.01</v>
      </c>
      <c r="V321" s="20">
        <v>868.85</v>
      </c>
    </row>
    <row r="322" spans="1:22" ht="16.8" x14ac:dyDescent="0.3">
      <c r="A322" s="20">
        <v>32.200000000000003</v>
      </c>
      <c r="B322" s="20">
        <v>53</v>
      </c>
      <c r="C322" s="20">
        <v>52.97</v>
      </c>
      <c r="D322" s="20">
        <v>0.03</v>
      </c>
      <c r="E322" s="20">
        <v>-0.01</v>
      </c>
      <c r="F322" s="20">
        <v>1131.7</v>
      </c>
      <c r="Q322" s="20">
        <v>32.1</v>
      </c>
      <c r="R322" s="20">
        <v>53.13</v>
      </c>
      <c r="S322" s="26">
        <v>53</v>
      </c>
      <c r="T322" s="20">
        <v>-0.13</v>
      </c>
      <c r="U322" s="26">
        <v>-0.05</v>
      </c>
      <c r="V322" s="20">
        <v>860.01</v>
      </c>
    </row>
    <row r="323" spans="1:22" ht="16.8" x14ac:dyDescent="0.3">
      <c r="A323" s="20">
        <v>32.299999999999997</v>
      </c>
      <c r="B323" s="20">
        <v>53</v>
      </c>
      <c r="C323" s="20">
        <v>52.94</v>
      </c>
      <c r="D323" s="20">
        <v>0.06</v>
      </c>
      <c r="E323" s="20">
        <v>0.03</v>
      </c>
      <c r="F323" s="20">
        <v>1158.1600000000001</v>
      </c>
      <c r="Q323" s="20">
        <v>32.200000000000003</v>
      </c>
      <c r="R323" s="20">
        <v>53.11</v>
      </c>
      <c r="S323" s="20">
        <v>53</v>
      </c>
      <c r="T323" s="20">
        <v>-0.11</v>
      </c>
      <c r="U323" s="26">
        <v>0.02</v>
      </c>
      <c r="V323" s="20">
        <v>863.83</v>
      </c>
    </row>
    <row r="324" spans="1:22" ht="16.8" x14ac:dyDescent="0.3">
      <c r="A324" s="20">
        <v>32.4</v>
      </c>
      <c r="B324" s="20">
        <v>53</v>
      </c>
      <c r="C324" s="20">
        <v>52.95</v>
      </c>
      <c r="D324" s="20">
        <v>0.05</v>
      </c>
      <c r="E324" s="20">
        <v>-0.01</v>
      </c>
      <c r="F324" s="20">
        <v>1150.8</v>
      </c>
      <c r="Q324" s="20">
        <v>32.299999999999997</v>
      </c>
      <c r="R324" s="20">
        <v>53.05</v>
      </c>
      <c r="S324" s="26">
        <v>53</v>
      </c>
      <c r="T324" s="26">
        <v>-0.05</v>
      </c>
      <c r="U324" s="20">
        <v>0.06</v>
      </c>
      <c r="V324" s="20">
        <v>873.52</v>
      </c>
    </row>
    <row r="325" spans="1:22" ht="16.8" x14ac:dyDescent="0.3">
      <c r="A325" s="20">
        <v>32.5</v>
      </c>
      <c r="B325" s="20">
        <v>53</v>
      </c>
      <c r="C325" s="20">
        <v>52.96</v>
      </c>
      <c r="D325" s="20">
        <v>0.04</v>
      </c>
      <c r="E325" s="20">
        <v>-0.01</v>
      </c>
      <c r="F325" s="20">
        <v>1143.28</v>
      </c>
      <c r="Q325" s="20">
        <v>32.4</v>
      </c>
      <c r="R325" s="20">
        <v>53.09</v>
      </c>
      <c r="S325" s="20">
        <v>53</v>
      </c>
      <c r="T325" s="20">
        <v>-0.09</v>
      </c>
      <c r="U325" s="26">
        <v>-0.04</v>
      </c>
      <c r="V325" s="20">
        <v>864.66</v>
      </c>
    </row>
    <row r="326" spans="1:22" ht="16.8" x14ac:dyDescent="0.3">
      <c r="A326" s="20">
        <v>32.6</v>
      </c>
      <c r="B326" s="20">
        <v>53</v>
      </c>
      <c r="C326" s="20">
        <v>52.97</v>
      </c>
      <c r="D326" s="20">
        <v>0.03</v>
      </c>
      <c r="E326" s="20">
        <v>-0.02</v>
      </c>
      <c r="F326" s="20">
        <v>1127.75</v>
      </c>
      <c r="Q326" s="20">
        <v>32.5</v>
      </c>
      <c r="R326" s="20">
        <v>53.06</v>
      </c>
      <c r="S326" s="20">
        <v>53</v>
      </c>
      <c r="T326" s="26">
        <v>-0.06</v>
      </c>
      <c r="U326" s="20">
        <v>0.03</v>
      </c>
      <c r="V326" s="20">
        <v>871.32</v>
      </c>
    </row>
    <row r="327" spans="1:22" ht="16.8" x14ac:dyDescent="0.3">
      <c r="A327" s="20">
        <v>32.700000000000003</v>
      </c>
      <c r="B327" s="20">
        <v>53</v>
      </c>
      <c r="C327" s="20">
        <v>52.93</v>
      </c>
      <c r="D327" s="20">
        <v>7.0000000000000007E-2</v>
      </c>
      <c r="E327" s="20">
        <v>0.04</v>
      </c>
      <c r="F327" s="20">
        <v>1172.43</v>
      </c>
      <c r="Q327" s="20">
        <v>32.6</v>
      </c>
      <c r="R327" s="20">
        <v>53.11</v>
      </c>
      <c r="S327" s="20">
        <v>53</v>
      </c>
      <c r="T327" s="20">
        <v>-0.11</v>
      </c>
      <c r="U327" s="26">
        <v>-0.05</v>
      </c>
      <c r="V327" s="20">
        <v>861.55</v>
      </c>
    </row>
    <row r="328" spans="1:22" ht="16.8" x14ac:dyDescent="0.3">
      <c r="A328" s="20">
        <v>32.799999999999997</v>
      </c>
      <c r="B328" s="20">
        <v>53</v>
      </c>
      <c r="C328" s="20">
        <v>52.93</v>
      </c>
      <c r="D328" s="20">
        <v>7.0000000000000007E-2</v>
      </c>
      <c r="E328" s="20">
        <v>0</v>
      </c>
      <c r="F328" s="20">
        <v>1168.95</v>
      </c>
      <c r="Q328" s="20">
        <v>32.700000000000003</v>
      </c>
      <c r="R328" s="20">
        <v>53.04</v>
      </c>
      <c r="S328" s="20">
        <v>53</v>
      </c>
      <c r="T328" s="26">
        <v>-0.04</v>
      </c>
      <c r="U328" s="26">
        <v>7.0000000000000007E-2</v>
      </c>
      <c r="V328" s="20">
        <v>875.73</v>
      </c>
    </row>
    <row r="329" spans="1:22" ht="16.8" x14ac:dyDescent="0.3">
      <c r="A329" s="20">
        <v>32.9</v>
      </c>
      <c r="B329" s="20">
        <v>53</v>
      </c>
      <c r="C329" s="20">
        <v>52.95</v>
      </c>
      <c r="D329" s="20">
        <v>0.05</v>
      </c>
      <c r="E329" s="20">
        <v>-0.02</v>
      </c>
      <c r="F329" s="20">
        <v>1147.06</v>
      </c>
      <c r="Q329" s="20">
        <v>32.799999999999997</v>
      </c>
      <c r="R329" s="20">
        <v>53.05</v>
      </c>
      <c r="S329" s="20">
        <v>53</v>
      </c>
      <c r="T329" s="20">
        <v>-0.05</v>
      </c>
      <c r="U329" s="26">
        <v>-0.01</v>
      </c>
      <c r="V329" s="20">
        <v>872.43</v>
      </c>
    </row>
    <row r="330" spans="1:22" ht="16.8" x14ac:dyDescent="0.3">
      <c r="A330" s="20">
        <v>33</v>
      </c>
      <c r="B330" s="20">
        <v>53</v>
      </c>
      <c r="C330" s="20">
        <v>52.98</v>
      </c>
      <c r="D330" s="20">
        <v>0.02</v>
      </c>
      <c r="E330" s="20">
        <v>-0.03</v>
      </c>
      <c r="F330" s="20">
        <v>1115.71</v>
      </c>
      <c r="Q330" s="20">
        <v>32.9</v>
      </c>
      <c r="R330" s="20">
        <v>53.09</v>
      </c>
      <c r="S330" s="20">
        <v>53</v>
      </c>
      <c r="T330" s="26">
        <v>-0.09</v>
      </c>
      <c r="U330" s="26">
        <v>-0.05</v>
      </c>
      <c r="V330" s="20">
        <v>863.67</v>
      </c>
    </row>
    <row r="331" spans="1:22" ht="16.8" x14ac:dyDescent="0.3">
      <c r="A331" s="20">
        <v>33.1</v>
      </c>
      <c r="B331" s="20">
        <v>53</v>
      </c>
      <c r="C331" s="20">
        <v>52.97</v>
      </c>
      <c r="D331" s="20">
        <v>0.03</v>
      </c>
      <c r="E331" s="20">
        <v>0.02</v>
      </c>
      <c r="F331" s="20">
        <v>1131.7</v>
      </c>
      <c r="Q331" s="20">
        <v>33</v>
      </c>
      <c r="R331" s="20">
        <v>53.1</v>
      </c>
      <c r="S331" s="20">
        <v>53</v>
      </c>
      <c r="T331" s="20">
        <v>-0.1</v>
      </c>
      <c r="U331" s="26">
        <v>-0.01</v>
      </c>
      <c r="V331" s="20">
        <v>863.14</v>
      </c>
    </row>
    <row r="332" spans="1:22" ht="16.8" x14ac:dyDescent="0.3">
      <c r="A332" s="20">
        <v>33.200000000000003</v>
      </c>
      <c r="B332" s="20">
        <v>53</v>
      </c>
      <c r="C332" s="20">
        <v>52.93</v>
      </c>
      <c r="D332" s="20">
        <v>7.0000000000000007E-2</v>
      </c>
      <c r="E332" s="20">
        <v>0.04</v>
      </c>
      <c r="F332" s="20">
        <v>1172.47</v>
      </c>
      <c r="Q332" s="20">
        <v>33.1</v>
      </c>
      <c r="R332" s="20">
        <v>53.07</v>
      </c>
      <c r="S332" s="20">
        <v>53</v>
      </c>
      <c r="T332" s="26">
        <v>-7.0000000000000007E-2</v>
      </c>
      <c r="U332" s="26">
        <v>0.03</v>
      </c>
      <c r="V332" s="20">
        <v>869</v>
      </c>
    </row>
    <row r="333" spans="1:22" ht="16.8" x14ac:dyDescent="0.3">
      <c r="A333" s="20">
        <v>33.299999999999997</v>
      </c>
      <c r="B333" s="20">
        <v>53</v>
      </c>
      <c r="C333" s="20">
        <v>52.96</v>
      </c>
      <c r="D333" s="20">
        <v>0.04</v>
      </c>
      <c r="E333" s="20">
        <v>-0.04</v>
      </c>
      <c r="F333" s="20">
        <v>1135.73</v>
      </c>
      <c r="Q333" s="20">
        <v>33.200000000000003</v>
      </c>
      <c r="R333" s="20">
        <v>53.07</v>
      </c>
      <c r="S333" s="20">
        <v>53</v>
      </c>
      <c r="T333" s="20">
        <v>-7.0000000000000007E-2</v>
      </c>
      <c r="U333" s="20">
        <v>0</v>
      </c>
      <c r="V333" s="20">
        <v>868.07</v>
      </c>
    </row>
    <row r="334" spans="1:22" ht="16.8" x14ac:dyDescent="0.3">
      <c r="A334" s="20">
        <v>33.4</v>
      </c>
      <c r="B334" s="20">
        <v>53</v>
      </c>
      <c r="C334" s="20">
        <v>52.96</v>
      </c>
      <c r="D334" s="20">
        <v>0.04</v>
      </c>
      <c r="E334" s="20">
        <v>0</v>
      </c>
      <c r="F334" s="20">
        <v>1135.6199999999999</v>
      </c>
      <c r="Q334" s="20">
        <v>33.299999999999997</v>
      </c>
      <c r="R334" s="20">
        <v>53.05</v>
      </c>
      <c r="S334" s="26">
        <v>53</v>
      </c>
      <c r="T334" s="20">
        <v>-0.05</v>
      </c>
      <c r="U334" s="26">
        <v>0.02</v>
      </c>
      <c r="V334" s="20">
        <v>870.86</v>
      </c>
    </row>
    <row r="335" spans="1:22" ht="16.8" x14ac:dyDescent="0.3">
      <c r="A335" s="20">
        <v>33.5</v>
      </c>
      <c r="B335" s="20">
        <v>53</v>
      </c>
      <c r="C335" s="20">
        <v>52.95</v>
      </c>
      <c r="D335" s="20">
        <v>0.05</v>
      </c>
      <c r="E335" s="20">
        <v>0.02</v>
      </c>
      <c r="F335" s="20">
        <v>1150.8</v>
      </c>
      <c r="Q335" s="20">
        <v>33.4</v>
      </c>
      <c r="R335" s="20">
        <v>53.06</v>
      </c>
      <c r="S335" s="20">
        <v>53</v>
      </c>
      <c r="T335" s="26">
        <v>-0.06</v>
      </c>
      <c r="U335" s="20">
        <v>-0.01</v>
      </c>
      <c r="V335" s="20">
        <v>868.87</v>
      </c>
    </row>
    <row r="336" spans="1:22" ht="16.8" x14ac:dyDescent="0.3">
      <c r="A336" s="20">
        <v>33.6</v>
      </c>
      <c r="B336" s="20">
        <v>53</v>
      </c>
      <c r="C336" s="20">
        <v>52.96</v>
      </c>
      <c r="D336" s="20">
        <v>0.04</v>
      </c>
      <c r="E336" s="20">
        <v>-0.01</v>
      </c>
      <c r="F336" s="20">
        <v>1143.28</v>
      </c>
      <c r="Q336" s="20">
        <v>33.5</v>
      </c>
      <c r="R336" s="20">
        <v>53.06</v>
      </c>
      <c r="S336" s="26">
        <v>53</v>
      </c>
      <c r="T336" s="20">
        <v>-0.06</v>
      </c>
      <c r="U336" s="26">
        <v>0</v>
      </c>
      <c r="V336" s="20">
        <v>868.92</v>
      </c>
    </row>
    <row r="337" spans="1:22" ht="16.8" x14ac:dyDescent="0.3">
      <c r="A337" s="20">
        <v>33.700000000000003</v>
      </c>
      <c r="B337" s="20">
        <v>53</v>
      </c>
      <c r="C337" s="20">
        <v>52.94</v>
      </c>
      <c r="D337" s="20">
        <v>0.06</v>
      </c>
      <c r="E337" s="20">
        <v>0.02</v>
      </c>
      <c r="F337" s="20">
        <v>1161.79</v>
      </c>
      <c r="Q337" s="20">
        <v>33.6</v>
      </c>
      <c r="R337" s="20">
        <v>53.05</v>
      </c>
      <c r="S337" s="20">
        <v>53</v>
      </c>
      <c r="T337" s="26">
        <v>-0.05</v>
      </c>
      <c r="U337" s="20">
        <v>0.01</v>
      </c>
      <c r="V337" s="20">
        <v>870.26</v>
      </c>
    </row>
    <row r="338" spans="1:22" ht="16.8" x14ac:dyDescent="0.3">
      <c r="A338" s="20">
        <v>33.799999999999997</v>
      </c>
      <c r="B338" s="20">
        <v>53</v>
      </c>
      <c r="C338" s="20">
        <v>52.92</v>
      </c>
      <c r="D338" s="20">
        <v>0.08</v>
      </c>
      <c r="E338" s="20">
        <v>0.02</v>
      </c>
      <c r="F338" s="20">
        <v>1179.44</v>
      </c>
      <c r="Q338" s="20">
        <v>33.700000000000003</v>
      </c>
      <c r="R338" s="20">
        <v>53.07</v>
      </c>
      <c r="S338" s="26">
        <v>53</v>
      </c>
      <c r="T338" s="20">
        <v>-7.0000000000000007E-2</v>
      </c>
      <c r="U338" s="26">
        <v>-0.02</v>
      </c>
      <c r="V338" s="20">
        <v>866.99</v>
      </c>
    </row>
    <row r="339" spans="1:22" ht="16.8" x14ac:dyDescent="0.3">
      <c r="A339" s="20">
        <v>33.9</v>
      </c>
      <c r="B339" s="20">
        <v>53</v>
      </c>
      <c r="C339" s="20">
        <v>52.95</v>
      </c>
      <c r="D339" s="20">
        <v>0.05</v>
      </c>
      <c r="E339" s="20">
        <v>-0.03</v>
      </c>
      <c r="F339" s="20">
        <v>1150.8</v>
      </c>
      <c r="Q339" s="20">
        <v>33.799999999999997</v>
      </c>
      <c r="R339" s="20">
        <v>53.13</v>
      </c>
      <c r="S339" s="20">
        <v>53</v>
      </c>
      <c r="T339" s="26">
        <v>-0.13</v>
      </c>
      <c r="U339" s="20">
        <v>-0.06</v>
      </c>
      <c r="V339" s="20">
        <v>855.42</v>
      </c>
    </row>
    <row r="340" spans="1:22" ht="16.8" x14ac:dyDescent="0.3">
      <c r="A340" s="20">
        <v>34</v>
      </c>
      <c r="B340" s="20">
        <v>53</v>
      </c>
      <c r="C340" s="20">
        <v>52.97</v>
      </c>
      <c r="D340" s="20">
        <v>0.03</v>
      </c>
      <c r="E340" s="20">
        <v>-0.02</v>
      </c>
      <c r="F340" s="20">
        <v>1127.78</v>
      </c>
      <c r="Q340" s="20">
        <v>33.9</v>
      </c>
      <c r="R340" s="20">
        <v>53.05</v>
      </c>
      <c r="S340" s="20">
        <v>53</v>
      </c>
      <c r="T340" s="20">
        <v>-0.05</v>
      </c>
      <c r="U340" s="26">
        <v>0.08</v>
      </c>
      <c r="V340" s="20">
        <v>871.41</v>
      </c>
    </row>
    <row r="341" spans="1:22" ht="16.8" x14ac:dyDescent="0.3">
      <c r="A341" s="20">
        <v>34.1</v>
      </c>
      <c r="B341" s="20">
        <v>53</v>
      </c>
      <c r="C341" s="20">
        <v>52.96</v>
      </c>
      <c r="D341" s="20">
        <v>0.04</v>
      </c>
      <c r="E341" s="20">
        <v>0.01</v>
      </c>
      <c r="F341" s="20">
        <v>1139.47</v>
      </c>
      <c r="Q341" s="20">
        <v>34</v>
      </c>
      <c r="R341" s="20">
        <v>53.07</v>
      </c>
      <c r="S341" s="26">
        <v>53</v>
      </c>
      <c r="T341" s="26">
        <v>-7.0000000000000007E-2</v>
      </c>
      <c r="U341" s="20">
        <v>-0.02</v>
      </c>
      <c r="V341" s="20">
        <v>866.4</v>
      </c>
    </row>
    <row r="342" spans="1:22" ht="16.8" x14ac:dyDescent="0.3">
      <c r="A342" s="20">
        <v>34.200000000000003</v>
      </c>
      <c r="B342" s="20">
        <v>53</v>
      </c>
      <c r="C342" s="20">
        <v>52.98</v>
      </c>
      <c r="D342" s="20">
        <v>0.02</v>
      </c>
      <c r="E342" s="20">
        <v>-0.02</v>
      </c>
      <c r="F342" s="20">
        <v>1123.79</v>
      </c>
      <c r="Q342" s="20">
        <v>34.1</v>
      </c>
      <c r="R342" s="20">
        <v>53.06</v>
      </c>
      <c r="S342" s="26">
        <v>53</v>
      </c>
      <c r="T342" s="20">
        <v>-0.06</v>
      </c>
      <c r="U342" s="20">
        <v>0.01</v>
      </c>
      <c r="V342" s="20">
        <v>868.1</v>
      </c>
    </row>
    <row r="343" spans="1:22" ht="16.8" x14ac:dyDescent="0.3">
      <c r="A343" s="20">
        <v>34.299999999999997</v>
      </c>
      <c r="B343" s="20">
        <v>53</v>
      </c>
      <c r="C343" s="20">
        <v>52.91</v>
      </c>
      <c r="D343" s="20">
        <v>0.09</v>
      </c>
      <c r="E343" s="20">
        <v>7.0000000000000007E-2</v>
      </c>
      <c r="F343" s="20">
        <v>1215.47</v>
      </c>
      <c r="Q343" s="20">
        <v>34.200000000000003</v>
      </c>
      <c r="R343" s="20">
        <v>53.06</v>
      </c>
      <c r="S343" s="20">
        <v>53</v>
      </c>
      <c r="T343" s="20">
        <v>-0.06</v>
      </c>
      <c r="U343" s="26">
        <v>0</v>
      </c>
      <c r="V343" s="20">
        <v>867.77</v>
      </c>
    </row>
    <row r="344" spans="1:22" ht="16.8" x14ac:dyDescent="0.3">
      <c r="A344" s="20">
        <v>34.4</v>
      </c>
      <c r="B344" s="20">
        <v>53</v>
      </c>
      <c r="C344" s="20">
        <v>52.92</v>
      </c>
      <c r="D344" s="20">
        <v>0.08</v>
      </c>
      <c r="E344" s="20">
        <v>-0.02</v>
      </c>
      <c r="F344" s="20">
        <v>1172.48</v>
      </c>
      <c r="Q344" s="20">
        <v>34.299999999999997</v>
      </c>
      <c r="R344" s="20">
        <v>53.07</v>
      </c>
      <c r="S344" s="26">
        <v>53</v>
      </c>
      <c r="T344" s="26">
        <v>-7.0000000000000007E-2</v>
      </c>
      <c r="U344" s="20">
        <v>-0.01</v>
      </c>
      <c r="V344" s="20">
        <v>866.15</v>
      </c>
    </row>
    <row r="345" spans="1:22" ht="16.8" x14ac:dyDescent="0.3">
      <c r="A345" s="20">
        <v>34.5</v>
      </c>
      <c r="B345" s="20">
        <v>53</v>
      </c>
      <c r="C345" s="20">
        <v>52.93</v>
      </c>
      <c r="D345" s="20">
        <v>7.0000000000000007E-2</v>
      </c>
      <c r="E345" s="20">
        <v>-0.01</v>
      </c>
      <c r="F345" s="20">
        <v>1165.3800000000001</v>
      </c>
      <c r="Q345" s="20">
        <v>34.4</v>
      </c>
      <c r="R345" s="20">
        <v>53.09</v>
      </c>
      <c r="S345" s="20">
        <v>53</v>
      </c>
      <c r="T345" s="20">
        <v>-0.09</v>
      </c>
      <c r="U345" s="26">
        <v>-0.02</v>
      </c>
      <c r="V345" s="20">
        <v>861.76</v>
      </c>
    </row>
    <row r="346" spans="1:22" ht="16.8" x14ac:dyDescent="0.3">
      <c r="A346" s="20">
        <v>34.6</v>
      </c>
      <c r="B346" s="20">
        <v>53</v>
      </c>
      <c r="C346" s="20">
        <v>52.96</v>
      </c>
      <c r="D346" s="20">
        <v>0.04</v>
      </c>
      <c r="E346" s="20">
        <v>-0.02</v>
      </c>
      <c r="F346" s="20">
        <v>1143.28</v>
      </c>
      <c r="Q346" s="20">
        <v>34.5</v>
      </c>
      <c r="R346" s="20">
        <v>53.08</v>
      </c>
      <c r="S346" s="26">
        <v>53</v>
      </c>
      <c r="T346" s="26">
        <v>-0.08</v>
      </c>
      <c r="U346" s="20">
        <v>0.02</v>
      </c>
      <c r="V346" s="20">
        <v>865.07</v>
      </c>
    </row>
    <row r="347" spans="1:22" ht="16.8" x14ac:dyDescent="0.3">
      <c r="A347" s="20">
        <v>34.700000000000003</v>
      </c>
      <c r="B347" s="20">
        <v>53</v>
      </c>
      <c r="C347" s="20">
        <v>52.95</v>
      </c>
      <c r="D347" s="20">
        <v>0.05</v>
      </c>
      <c r="E347" s="20">
        <v>0.01</v>
      </c>
      <c r="F347" s="20">
        <v>1150.8</v>
      </c>
      <c r="Q347" s="20">
        <v>34.6</v>
      </c>
      <c r="R347" s="20">
        <v>53.08</v>
      </c>
      <c r="S347" s="20">
        <v>53</v>
      </c>
      <c r="T347" s="20">
        <v>-0.08</v>
      </c>
      <c r="U347" s="26">
        <v>0</v>
      </c>
      <c r="V347" s="20">
        <v>864.51</v>
      </c>
    </row>
    <row r="348" spans="1:22" ht="16.8" x14ac:dyDescent="0.3">
      <c r="A348" s="20">
        <v>34.799999999999997</v>
      </c>
      <c r="B348" s="20">
        <v>53</v>
      </c>
      <c r="C348" s="20">
        <v>53.01</v>
      </c>
      <c r="D348" s="20">
        <v>-0.01</v>
      </c>
      <c r="E348" s="20">
        <v>-0.06</v>
      </c>
      <c r="F348" s="20">
        <v>1096.6199999999999</v>
      </c>
      <c r="Q348" s="20">
        <v>34.700000000000003</v>
      </c>
      <c r="R348" s="20">
        <v>53.07</v>
      </c>
      <c r="S348" s="26">
        <v>53</v>
      </c>
      <c r="T348" s="26">
        <v>-7.0000000000000007E-2</v>
      </c>
      <c r="U348" s="20">
        <v>0.01</v>
      </c>
      <c r="V348" s="20">
        <v>865.8</v>
      </c>
    </row>
    <row r="349" spans="1:22" ht="16.8" x14ac:dyDescent="0.3">
      <c r="A349" s="20">
        <v>34.9</v>
      </c>
      <c r="B349" s="20">
        <v>53</v>
      </c>
      <c r="C349" s="20">
        <v>53.01</v>
      </c>
      <c r="D349" s="20">
        <v>-0.01</v>
      </c>
      <c r="E349" s="20">
        <v>0</v>
      </c>
      <c r="F349" s="20">
        <v>1105.68</v>
      </c>
      <c r="Q349" s="20">
        <v>34.799999999999997</v>
      </c>
      <c r="R349" s="20">
        <v>53.05</v>
      </c>
      <c r="S349" s="20">
        <v>53</v>
      </c>
      <c r="T349" s="20">
        <v>-0.05</v>
      </c>
      <c r="U349" s="26">
        <v>0.02</v>
      </c>
      <c r="V349" s="20">
        <v>868.4</v>
      </c>
    </row>
    <row r="350" spans="1:22" ht="16.8" x14ac:dyDescent="0.3">
      <c r="A350" s="20">
        <v>35</v>
      </c>
      <c r="B350" s="20">
        <v>53</v>
      </c>
      <c r="C350" s="20">
        <v>53.02</v>
      </c>
      <c r="D350" s="20">
        <v>-0.02</v>
      </c>
      <c r="E350" s="20">
        <v>-0.01</v>
      </c>
      <c r="F350" s="20">
        <v>1094.6600000000001</v>
      </c>
      <c r="Q350" s="20">
        <v>34.9</v>
      </c>
      <c r="R350" s="20">
        <v>53.06</v>
      </c>
      <c r="S350" s="26">
        <v>53</v>
      </c>
      <c r="T350" s="26">
        <v>-0.06</v>
      </c>
      <c r="U350" s="20">
        <v>-0.01</v>
      </c>
      <c r="V350" s="20">
        <v>866.41</v>
      </c>
    </row>
    <row r="351" spans="1:22" ht="16.8" x14ac:dyDescent="0.3">
      <c r="A351" s="20">
        <v>35.1</v>
      </c>
      <c r="B351" s="20">
        <v>53</v>
      </c>
      <c r="C351" s="20">
        <v>53.05</v>
      </c>
      <c r="D351" s="20">
        <v>-0.05</v>
      </c>
      <c r="E351" s="20">
        <v>-0.03</v>
      </c>
      <c r="F351" s="20">
        <v>1086.82</v>
      </c>
      <c r="Q351" s="20">
        <v>35</v>
      </c>
      <c r="R351" s="20">
        <v>53.03</v>
      </c>
      <c r="S351" s="20">
        <v>53</v>
      </c>
      <c r="T351" s="20">
        <v>-0.03</v>
      </c>
      <c r="U351" s="26">
        <v>0.03</v>
      </c>
      <c r="V351" s="20">
        <v>872.36</v>
      </c>
    </row>
    <row r="352" spans="1:22" ht="16.8" x14ac:dyDescent="0.3">
      <c r="A352" s="20">
        <v>35.200000000000003</v>
      </c>
      <c r="B352" s="20">
        <v>53</v>
      </c>
      <c r="C352" s="20">
        <v>53.04</v>
      </c>
      <c r="D352" s="20">
        <v>-0.04</v>
      </c>
      <c r="E352" s="20">
        <v>0.02</v>
      </c>
      <c r="F352" s="20">
        <v>1121.6400000000001</v>
      </c>
      <c r="Q352" s="20">
        <v>35.1</v>
      </c>
      <c r="R352" s="20">
        <v>53.02</v>
      </c>
      <c r="S352" s="26">
        <v>53</v>
      </c>
      <c r="T352" s="20">
        <v>-0.02</v>
      </c>
      <c r="U352" s="20">
        <v>0.01</v>
      </c>
      <c r="V352" s="20">
        <v>873</v>
      </c>
    </row>
    <row r="353" spans="1:22" ht="16.8" x14ac:dyDescent="0.3">
      <c r="A353" s="20">
        <v>35.299999999999997</v>
      </c>
      <c r="B353" s="20">
        <v>53</v>
      </c>
      <c r="C353" s="20">
        <v>53.07</v>
      </c>
      <c r="D353" s="20">
        <v>-7.0000000000000007E-2</v>
      </c>
      <c r="E353" s="20">
        <v>-0.04</v>
      </c>
      <c r="F353" s="20">
        <v>1082</v>
      </c>
      <c r="Q353" s="20">
        <v>35.200000000000003</v>
      </c>
      <c r="R353" s="20">
        <v>53.09</v>
      </c>
      <c r="S353" s="20">
        <v>53</v>
      </c>
      <c r="T353" s="26">
        <v>-0.09</v>
      </c>
      <c r="U353" s="26">
        <v>-0.06</v>
      </c>
      <c r="V353" s="20">
        <v>860.96</v>
      </c>
    </row>
    <row r="354" spans="1:22" ht="16.8" x14ac:dyDescent="0.3">
      <c r="A354" s="20">
        <v>35.4</v>
      </c>
      <c r="B354" s="20">
        <v>53</v>
      </c>
      <c r="C354" s="20">
        <v>53.07</v>
      </c>
      <c r="D354" s="20">
        <v>-7.0000000000000007E-2</v>
      </c>
      <c r="E354" s="20">
        <v>0</v>
      </c>
      <c r="F354" s="20">
        <v>1091.03</v>
      </c>
      <c r="Q354" s="20">
        <v>35.299999999999997</v>
      </c>
      <c r="R354" s="20">
        <v>53.09</v>
      </c>
      <c r="S354" s="26">
        <v>53</v>
      </c>
      <c r="T354" s="20">
        <v>-0.09</v>
      </c>
      <c r="U354" s="20">
        <v>-0.01</v>
      </c>
      <c r="V354" s="20">
        <v>860.83</v>
      </c>
    </row>
    <row r="355" spans="1:22" ht="16.8" x14ac:dyDescent="0.3">
      <c r="A355" s="20">
        <v>35.5</v>
      </c>
      <c r="B355" s="20">
        <v>53</v>
      </c>
      <c r="C355" s="20">
        <v>53.12</v>
      </c>
      <c r="D355" s="20">
        <v>-0.12</v>
      </c>
      <c r="E355" s="20">
        <v>-0.05</v>
      </c>
      <c r="F355" s="20">
        <v>1071.49</v>
      </c>
      <c r="Q355" s="20">
        <v>35.4</v>
      </c>
      <c r="R355" s="20">
        <v>53.04</v>
      </c>
      <c r="S355" s="20">
        <v>53</v>
      </c>
      <c r="T355" s="26">
        <v>-0.04</v>
      </c>
      <c r="U355" s="26">
        <v>0.06</v>
      </c>
      <c r="V355" s="20">
        <v>871.13</v>
      </c>
    </row>
    <row r="356" spans="1:22" ht="16.8" x14ac:dyDescent="0.3">
      <c r="A356" s="20">
        <v>35.6</v>
      </c>
      <c r="B356" s="20">
        <v>53</v>
      </c>
      <c r="C356" s="20">
        <v>53.09</v>
      </c>
      <c r="D356" s="20">
        <v>-0.09</v>
      </c>
      <c r="E356" s="20">
        <v>0.03</v>
      </c>
      <c r="F356" s="20">
        <v>1131.2</v>
      </c>
      <c r="Q356" s="20">
        <v>35.5</v>
      </c>
      <c r="R356" s="20">
        <v>53.01</v>
      </c>
      <c r="S356" s="26">
        <v>53</v>
      </c>
      <c r="T356" s="20">
        <v>-0.01</v>
      </c>
      <c r="U356" s="26">
        <v>0.02</v>
      </c>
      <c r="V356" s="20">
        <v>874.12</v>
      </c>
    </row>
    <row r="357" spans="1:22" ht="16.8" x14ac:dyDescent="0.3">
      <c r="A357" s="20">
        <v>35.700000000000003</v>
      </c>
      <c r="B357" s="20">
        <v>53</v>
      </c>
      <c r="C357" s="20">
        <v>53.09</v>
      </c>
      <c r="D357" s="20">
        <v>-0.09</v>
      </c>
      <c r="E357" s="20">
        <v>0</v>
      </c>
      <c r="F357" s="20">
        <v>1077.2</v>
      </c>
      <c r="Q357" s="20">
        <v>35.6</v>
      </c>
      <c r="R357" s="20">
        <v>53.07</v>
      </c>
      <c r="S357" s="20">
        <v>53</v>
      </c>
      <c r="T357" s="26">
        <v>-7.0000000000000007E-2</v>
      </c>
      <c r="U357" s="20">
        <v>-0.06</v>
      </c>
      <c r="V357" s="20">
        <v>863.19</v>
      </c>
    </row>
    <row r="358" spans="1:22" ht="16.8" x14ac:dyDescent="0.3">
      <c r="A358" s="20">
        <v>35.799999999999997</v>
      </c>
      <c r="B358" s="20">
        <v>53</v>
      </c>
      <c r="C358" s="20">
        <v>53.12</v>
      </c>
      <c r="D358" s="20">
        <v>-0.12</v>
      </c>
      <c r="E358" s="20">
        <v>-0.02</v>
      </c>
      <c r="F358" s="20">
        <v>1071.49</v>
      </c>
      <c r="Q358" s="20">
        <v>35.700000000000003</v>
      </c>
      <c r="R358" s="20">
        <v>53.06</v>
      </c>
      <c r="S358" s="26">
        <v>53</v>
      </c>
      <c r="T358" s="20">
        <v>-0.06</v>
      </c>
      <c r="U358" s="26">
        <v>0.01</v>
      </c>
      <c r="V358" s="20">
        <v>865.85</v>
      </c>
    </row>
    <row r="359" spans="1:22" ht="16.8" x14ac:dyDescent="0.3">
      <c r="A359" s="20">
        <v>35.9</v>
      </c>
      <c r="B359" s="20">
        <v>53</v>
      </c>
      <c r="C359" s="20">
        <v>53.11</v>
      </c>
      <c r="D359" s="20">
        <v>-0.11</v>
      </c>
      <c r="E359" s="20">
        <v>0</v>
      </c>
      <c r="F359" s="20">
        <v>1080.57</v>
      </c>
      <c r="Q359" s="20">
        <v>35.799999999999997</v>
      </c>
      <c r="R359" s="20">
        <v>53.04</v>
      </c>
      <c r="S359" s="20">
        <v>53</v>
      </c>
      <c r="T359" s="26">
        <v>-0.04</v>
      </c>
      <c r="U359" s="20">
        <v>0.02</v>
      </c>
      <c r="V359" s="20">
        <v>869.94</v>
      </c>
    </row>
    <row r="360" spans="1:22" ht="16.8" x14ac:dyDescent="0.3">
      <c r="A360" s="20">
        <v>36</v>
      </c>
      <c r="B360" s="20">
        <v>53</v>
      </c>
      <c r="C360" s="20">
        <v>53.08</v>
      </c>
      <c r="D360" s="20">
        <v>-0.08</v>
      </c>
      <c r="E360" s="20">
        <v>0.04</v>
      </c>
      <c r="F360" s="20">
        <v>1147.56</v>
      </c>
      <c r="Q360" s="20">
        <v>35.9</v>
      </c>
      <c r="R360" s="20">
        <v>53.09</v>
      </c>
      <c r="S360" s="26">
        <v>53</v>
      </c>
      <c r="T360" s="20">
        <v>-0.09</v>
      </c>
      <c r="U360" s="26">
        <v>-0.05</v>
      </c>
      <c r="V360" s="20">
        <v>860.43</v>
      </c>
    </row>
    <row r="361" spans="1:22" ht="16.8" x14ac:dyDescent="0.3">
      <c r="A361" s="20">
        <v>36.1</v>
      </c>
      <c r="B361" s="20">
        <v>53</v>
      </c>
      <c r="C361" s="20">
        <v>53.05</v>
      </c>
      <c r="D361" s="20">
        <v>-0.05</v>
      </c>
      <c r="E361" s="20">
        <v>0.03</v>
      </c>
      <c r="F361" s="20">
        <v>1140.25</v>
      </c>
      <c r="Q361" s="20">
        <v>36</v>
      </c>
      <c r="R361" s="20">
        <v>53.06</v>
      </c>
      <c r="S361" s="20">
        <v>53</v>
      </c>
      <c r="T361" s="20">
        <v>-0.06</v>
      </c>
      <c r="U361" s="20">
        <v>0.02</v>
      </c>
      <c r="V361" s="20">
        <v>865.82</v>
      </c>
    </row>
    <row r="362" spans="1:22" ht="16.8" x14ac:dyDescent="0.3">
      <c r="A362" s="20">
        <v>36.200000000000003</v>
      </c>
      <c r="B362" s="20">
        <v>53</v>
      </c>
      <c r="C362" s="20">
        <v>53.02</v>
      </c>
      <c r="D362" s="20">
        <v>-0.02</v>
      </c>
      <c r="E362" s="20">
        <v>0.03</v>
      </c>
      <c r="F362" s="20">
        <v>1154.82</v>
      </c>
      <c r="Q362" s="20">
        <v>36.1</v>
      </c>
      <c r="R362" s="20">
        <v>53.06</v>
      </c>
      <c r="S362" s="26">
        <v>53</v>
      </c>
      <c r="T362" s="26">
        <v>-0.06</v>
      </c>
      <c r="U362" s="26">
        <v>0</v>
      </c>
      <c r="V362" s="20">
        <v>865.1</v>
      </c>
    </row>
    <row r="363" spans="1:22" ht="16.8" x14ac:dyDescent="0.3">
      <c r="A363" s="20">
        <v>36.299999999999997</v>
      </c>
      <c r="B363" s="20">
        <v>53</v>
      </c>
      <c r="C363" s="20">
        <v>53.02</v>
      </c>
      <c r="D363" s="20">
        <v>-0.02</v>
      </c>
      <c r="E363" s="20">
        <v>0</v>
      </c>
      <c r="F363" s="20">
        <v>1095.67</v>
      </c>
      <c r="Q363" s="20">
        <v>36.200000000000003</v>
      </c>
      <c r="R363" s="20">
        <v>53.01</v>
      </c>
      <c r="S363" s="20">
        <v>53</v>
      </c>
      <c r="T363" s="20">
        <v>-0.01</v>
      </c>
      <c r="U363" s="20">
        <v>0.06</v>
      </c>
      <c r="V363" s="20">
        <v>875.28</v>
      </c>
    </row>
    <row r="364" spans="1:22" ht="16.8" x14ac:dyDescent="0.3">
      <c r="A364" s="20">
        <v>36.4</v>
      </c>
      <c r="B364" s="20">
        <v>53</v>
      </c>
      <c r="C364" s="20">
        <v>53</v>
      </c>
      <c r="D364" s="20">
        <v>0</v>
      </c>
      <c r="E364" s="20">
        <v>0.02</v>
      </c>
      <c r="F364" s="20">
        <v>1138.08</v>
      </c>
      <c r="Q364" s="20">
        <v>36.299999999999997</v>
      </c>
      <c r="R364" s="20">
        <v>53.08</v>
      </c>
      <c r="S364" s="26">
        <v>53</v>
      </c>
      <c r="T364" s="26">
        <v>-0.08</v>
      </c>
      <c r="U364" s="26">
        <v>-7.0000000000000007E-2</v>
      </c>
      <c r="V364" s="20">
        <v>860.64</v>
      </c>
    </row>
    <row r="365" spans="1:22" ht="16.8" x14ac:dyDescent="0.3">
      <c r="A365" s="20">
        <v>36.5</v>
      </c>
      <c r="B365" s="20">
        <v>53</v>
      </c>
      <c r="C365" s="20">
        <v>53.02</v>
      </c>
      <c r="D365" s="20">
        <v>-0.02</v>
      </c>
      <c r="E365" s="20">
        <v>-0.02</v>
      </c>
      <c r="F365" s="20">
        <v>1095.6600000000001</v>
      </c>
      <c r="Q365" s="20">
        <v>36.4</v>
      </c>
      <c r="R365" s="20">
        <v>53.03</v>
      </c>
      <c r="S365" s="20">
        <v>53</v>
      </c>
      <c r="T365" s="20">
        <v>-0.03</v>
      </c>
      <c r="U365" s="26">
        <v>0.05</v>
      </c>
      <c r="V365" s="20">
        <v>871.05</v>
      </c>
    </row>
    <row r="366" spans="1:22" ht="16.8" x14ac:dyDescent="0.3">
      <c r="A366" s="20">
        <v>36.6</v>
      </c>
      <c r="B366" s="20">
        <v>53</v>
      </c>
      <c r="C366" s="20">
        <v>52.94</v>
      </c>
      <c r="D366" s="20">
        <v>0.06</v>
      </c>
      <c r="E366" s="20">
        <v>0.08</v>
      </c>
      <c r="F366" s="20">
        <v>1232.52</v>
      </c>
      <c r="Q366" s="20">
        <v>36.5</v>
      </c>
      <c r="R366" s="20">
        <v>53.09</v>
      </c>
      <c r="S366" s="26">
        <v>53</v>
      </c>
      <c r="T366" s="26">
        <v>-0.09</v>
      </c>
      <c r="U366" s="26">
        <v>-0.06</v>
      </c>
      <c r="V366" s="20">
        <v>859.5</v>
      </c>
    </row>
    <row r="367" spans="1:22" ht="16.8" x14ac:dyDescent="0.3">
      <c r="A367" s="20">
        <v>36.700000000000003</v>
      </c>
      <c r="B367" s="20">
        <v>53</v>
      </c>
      <c r="C367" s="20">
        <v>52.98</v>
      </c>
      <c r="D367" s="20">
        <v>0.02</v>
      </c>
      <c r="E367" s="20">
        <v>-0.04</v>
      </c>
      <c r="F367" s="20">
        <v>1123.9100000000001</v>
      </c>
      <c r="Q367" s="20">
        <v>36.6</v>
      </c>
      <c r="R367" s="20">
        <v>53.06</v>
      </c>
      <c r="S367" s="20">
        <v>53</v>
      </c>
      <c r="T367" s="20">
        <v>-0.06</v>
      </c>
      <c r="U367" s="26">
        <v>0.02</v>
      </c>
      <c r="V367" s="20">
        <v>865.08</v>
      </c>
    </row>
    <row r="368" spans="1:22" ht="16.8" x14ac:dyDescent="0.3">
      <c r="A368" s="20">
        <v>36.799999999999997</v>
      </c>
      <c r="B368" s="20">
        <v>53</v>
      </c>
      <c r="C368" s="20">
        <v>52.97</v>
      </c>
      <c r="D368" s="20">
        <v>0.03</v>
      </c>
      <c r="E368" s="20">
        <v>0.01</v>
      </c>
      <c r="F368" s="20">
        <v>1131.7</v>
      </c>
      <c r="Q368" s="20">
        <v>36.700000000000003</v>
      </c>
      <c r="R368" s="20">
        <v>53.02</v>
      </c>
      <c r="S368" s="26">
        <v>53</v>
      </c>
      <c r="T368" s="26">
        <v>-0.02</v>
      </c>
      <c r="U368" s="20">
        <v>0.04</v>
      </c>
      <c r="V368" s="20">
        <v>871.73</v>
      </c>
    </row>
    <row r="369" spans="1:22" ht="16.8" x14ac:dyDescent="0.3">
      <c r="A369" s="20">
        <v>36.9</v>
      </c>
      <c r="B369" s="20">
        <v>53</v>
      </c>
      <c r="C369" s="20">
        <v>52.96</v>
      </c>
      <c r="D369" s="20">
        <v>0.04</v>
      </c>
      <c r="E369" s="20">
        <v>0.01</v>
      </c>
      <c r="F369" s="20">
        <v>1139.47</v>
      </c>
      <c r="Q369" s="20">
        <v>36.799999999999997</v>
      </c>
      <c r="R369" s="20">
        <v>53.03</v>
      </c>
      <c r="S369" s="20">
        <v>53</v>
      </c>
      <c r="T369" s="20">
        <v>-0.03</v>
      </c>
      <c r="U369" s="26">
        <v>-0.01</v>
      </c>
      <c r="V369" s="20">
        <v>869.24</v>
      </c>
    </row>
    <row r="370" spans="1:22" ht="16.8" x14ac:dyDescent="0.3">
      <c r="A370" s="20">
        <v>37</v>
      </c>
      <c r="B370" s="20">
        <v>53</v>
      </c>
      <c r="C370" s="20">
        <v>52.93</v>
      </c>
      <c r="D370" s="20">
        <v>7.0000000000000007E-2</v>
      </c>
      <c r="E370" s="20">
        <v>0.03</v>
      </c>
      <c r="F370" s="20">
        <v>1168.95</v>
      </c>
      <c r="Q370" s="20">
        <v>36.9</v>
      </c>
      <c r="R370" s="20">
        <v>52.98</v>
      </c>
      <c r="S370" s="26">
        <v>53</v>
      </c>
      <c r="T370" s="26">
        <v>0.02</v>
      </c>
      <c r="U370" s="20">
        <v>0.05</v>
      </c>
      <c r="V370" s="20">
        <v>878.21</v>
      </c>
    </row>
    <row r="371" spans="1:22" ht="16.8" x14ac:dyDescent="0.3">
      <c r="A371" s="20">
        <v>37.1</v>
      </c>
      <c r="B371" s="20">
        <v>53</v>
      </c>
      <c r="C371" s="20">
        <v>52.93</v>
      </c>
      <c r="D371" s="20">
        <v>7.0000000000000007E-2</v>
      </c>
      <c r="E371" s="20">
        <v>0</v>
      </c>
      <c r="F371" s="20">
        <v>1168.95</v>
      </c>
      <c r="Q371" s="20">
        <v>37</v>
      </c>
      <c r="R371" s="20">
        <v>53.05</v>
      </c>
      <c r="S371" s="20">
        <v>53</v>
      </c>
      <c r="T371" s="20">
        <v>-0.05</v>
      </c>
      <c r="U371" s="26">
        <v>-7.0000000000000007E-2</v>
      </c>
      <c r="V371" s="20">
        <v>863.83</v>
      </c>
    </row>
    <row r="372" spans="1:22" ht="16.8" x14ac:dyDescent="0.3">
      <c r="A372" s="20">
        <v>37.200000000000003</v>
      </c>
      <c r="B372" s="20">
        <v>53</v>
      </c>
      <c r="C372" s="20">
        <v>52.93</v>
      </c>
      <c r="D372" s="20">
        <v>7.0000000000000007E-2</v>
      </c>
      <c r="E372" s="20">
        <v>0</v>
      </c>
      <c r="F372" s="20">
        <v>1168.95</v>
      </c>
      <c r="Q372" s="20">
        <v>37.1</v>
      </c>
      <c r="R372" s="20">
        <v>53.03</v>
      </c>
      <c r="S372" s="26">
        <v>53</v>
      </c>
      <c r="T372" s="20">
        <v>-0.03</v>
      </c>
      <c r="U372" s="20">
        <v>0.02</v>
      </c>
      <c r="V372" s="20">
        <v>869.87</v>
      </c>
    </row>
    <row r="373" spans="1:22" ht="16.8" x14ac:dyDescent="0.3">
      <c r="A373" s="20">
        <v>37.299999999999997</v>
      </c>
      <c r="B373" s="20">
        <v>53</v>
      </c>
      <c r="C373" s="20">
        <v>52.96</v>
      </c>
      <c r="D373" s="20">
        <v>0.04</v>
      </c>
      <c r="E373" s="20">
        <v>-0.03</v>
      </c>
      <c r="F373" s="20">
        <v>1143.29</v>
      </c>
      <c r="Q373" s="20">
        <v>37.200000000000003</v>
      </c>
      <c r="R373" s="20">
        <v>53</v>
      </c>
      <c r="S373" s="20">
        <v>53</v>
      </c>
      <c r="T373" s="26">
        <v>0</v>
      </c>
      <c r="U373" s="26">
        <v>0.03</v>
      </c>
      <c r="V373" s="20">
        <v>875.12</v>
      </c>
    </row>
    <row r="374" spans="1:22" ht="16.8" x14ac:dyDescent="0.3">
      <c r="A374" s="20">
        <v>37.4</v>
      </c>
      <c r="B374" s="20">
        <v>53</v>
      </c>
      <c r="C374" s="20">
        <v>52.95</v>
      </c>
      <c r="D374" s="20">
        <v>0.05</v>
      </c>
      <c r="E374" s="20">
        <v>0.01</v>
      </c>
      <c r="F374" s="20">
        <v>1150.8</v>
      </c>
      <c r="Q374" s="20">
        <v>37.299999999999997</v>
      </c>
      <c r="R374" s="20">
        <v>53</v>
      </c>
      <c r="S374" s="26">
        <v>53</v>
      </c>
      <c r="T374" s="20">
        <v>0</v>
      </c>
      <c r="U374" s="20">
        <v>0</v>
      </c>
      <c r="V374" s="20">
        <v>874.35</v>
      </c>
    </row>
    <row r="375" spans="1:22" ht="16.8" x14ac:dyDescent="0.3">
      <c r="A375" s="20">
        <v>37.5</v>
      </c>
      <c r="B375" s="20">
        <v>53</v>
      </c>
      <c r="C375" s="20">
        <v>52.92</v>
      </c>
      <c r="D375" s="20">
        <v>0.08</v>
      </c>
      <c r="E375" s="20">
        <v>0.02</v>
      </c>
      <c r="F375" s="20">
        <v>1172.48</v>
      </c>
      <c r="Q375" s="20">
        <v>37.4</v>
      </c>
      <c r="R375" s="20">
        <v>53.03</v>
      </c>
      <c r="S375" s="20">
        <v>53</v>
      </c>
      <c r="T375" s="26">
        <v>-0.03</v>
      </c>
      <c r="U375" s="26">
        <v>-0.03</v>
      </c>
      <c r="V375" s="20">
        <v>868.46</v>
      </c>
    </row>
    <row r="376" spans="1:22" ht="16.8" x14ac:dyDescent="0.3">
      <c r="A376" s="20">
        <v>37.6</v>
      </c>
      <c r="B376" s="20">
        <v>53</v>
      </c>
      <c r="C376" s="20">
        <v>52.93</v>
      </c>
      <c r="D376" s="20">
        <v>7.0000000000000007E-2</v>
      </c>
      <c r="E376" s="20">
        <v>0</v>
      </c>
      <c r="F376" s="20">
        <v>1168.95</v>
      </c>
      <c r="Q376" s="20">
        <v>37.5</v>
      </c>
      <c r="R376" s="20">
        <v>53.01</v>
      </c>
      <c r="S376" s="26">
        <v>53</v>
      </c>
      <c r="T376" s="20">
        <v>-0.01</v>
      </c>
      <c r="U376" s="20">
        <v>0.02</v>
      </c>
      <c r="V376" s="20">
        <v>873.59</v>
      </c>
    </row>
    <row r="377" spans="1:22" ht="16.8" x14ac:dyDescent="0.3">
      <c r="A377" s="20">
        <v>37.700000000000003</v>
      </c>
      <c r="B377" s="20">
        <v>53</v>
      </c>
      <c r="C377" s="20">
        <v>52.92</v>
      </c>
      <c r="D377" s="20">
        <v>0.08</v>
      </c>
      <c r="E377" s="20">
        <v>0.01</v>
      </c>
      <c r="F377" s="20">
        <v>1175.96</v>
      </c>
      <c r="Q377" s="20">
        <v>37.6</v>
      </c>
      <c r="R377" s="20">
        <v>52.92</v>
      </c>
      <c r="S377" s="20">
        <v>53</v>
      </c>
      <c r="T377" s="26">
        <v>0.08</v>
      </c>
      <c r="U377" s="26">
        <v>0.08</v>
      </c>
      <c r="V377" s="20">
        <v>887.75</v>
      </c>
    </row>
    <row r="378" spans="1:22" ht="16.8" x14ac:dyDescent="0.3">
      <c r="A378" s="20">
        <v>37.799999999999997</v>
      </c>
      <c r="B378" s="20">
        <v>53</v>
      </c>
      <c r="C378" s="20">
        <v>52.94</v>
      </c>
      <c r="D378" s="20">
        <v>0.06</v>
      </c>
      <c r="E378" s="20">
        <v>-0.02</v>
      </c>
      <c r="F378" s="20">
        <v>1154.5</v>
      </c>
      <c r="Q378" s="20">
        <v>37.700000000000003</v>
      </c>
      <c r="R378" s="20">
        <v>52.97</v>
      </c>
      <c r="S378" s="26">
        <v>53</v>
      </c>
      <c r="T378" s="20">
        <v>0.03</v>
      </c>
      <c r="U378" s="26">
        <v>-0.05</v>
      </c>
      <c r="V378" s="20">
        <v>877.13</v>
      </c>
    </row>
    <row r="379" spans="1:22" ht="16.8" x14ac:dyDescent="0.3">
      <c r="A379" s="20">
        <v>37.9</v>
      </c>
      <c r="B379" s="20">
        <v>53</v>
      </c>
      <c r="C379" s="20">
        <v>52.94</v>
      </c>
      <c r="D379" s="20">
        <v>0.06</v>
      </c>
      <c r="E379" s="20">
        <v>0</v>
      </c>
      <c r="F379" s="20">
        <v>1154.5</v>
      </c>
      <c r="Q379" s="20">
        <v>37.799999999999997</v>
      </c>
      <c r="R379" s="20">
        <v>52.99</v>
      </c>
      <c r="S379" s="20">
        <v>53</v>
      </c>
      <c r="T379" s="26">
        <v>0.01</v>
      </c>
      <c r="U379" s="20">
        <v>-0.02</v>
      </c>
      <c r="V379" s="20">
        <v>875.41</v>
      </c>
    </row>
    <row r="380" spans="1:22" ht="16.8" x14ac:dyDescent="0.3">
      <c r="A380" s="20">
        <v>38</v>
      </c>
      <c r="B380" s="20">
        <v>53</v>
      </c>
      <c r="C380" s="20">
        <v>52.95</v>
      </c>
      <c r="D380" s="20">
        <v>0.05</v>
      </c>
      <c r="E380" s="20">
        <v>-0.01</v>
      </c>
      <c r="F380" s="20">
        <v>1147.06</v>
      </c>
      <c r="Q380" s="20">
        <v>37.9</v>
      </c>
      <c r="R380" s="20">
        <v>53.02</v>
      </c>
      <c r="S380" s="26">
        <v>53</v>
      </c>
      <c r="T380" s="20">
        <v>-0.02</v>
      </c>
      <c r="U380" s="26">
        <v>-0.03</v>
      </c>
      <c r="V380" s="20">
        <v>869.92</v>
      </c>
    </row>
    <row r="381" spans="1:22" ht="16.8" x14ac:dyDescent="0.3">
      <c r="A381" s="20">
        <v>38.1</v>
      </c>
      <c r="B381" s="20">
        <v>53</v>
      </c>
      <c r="C381" s="20">
        <v>52.92</v>
      </c>
      <c r="D381" s="20">
        <v>0.08</v>
      </c>
      <c r="E381" s="20">
        <v>0.04</v>
      </c>
      <c r="F381" s="20">
        <v>1179.44</v>
      </c>
      <c r="Q381" s="20">
        <v>38</v>
      </c>
      <c r="R381" s="20">
        <v>52.94</v>
      </c>
      <c r="S381" s="26">
        <v>53</v>
      </c>
      <c r="T381" s="20">
        <v>0.06</v>
      </c>
      <c r="U381" s="20">
        <v>0.08</v>
      </c>
      <c r="V381" s="20">
        <v>885.39</v>
      </c>
    </row>
    <row r="382" spans="1:22" ht="16.8" x14ac:dyDescent="0.3">
      <c r="A382" s="20">
        <v>38.200000000000003</v>
      </c>
      <c r="B382" s="20">
        <v>53</v>
      </c>
      <c r="C382" s="20">
        <v>52.93</v>
      </c>
      <c r="D382" s="20">
        <v>7.0000000000000007E-2</v>
      </c>
      <c r="E382" s="20">
        <v>-0.02</v>
      </c>
      <c r="F382" s="20">
        <v>1165.3800000000001</v>
      </c>
      <c r="Q382" s="20">
        <v>38.1</v>
      </c>
      <c r="R382" s="20">
        <v>53.01</v>
      </c>
      <c r="S382" s="20">
        <v>53</v>
      </c>
      <c r="T382" s="26">
        <v>-0.01</v>
      </c>
      <c r="U382" s="26">
        <v>-0.06</v>
      </c>
      <c r="V382" s="20">
        <v>871.8</v>
      </c>
    </row>
    <row r="383" spans="1:22" ht="16.8" x14ac:dyDescent="0.3">
      <c r="A383" s="20">
        <v>38.299999999999997</v>
      </c>
      <c r="B383" s="20">
        <v>53</v>
      </c>
      <c r="C383" s="20">
        <v>52.91</v>
      </c>
      <c r="D383" s="20">
        <v>0.09</v>
      </c>
      <c r="E383" s="20">
        <v>0.02</v>
      </c>
      <c r="F383" s="20">
        <v>1186.27</v>
      </c>
      <c r="Q383" s="20">
        <v>38.200000000000003</v>
      </c>
      <c r="R383" s="20">
        <v>52.97</v>
      </c>
      <c r="S383" s="26">
        <v>53</v>
      </c>
      <c r="T383" s="20">
        <v>0.03</v>
      </c>
      <c r="U383" s="20">
        <v>0.03</v>
      </c>
      <c r="V383" s="20">
        <v>879.23</v>
      </c>
    </row>
    <row r="384" spans="1:22" ht="16.8" x14ac:dyDescent="0.3">
      <c r="A384" s="20">
        <v>38.4</v>
      </c>
      <c r="B384" s="20">
        <v>53</v>
      </c>
      <c r="C384" s="20">
        <v>52.95</v>
      </c>
      <c r="D384" s="20">
        <v>0.05</v>
      </c>
      <c r="E384" s="20">
        <v>-0.04</v>
      </c>
      <c r="F384" s="20">
        <v>1150.9100000000001</v>
      </c>
      <c r="Q384" s="20">
        <v>38.299999999999997</v>
      </c>
      <c r="R384" s="20">
        <v>52.98</v>
      </c>
      <c r="S384" s="20">
        <v>53</v>
      </c>
      <c r="T384" s="26">
        <v>0.02</v>
      </c>
      <c r="U384" s="26">
        <v>-0.01</v>
      </c>
      <c r="V384" s="20">
        <v>877.05</v>
      </c>
    </row>
    <row r="385" spans="1:22" ht="16.8" x14ac:dyDescent="0.3">
      <c r="A385" s="20">
        <v>38.5</v>
      </c>
      <c r="B385" s="20">
        <v>53</v>
      </c>
      <c r="C385" s="20">
        <v>52.98</v>
      </c>
      <c r="D385" s="20">
        <v>0.02</v>
      </c>
      <c r="E385" s="20">
        <v>-0.03</v>
      </c>
      <c r="F385" s="20">
        <v>1123.8399999999999</v>
      </c>
      <c r="Q385" s="20">
        <v>38.4</v>
      </c>
      <c r="R385" s="20">
        <v>52.96</v>
      </c>
      <c r="S385" s="26">
        <v>53</v>
      </c>
      <c r="T385" s="20">
        <v>0.04</v>
      </c>
      <c r="U385" s="20">
        <v>0.02</v>
      </c>
      <c r="V385" s="20">
        <v>880.23</v>
      </c>
    </row>
    <row r="386" spans="1:22" ht="16.8" x14ac:dyDescent="0.3">
      <c r="A386" s="20">
        <v>38.6</v>
      </c>
      <c r="B386" s="20">
        <v>53</v>
      </c>
      <c r="C386" s="20">
        <v>52.93</v>
      </c>
      <c r="D386" s="20">
        <v>7.0000000000000007E-2</v>
      </c>
      <c r="E386" s="20">
        <v>0.05</v>
      </c>
      <c r="F386" s="20">
        <v>1185.21</v>
      </c>
      <c r="Q386" s="20">
        <v>38.5</v>
      </c>
      <c r="R386" s="20">
        <v>52.98</v>
      </c>
      <c r="S386" s="20">
        <v>53</v>
      </c>
      <c r="T386" s="26">
        <v>0.02</v>
      </c>
      <c r="U386" s="26">
        <v>-0.02</v>
      </c>
      <c r="V386" s="20">
        <v>876.98</v>
      </c>
    </row>
    <row r="387" spans="1:22" ht="16.8" x14ac:dyDescent="0.3">
      <c r="A387" s="20">
        <v>38.700000000000003</v>
      </c>
      <c r="B387" s="20">
        <v>53</v>
      </c>
      <c r="C387" s="20">
        <v>52.98</v>
      </c>
      <c r="D387" s="20">
        <v>0.02</v>
      </c>
      <c r="E387" s="20">
        <v>-0.05</v>
      </c>
      <c r="F387" s="20">
        <v>1123.98</v>
      </c>
      <c r="Q387" s="20">
        <v>38.6</v>
      </c>
      <c r="R387" s="20">
        <v>53.01</v>
      </c>
      <c r="S387" s="26">
        <v>53</v>
      </c>
      <c r="T387" s="20">
        <v>-0.01</v>
      </c>
      <c r="U387" s="20">
        <v>-0.02</v>
      </c>
      <c r="V387" s="20">
        <v>872.99</v>
      </c>
    </row>
    <row r="388" spans="1:22" ht="16.8" x14ac:dyDescent="0.3">
      <c r="A388" s="20">
        <v>38.799999999999997</v>
      </c>
      <c r="B388" s="20">
        <v>53</v>
      </c>
      <c r="C388" s="20">
        <v>52.93</v>
      </c>
      <c r="D388" s="20">
        <v>7.0000000000000007E-2</v>
      </c>
      <c r="E388" s="20">
        <v>0.05</v>
      </c>
      <c r="F388" s="20">
        <v>1185.21</v>
      </c>
      <c r="Q388" s="20">
        <v>38.700000000000003</v>
      </c>
      <c r="R388" s="20">
        <v>52.92</v>
      </c>
      <c r="S388" s="20">
        <v>53</v>
      </c>
      <c r="T388" s="26">
        <v>0.08</v>
      </c>
      <c r="U388" s="26">
        <v>0.08</v>
      </c>
      <c r="V388" s="20">
        <v>888.3</v>
      </c>
    </row>
    <row r="389" spans="1:22" ht="16.8" x14ac:dyDescent="0.3">
      <c r="A389" s="20">
        <v>38.9</v>
      </c>
      <c r="B389" s="20">
        <v>53</v>
      </c>
      <c r="C389" s="20">
        <v>52.88</v>
      </c>
      <c r="D389" s="20">
        <v>0.12</v>
      </c>
      <c r="E389" s="20">
        <v>0.04</v>
      </c>
      <c r="F389" s="20">
        <v>1206.1400000000001</v>
      </c>
      <c r="Q389" s="20">
        <v>38.799999999999997</v>
      </c>
      <c r="R389" s="20">
        <v>52.99</v>
      </c>
      <c r="S389" s="26">
        <v>53</v>
      </c>
      <c r="T389" s="20">
        <v>0.01</v>
      </c>
      <c r="U389" s="26">
        <v>-0.06</v>
      </c>
      <c r="V389" s="20">
        <v>874.74</v>
      </c>
    </row>
    <row r="390" spans="1:22" ht="16.8" x14ac:dyDescent="0.3">
      <c r="A390" s="20">
        <v>39</v>
      </c>
      <c r="B390" s="20">
        <v>53</v>
      </c>
      <c r="C390" s="20">
        <v>52.96</v>
      </c>
      <c r="D390" s="20">
        <v>0.04</v>
      </c>
      <c r="E390" s="20">
        <v>-0.08</v>
      </c>
      <c r="F390" s="20">
        <v>1140.27</v>
      </c>
      <c r="Q390" s="20">
        <v>38.9</v>
      </c>
      <c r="R390" s="20">
        <v>52.97</v>
      </c>
      <c r="S390" s="20">
        <v>53</v>
      </c>
      <c r="T390" s="26">
        <v>0.03</v>
      </c>
      <c r="U390" s="26">
        <v>0.02</v>
      </c>
      <c r="V390" s="20">
        <v>879.26</v>
      </c>
    </row>
    <row r="391" spans="1:22" ht="16.8" x14ac:dyDescent="0.3">
      <c r="A391" s="20">
        <v>39.1</v>
      </c>
      <c r="B391" s="20">
        <v>53</v>
      </c>
      <c r="C391" s="20">
        <v>52.96</v>
      </c>
      <c r="D391" s="20">
        <v>0.04</v>
      </c>
      <c r="E391" s="20">
        <v>0</v>
      </c>
      <c r="F391" s="20">
        <v>1143.28</v>
      </c>
      <c r="Q391" s="20">
        <v>39</v>
      </c>
      <c r="R391" s="20">
        <v>52.97</v>
      </c>
      <c r="S391" s="26">
        <v>53</v>
      </c>
      <c r="T391" s="20">
        <v>0.03</v>
      </c>
      <c r="U391" s="26">
        <v>0</v>
      </c>
      <c r="V391" s="20">
        <v>878.94</v>
      </c>
    </row>
    <row r="392" spans="1:22" ht="16.8" x14ac:dyDescent="0.3">
      <c r="A392" s="20">
        <v>39.200000000000003</v>
      </c>
      <c r="B392" s="20">
        <v>53</v>
      </c>
      <c r="C392" s="20">
        <v>52.92</v>
      </c>
      <c r="D392" s="20">
        <v>0.08</v>
      </c>
      <c r="E392" s="20">
        <v>0.04</v>
      </c>
      <c r="F392" s="20">
        <v>1175.96</v>
      </c>
      <c r="Q392" s="20">
        <v>39.1</v>
      </c>
      <c r="R392" s="20">
        <v>53</v>
      </c>
      <c r="S392" s="20">
        <v>53</v>
      </c>
      <c r="T392" s="26">
        <v>0</v>
      </c>
      <c r="U392" s="20">
        <v>-0.02</v>
      </c>
      <c r="V392" s="20">
        <v>874.58</v>
      </c>
    </row>
    <row r="393" spans="1:22" ht="16.8" x14ac:dyDescent="0.3">
      <c r="A393" s="20">
        <v>39.299999999999997</v>
      </c>
      <c r="B393" s="20">
        <v>53</v>
      </c>
      <c r="C393" s="20">
        <v>52.92</v>
      </c>
      <c r="D393" s="20">
        <v>0.08</v>
      </c>
      <c r="E393" s="20">
        <v>0</v>
      </c>
      <c r="F393" s="20">
        <v>1172.48</v>
      </c>
      <c r="Q393" s="20">
        <v>39.200000000000003</v>
      </c>
      <c r="R393" s="20">
        <v>53.01</v>
      </c>
      <c r="S393" s="26">
        <v>53</v>
      </c>
      <c r="T393" s="20">
        <v>-0.01</v>
      </c>
      <c r="U393" s="26">
        <v>-0.02</v>
      </c>
      <c r="V393" s="20">
        <v>872.21</v>
      </c>
    </row>
    <row r="394" spans="1:22" ht="16.8" x14ac:dyDescent="0.3">
      <c r="A394" s="20">
        <v>39.4</v>
      </c>
      <c r="B394" s="20">
        <v>53</v>
      </c>
      <c r="C394" s="20">
        <v>52.91</v>
      </c>
      <c r="D394" s="20">
        <v>0.09</v>
      </c>
      <c r="E394" s="20">
        <v>0.02</v>
      </c>
      <c r="F394" s="20">
        <v>1186.27</v>
      </c>
      <c r="Q394" s="20">
        <v>39.299999999999997</v>
      </c>
      <c r="R394" s="20">
        <v>53.02</v>
      </c>
      <c r="S394" s="20">
        <v>53</v>
      </c>
      <c r="T394" s="20">
        <v>-0.02</v>
      </c>
      <c r="U394" s="20">
        <v>-0.01</v>
      </c>
      <c r="V394" s="20">
        <v>871.1</v>
      </c>
    </row>
    <row r="395" spans="1:22" ht="16.8" x14ac:dyDescent="0.3">
      <c r="A395" s="20">
        <v>39.5</v>
      </c>
      <c r="B395" s="20">
        <v>53</v>
      </c>
      <c r="C395" s="20">
        <v>52.92</v>
      </c>
      <c r="D395" s="20">
        <v>0.08</v>
      </c>
      <c r="E395" s="20">
        <v>-0.01</v>
      </c>
      <c r="F395" s="20">
        <v>1179.44</v>
      </c>
      <c r="Q395" s="20">
        <v>39.4</v>
      </c>
      <c r="R395" s="20">
        <v>52.98</v>
      </c>
      <c r="S395" s="20">
        <v>53</v>
      </c>
      <c r="T395" s="26">
        <v>0.02</v>
      </c>
      <c r="U395" s="26">
        <v>0.04</v>
      </c>
      <c r="V395" s="20">
        <v>878.62</v>
      </c>
    </row>
    <row r="396" spans="1:22" ht="16.8" x14ac:dyDescent="0.3">
      <c r="A396" s="20">
        <v>39.6</v>
      </c>
      <c r="B396" s="20">
        <v>53</v>
      </c>
      <c r="C396" s="20">
        <v>52.95</v>
      </c>
      <c r="D396" s="20">
        <v>0.05</v>
      </c>
      <c r="E396" s="20">
        <v>-0.03</v>
      </c>
      <c r="F396" s="20">
        <v>1150.8</v>
      </c>
      <c r="Q396" s="20">
        <v>39.5</v>
      </c>
      <c r="R396" s="20">
        <v>52.96</v>
      </c>
      <c r="S396" s="26">
        <v>53</v>
      </c>
      <c r="T396" s="20">
        <v>0.04</v>
      </c>
      <c r="U396" s="20">
        <v>0.02</v>
      </c>
      <c r="V396" s="20">
        <v>882.12</v>
      </c>
    </row>
    <row r="397" spans="1:22" ht="16.8" x14ac:dyDescent="0.3">
      <c r="A397" s="20">
        <v>39.700000000000003</v>
      </c>
      <c r="B397" s="20">
        <v>53</v>
      </c>
      <c r="C397" s="20">
        <v>52.94</v>
      </c>
      <c r="D397" s="20">
        <v>0.06</v>
      </c>
      <c r="E397" s="20">
        <v>0</v>
      </c>
      <c r="F397" s="20">
        <v>1154.5</v>
      </c>
      <c r="Q397" s="20">
        <v>39.6</v>
      </c>
      <c r="R397" s="20">
        <v>52.92</v>
      </c>
      <c r="S397" s="20">
        <v>53</v>
      </c>
      <c r="T397" s="26">
        <v>0.08</v>
      </c>
      <c r="U397" s="26">
        <v>0.04</v>
      </c>
      <c r="V397" s="20">
        <v>889.01</v>
      </c>
    </row>
    <row r="398" spans="1:22" ht="16.8" x14ac:dyDescent="0.3">
      <c r="A398" s="20">
        <v>39.799999999999997</v>
      </c>
      <c r="B398" s="20">
        <v>53</v>
      </c>
      <c r="C398" s="20">
        <v>52.9</v>
      </c>
      <c r="D398" s="20">
        <v>0.1</v>
      </c>
      <c r="E398" s="20">
        <v>0.05</v>
      </c>
      <c r="F398" s="20">
        <v>1196.31</v>
      </c>
      <c r="Q398" s="20">
        <v>39.700000000000003</v>
      </c>
      <c r="R398" s="20">
        <v>52.97</v>
      </c>
      <c r="S398" s="26">
        <v>53</v>
      </c>
      <c r="T398" s="20">
        <v>0.03</v>
      </c>
      <c r="U398" s="20">
        <v>-0.06</v>
      </c>
      <c r="V398" s="20">
        <v>877.91</v>
      </c>
    </row>
    <row r="399" spans="1:22" ht="16.8" x14ac:dyDescent="0.3">
      <c r="A399" s="20">
        <v>39.9</v>
      </c>
      <c r="B399" s="20">
        <v>53</v>
      </c>
      <c r="C399" s="20">
        <v>52.93</v>
      </c>
      <c r="D399" s="20">
        <v>7.0000000000000007E-2</v>
      </c>
      <c r="E399" s="20">
        <v>-0.03</v>
      </c>
      <c r="F399" s="20">
        <v>1168.95</v>
      </c>
      <c r="Q399" s="20">
        <v>39.799999999999997</v>
      </c>
      <c r="R399" s="20">
        <v>52.94</v>
      </c>
      <c r="S399" s="26">
        <v>53</v>
      </c>
      <c r="T399" s="20">
        <v>0.06</v>
      </c>
      <c r="U399" s="26">
        <v>0.03</v>
      </c>
      <c r="V399" s="20">
        <v>885.23</v>
      </c>
    </row>
    <row r="400" spans="1:22" ht="16.8" x14ac:dyDescent="0.3">
      <c r="A400" s="20">
        <v>40</v>
      </c>
      <c r="B400" s="20">
        <v>53</v>
      </c>
      <c r="C400" s="20">
        <v>52.94</v>
      </c>
      <c r="D400" s="20">
        <v>0.06</v>
      </c>
      <c r="E400" s="20">
        <v>-0.02</v>
      </c>
      <c r="F400" s="20">
        <v>1154.5</v>
      </c>
      <c r="Q400" s="20">
        <v>39.9</v>
      </c>
      <c r="R400" s="20">
        <v>52.92</v>
      </c>
      <c r="S400" s="20">
        <v>53</v>
      </c>
      <c r="T400" s="26">
        <v>0.08</v>
      </c>
      <c r="U400" s="26">
        <v>0.02</v>
      </c>
      <c r="V400" s="20">
        <v>887.54</v>
      </c>
    </row>
    <row r="401" spans="1:22" ht="16.8" x14ac:dyDescent="0.3">
      <c r="A401" s="20">
        <v>40.1</v>
      </c>
      <c r="B401" s="20">
        <v>53</v>
      </c>
      <c r="C401" s="20">
        <v>52.93</v>
      </c>
      <c r="D401" s="20">
        <v>7.0000000000000007E-2</v>
      </c>
      <c r="E401" s="20">
        <v>0.02</v>
      </c>
      <c r="F401" s="20">
        <v>1168.95</v>
      </c>
      <c r="Q401" s="20">
        <v>40</v>
      </c>
      <c r="R401" s="20">
        <v>52.99</v>
      </c>
      <c r="S401" s="20">
        <v>53</v>
      </c>
      <c r="T401" s="20">
        <v>0.01</v>
      </c>
      <c r="U401" s="26">
        <v>-0.06</v>
      </c>
      <c r="V401" s="20">
        <v>875.53</v>
      </c>
    </row>
    <row r="402" spans="1:22" ht="16.8" x14ac:dyDescent="0.3">
      <c r="A402" s="20">
        <v>40.200000000000003</v>
      </c>
      <c r="B402" s="20">
        <v>53</v>
      </c>
      <c r="C402" s="20">
        <v>52.95</v>
      </c>
      <c r="D402" s="20">
        <v>0.05</v>
      </c>
      <c r="E402" s="20">
        <v>-0.02</v>
      </c>
      <c r="F402" s="20">
        <v>1147.06</v>
      </c>
      <c r="Q402" s="20">
        <v>40.1</v>
      </c>
      <c r="R402" s="20">
        <v>52.98</v>
      </c>
      <c r="S402" s="26">
        <v>53</v>
      </c>
      <c r="T402" s="26">
        <v>0.02</v>
      </c>
      <c r="U402" s="26">
        <v>0.01</v>
      </c>
      <c r="V402" s="20">
        <v>878.57</v>
      </c>
    </row>
    <row r="403" spans="1:22" ht="16.8" x14ac:dyDescent="0.3">
      <c r="A403" s="20">
        <v>40.299999999999997</v>
      </c>
      <c r="B403" s="20">
        <v>53</v>
      </c>
      <c r="C403" s="20">
        <v>52.93</v>
      </c>
      <c r="D403" s="20">
        <v>7.0000000000000007E-2</v>
      </c>
      <c r="E403" s="20">
        <v>0.02</v>
      </c>
      <c r="F403" s="20">
        <v>1168.95</v>
      </c>
      <c r="Q403" s="20">
        <v>40.200000000000003</v>
      </c>
      <c r="R403" s="20">
        <v>53.01</v>
      </c>
      <c r="S403" s="20">
        <v>53</v>
      </c>
      <c r="T403" s="20">
        <v>-0.01</v>
      </c>
      <c r="U403" s="26">
        <v>-0.02</v>
      </c>
      <c r="V403" s="20">
        <v>874</v>
      </c>
    </row>
    <row r="404" spans="1:22" ht="16.8" x14ac:dyDescent="0.3">
      <c r="A404" s="20">
        <v>40.4</v>
      </c>
      <c r="B404" s="20">
        <v>53</v>
      </c>
      <c r="C404" s="20">
        <v>52.94</v>
      </c>
      <c r="D404" s="20">
        <v>0.06</v>
      </c>
      <c r="E404" s="20">
        <v>-0.01</v>
      </c>
      <c r="F404" s="20">
        <v>1161.79</v>
      </c>
      <c r="Q404" s="20">
        <v>40.299999999999997</v>
      </c>
      <c r="R404" s="20">
        <v>52.96</v>
      </c>
      <c r="S404" s="26">
        <v>53</v>
      </c>
      <c r="T404" s="26">
        <v>0.04</v>
      </c>
      <c r="U404" s="20">
        <v>0.05</v>
      </c>
      <c r="V404" s="20">
        <v>883.42</v>
      </c>
    </row>
    <row r="405" spans="1:22" ht="16.8" x14ac:dyDescent="0.3">
      <c r="A405" s="20">
        <v>40.5</v>
      </c>
      <c r="B405" s="20">
        <v>53</v>
      </c>
      <c r="C405" s="20">
        <v>52.94</v>
      </c>
      <c r="D405" s="20">
        <v>0.06</v>
      </c>
      <c r="E405" s="20">
        <v>0</v>
      </c>
      <c r="F405" s="20">
        <v>1161.79</v>
      </c>
      <c r="Q405" s="20">
        <v>40.4</v>
      </c>
      <c r="R405" s="20">
        <v>52.97</v>
      </c>
      <c r="S405" s="26">
        <v>53</v>
      </c>
      <c r="T405" s="20">
        <v>0.03</v>
      </c>
      <c r="U405" s="26">
        <v>-0.02</v>
      </c>
      <c r="V405" s="20">
        <v>879.41</v>
      </c>
    </row>
    <row r="406" spans="1:22" ht="16.8" x14ac:dyDescent="0.3">
      <c r="A406" s="20">
        <v>40.6</v>
      </c>
      <c r="B406" s="20">
        <v>53</v>
      </c>
      <c r="C406" s="20">
        <v>52.97</v>
      </c>
      <c r="D406" s="20">
        <v>0.03</v>
      </c>
      <c r="E406" s="20">
        <v>-0.03</v>
      </c>
      <c r="F406" s="20">
        <v>1131.78</v>
      </c>
      <c r="Q406" s="20">
        <v>40.5</v>
      </c>
      <c r="R406" s="20">
        <v>52.97</v>
      </c>
      <c r="S406" s="20">
        <v>53</v>
      </c>
      <c r="T406" s="26">
        <v>0.03</v>
      </c>
      <c r="U406" s="20">
        <v>0</v>
      </c>
      <c r="V406" s="20">
        <v>879.86</v>
      </c>
    </row>
    <row r="407" spans="1:22" ht="16.8" x14ac:dyDescent="0.3">
      <c r="A407" s="20">
        <v>40.700000000000003</v>
      </c>
      <c r="B407" s="20">
        <v>53</v>
      </c>
      <c r="C407" s="20">
        <v>52.97</v>
      </c>
      <c r="D407" s="20">
        <v>0.03</v>
      </c>
      <c r="E407" s="20">
        <v>0</v>
      </c>
      <c r="F407" s="20">
        <v>1127.75</v>
      </c>
      <c r="Q407" s="20">
        <v>40.6</v>
      </c>
      <c r="R407" s="20">
        <v>53.01</v>
      </c>
      <c r="S407" s="26">
        <v>53</v>
      </c>
      <c r="T407" s="20">
        <v>-0.01</v>
      </c>
      <c r="U407" s="26">
        <v>-0.03</v>
      </c>
      <c r="V407" s="20">
        <v>874.02</v>
      </c>
    </row>
    <row r="408" spans="1:22" ht="16.8" x14ac:dyDescent="0.3">
      <c r="A408" s="20">
        <v>40.799999999999997</v>
      </c>
      <c r="B408" s="20">
        <v>53</v>
      </c>
      <c r="C408" s="20">
        <v>52.96</v>
      </c>
      <c r="D408" s="20">
        <v>0.04</v>
      </c>
      <c r="E408" s="20">
        <v>0.01</v>
      </c>
      <c r="F408" s="20">
        <v>1135.6199999999999</v>
      </c>
      <c r="Q408" s="20">
        <v>40.700000000000003</v>
      </c>
      <c r="R408" s="20">
        <v>52.95</v>
      </c>
      <c r="S408" s="20">
        <v>53</v>
      </c>
      <c r="T408" s="20">
        <v>0.05</v>
      </c>
      <c r="U408" s="26">
        <v>0.06</v>
      </c>
      <c r="V408" s="20">
        <v>885.1</v>
      </c>
    </row>
    <row r="409" spans="1:22" ht="16.8" x14ac:dyDescent="0.3">
      <c r="A409" s="20">
        <v>40.9</v>
      </c>
      <c r="B409" s="20">
        <v>53</v>
      </c>
      <c r="C409" s="20">
        <v>52.98</v>
      </c>
      <c r="D409" s="20">
        <v>0.02</v>
      </c>
      <c r="E409" s="20">
        <v>-0.02</v>
      </c>
      <c r="F409" s="20">
        <v>1115.68</v>
      </c>
      <c r="Q409" s="20">
        <v>40.799999999999997</v>
      </c>
      <c r="R409" s="20">
        <v>53</v>
      </c>
      <c r="S409" s="26">
        <v>53</v>
      </c>
      <c r="T409" s="26">
        <v>0</v>
      </c>
      <c r="U409" s="26">
        <v>-0.05</v>
      </c>
      <c r="V409" s="20">
        <v>875.02</v>
      </c>
    </row>
    <row r="410" spans="1:22" ht="16.8" x14ac:dyDescent="0.3">
      <c r="A410" s="20">
        <v>41</v>
      </c>
      <c r="B410" s="20">
        <v>53</v>
      </c>
      <c r="C410" s="20">
        <v>52.96</v>
      </c>
      <c r="D410" s="20">
        <v>0.04</v>
      </c>
      <c r="E410" s="20">
        <v>0.02</v>
      </c>
      <c r="F410" s="20">
        <v>1138.0899999999999</v>
      </c>
      <c r="Q410" s="20">
        <v>40.9</v>
      </c>
      <c r="R410" s="20">
        <v>52.96</v>
      </c>
      <c r="S410" s="20">
        <v>53</v>
      </c>
      <c r="T410" s="20">
        <v>0.04</v>
      </c>
      <c r="U410" s="26">
        <v>0.04</v>
      </c>
      <c r="V410" s="20">
        <v>883.56</v>
      </c>
    </row>
    <row r="411" spans="1:22" ht="16.8" x14ac:dyDescent="0.3">
      <c r="A411" s="20">
        <v>41.1</v>
      </c>
      <c r="B411" s="20">
        <v>53</v>
      </c>
      <c r="C411" s="20">
        <v>52.95</v>
      </c>
      <c r="D411" s="20">
        <v>0.05</v>
      </c>
      <c r="E411" s="20">
        <v>0.02</v>
      </c>
      <c r="F411" s="20">
        <v>1150.8</v>
      </c>
      <c r="Q411" s="20">
        <v>41</v>
      </c>
      <c r="R411" s="20">
        <v>52.91</v>
      </c>
      <c r="S411" s="20">
        <v>53</v>
      </c>
      <c r="T411" s="26">
        <v>0.09</v>
      </c>
      <c r="U411" s="26">
        <v>0.05</v>
      </c>
      <c r="V411" s="20">
        <v>891.54</v>
      </c>
    </row>
    <row r="412" spans="1:22" ht="16.8" x14ac:dyDescent="0.3">
      <c r="A412" s="20">
        <v>41.2</v>
      </c>
      <c r="B412" s="20">
        <v>53</v>
      </c>
      <c r="C412" s="20">
        <v>52.96</v>
      </c>
      <c r="D412" s="20">
        <v>0.04</v>
      </c>
      <c r="E412" s="20">
        <v>-0.02</v>
      </c>
      <c r="F412" s="20">
        <v>1135.6199999999999</v>
      </c>
      <c r="Q412" s="20">
        <v>41.1</v>
      </c>
      <c r="R412" s="20">
        <v>52.99</v>
      </c>
      <c r="S412" s="26">
        <v>53</v>
      </c>
      <c r="T412" s="20">
        <v>0.01</v>
      </c>
      <c r="U412" s="26">
        <v>-0.08</v>
      </c>
      <c r="V412" s="20">
        <v>875.84</v>
      </c>
    </row>
    <row r="413" spans="1:22" ht="16.8" x14ac:dyDescent="0.3">
      <c r="A413" s="20">
        <v>41.3</v>
      </c>
      <c r="B413" s="20">
        <v>53</v>
      </c>
      <c r="C413" s="20">
        <v>52.94</v>
      </c>
      <c r="D413" s="20">
        <v>0.06</v>
      </c>
      <c r="E413" s="20">
        <v>0.02</v>
      </c>
      <c r="F413" s="20">
        <v>1154.5</v>
      </c>
      <c r="Q413" s="20">
        <v>41.2</v>
      </c>
      <c r="R413" s="20">
        <v>52.92</v>
      </c>
      <c r="S413" s="20">
        <v>53</v>
      </c>
      <c r="T413" s="26">
        <v>0.08</v>
      </c>
      <c r="U413" s="26">
        <v>7.0000000000000007E-2</v>
      </c>
      <c r="V413" s="20">
        <v>891.08</v>
      </c>
    </row>
    <row r="414" spans="1:22" ht="16.8" x14ac:dyDescent="0.3">
      <c r="A414" s="20">
        <v>41.4</v>
      </c>
      <c r="B414" s="20">
        <v>53</v>
      </c>
      <c r="C414" s="20">
        <v>52.97</v>
      </c>
      <c r="D414" s="20">
        <v>0.03</v>
      </c>
      <c r="E414" s="20">
        <v>-0.02</v>
      </c>
      <c r="F414" s="20">
        <v>1131.73</v>
      </c>
      <c r="Q414" s="20">
        <v>41.3</v>
      </c>
      <c r="R414" s="20">
        <v>52.97</v>
      </c>
      <c r="S414" s="26">
        <v>53</v>
      </c>
      <c r="T414" s="20">
        <v>0.03</v>
      </c>
      <c r="U414" s="26">
        <v>-0.06</v>
      </c>
      <c r="V414" s="20">
        <v>879.2</v>
      </c>
    </row>
    <row r="415" spans="1:22" ht="16.8" x14ac:dyDescent="0.3">
      <c r="A415" s="20">
        <v>41.5</v>
      </c>
      <c r="B415" s="20">
        <v>53</v>
      </c>
      <c r="C415" s="20">
        <v>52.94</v>
      </c>
      <c r="D415" s="20">
        <v>0.06</v>
      </c>
      <c r="E415" s="20">
        <v>0.02</v>
      </c>
      <c r="F415" s="20">
        <v>1154.5</v>
      </c>
      <c r="Q415" s="20">
        <v>41.4</v>
      </c>
      <c r="R415" s="20">
        <v>52.98</v>
      </c>
      <c r="S415" s="26">
        <v>53</v>
      </c>
      <c r="T415" s="26">
        <v>0.02</v>
      </c>
      <c r="U415" s="20">
        <v>-0.01</v>
      </c>
      <c r="V415" s="20">
        <v>879.15</v>
      </c>
    </row>
    <row r="416" spans="1:22" ht="16.8" x14ac:dyDescent="0.3">
      <c r="A416" s="20">
        <v>41.6</v>
      </c>
      <c r="B416" s="20">
        <v>53</v>
      </c>
      <c r="C416" s="20">
        <v>52.97</v>
      </c>
      <c r="D416" s="20">
        <v>0.03</v>
      </c>
      <c r="E416" s="20">
        <v>-0.03</v>
      </c>
      <c r="F416" s="20">
        <v>1127.8</v>
      </c>
      <c r="Q416" s="20">
        <v>41.5</v>
      </c>
      <c r="R416" s="20">
        <v>53.05</v>
      </c>
      <c r="S416" s="20">
        <v>53</v>
      </c>
      <c r="T416" s="20">
        <v>-0.05</v>
      </c>
      <c r="U416" s="26">
        <v>-7.0000000000000007E-2</v>
      </c>
      <c r="V416" s="20">
        <v>866.11</v>
      </c>
    </row>
    <row r="417" spans="1:22" ht="16.8" x14ac:dyDescent="0.3">
      <c r="A417" s="20">
        <v>41.7</v>
      </c>
      <c r="B417" s="20">
        <v>53</v>
      </c>
      <c r="C417" s="20">
        <v>52.95</v>
      </c>
      <c r="D417" s="20">
        <v>0.05</v>
      </c>
      <c r="E417" s="20">
        <v>0.02</v>
      </c>
      <c r="F417" s="20">
        <v>1147.06</v>
      </c>
      <c r="Q417" s="20">
        <v>41.6</v>
      </c>
      <c r="R417" s="20">
        <v>52.92</v>
      </c>
      <c r="S417" s="20">
        <v>53</v>
      </c>
      <c r="T417" s="20">
        <v>0.08</v>
      </c>
      <c r="U417" s="20">
        <v>0.13</v>
      </c>
      <c r="V417" s="20">
        <v>891.33</v>
      </c>
    </row>
    <row r="418" spans="1:22" ht="16.8" x14ac:dyDescent="0.3">
      <c r="A418" s="20">
        <v>41.8</v>
      </c>
      <c r="B418" s="20">
        <v>53</v>
      </c>
      <c r="C418" s="20">
        <v>52.98</v>
      </c>
      <c r="D418" s="20">
        <v>0.02</v>
      </c>
      <c r="E418" s="20">
        <v>-0.03</v>
      </c>
      <c r="F418" s="20">
        <v>1119.77</v>
      </c>
      <c r="Q418" s="20">
        <v>41.7</v>
      </c>
      <c r="R418" s="20">
        <v>53.02</v>
      </c>
      <c r="S418" s="26">
        <v>53</v>
      </c>
      <c r="T418" s="26">
        <v>-0.02</v>
      </c>
      <c r="U418" s="26">
        <v>-0.1</v>
      </c>
      <c r="V418" s="20">
        <v>870.71</v>
      </c>
    </row>
    <row r="419" spans="1:22" ht="16.8" x14ac:dyDescent="0.3">
      <c r="A419" s="20">
        <v>41.9</v>
      </c>
      <c r="B419" s="20">
        <v>53</v>
      </c>
      <c r="C419" s="20">
        <v>52.94</v>
      </c>
      <c r="D419" s="20">
        <v>0.06</v>
      </c>
      <c r="E419" s="20">
        <v>0.04</v>
      </c>
      <c r="F419" s="20">
        <v>1178.8699999999999</v>
      </c>
      <c r="Q419" s="20">
        <v>41.8</v>
      </c>
      <c r="R419" s="20">
        <v>52.92</v>
      </c>
      <c r="S419" s="26">
        <v>53</v>
      </c>
      <c r="T419" s="20">
        <v>0.08</v>
      </c>
      <c r="U419" s="26">
        <v>0.1</v>
      </c>
      <c r="V419" s="20">
        <v>892.15</v>
      </c>
    </row>
    <row r="420" spans="1:22" ht="16.8" x14ac:dyDescent="0.3">
      <c r="A420" s="20">
        <v>42</v>
      </c>
      <c r="B420" s="20">
        <v>53</v>
      </c>
      <c r="C420" s="20">
        <v>52.92</v>
      </c>
      <c r="D420" s="20">
        <v>0.08</v>
      </c>
      <c r="E420" s="20">
        <v>0.01</v>
      </c>
      <c r="F420" s="20">
        <v>1172.48</v>
      </c>
      <c r="Q420" s="20">
        <v>41.9</v>
      </c>
      <c r="R420" s="20">
        <v>52.9</v>
      </c>
      <c r="S420" s="20">
        <v>53</v>
      </c>
      <c r="T420" s="26">
        <v>0.1</v>
      </c>
      <c r="U420" s="26">
        <v>0.02</v>
      </c>
      <c r="V420" s="20">
        <v>892.78</v>
      </c>
    </row>
    <row r="421" spans="1:22" ht="16.8" x14ac:dyDescent="0.3">
      <c r="A421" s="20">
        <v>42.1</v>
      </c>
      <c r="B421" s="20">
        <v>53</v>
      </c>
      <c r="C421" s="20">
        <v>52.93</v>
      </c>
      <c r="D421" s="20">
        <v>7.0000000000000007E-2</v>
      </c>
      <c r="E421" s="20">
        <v>-0.01</v>
      </c>
      <c r="F421" s="20">
        <v>1165.3800000000001</v>
      </c>
      <c r="Q421" s="20">
        <v>42</v>
      </c>
      <c r="R421" s="20">
        <v>52.94</v>
      </c>
      <c r="S421" s="26">
        <v>53</v>
      </c>
      <c r="T421" s="20">
        <v>0.06</v>
      </c>
      <c r="U421" s="26">
        <v>-0.04</v>
      </c>
      <c r="V421" s="20">
        <v>885.25</v>
      </c>
    </row>
    <row r="422" spans="1:22" ht="16.8" x14ac:dyDescent="0.3">
      <c r="A422" s="20">
        <v>42.2</v>
      </c>
      <c r="B422" s="20">
        <v>53</v>
      </c>
      <c r="C422" s="20">
        <v>52.96</v>
      </c>
      <c r="D422" s="20">
        <v>0.04</v>
      </c>
      <c r="E422" s="20">
        <v>-0.03</v>
      </c>
      <c r="F422" s="20">
        <v>1139.5</v>
      </c>
      <c r="Q422" s="20">
        <v>42.1</v>
      </c>
      <c r="R422" s="20">
        <v>53</v>
      </c>
      <c r="S422" s="20">
        <v>53</v>
      </c>
      <c r="T422" s="26">
        <v>0</v>
      </c>
      <c r="U422" s="20">
        <v>-0.06</v>
      </c>
      <c r="V422" s="20">
        <v>876.03</v>
      </c>
    </row>
    <row r="423" spans="1:22" ht="16.8" x14ac:dyDescent="0.3">
      <c r="A423" s="20">
        <v>42.3</v>
      </c>
      <c r="B423" s="20">
        <v>53</v>
      </c>
      <c r="C423" s="20">
        <v>52.94</v>
      </c>
      <c r="D423" s="20">
        <v>0.06</v>
      </c>
      <c r="E423" s="20">
        <v>0.02</v>
      </c>
      <c r="F423" s="20">
        <v>1161.79</v>
      </c>
      <c r="Q423" s="20">
        <v>42.2</v>
      </c>
      <c r="R423" s="20">
        <v>52.99</v>
      </c>
      <c r="S423" s="20">
        <v>53</v>
      </c>
      <c r="T423" s="20">
        <v>0.01</v>
      </c>
      <c r="U423" s="26">
        <v>0.01</v>
      </c>
      <c r="V423" s="20">
        <v>878.86</v>
      </c>
    </row>
    <row r="424" spans="1:22" ht="16.8" x14ac:dyDescent="0.3">
      <c r="A424" s="20">
        <v>42.4</v>
      </c>
      <c r="B424" s="20">
        <v>53</v>
      </c>
      <c r="C424" s="20">
        <v>52.95</v>
      </c>
      <c r="D424" s="20">
        <v>0.05</v>
      </c>
      <c r="E424" s="20">
        <v>-0.02</v>
      </c>
      <c r="F424" s="20">
        <v>1147.06</v>
      </c>
      <c r="Q424" s="20">
        <v>42.3</v>
      </c>
      <c r="R424" s="20">
        <v>52.97</v>
      </c>
      <c r="S424" s="26">
        <v>53</v>
      </c>
      <c r="T424" s="26">
        <v>0.03</v>
      </c>
      <c r="U424" s="20">
        <v>0.02</v>
      </c>
      <c r="V424" s="20">
        <v>881.64</v>
      </c>
    </row>
    <row r="425" spans="1:22" ht="16.8" x14ac:dyDescent="0.3">
      <c r="A425" s="20">
        <v>42.5</v>
      </c>
      <c r="B425" s="20">
        <v>53</v>
      </c>
      <c r="C425" s="20">
        <v>52.97</v>
      </c>
      <c r="D425" s="20">
        <v>0.03</v>
      </c>
      <c r="E425" s="20">
        <v>-0.02</v>
      </c>
      <c r="F425" s="20">
        <v>1131.7</v>
      </c>
      <c r="Q425" s="20">
        <v>42.4</v>
      </c>
      <c r="R425" s="20">
        <v>52.99</v>
      </c>
      <c r="S425" s="20">
        <v>53</v>
      </c>
      <c r="T425" s="20">
        <v>0.01</v>
      </c>
      <c r="U425" s="26">
        <v>-0.02</v>
      </c>
      <c r="V425" s="20">
        <v>878.37</v>
      </c>
    </row>
    <row r="426" spans="1:22" ht="16.8" x14ac:dyDescent="0.3">
      <c r="A426" s="20">
        <v>42.6</v>
      </c>
      <c r="B426" s="20">
        <v>53</v>
      </c>
      <c r="C426" s="20">
        <v>52.92</v>
      </c>
      <c r="D426" s="20">
        <v>0.08</v>
      </c>
      <c r="E426" s="20">
        <v>0.05</v>
      </c>
      <c r="F426" s="20">
        <v>1191.48</v>
      </c>
      <c r="Q426" s="20">
        <v>42.5</v>
      </c>
      <c r="R426" s="20">
        <v>52.97</v>
      </c>
      <c r="S426" s="26">
        <v>53</v>
      </c>
      <c r="T426" s="20">
        <v>0.03</v>
      </c>
      <c r="U426" s="20">
        <v>0.02</v>
      </c>
      <c r="V426" s="20">
        <v>881.73</v>
      </c>
    </row>
    <row r="427" spans="1:22" ht="16.8" x14ac:dyDescent="0.3">
      <c r="A427" s="20">
        <v>42.7</v>
      </c>
      <c r="B427" s="20">
        <v>53</v>
      </c>
      <c r="C427" s="20">
        <v>52.92</v>
      </c>
      <c r="D427" s="20">
        <v>0.08</v>
      </c>
      <c r="E427" s="20">
        <v>0</v>
      </c>
      <c r="F427" s="20">
        <v>1179.44</v>
      </c>
      <c r="Q427" s="20">
        <v>42.6</v>
      </c>
      <c r="R427" s="20">
        <v>52.99</v>
      </c>
      <c r="S427" s="20">
        <v>53</v>
      </c>
      <c r="T427" s="26">
        <v>0.01</v>
      </c>
      <c r="U427" s="26">
        <v>-0.02</v>
      </c>
      <c r="V427" s="20">
        <v>878.46</v>
      </c>
    </row>
    <row r="428" spans="1:22" ht="16.8" x14ac:dyDescent="0.3">
      <c r="A428" s="20">
        <v>42.8</v>
      </c>
      <c r="B428" s="20">
        <v>53</v>
      </c>
      <c r="C428" s="20">
        <v>52.91</v>
      </c>
      <c r="D428" s="20">
        <v>0.09</v>
      </c>
      <c r="E428" s="20">
        <v>0.01</v>
      </c>
      <c r="F428" s="20">
        <v>1186.27</v>
      </c>
      <c r="Q428" s="20">
        <v>42.7</v>
      </c>
      <c r="R428" s="20">
        <v>52.94</v>
      </c>
      <c r="S428" s="26">
        <v>53</v>
      </c>
      <c r="T428" s="20">
        <v>0.06</v>
      </c>
      <c r="U428" s="20">
        <v>0.05</v>
      </c>
      <c r="V428" s="20">
        <v>887.72</v>
      </c>
    </row>
    <row r="429" spans="1:22" ht="16.8" x14ac:dyDescent="0.3">
      <c r="A429" s="20">
        <v>42.9</v>
      </c>
      <c r="B429" s="20">
        <v>53</v>
      </c>
      <c r="C429" s="20">
        <v>52.94</v>
      </c>
      <c r="D429" s="20">
        <v>0.06</v>
      </c>
      <c r="E429" s="20">
        <v>-0.03</v>
      </c>
      <c r="F429" s="20">
        <v>1161.79</v>
      </c>
      <c r="Q429" s="20">
        <v>42.8</v>
      </c>
      <c r="R429" s="20">
        <v>52.91</v>
      </c>
      <c r="S429" s="26">
        <v>53</v>
      </c>
      <c r="T429" s="26">
        <v>0.09</v>
      </c>
      <c r="U429" s="26">
        <v>0.03</v>
      </c>
      <c r="V429" s="20">
        <v>892.59</v>
      </c>
    </row>
    <row r="430" spans="1:22" ht="16.8" x14ac:dyDescent="0.3">
      <c r="A430" s="20">
        <v>43</v>
      </c>
      <c r="B430" s="20">
        <v>53</v>
      </c>
      <c r="C430" s="20">
        <v>52.92</v>
      </c>
      <c r="D430" s="20">
        <v>0.08</v>
      </c>
      <c r="E430" s="20">
        <v>0.02</v>
      </c>
      <c r="F430" s="20">
        <v>1175.96</v>
      </c>
      <c r="Q430" s="20">
        <v>42.9</v>
      </c>
      <c r="R430" s="20">
        <v>52.96</v>
      </c>
      <c r="S430" s="20">
        <v>53</v>
      </c>
      <c r="T430" s="20">
        <v>0.04</v>
      </c>
      <c r="U430" s="20">
        <v>-0.05</v>
      </c>
      <c r="V430" s="20">
        <v>883.18</v>
      </c>
    </row>
    <row r="431" spans="1:22" ht="16.8" x14ac:dyDescent="0.3">
      <c r="A431" s="20">
        <v>43.1</v>
      </c>
      <c r="B431" s="20">
        <v>53</v>
      </c>
      <c r="C431" s="20">
        <v>52.91</v>
      </c>
      <c r="D431" s="20">
        <v>0.09</v>
      </c>
      <c r="E431" s="20">
        <v>0.01</v>
      </c>
      <c r="F431" s="20">
        <v>1186.27</v>
      </c>
      <c r="Q431" s="20">
        <v>43</v>
      </c>
      <c r="R431" s="20">
        <v>52.98</v>
      </c>
      <c r="S431" s="20">
        <v>53</v>
      </c>
      <c r="T431" s="26">
        <v>0.02</v>
      </c>
      <c r="U431" s="26">
        <v>-0.02</v>
      </c>
      <c r="V431" s="20">
        <v>880.02</v>
      </c>
    </row>
    <row r="432" spans="1:22" ht="16.8" x14ac:dyDescent="0.3">
      <c r="A432" s="20">
        <v>43.2</v>
      </c>
      <c r="B432" s="20">
        <v>53</v>
      </c>
      <c r="C432" s="20">
        <v>52.95</v>
      </c>
      <c r="D432" s="20">
        <v>0.05</v>
      </c>
      <c r="E432" s="20">
        <v>-0.04</v>
      </c>
      <c r="F432" s="20">
        <v>1147.26</v>
      </c>
      <c r="Q432" s="20">
        <v>43.1</v>
      </c>
      <c r="R432" s="20">
        <v>53.03</v>
      </c>
      <c r="S432" s="26">
        <v>53</v>
      </c>
      <c r="T432" s="20">
        <v>-0.03</v>
      </c>
      <c r="U432" s="26">
        <v>-0.05</v>
      </c>
      <c r="V432" s="20">
        <v>871.79</v>
      </c>
    </row>
    <row r="433" spans="1:22" ht="16.8" x14ac:dyDescent="0.3">
      <c r="A433" s="20">
        <v>43.3</v>
      </c>
      <c r="B433" s="20">
        <v>53</v>
      </c>
      <c r="C433" s="20">
        <v>52.95</v>
      </c>
      <c r="D433" s="20">
        <v>0.05</v>
      </c>
      <c r="E433" s="20">
        <v>0</v>
      </c>
      <c r="F433" s="20">
        <v>1150.8</v>
      </c>
      <c r="Q433" s="20">
        <v>43.2</v>
      </c>
      <c r="R433" s="20">
        <v>53.04</v>
      </c>
      <c r="S433" s="20">
        <v>53</v>
      </c>
      <c r="T433" s="26">
        <v>-0.04</v>
      </c>
      <c r="U433" s="26">
        <v>-0.01</v>
      </c>
      <c r="V433" s="20">
        <v>871.41</v>
      </c>
    </row>
    <row r="434" spans="1:22" ht="16.8" x14ac:dyDescent="0.3">
      <c r="A434" s="20">
        <v>43.4</v>
      </c>
      <c r="B434" s="20">
        <v>53</v>
      </c>
      <c r="C434" s="20">
        <v>52.94</v>
      </c>
      <c r="D434" s="20">
        <v>0.06</v>
      </c>
      <c r="E434" s="20">
        <v>0.01</v>
      </c>
      <c r="F434" s="20">
        <v>1158.1600000000001</v>
      </c>
      <c r="Q434" s="20">
        <v>43.3</v>
      </c>
      <c r="R434" s="20">
        <v>52.99</v>
      </c>
      <c r="S434" s="26">
        <v>53</v>
      </c>
      <c r="T434" s="20">
        <v>0.01</v>
      </c>
      <c r="U434" s="26">
        <v>0.05</v>
      </c>
      <c r="V434" s="20">
        <v>880.37</v>
      </c>
    </row>
    <row r="435" spans="1:22" ht="16.8" x14ac:dyDescent="0.3">
      <c r="A435" s="20">
        <v>43.5</v>
      </c>
      <c r="B435" s="20">
        <v>53</v>
      </c>
      <c r="C435" s="20">
        <v>52.97</v>
      </c>
      <c r="D435" s="20">
        <v>0.03</v>
      </c>
      <c r="E435" s="20">
        <v>-0.03</v>
      </c>
      <c r="F435" s="20">
        <v>1127.83</v>
      </c>
      <c r="Q435" s="20">
        <v>43.4</v>
      </c>
      <c r="R435" s="20">
        <v>53.01</v>
      </c>
      <c r="S435" s="20">
        <v>53</v>
      </c>
      <c r="T435" s="26">
        <v>-0.01</v>
      </c>
      <c r="U435" s="20">
        <v>-0.02</v>
      </c>
      <c r="V435" s="20">
        <v>876.28</v>
      </c>
    </row>
    <row r="436" spans="1:22" ht="16.8" x14ac:dyDescent="0.3">
      <c r="A436" s="20">
        <v>43.6</v>
      </c>
      <c r="B436" s="20">
        <v>53</v>
      </c>
      <c r="C436" s="20">
        <v>52.92</v>
      </c>
      <c r="D436" s="20">
        <v>0.08</v>
      </c>
      <c r="E436" s="20">
        <v>0.05</v>
      </c>
      <c r="F436" s="20">
        <v>1185.24</v>
      </c>
      <c r="Q436" s="20">
        <v>43.5</v>
      </c>
      <c r="R436" s="20">
        <v>52.96</v>
      </c>
      <c r="S436" s="26">
        <v>53</v>
      </c>
      <c r="T436" s="20">
        <v>0.04</v>
      </c>
      <c r="U436" s="26">
        <v>0.05</v>
      </c>
      <c r="V436" s="20">
        <v>885.51</v>
      </c>
    </row>
    <row r="437" spans="1:22" ht="16.8" x14ac:dyDescent="0.3">
      <c r="A437" s="20">
        <v>43.7</v>
      </c>
      <c r="B437" s="20">
        <v>53</v>
      </c>
      <c r="C437" s="20">
        <v>52.97</v>
      </c>
      <c r="D437" s="20">
        <v>0.03</v>
      </c>
      <c r="E437" s="20">
        <v>-0.05</v>
      </c>
      <c r="F437" s="20">
        <v>1127.97</v>
      </c>
      <c r="Q437" s="20">
        <v>43.6</v>
      </c>
      <c r="R437" s="20">
        <v>52.97</v>
      </c>
      <c r="S437" s="26">
        <v>53</v>
      </c>
      <c r="T437" s="20">
        <v>0.03</v>
      </c>
      <c r="U437" s="20">
        <v>-0.02</v>
      </c>
      <c r="V437" s="20">
        <v>881.49</v>
      </c>
    </row>
    <row r="438" spans="1:22" ht="16.8" x14ac:dyDescent="0.3">
      <c r="A438" s="20">
        <v>43.8</v>
      </c>
      <c r="B438" s="20">
        <v>53</v>
      </c>
      <c r="C438" s="20">
        <v>52.95</v>
      </c>
      <c r="D438" s="20">
        <v>0.05</v>
      </c>
      <c r="E438" s="20">
        <v>0.02</v>
      </c>
      <c r="F438" s="20">
        <v>1150.8</v>
      </c>
      <c r="Q438" s="20">
        <v>43.7</v>
      </c>
      <c r="R438" s="20">
        <v>53.03</v>
      </c>
      <c r="S438" s="20">
        <v>53</v>
      </c>
      <c r="T438" s="26">
        <v>-0.03</v>
      </c>
      <c r="U438" s="26">
        <v>-0.06</v>
      </c>
      <c r="V438" s="20">
        <v>871.62</v>
      </c>
    </row>
    <row r="439" spans="1:22" ht="16.8" x14ac:dyDescent="0.3">
      <c r="A439" s="20">
        <v>43.9</v>
      </c>
      <c r="B439" s="20">
        <v>53</v>
      </c>
      <c r="C439" s="20">
        <v>53</v>
      </c>
      <c r="D439" s="20">
        <v>0</v>
      </c>
      <c r="E439" s="20">
        <v>-0.05</v>
      </c>
      <c r="F439" s="20">
        <v>1103.1300000000001</v>
      </c>
      <c r="Q439" s="20">
        <v>43.8</v>
      </c>
      <c r="R439" s="20">
        <v>53.01</v>
      </c>
      <c r="S439" s="26">
        <v>53</v>
      </c>
      <c r="T439" s="20">
        <v>-0.01</v>
      </c>
      <c r="U439" s="20">
        <v>0.02</v>
      </c>
      <c r="V439" s="20">
        <v>875.86</v>
      </c>
    </row>
    <row r="440" spans="1:22" ht="16.8" x14ac:dyDescent="0.3">
      <c r="A440" s="20">
        <v>44</v>
      </c>
      <c r="B440" s="20">
        <v>53</v>
      </c>
      <c r="C440" s="20">
        <v>52.97</v>
      </c>
      <c r="D440" s="20">
        <v>0.03</v>
      </c>
      <c r="E440" s="20">
        <v>0.02</v>
      </c>
      <c r="F440" s="20">
        <v>1145.21</v>
      </c>
      <c r="Q440" s="20">
        <v>43.9</v>
      </c>
      <c r="R440" s="20">
        <v>53.04</v>
      </c>
      <c r="S440" s="20">
        <v>53</v>
      </c>
      <c r="T440" s="26">
        <v>-0.04</v>
      </c>
      <c r="U440" s="26">
        <v>-0.02</v>
      </c>
      <c r="V440" s="20">
        <v>871.02</v>
      </c>
    </row>
    <row r="441" spans="1:22" ht="16.8" x14ac:dyDescent="0.3">
      <c r="A441" s="20">
        <v>44.1</v>
      </c>
      <c r="B441" s="20">
        <v>53</v>
      </c>
      <c r="C441" s="20">
        <v>52.98</v>
      </c>
      <c r="D441" s="20">
        <v>0.02</v>
      </c>
      <c r="E441" s="20">
        <v>-0.01</v>
      </c>
      <c r="F441" s="20">
        <v>1119.72</v>
      </c>
      <c r="Q441" s="20">
        <v>44</v>
      </c>
      <c r="R441" s="20">
        <v>52.98</v>
      </c>
      <c r="S441" s="26">
        <v>53</v>
      </c>
      <c r="T441" s="20">
        <v>0.02</v>
      </c>
      <c r="U441" s="20">
        <v>0.06</v>
      </c>
      <c r="V441" s="20">
        <v>881.83</v>
      </c>
    </row>
    <row r="442" spans="1:22" ht="16.8" x14ac:dyDescent="0.3">
      <c r="A442" s="20">
        <v>44.2</v>
      </c>
      <c r="B442" s="20">
        <v>53</v>
      </c>
      <c r="C442" s="20">
        <v>52.98</v>
      </c>
      <c r="D442" s="20">
        <v>0.02</v>
      </c>
      <c r="E442" s="20">
        <v>0</v>
      </c>
      <c r="F442" s="20">
        <v>1119.72</v>
      </c>
      <c r="Q442" s="20">
        <v>44.1</v>
      </c>
      <c r="R442" s="20">
        <v>53.01</v>
      </c>
      <c r="S442" s="20">
        <v>53</v>
      </c>
      <c r="T442" s="26">
        <v>-0.01</v>
      </c>
      <c r="U442" s="20">
        <v>-0.02</v>
      </c>
      <c r="V442" s="20">
        <v>876.1</v>
      </c>
    </row>
    <row r="443" spans="1:22" ht="16.8" x14ac:dyDescent="0.3">
      <c r="A443" s="20">
        <v>44.3</v>
      </c>
      <c r="B443" s="20">
        <v>53</v>
      </c>
      <c r="C443" s="20">
        <v>52.96</v>
      </c>
      <c r="D443" s="20">
        <v>0.04</v>
      </c>
      <c r="E443" s="20">
        <v>0.02</v>
      </c>
      <c r="F443" s="20">
        <v>1135.6199999999999</v>
      </c>
      <c r="Q443" s="20">
        <v>44.2</v>
      </c>
      <c r="R443" s="20">
        <v>53.04</v>
      </c>
      <c r="S443" s="26">
        <v>53</v>
      </c>
      <c r="T443" s="20">
        <v>-0.04</v>
      </c>
      <c r="U443" s="26">
        <v>-0.03</v>
      </c>
      <c r="V443" s="20">
        <v>870.77</v>
      </c>
    </row>
    <row r="444" spans="1:22" ht="16.8" x14ac:dyDescent="0.3">
      <c r="A444" s="20">
        <v>44.4</v>
      </c>
      <c r="B444" s="20">
        <v>53</v>
      </c>
      <c r="C444" s="20">
        <v>52.98</v>
      </c>
      <c r="D444" s="20">
        <v>0.02</v>
      </c>
      <c r="E444" s="20">
        <v>-0.01</v>
      </c>
      <c r="F444" s="20">
        <v>1123.78</v>
      </c>
      <c r="Q444" s="20">
        <v>44.3</v>
      </c>
      <c r="R444" s="20">
        <v>52.94</v>
      </c>
      <c r="S444" s="20">
        <v>53</v>
      </c>
      <c r="T444" s="26">
        <v>0.06</v>
      </c>
      <c r="U444" s="20">
        <v>0.1</v>
      </c>
      <c r="V444" s="20">
        <v>889.15</v>
      </c>
    </row>
    <row r="445" spans="1:22" ht="16.8" x14ac:dyDescent="0.3">
      <c r="A445" s="20">
        <v>44.5</v>
      </c>
      <c r="B445" s="20">
        <v>53</v>
      </c>
      <c r="C445" s="20">
        <v>52.94</v>
      </c>
      <c r="D445" s="20">
        <v>0.06</v>
      </c>
      <c r="E445" s="20">
        <v>0.03</v>
      </c>
      <c r="F445" s="20">
        <v>1159.0899999999999</v>
      </c>
      <c r="Q445" s="20">
        <v>44.4</v>
      </c>
      <c r="R445" s="20">
        <v>53.03</v>
      </c>
      <c r="S445" s="26">
        <v>53</v>
      </c>
      <c r="T445" s="20">
        <v>-0.03</v>
      </c>
      <c r="U445" s="26">
        <v>-0.09</v>
      </c>
      <c r="V445" s="20">
        <v>870.75</v>
      </c>
    </row>
    <row r="446" spans="1:22" ht="16.8" x14ac:dyDescent="0.3">
      <c r="A446" s="20">
        <v>44.6</v>
      </c>
      <c r="B446" s="20">
        <v>53</v>
      </c>
      <c r="C446" s="20">
        <v>52.93</v>
      </c>
      <c r="D446" s="20">
        <v>7.0000000000000007E-2</v>
      </c>
      <c r="E446" s="20">
        <v>0.02</v>
      </c>
      <c r="F446" s="20">
        <v>1168.95</v>
      </c>
      <c r="Q446" s="20">
        <v>44.5</v>
      </c>
      <c r="R446" s="20">
        <v>52.99</v>
      </c>
      <c r="S446" s="20">
        <v>53</v>
      </c>
      <c r="T446" s="26">
        <v>0.01</v>
      </c>
      <c r="U446" s="20">
        <v>0.04</v>
      </c>
      <c r="V446" s="20">
        <v>880.18</v>
      </c>
    </row>
    <row r="447" spans="1:22" ht="16.8" x14ac:dyDescent="0.3">
      <c r="A447" s="20">
        <v>44.7</v>
      </c>
      <c r="B447" s="20">
        <v>53</v>
      </c>
      <c r="C447" s="20">
        <v>52.94</v>
      </c>
      <c r="D447" s="20">
        <v>0.06</v>
      </c>
      <c r="E447" s="20">
        <v>-0.01</v>
      </c>
      <c r="F447" s="20">
        <v>1158.1600000000001</v>
      </c>
      <c r="Q447" s="20">
        <v>44.6</v>
      </c>
      <c r="R447" s="20">
        <v>53.03</v>
      </c>
      <c r="S447" s="26">
        <v>53</v>
      </c>
      <c r="T447" s="20">
        <v>-0.03</v>
      </c>
      <c r="U447" s="26">
        <v>-0.04</v>
      </c>
      <c r="V447" s="20">
        <v>871.86</v>
      </c>
    </row>
    <row r="448" spans="1:22" ht="16.8" x14ac:dyDescent="0.3">
      <c r="A448" s="20">
        <v>44.8</v>
      </c>
      <c r="B448" s="20">
        <v>53</v>
      </c>
      <c r="C448" s="20">
        <v>52.95</v>
      </c>
      <c r="D448" s="20">
        <v>0.05</v>
      </c>
      <c r="E448" s="20">
        <v>-0.01</v>
      </c>
      <c r="F448" s="20">
        <v>1147.06</v>
      </c>
      <c r="Q448" s="20">
        <v>44.7</v>
      </c>
      <c r="R448" s="20">
        <v>52.99</v>
      </c>
      <c r="S448" s="20">
        <v>53</v>
      </c>
      <c r="T448" s="26">
        <v>0.01</v>
      </c>
      <c r="U448" s="20">
        <v>0.04</v>
      </c>
      <c r="V448" s="20">
        <v>880.14</v>
      </c>
    </row>
    <row r="449" spans="1:22" ht="16.8" x14ac:dyDescent="0.3">
      <c r="A449" s="20">
        <v>44.9</v>
      </c>
      <c r="B449" s="20">
        <v>53</v>
      </c>
      <c r="C449" s="20">
        <v>52.98</v>
      </c>
      <c r="D449" s="20">
        <v>0.02</v>
      </c>
      <c r="E449" s="20">
        <v>-0.03</v>
      </c>
      <c r="F449" s="20">
        <v>1119.77</v>
      </c>
      <c r="Q449" s="20">
        <v>44.8</v>
      </c>
      <c r="R449" s="20">
        <v>53.01</v>
      </c>
      <c r="S449" s="20">
        <v>53</v>
      </c>
      <c r="T449" s="20">
        <v>-0.01</v>
      </c>
      <c r="U449" s="26">
        <v>-0.02</v>
      </c>
      <c r="V449" s="20">
        <v>876.25</v>
      </c>
    </row>
    <row r="450" spans="1:22" ht="16.8" x14ac:dyDescent="0.3">
      <c r="A450" s="20">
        <v>45</v>
      </c>
      <c r="B450" s="20">
        <v>53</v>
      </c>
      <c r="C450" s="20">
        <v>52.97</v>
      </c>
      <c r="D450" s="20">
        <v>0.03</v>
      </c>
      <c r="E450" s="20">
        <v>0.01</v>
      </c>
      <c r="F450" s="20">
        <v>1131.7</v>
      </c>
      <c r="Q450" s="20">
        <v>44.9</v>
      </c>
      <c r="R450" s="20">
        <v>53.02</v>
      </c>
      <c r="S450" s="26">
        <v>53</v>
      </c>
      <c r="T450" s="26">
        <v>-0.02</v>
      </c>
      <c r="U450" s="20">
        <v>-0.02</v>
      </c>
      <c r="V450" s="20">
        <v>873.67</v>
      </c>
    </row>
    <row r="451" spans="1:22" ht="16.8" x14ac:dyDescent="0.3">
      <c r="A451" s="20">
        <v>45.1</v>
      </c>
      <c r="B451" s="20">
        <v>53</v>
      </c>
      <c r="C451" s="20">
        <v>52.93</v>
      </c>
      <c r="D451" s="20">
        <v>7.0000000000000007E-2</v>
      </c>
      <c r="E451" s="20">
        <v>0.04</v>
      </c>
      <c r="F451" s="20">
        <v>1165.8900000000001</v>
      </c>
      <c r="Q451" s="20">
        <v>45</v>
      </c>
      <c r="R451" s="20">
        <v>53.01</v>
      </c>
      <c r="S451" s="20">
        <v>53</v>
      </c>
      <c r="T451" s="20">
        <v>-0.01</v>
      </c>
      <c r="U451" s="26">
        <v>0.01</v>
      </c>
      <c r="V451" s="20">
        <v>875.48</v>
      </c>
    </row>
    <row r="452" spans="1:22" ht="16.8" x14ac:dyDescent="0.3">
      <c r="A452" s="20">
        <v>45.2</v>
      </c>
      <c r="B452" s="20">
        <v>53</v>
      </c>
      <c r="C452" s="20">
        <v>52.96</v>
      </c>
      <c r="D452" s="20">
        <v>0.04</v>
      </c>
      <c r="E452" s="20">
        <v>-0.03</v>
      </c>
      <c r="F452" s="20">
        <v>1135.69</v>
      </c>
      <c r="Q452" s="20">
        <v>45.1</v>
      </c>
      <c r="R452" s="20">
        <v>53.04</v>
      </c>
      <c r="S452" s="26">
        <v>53</v>
      </c>
      <c r="T452" s="26">
        <v>-0.04</v>
      </c>
      <c r="U452" s="26">
        <v>-0.02</v>
      </c>
      <c r="V452" s="20">
        <v>870.84</v>
      </c>
    </row>
    <row r="453" spans="1:22" ht="16.8" x14ac:dyDescent="0.3">
      <c r="A453" s="20">
        <v>45.3</v>
      </c>
      <c r="B453" s="20">
        <v>53</v>
      </c>
      <c r="C453" s="20">
        <v>52.94</v>
      </c>
      <c r="D453" s="20">
        <v>0.06</v>
      </c>
      <c r="E453" s="20">
        <v>0.02</v>
      </c>
      <c r="F453" s="20">
        <v>1154.5</v>
      </c>
      <c r="Q453" s="20">
        <v>45.2</v>
      </c>
      <c r="R453" s="20">
        <v>53.04</v>
      </c>
      <c r="S453" s="20">
        <v>53</v>
      </c>
      <c r="T453" s="20">
        <v>-0.04</v>
      </c>
      <c r="U453" s="26">
        <v>0</v>
      </c>
      <c r="V453" s="20">
        <v>871.33</v>
      </c>
    </row>
    <row r="454" spans="1:22" ht="16.8" x14ac:dyDescent="0.3">
      <c r="A454" s="20">
        <v>45.4</v>
      </c>
      <c r="B454" s="20">
        <v>53</v>
      </c>
      <c r="C454" s="20">
        <v>52.94</v>
      </c>
      <c r="D454" s="20">
        <v>0.06</v>
      </c>
      <c r="E454" s="20">
        <v>0</v>
      </c>
      <c r="F454" s="20">
        <v>1154.5</v>
      </c>
      <c r="Q454" s="20">
        <v>45.3</v>
      </c>
      <c r="R454" s="20">
        <v>53.01</v>
      </c>
      <c r="S454" s="26">
        <v>53</v>
      </c>
      <c r="T454" s="20">
        <v>-0.01</v>
      </c>
      <c r="U454" s="26">
        <v>0.02</v>
      </c>
      <c r="V454" s="20">
        <v>875.67</v>
      </c>
    </row>
    <row r="455" spans="1:22" ht="16.8" x14ac:dyDescent="0.3">
      <c r="A455" s="20">
        <v>45.5</v>
      </c>
      <c r="B455" s="20">
        <v>53</v>
      </c>
      <c r="C455" s="20">
        <v>52.94</v>
      </c>
      <c r="D455" s="20">
        <v>0.06</v>
      </c>
      <c r="E455" s="20">
        <v>0.01</v>
      </c>
      <c r="F455" s="20">
        <v>1161.79</v>
      </c>
      <c r="Q455" s="20">
        <v>45.4</v>
      </c>
      <c r="R455" s="20">
        <v>53.01</v>
      </c>
      <c r="S455" s="20">
        <v>53</v>
      </c>
      <c r="T455" s="26">
        <v>-0.01</v>
      </c>
      <c r="U455" s="26">
        <v>0.01</v>
      </c>
      <c r="V455" s="20">
        <v>876.53</v>
      </c>
    </row>
    <row r="456" spans="1:22" ht="16.8" x14ac:dyDescent="0.3">
      <c r="A456" s="20">
        <v>45.6</v>
      </c>
      <c r="B456" s="20">
        <v>53</v>
      </c>
      <c r="C456" s="20">
        <v>52.97</v>
      </c>
      <c r="D456" s="20">
        <v>0.03</v>
      </c>
      <c r="E456" s="20">
        <v>-0.04</v>
      </c>
      <c r="F456" s="20">
        <v>1127.8599999999999</v>
      </c>
      <c r="Q456" s="20">
        <v>45.5</v>
      </c>
      <c r="R456" s="20">
        <v>52.99</v>
      </c>
      <c r="S456" s="20">
        <v>53</v>
      </c>
      <c r="T456" s="20">
        <v>0.01</v>
      </c>
      <c r="U456" s="26">
        <v>0.02</v>
      </c>
      <c r="V456" s="20">
        <v>879.28</v>
      </c>
    </row>
    <row r="457" spans="1:22" ht="16.8" x14ac:dyDescent="0.3">
      <c r="A457" s="20">
        <v>45.7</v>
      </c>
      <c r="B457" s="20">
        <v>53</v>
      </c>
      <c r="C457" s="20">
        <v>52.93</v>
      </c>
      <c r="D457" s="20">
        <v>7.0000000000000007E-2</v>
      </c>
      <c r="E457" s="20">
        <v>0.04</v>
      </c>
      <c r="F457" s="20">
        <v>1178.8800000000001</v>
      </c>
      <c r="Q457" s="20">
        <v>45.6</v>
      </c>
      <c r="R457" s="20">
        <v>52.96</v>
      </c>
      <c r="S457" s="26">
        <v>53</v>
      </c>
      <c r="T457" s="26">
        <v>0.04</v>
      </c>
      <c r="U457" s="20">
        <v>0.03</v>
      </c>
      <c r="V457" s="20">
        <v>884.82</v>
      </c>
    </row>
    <row r="458" spans="1:22" ht="16.8" x14ac:dyDescent="0.3">
      <c r="A458" s="20">
        <v>45.8</v>
      </c>
      <c r="B458" s="20">
        <v>53</v>
      </c>
      <c r="C458" s="20">
        <v>52.93</v>
      </c>
      <c r="D458" s="20">
        <v>7.0000000000000007E-2</v>
      </c>
      <c r="E458" s="20">
        <v>0</v>
      </c>
      <c r="F458" s="20">
        <v>1168.95</v>
      </c>
      <c r="Q458" s="20">
        <v>45.7</v>
      </c>
      <c r="R458" s="20">
        <v>53.02</v>
      </c>
      <c r="S458" s="20">
        <v>53</v>
      </c>
      <c r="T458" s="20">
        <v>-0.02</v>
      </c>
      <c r="U458" s="26">
        <v>-0.06</v>
      </c>
      <c r="V458" s="20">
        <v>872.34</v>
      </c>
    </row>
    <row r="459" spans="1:22" ht="16.8" x14ac:dyDescent="0.3">
      <c r="A459" s="20">
        <v>45.9</v>
      </c>
      <c r="B459" s="20">
        <v>53</v>
      </c>
      <c r="C459" s="20">
        <v>52.94</v>
      </c>
      <c r="D459" s="20">
        <v>0.06</v>
      </c>
      <c r="E459" s="20">
        <v>-0.02</v>
      </c>
      <c r="F459" s="20">
        <v>1154.5</v>
      </c>
      <c r="Q459" s="20">
        <v>45.8</v>
      </c>
      <c r="R459" s="20">
        <v>53.03</v>
      </c>
      <c r="S459" s="26">
        <v>53</v>
      </c>
      <c r="T459" s="26">
        <v>-0.03</v>
      </c>
      <c r="U459" s="20">
        <v>-0.01</v>
      </c>
      <c r="V459" s="20">
        <v>872.37</v>
      </c>
    </row>
    <row r="460" spans="1:22" ht="16.8" x14ac:dyDescent="0.3">
      <c r="A460" s="20">
        <v>46</v>
      </c>
      <c r="B460" s="20">
        <v>53</v>
      </c>
      <c r="C460" s="20">
        <v>52.99</v>
      </c>
      <c r="D460" s="20">
        <v>0.01</v>
      </c>
      <c r="E460" s="20">
        <v>-0.04</v>
      </c>
      <c r="F460" s="20">
        <v>1111.6099999999999</v>
      </c>
      <c r="Q460" s="20">
        <v>45.9</v>
      </c>
      <c r="R460" s="20">
        <v>53</v>
      </c>
      <c r="S460" s="20">
        <v>53</v>
      </c>
      <c r="T460" s="20">
        <v>0</v>
      </c>
      <c r="U460" s="26">
        <v>0.03</v>
      </c>
      <c r="V460" s="20">
        <v>878.39</v>
      </c>
    </row>
    <row r="461" spans="1:22" ht="16.8" x14ac:dyDescent="0.3">
      <c r="A461" s="20">
        <v>46.1</v>
      </c>
      <c r="B461" s="20">
        <v>53</v>
      </c>
      <c r="C461" s="20">
        <v>52.94</v>
      </c>
      <c r="D461" s="20">
        <v>0.06</v>
      </c>
      <c r="E461" s="20">
        <v>0.04</v>
      </c>
      <c r="F461" s="20">
        <v>1178.8699999999999</v>
      </c>
      <c r="Q461" s="20">
        <v>46</v>
      </c>
      <c r="R461" s="20">
        <v>52.96</v>
      </c>
      <c r="S461" s="26">
        <v>53</v>
      </c>
      <c r="T461" s="26">
        <v>0.04</v>
      </c>
      <c r="U461" s="26">
        <v>0.04</v>
      </c>
      <c r="V461" s="20">
        <v>885</v>
      </c>
    </row>
    <row r="462" spans="1:22" ht="16.8" x14ac:dyDescent="0.3">
      <c r="A462" s="20">
        <v>46.2</v>
      </c>
      <c r="B462" s="20">
        <v>53</v>
      </c>
      <c r="C462" s="20">
        <v>52.94</v>
      </c>
      <c r="D462" s="20">
        <v>0.06</v>
      </c>
      <c r="E462" s="20">
        <v>0</v>
      </c>
      <c r="F462" s="20">
        <v>1158.1600000000001</v>
      </c>
      <c r="Q462" s="20">
        <v>46.1</v>
      </c>
      <c r="R462" s="20">
        <v>53.05</v>
      </c>
      <c r="S462" s="20">
        <v>53</v>
      </c>
      <c r="T462" s="20">
        <v>-0.05</v>
      </c>
      <c r="U462" s="26">
        <v>-0.09</v>
      </c>
      <c r="V462" s="20">
        <v>867.91</v>
      </c>
    </row>
    <row r="463" spans="1:22" ht="16.8" x14ac:dyDescent="0.3">
      <c r="A463" s="20">
        <v>46.3</v>
      </c>
      <c r="B463" s="20">
        <v>53</v>
      </c>
      <c r="C463" s="20">
        <v>52.99</v>
      </c>
      <c r="D463" s="20">
        <v>0.01</v>
      </c>
      <c r="E463" s="20">
        <v>-0.05</v>
      </c>
      <c r="F463" s="20">
        <v>1107.42</v>
      </c>
      <c r="Q463" s="20">
        <v>46.2</v>
      </c>
      <c r="R463" s="20">
        <v>53.09</v>
      </c>
      <c r="S463" s="20">
        <v>53</v>
      </c>
      <c r="T463" s="20">
        <v>-0.09</v>
      </c>
      <c r="U463" s="26">
        <v>-0.04</v>
      </c>
      <c r="V463" s="20">
        <v>862.56</v>
      </c>
    </row>
    <row r="464" spans="1:22" ht="16.8" x14ac:dyDescent="0.3">
      <c r="A464" s="20">
        <v>46.4</v>
      </c>
      <c r="B464" s="20">
        <v>53</v>
      </c>
      <c r="C464" s="20">
        <v>52.97</v>
      </c>
      <c r="D464" s="20">
        <v>0.03</v>
      </c>
      <c r="E464" s="20">
        <v>0.02</v>
      </c>
      <c r="F464" s="20">
        <v>1138.08</v>
      </c>
      <c r="Q464" s="20">
        <v>46.3</v>
      </c>
      <c r="R464" s="20">
        <v>53.02</v>
      </c>
      <c r="S464" s="26">
        <v>53</v>
      </c>
      <c r="T464" s="26">
        <v>-0.02</v>
      </c>
      <c r="U464" s="26">
        <v>0.06</v>
      </c>
      <c r="V464" s="20">
        <v>875.13</v>
      </c>
    </row>
    <row r="465" spans="1:22" ht="16.8" x14ac:dyDescent="0.3">
      <c r="A465" s="20">
        <v>46.5</v>
      </c>
      <c r="B465" s="20">
        <v>53</v>
      </c>
      <c r="C465" s="20">
        <v>53</v>
      </c>
      <c r="D465" s="20">
        <v>0</v>
      </c>
      <c r="E465" s="20">
        <v>-0.02</v>
      </c>
      <c r="F465" s="20">
        <v>1103.1099999999999</v>
      </c>
      <c r="Q465" s="20">
        <v>46.4</v>
      </c>
      <c r="R465" s="20">
        <v>53.02</v>
      </c>
      <c r="S465" s="20">
        <v>53</v>
      </c>
      <c r="T465" s="20">
        <v>-0.02</v>
      </c>
      <c r="U465" s="26">
        <v>0</v>
      </c>
      <c r="V465" s="20">
        <v>873.53</v>
      </c>
    </row>
    <row r="466" spans="1:22" ht="16.8" x14ac:dyDescent="0.3">
      <c r="A466" s="20">
        <v>46.6</v>
      </c>
      <c r="B466" s="20">
        <v>53</v>
      </c>
      <c r="C466" s="20">
        <v>52.99</v>
      </c>
      <c r="D466" s="20">
        <v>0.01</v>
      </c>
      <c r="E466" s="20">
        <v>0</v>
      </c>
      <c r="F466" s="20">
        <v>1107.96</v>
      </c>
      <c r="Q466" s="20">
        <v>46.5</v>
      </c>
      <c r="R466" s="20">
        <v>53.03</v>
      </c>
      <c r="S466" s="26">
        <v>53</v>
      </c>
      <c r="T466" s="26">
        <v>-0.03</v>
      </c>
      <c r="U466" s="20">
        <v>-0.01</v>
      </c>
      <c r="V466" s="20">
        <v>872.01</v>
      </c>
    </row>
    <row r="467" spans="1:22" ht="16.8" x14ac:dyDescent="0.3">
      <c r="A467" s="20">
        <v>46.7</v>
      </c>
      <c r="B467" s="20">
        <v>53</v>
      </c>
      <c r="C467" s="20">
        <v>52.93</v>
      </c>
      <c r="D467" s="20">
        <v>7.0000000000000007E-2</v>
      </c>
      <c r="E467" s="20">
        <v>0.06</v>
      </c>
      <c r="F467" s="20">
        <v>1209.6199999999999</v>
      </c>
      <c r="Q467" s="20">
        <v>46.6</v>
      </c>
      <c r="R467" s="20">
        <v>53.03</v>
      </c>
      <c r="S467" s="20">
        <v>53</v>
      </c>
      <c r="T467" s="20">
        <v>-0.03</v>
      </c>
      <c r="U467" s="26">
        <v>0</v>
      </c>
      <c r="V467" s="20">
        <v>872.13</v>
      </c>
    </row>
    <row r="468" spans="1:22" ht="16.8" x14ac:dyDescent="0.3">
      <c r="A468" s="20">
        <v>46.8</v>
      </c>
      <c r="B468" s="20">
        <v>53</v>
      </c>
      <c r="C468" s="20">
        <v>52.98</v>
      </c>
      <c r="D468" s="20">
        <v>0.02</v>
      </c>
      <c r="E468" s="20">
        <v>-0.06</v>
      </c>
      <c r="F468" s="20">
        <v>1115.8499999999999</v>
      </c>
      <c r="Q468" s="20">
        <v>46.7</v>
      </c>
      <c r="R468" s="20">
        <v>53.01</v>
      </c>
      <c r="S468" s="26">
        <v>53</v>
      </c>
      <c r="T468" s="26">
        <v>-0.01</v>
      </c>
      <c r="U468" s="20">
        <v>0.02</v>
      </c>
      <c r="V468" s="20">
        <v>875.01</v>
      </c>
    </row>
    <row r="469" spans="1:22" ht="16.8" x14ac:dyDescent="0.3">
      <c r="A469" s="20">
        <v>46.9</v>
      </c>
      <c r="B469" s="20">
        <v>53</v>
      </c>
      <c r="C469" s="20">
        <v>52.92</v>
      </c>
      <c r="D469" s="20">
        <v>0.08</v>
      </c>
      <c r="E469" s="20">
        <v>0.06</v>
      </c>
      <c r="F469" s="20">
        <v>1209.5999999999999</v>
      </c>
      <c r="Q469" s="20">
        <v>46.8</v>
      </c>
      <c r="R469" s="20">
        <v>53.07</v>
      </c>
      <c r="S469" s="20">
        <v>53</v>
      </c>
      <c r="T469" s="20">
        <v>-7.0000000000000007E-2</v>
      </c>
      <c r="U469" s="26">
        <v>-0.06</v>
      </c>
      <c r="V469" s="20">
        <v>864.28</v>
      </c>
    </row>
    <row r="470" spans="1:22" ht="16.8" x14ac:dyDescent="0.3">
      <c r="A470" s="20">
        <v>47</v>
      </c>
      <c r="B470" s="20">
        <v>53</v>
      </c>
      <c r="C470" s="20">
        <v>52.98</v>
      </c>
      <c r="D470" s="20">
        <v>0.02</v>
      </c>
      <c r="E470" s="20">
        <v>-0.06</v>
      </c>
      <c r="F470" s="20">
        <v>1115.9100000000001</v>
      </c>
      <c r="Q470" s="20">
        <v>46.9</v>
      </c>
      <c r="R470" s="20">
        <v>53.01</v>
      </c>
      <c r="S470" s="20">
        <v>53</v>
      </c>
      <c r="T470" s="20">
        <v>-0.01</v>
      </c>
      <c r="U470" s="20">
        <v>0.06</v>
      </c>
      <c r="V470" s="20">
        <v>875.79</v>
      </c>
    </row>
    <row r="471" spans="1:22" ht="16.8" x14ac:dyDescent="0.3">
      <c r="A471" s="20">
        <v>47.1</v>
      </c>
      <c r="B471" s="20">
        <v>53</v>
      </c>
      <c r="C471" s="20">
        <v>52.93</v>
      </c>
      <c r="D471" s="20">
        <v>7.0000000000000007E-2</v>
      </c>
      <c r="E471" s="20">
        <v>0.05</v>
      </c>
      <c r="F471" s="20">
        <v>1191.47</v>
      </c>
      <c r="Q471" s="20">
        <v>47</v>
      </c>
      <c r="R471" s="20">
        <v>53.02</v>
      </c>
      <c r="S471" s="26">
        <v>53</v>
      </c>
      <c r="T471" s="26">
        <v>-0.02</v>
      </c>
      <c r="U471" s="26">
        <v>-0.01</v>
      </c>
      <c r="V471" s="20">
        <v>872.93</v>
      </c>
    </row>
    <row r="472" spans="1:22" ht="16.8" x14ac:dyDescent="0.3">
      <c r="A472" s="20">
        <v>47.2</v>
      </c>
      <c r="B472" s="20">
        <v>53</v>
      </c>
      <c r="C472" s="20">
        <v>52.96</v>
      </c>
      <c r="D472" s="20">
        <v>0.04</v>
      </c>
      <c r="E472" s="20">
        <v>-0.03</v>
      </c>
      <c r="F472" s="20">
        <v>1135.69</v>
      </c>
      <c r="Q472" s="20">
        <v>47.1</v>
      </c>
      <c r="R472" s="20">
        <v>53.01</v>
      </c>
      <c r="S472" s="20">
        <v>53</v>
      </c>
      <c r="T472" s="20">
        <v>-0.01</v>
      </c>
      <c r="U472" s="26">
        <v>0.02</v>
      </c>
      <c r="V472" s="20">
        <v>876.03</v>
      </c>
    </row>
    <row r="473" spans="1:22" ht="16.8" x14ac:dyDescent="0.3">
      <c r="A473" s="20">
        <v>47.3</v>
      </c>
      <c r="B473" s="20">
        <v>53</v>
      </c>
      <c r="C473" s="20">
        <v>52.96</v>
      </c>
      <c r="D473" s="20">
        <v>0.04</v>
      </c>
      <c r="E473" s="20">
        <v>0</v>
      </c>
      <c r="F473" s="20">
        <v>1135.6199999999999</v>
      </c>
      <c r="Q473" s="20">
        <v>47.2</v>
      </c>
      <c r="R473" s="20">
        <v>53.02</v>
      </c>
      <c r="S473" s="26">
        <v>53</v>
      </c>
      <c r="T473" s="26">
        <v>-0.02</v>
      </c>
      <c r="U473" s="20">
        <v>-0.02</v>
      </c>
      <c r="V473" s="20">
        <v>872.68</v>
      </c>
    </row>
    <row r="474" spans="1:22" ht="16.8" x14ac:dyDescent="0.3">
      <c r="A474" s="20">
        <v>47.4</v>
      </c>
      <c r="B474" s="20">
        <v>53</v>
      </c>
      <c r="C474" s="20">
        <v>52.95</v>
      </c>
      <c r="D474" s="20">
        <v>0.05</v>
      </c>
      <c r="E474" s="20">
        <v>0.01</v>
      </c>
      <c r="F474" s="20">
        <v>1147.06</v>
      </c>
      <c r="Q474" s="20">
        <v>47.3</v>
      </c>
      <c r="R474" s="20">
        <v>53.05</v>
      </c>
      <c r="S474" s="20">
        <v>53</v>
      </c>
      <c r="T474" s="20">
        <v>-0.05</v>
      </c>
      <c r="U474" s="26">
        <v>-0.02</v>
      </c>
      <c r="V474" s="20">
        <v>868.59</v>
      </c>
    </row>
    <row r="475" spans="1:22" ht="16.8" x14ac:dyDescent="0.3">
      <c r="A475" s="20">
        <v>47.5</v>
      </c>
      <c r="B475" s="20">
        <v>53</v>
      </c>
      <c r="C475" s="20">
        <v>52.92</v>
      </c>
      <c r="D475" s="20">
        <v>0.08</v>
      </c>
      <c r="E475" s="20">
        <v>0.03</v>
      </c>
      <c r="F475" s="20">
        <v>1172.48</v>
      </c>
      <c r="Q475" s="20">
        <v>47.4</v>
      </c>
      <c r="R475" s="20">
        <v>53.03</v>
      </c>
      <c r="S475" s="26">
        <v>53</v>
      </c>
      <c r="T475" s="26">
        <v>-0.03</v>
      </c>
      <c r="U475" s="20">
        <v>0.02</v>
      </c>
      <c r="V475" s="20">
        <v>872.02</v>
      </c>
    </row>
    <row r="476" spans="1:22" ht="16.8" x14ac:dyDescent="0.3">
      <c r="A476" s="20">
        <v>47.6</v>
      </c>
      <c r="B476" s="20">
        <v>53</v>
      </c>
      <c r="C476" s="20">
        <v>52.98</v>
      </c>
      <c r="D476" s="20">
        <v>0.02</v>
      </c>
      <c r="E476" s="20">
        <v>-0.05</v>
      </c>
      <c r="F476" s="20">
        <v>1124.02</v>
      </c>
      <c r="Q476" s="20">
        <v>47.5</v>
      </c>
      <c r="R476" s="20">
        <v>53.01</v>
      </c>
      <c r="S476" s="20">
        <v>53</v>
      </c>
      <c r="T476" s="20">
        <v>-0.01</v>
      </c>
      <c r="U476" s="26">
        <v>0.02</v>
      </c>
      <c r="V476" s="20">
        <v>874.51</v>
      </c>
    </row>
    <row r="477" spans="1:22" ht="16.8" x14ac:dyDescent="0.3">
      <c r="A477" s="20">
        <v>47.7</v>
      </c>
      <c r="B477" s="20">
        <v>53</v>
      </c>
      <c r="C477" s="20">
        <v>52.9</v>
      </c>
      <c r="D477" s="20">
        <v>0.1</v>
      </c>
      <c r="E477" s="20">
        <v>0.08</v>
      </c>
      <c r="F477" s="20">
        <v>1232.52</v>
      </c>
      <c r="Q477" s="20">
        <v>47.6</v>
      </c>
      <c r="R477" s="20">
        <v>52.97</v>
      </c>
      <c r="S477" s="26">
        <v>53</v>
      </c>
      <c r="T477" s="26">
        <v>0.03</v>
      </c>
      <c r="U477" s="26">
        <v>0.04</v>
      </c>
      <c r="V477" s="20">
        <v>881.47</v>
      </c>
    </row>
    <row r="478" spans="1:22" ht="16.8" x14ac:dyDescent="0.3">
      <c r="A478" s="20">
        <v>47.8</v>
      </c>
      <c r="B478" s="20">
        <v>53</v>
      </c>
      <c r="C478" s="20">
        <v>52.94</v>
      </c>
      <c r="D478" s="20">
        <v>0.06</v>
      </c>
      <c r="E478" s="20">
        <v>-0.04</v>
      </c>
      <c r="F478" s="20">
        <v>1161.8</v>
      </c>
      <c r="Q478" s="20">
        <v>47.7</v>
      </c>
      <c r="R478" s="20">
        <v>53.01</v>
      </c>
      <c r="S478" s="20">
        <v>53</v>
      </c>
      <c r="T478" s="20">
        <v>-0.01</v>
      </c>
      <c r="U478" s="26">
        <v>-0.03</v>
      </c>
      <c r="V478" s="20">
        <v>874.67</v>
      </c>
    </row>
    <row r="479" spans="1:22" ht="16.8" x14ac:dyDescent="0.3">
      <c r="A479" s="20">
        <v>47.9</v>
      </c>
      <c r="B479" s="20">
        <v>53</v>
      </c>
      <c r="C479" s="20">
        <v>52.92</v>
      </c>
      <c r="D479" s="20">
        <v>0.08</v>
      </c>
      <c r="E479" s="20">
        <v>0.02</v>
      </c>
      <c r="F479" s="20">
        <v>1175.96</v>
      </c>
      <c r="Q479" s="20">
        <v>47.8</v>
      </c>
      <c r="R479" s="20">
        <v>53.07</v>
      </c>
      <c r="S479" s="26">
        <v>53</v>
      </c>
      <c r="T479" s="26">
        <v>-7.0000000000000007E-2</v>
      </c>
      <c r="U479" s="26">
        <v>-0.06</v>
      </c>
      <c r="V479" s="20">
        <v>863.63</v>
      </c>
    </row>
    <row r="480" spans="1:22" ht="16.8" x14ac:dyDescent="0.3">
      <c r="A480" s="20">
        <v>48</v>
      </c>
      <c r="B480" s="20">
        <v>53</v>
      </c>
      <c r="C480" s="20">
        <v>52.92</v>
      </c>
      <c r="D480" s="20">
        <v>0.08</v>
      </c>
      <c r="E480" s="20">
        <v>0</v>
      </c>
      <c r="F480" s="20">
        <v>1172.48</v>
      </c>
      <c r="Q480" s="20">
        <v>47.9</v>
      </c>
      <c r="R480" s="20">
        <v>52.99</v>
      </c>
      <c r="S480" s="20">
        <v>53</v>
      </c>
      <c r="T480" s="20">
        <v>0.01</v>
      </c>
      <c r="U480" s="26">
        <v>0.08</v>
      </c>
      <c r="V480" s="20">
        <v>879.76</v>
      </c>
    </row>
    <row r="481" spans="1:22" ht="16.8" x14ac:dyDescent="0.3">
      <c r="A481" s="20">
        <v>48.1</v>
      </c>
      <c r="B481" s="20">
        <v>53</v>
      </c>
      <c r="C481" s="20">
        <v>52.96</v>
      </c>
      <c r="D481" s="20">
        <v>0.04</v>
      </c>
      <c r="E481" s="20">
        <v>-0.03</v>
      </c>
      <c r="F481" s="20">
        <v>1143.33</v>
      </c>
      <c r="Q481" s="20">
        <v>48</v>
      </c>
      <c r="R481" s="20">
        <v>52.98</v>
      </c>
      <c r="S481" s="20">
        <v>53</v>
      </c>
      <c r="T481" s="26">
        <v>0.02</v>
      </c>
      <c r="U481" s="26">
        <v>0.01</v>
      </c>
      <c r="V481" s="20">
        <v>879.33</v>
      </c>
    </row>
    <row r="482" spans="1:22" ht="16.8" x14ac:dyDescent="0.3">
      <c r="A482" s="20">
        <v>48.2</v>
      </c>
      <c r="B482" s="20">
        <v>53</v>
      </c>
      <c r="C482" s="20">
        <v>52.93</v>
      </c>
      <c r="D482" s="20">
        <v>7.0000000000000007E-2</v>
      </c>
      <c r="E482" s="20">
        <v>0.03</v>
      </c>
      <c r="F482" s="20">
        <v>1168.95</v>
      </c>
      <c r="Q482" s="20">
        <v>48.1</v>
      </c>
      <c r="R482" s="20">
        <v>53.01</v>
      </c>
      <c r="S482" s="26">
        <v>53</v>
      </c>
      <c r="T482" s="20">
        <v>-0.01</v>
      </c>
      <c r="U482" s="26">
        <v>-0.03</v>
      </c>
      <c r="V482" s="20">
        <v>873.28</v>
      </c>
    </row>
    <row r="483" spans="1:22" ht="16.8" x14ac:dyDescent="0.3">
      <c r="A483" s="20">
        <v>48.3</v>
      </c>
      <c r="B483" s="20">
        <v>53</v>
      </c>
      <c r="C483" s="20">
        <v>52.97</v>
      </c>
      <c r="D483" s="20">
        <v>0.03</v>
      </c>
      <c r="E483" s="20">
        <v>-0.04</v>
      </c>
      <c r="F483" s="20">
        <v>1131.8499999999999</v>
      </c>
      <c r="Q483" s="20">
        <v>48.2</v>
      </c>
      <c r="R483" s="20">
        <v>53.03</v>
      </c>
      <c r="S483" s="20">
        <v>53</v>
      </c>
      <c r="T483" s="26">
        <v>-0.03</v>
      </c>
      <c r="U483" s="26">
        <v>-0.02</v>
      </c>
      <c r="V483" s="20">
        <v>871.07</v>
      </c>
    </row>
    <row r="484" spans="1:22" ht="16.8" x14ac:dyDescent="0.3">
      <c r="A484" s="20">
        <v>48.4</v>
      </c>
      <c r="B484" s="20">
        <v>53</v>
      </c>
      <c r="C484" s="20">
        <v>52.94</v>
      </c>
      <c r="D484" s="20">
        <v>0.06</v>
      </c>
      <c r="E484" s="20">
        <v>0.03</v>
      </c>
      <c r="F484" s="20">
        <v>1161.79</v>
      </c>
      <c r="Q484" s="20">
        <v>48.3</v>
      </c>
      <c r="R484" s="20">
        <v>53.05</v>
      </c>
      <c r="S484" s="26">
        <v>53</v>
      </c>
      <c r="T484" s="20">
        <v>-0.05</v>
      </c>
      <c r="U484" s="26">
        <v>-0.02</v>
      </c>
      <c r="V484" s="20">
        <v>866.97</v>
      </c>
    </row>
    <row r="485" spans="1:22" ht="16.8" x14ac:dyDescent="0.3">
      <c r="A485" s="20">
        <v>48.5</v>
      </c>
      <c r="B485" s="20">
        <v>53</v>
      </c>
      <c r="C485" s="20">
        <v>52.94</v>
      </c>
      <c r="D485" s="20">
        <v>0.06</v>
      </c>
      <c r="E485" s="20">
        <v>-0.01</v>
      </c>
      <c r="F485" s="20">
        <v>1154.5</v>
      </c>
      <c r="Q485" s="20">
        <v>48.4</v>
      </c>
      <c r="R485" s="20">
        <v>53.05</v>
      </c>
      <c r="S485" s="20">
        <v>53</v>
      </c>
      <c r="T485" s="26">
        <v>-0.05</v>
      </c>
      <c r="U485" s="26">
        <v>0.01</v>
      </c>
      <c r="V485" s="20">
        <v>868.9</v>
      </c>
    </row>
    <row r="486" spans="1:22" ht="16.8" x14ac:dyDescent="0.3">
      <c r="A486" s="20">
        <v>48.6</v>
      </c>
      <c r="B486" s="20">
        <v>53</v>
      </c>
      <c r="C486" s="20">
        <v>52.97</v>
      </c>
      <c r="D486" s="20">
        <v>0.03</v>
      </c>
      <c r="E486" s="20">
        <v>-0.02</v>
      </c>
      <c r="F486" s="20">
        <v>1131.73</v>
      </c>
      <c r="Q486" s="20">
        <v>48.5</v>
      </c>
      <c r="R486" s="20">
        <v>53.09</v>
      </c>
      <c r="S486" s="26">
        <v>53</v>
      </c>
      <c r="T486" s="20">
        <v>-0.09</v>
      </c>
      <c r="U486" s="26">
        <v>-0.04</v>
      </c>
      <c r="V486" s="20">
        <v>861.23</v>
      </c>
    </row>
    <row r="487" spans="1:22" ht="16.8" x14ac:dyDescent="0.3">
      <c r="A487" s="20">
        <v>48.7</v>
      </c>
      <c r="B487" s="20">
        <v>53</v>
      </c>
      <c r="C487" s="20">
        <v>52.96</v>
      </c>
      <c r="D487" s="20">
        <v>0.04</v>
      </c>
      <c r="E487" s="20">
        <v>0</v>
      </c>
      <c r="F487" s="20">
        <v>1135.6199999999999</v>
      </c>
      <c r="Q487" s="20">
        <v>48.6</v>
      </c>
      <c r="R487" s="20">
        <v>53.01</v>
      </c>
      <c r="S487" s="20">
        <v>53</v>
      </c>
      <c r="T487" s="20">
        <v>-0.01</v>
      </c>
      <c r="U487" s="26">
        <v>7.0000000000000007E-2</v>
      </c>
      <c r="V487" s="20">
        <v>875.27</v>
      </c>
    </row>
    <row r="488" spans="1:22" ht="16.8" x14ac:dyDescent="0.3">
      <c r="A488" s="20">
        <v>48.8</v>
      </c>
      <c r="B488" s="20">
        <v>53</v>
      </c>
      <c r="C488" s="20">
        <v>52.99</v>
      </c>
      <c r="D488" s="20">
        <v>0.01</v>
      </c>
      <c r="E488" s="20">
        <v>-0.02</v>
      </c>
      <c r="F488" s="20">
        <v>1111.55</v>
      </c>
      <c r="Q488" s="20">
        <v>48.7</v>
      </c>
      <c r="R488" s="20">
        <v>53.04</v>
      </c>
      <c r="S488" s="26">
        <v>53</v>
      </c>
      <c r="T488" s="26">
        <v>-0.04</v>
      </c>
      <c r="U488" s="20">
        <v>-0.02</v>
      </c>
      <c r="V488" s="20">
        <v>869.08</v>
      </c>
    </row>
    <row r="489" spans="1:22" ht="16.8" x14ac:dyDescent="0.3">
      <c r="A489" s="20">
        <v>48.9</v>
      </c>
      <c r="B489" s="20">
        <v>53</v>
      </c>
      <c r="C489" s="20">
        <v>52.94</v>
      </c>
      <c r="D489" s="20">
        <v>0.06</v>
      </c>
      <c r="E489" s="20">
        <v>0.05</v>
      </c>
      <c r="F489" s="20">
        <v>1191.48</v>
      </c>
      <c r="Q489" s="20">
        <v>48.8</v>
      </c>
      <c r="R489" s="20">
        <v>53.05</v>
      </c>
      <c r="S489" s="20">
        <v>53</v>
      </c>
      <c r="T489" s="20">
        <v>-0.05</v>
      </c>
      <c r="U489" s="26">
        <v>-0.01</v>
      </c>
      <c r="V489" s="20">
        <v>868.1</v>
      </c>
    </row>
    <row r="490" spans="1:22" ht="16.8" x14ac:dyDescent="0.3">
      <c r="A490" s="20">
        <v>49</v>
      </c>
      <c r="B490" s="20">
        <v>53</v>
      </c>
      <c r="C490" s="20">
        <v>52.95</v>
      </c>
      <c r="D490" s="20">
        <v>0.05</v>
      </c>
      <c r="E490" s="20">
        <v>-0.02</v>
      </c>
      <c r="F490" s="20">
        <v>1147.06</v>
      </c>
      <c r="Q490" s="20">
        <v>48.9</v>
      </c>
      <c r="R490" s="20">
        <v>53.04</v>
      </c>
      <c r="S490" s="26">
        <v>53</v>
      </c>
      <c r="T490" s="26">
        <v>-0.04</v>
      </c>
      <c r="U490" s="20">
        <v>0.01</v>
      </c>
      <c r="V490" s="20">
        <v>869.66</v>
      </c>
    </row>
    <row r="491" spans="1:22" ht="16.8" x14ac:dyDescent="0.3">
      <c r="A491" s="20">
        <v>49.1</v>
      </c>
      <c r="B491" s="20">
        <v>53</v>
      </c>
      <c r="C491" s="20">
        <v>52.97</v>
      </c>
      <c r="D491" s="20">
        <v>0.03</v>
      </c>
      <c r="E491" s="20">
        <v>-0.02</v>
      </c>
      <c r="F491" s="20">
        <v>1131.7</v>
      </c>
      <c r="Q491" s="20">
        <v>49</v>
      </c>
      <c r="R491" s="20">
        <v>53.01</v>
      </c>
      <c r="S491" s="20">
        <v>53</v>
      </c>
      <c r="T491" s="20">
        <v>-0.01</v>
      </c>
      <c r="U491" s="26">
        <v>0.02</v>
      </c>
      <c r="V491" s="20">
        <v>873.81</v>
      </c>
    </row>
    <row r="492" spans="1:22" ht="16.8" x14ac:dyDescent="0.3">
      <c r="A492" s="20">
        <v>49.2</v>
      </c>
      <c r="B492" s="20">
        <v>53</v>
      </c>
      <c r="C492" s="20">
        <v>52.91</v>
      </c>
      <c r="D492" s="20">
        <v>0.09</v>
      </c>
      <c r="E492" s="20">
        <v>0.06</v>
      </c>
      <c r="F492" s="20">
        <v>1197.6099999999999</v>
      </c>
      <c r="Q492" s="20">
        <v>49.1</v>
      </c>
      <c r="R492" s="20">
        <v>53.03</v>
      </c>
      <c r="S492" s="20">
        <v>53</v>
      </c>
      <c r="T492" s="26">
        <v>-0.03</v>
      </c>
      <c r="U492" s="26">
        <v>-0.02</v>
      </c>
      <c r="V492" s="20">
        <v>870.25</v>
      </c>
    </row>
    <row r="493" spans="1:22" ht="16.8" x14ac:dyDescent="0.3">
      <c r="A493" s="20">
        <v>49.3</v>
      </c>
      <c r="B493" s="20">
        <v>53</v>
      </c>
      <c r="C493" s="20">
        <v>52.95</v>
      </c>
      <c r="D493" s="20">
        <v>0.05</v>
      </c>
      <c r="E493" s="20">
        <v>-0.04</v>
      </c>
      <c r="F493" s="20">
        <v>1147.2</v>
      </c>
      <c r="Q493" s="20">
        <v>49.2</v>
      </c>
      <c r="R493" s="20">
        <v>53.01</v>
      </c>
      <c r="S493" s="26">
        <v>53</v>
      </c>
      <c r="T493" s="20">
        <v>-0.01</v>
      </c>
      <c r="U493" s="26">
        <v>0.02</v>
      </c>
      <c r="V493" s="20">
        <v>874.99</v>
      </c>
    </row>
    <row r="494" spans="1:22" ht="16.8" x14ac:dyDescent="0.3">
      <c r="A494" s="20">
        <v>49.4</v>
      </c>
      <c r="B494" s="20">
        <v>53</v>
      </c>
      <c r="C494" s="20">
        <v>52.92</v>
      </c>
      <c r="D494" s="20">
        <v>0.08</v>
      </c>
      <c r="E494" s="20">
        <v>0.04</v>
      </c>
      <c r="F494" s="20">
        <v>1179.44</v>
      </c>
      <c r="Q494" s="20">
        <v>49.3</v>
      </c>
      <c r="R494" s="20">
        <v>53.05</v>
      </c>
      <c r="S494" s="20">
        <v>53</v>
      </c>
      <c r="T494" s="26">
        <v>-0.05</v>
      </c>
      <c r="U494" s="26">
        <v>-0.05</v>
      </c>
      <c r="V494" s="20">
        <v>865.55</v>
      </c>
    </row>
    <row r="495" spans="1:22" ht="16.8" x14ac:dyDescent="0.3">
      <c r="A495" s="20">
        <v>49.5</v>
      </c>
      <c r="B495" s="20">
        <v>53</v>
      </c>
      <c r="C495" s="20">
        <v>52.94</v>
      </c>
      <c r="D495" s="20">
        <v>0.06</v>
      </c>
      <c r="E495" s="20">
        <v>-0.03</v>
      </c>
      <c r="F495" s="20">
        <v>1154.5</v>
      </c>
      <c r="Q495" s="20">
        <v>49.4</v>
      </c>
      <c r="R495" s="20">
        <v>53.03</v>
      </c>
      <c r="S495" s="26">
        <v>53</v>
      </c>
      <c r="T495" s="20">
        <v>-0.03</v>
      </c>
      <c r="U495" s="26">
        <v>0.02</v>
      </c>
      <c r="V495" s="20">
        <v>871.01</v>
      </c>
    </row>
    <row r="496" spans="1:22" ht="16.8" x14ac:dyDescent="0.3">
      <c r="A496" s="20">
        <v>49.6</v>
      </c>
      <c r="B496" s="20">
        <v>53</v>
      </c>
      <c r="C496" s="20">
        <v>52.91</v>
      </c>
      <c r="D496" s="20">
        <v>0.09</v>
      </c>
      <c r="E496" s="20">
        <v>0.04</v>
      </c>
      <c r="F496" s="20">
        <v>1186.27</v>
      </c>
      <c r="Q496" s="20">
        <v>49.5</v>
      </c>
      <c r="R496" s="20">
        <v>53.04</v>
      </c>
      <c r="S496" s="20">
        <v>53</v>
      </c>
      <c r="T496" s="26">
        <v>-0.04</v>
      </c>
      <c r="U496" s="26">
        <v>-0.01</v>
      </c>
      <c r="V496" s="20">
        <v>868.89</v>
      </c>
    </row>
    <row r="497" spans="1:22" ht="16.8" x14ac:dyDescent="0.3">
      <c r="A497" s="20">
        <v>49.7</v>
      </c>
      <c r="B497" s="20">
        <v>53</v>
      </c>
      <c r="C497" s="20">
        <v>52.89</v>
      </c>
      <c r="D497" s="20">
        <v>0.11</v>
      </c>
      <c r="E497" s="20">
        <v>0.02</v>
      </c>
      <c r="F497" s="20">
        <v>1199.6199999999999</v>
      </c>
      <c r="Q497" s="20">
        <v>49.6</v>
      </c>
      <c r="R497" s="20">
        <v>53.04</v>
      </c>
      <c r="S497" s="26">
        <v>53</v>
      </c>
      <c r="T497" s="20">
        <v>-0.04</v>
      </c>
      <c r="U497" s="20">
        <v>0</v>
      </c>
      <c r="V497" s="20">
        <v>869</v>
      </c>
    </row>
    <row r="498" spans="1:22" ht="16.8" x14ac:dyDescent="0.3">
      <c r="A498" s="20">
        <v>49.8</v>
      </c>
      <c r="B498" s="20">
        <v>53</v>
      </c>
      <c r="C498" s="20">
        <v>52.97</v>
      </c>
      <c r="D498" s="20">
        <v>0.03</v>
      </c>
      <c r="E498" s="20">
        <v>-0.08</v>
      </c>
      <c r="F498" s="20">
        <v>1132.3900000000001</v>
      </c>
      <c r="Q498" s="20">
        <v>49.7</v>
      </c>
      <c r="R498" s="20">
        <v>53.05</v>
      </c>
      <c r="S498" s="20">
        <v>53</v>
      </c>
      <c r="T498" s="20">
        <v>-0.05</v>
      </c>
      <c r="U498" s="26">
        <v>-0.01</v>
      </c>
      <c r="V498" s="20">
        <v>867.44</v>
      </c>
    </row>
    <row r="499" spans="1:22" ht="16.8" x14ac:dyDescent="0.3">
      <c r="A499" s="20">
        <v>49.9</v>
      </c>
      <c r="B499" s="20">
        <v>53</v>
      </c>
      <c r="C499" s="20">
        <v>52.86</v>
      </c>
      <c r="D499" s="20">
        <v>0.14000000000000001</v>
      </c>
      <c r="E499" s="20">
        <v>0.1</v>
      </c>
      <c r="F499" s="20">
        <v>1264.6400000000001</v>
      </c>
      <c r="Q499" s="20">
        <v>49.8</v>
      </c>
      <c r="R499" s="20">
        <v>53.03</v>
      </c>
      <c r="S499" s="26">
        <v>53</v>
      </c>
      <c r="T499" s="26">
        <v>-0.03</v>
      </c>
      <c r="U499" s="20">
        <v>0.02</v>
      </c>
      <c r="V499" s="20">
        <v>870.47</v>
      </c>
    </row>
    <row r="500" spans="1:22" ht="16.8" x14ac:dyDescent="0.3">
      <c r="A500" s="20">
        <v>50</v>
      </c>
      <c r="B500" s="20">
        <v>53</v>
      </c>
      <c r="C500" s="20">
        <v>52.95</v>
      </c>
      <c r="D500" s="20">
        <v>0.05</v>
      </c>
      <c r="E500" s="20">
        <v>-0.09</v>
      </c>
      <c r="F500" s="20">
        <v>1148.3399999999999</v>
      </c>
      <c r="Q500" s="20">
        <v>49.9</v>
      </c>
      <c r="R500" s="20">
        <v>53.03</v>
      </c>
      <c r="S500" s="20">
        <v>53</v>
      </c>
      <c r="T500" s="20">
        <v>-0.03</v>
      </c>
      <c r="U500" s="26">
        <v>0</v>
      </c>
      <c r="V500" s="20">
        <v>870.02</v>
      </c>
    </row>
    <row r="501" spans="1:22" ht="16.8" x14ac:dyDescent="0.3">
      <c r="A501" s="20">
        <v>50.1</v>
      </c>
      <c r="B501" s="20">
        <v>53</v>
      </c>
      <c r="C501" s="20">
        <v>52.86</v>
      </c>
      <c r="D501" s="20">
        <v>0.14000000000000001</v>
      </c>
      <c r="E501" s="20">
        <v>0.09</v>
      </c>
      <c r="F501" s="20">
        <v>1248.9000000000001</v>
      </c>
      <c r="Q501" s="20">
        <v>50</v>
      </c>
      <c r="R501" s="20">
        <v>53.03</v>
      </c>
      <c r="S501" s="26">
        <v>53</v>
      </c>
      <c r="T501" s="26">
        <v>-0.03</v>
      </c>
      <c r="U501" s="26">
        <v>0</v>
      </c>
      <c r="V501" s="20">
        <v>869.95</v>
      </c>
    </row>
    <row r="502" spans="1:22" ht="16.8" x14ac:dyDescent="0.3">
      <c r="A502" s="20">
        <v>50.2</v>
      </c>
      <c r="B502" s="20">
        <v>53</v>
      </c>
      <c r="C502" s="20">
        <v>52.97</v>
      </c>
      <c r="D502" s="20">
        <v>0.03</v>
      </c>
      <c r="E502" s="20">
        <v>-0.11</v>
      </c>
      <c r="F502" s="20">
        <v>1129.1500000000001</v>
      </c>
      <c r="Q502" s="20">
        <v>50.1</v>
      </c>
      <c r="R502" s="20">
        <v>53.02</v>
      </c>
      <c r="S502" s="20">
        <v>53</v>
      </c>
      <c r="T502" s="20">
        <v>-0.02</v>
      </c>
      <c r="U502" s="26">
        <v>0.01</v>
      </c>
      <c r="V502" s="20">
        <v>871.36</v>
      </c>
    </row>
    <row r="503" spans="1:22" ht="16.8" x14ac:dyDescent="0.3">
      <c r="A503" s="20">
        <v>50.3</v>
      </c>
      <c r="B503" s="20">
        <v>53</v>
      </c>
      <c r="C503" s="20">
        <v>52.79</v>
      </c>
      <c r="D503" s="20">
        <v>0.21</v>
      </c>
      <c r="E503" s="20">
        <v>0.19</v>
      </c>
      <c r="F503" s="20">
        <v>1358.97</v>
      </c>
      <c r="Q503" s="20">
        <v>50.2</v>
      </c>
      <c r="R503" s="20">
        <v>53.1</v>
      </c>
      <c r="S503" s="26">
        <v>53</v>
      </c>
      <c r="T503" s="26">
        <v>-0.1</v>
      </c>
      <c r="U503" s="26">
        <v>-0.08</v>
      </c>
      <c r="V503" s="20">
        <v>856.37</v>
      </c>
    </row>
    <row r="504" spans="1:22" ht="16.8" x14ac:dyDescent="0.3">
      <c r="A504" s="20">
        <v>50.4</v>
      </c>
      <c r="B504" s="20">
        <v>53</v>
      </c>
      <c r="C504" s="20">
        <v>52.99</v>
      </c>
      <c r="D504" s="20">
        <v>0.01</v>
      </c>
      <c r="E504" s="20">
        <v>-0.21</v>
      </c>
      <c r="F504" s="20">
        <v>1108.81</v>
      </c>
      <c r="Q504" s="20">
        <v>50.3</v>
      </c>
      <c r="R504" s="20">
        <v>53.06</v>
      </c>
      <c r="S504" s="20">
        <v>53</v>
      </c>
      <c r="T504" s="20">
        <v>-0.06</v>
      </c>
      <c r="U504" s="26">
        <v>0.04</v>
      </c>
      <c r="V504" s="20">
        <v>865.44</v>
      </c>
    </row>
    <row r="505" spans="1:22" ht="16.8" x14ac:dyDescent="0.3">
      <c r="A505" s="20">
        <v>50.5</v>
      </c>
      <c r="B505" s="20">
        <v>53</v>
      </c>
      <c r="C505" s="20">
        <v>52.8</v>
      </c>
      <c r="D505" s="20">
        <v>0.2</v>
      </c>
      <c r="E505" s="20">
        <v>0.19</v>
      </c>
      <c r="F505" s="20">
        <v>1367.74</v>
      </c>
      <c r="Q505" s="20">
        <v>50.4</v>
      </c>
      <c r="R505" s="20">
        <v>53.05</v>
      </c>
      <c r="S505" s="20">
        <v>53</v>
      </c>
      <c r="T505" s="20">
        <v>-0.05</v>
      </c>
      <c r="U505" s="20">
        <v>0.01</v>
      </c>
      <c r="V505" s="20">
        <v>865.81</v>
      </c>
    </row>
    <row r="506" spans="1:22" ht="16.8" x14ac:dyDescent="0.3">
      <c r="A506" s="20">
        <v>50.6</v>
      </c>
      <c r="B506" s="20">
        <v>53</v>
      </c>
      <c r="C506" s="20">
        <v>53.03</v>
      </c>
      <c r="D506" s="20">
        <v>-0.03</v>
      </c>
      <c r="E506" s="20">
        <v>-0.23</v>
      </c>
      <c r="F506" s="20">
        <v>1092.0899999999999</v>
      </c>
      <c r="Q506" s="20">
        <v>50.5</v>
      </c>
      <c r="R506" s="20">
        <v>53.02</v>
      </c>
      <c r="S506" s="26">
        <v>53</v>
      </c>
      <c r="T506" s="26">
        <v>-0.02</v>
      </c>
      <c r="U506" s="26">
        <v>0.03</v>
      </c>
      <c r="V506" s="20">
        <v>871.39</v>
      </c>
    </row>
    <row r="507" spans="1:22" ht="16.8" x14ac:dyDescent="0.3">
      <c r="A507" s="20">
        <v>50.7</v>
      </c>
      <c r="B507" s="20">
        <v>53</v>
      </c>
      <c r="C507" s="20">
        <v>52.81</v>
      </c>
      <c r="D507" s="20">
        <v>0.19</v>
      </c>
      <c r="E507" s="20">
        <v>0.22</v>
      </c>
      <c r="F507" s="20">
        <v>1393.74</v>
      </c>
      <c r="Q507" s="20">
        <v>50.6</v>
      </c>
      <c r="R507" s="20">
        <v>53.02</v>
      </c>
      <c r="S507" s="20">
        <v>53</v>
      </c>
      <c r="T507" s="20">
        <v>-0.02</v>
      </c>
      <c r="U507" s="26">
        <v>0</v>
      </c>
      <c r="V507" s="20">
        <v>870.57</v>
      </c>
    </row>
    <row r="508" spans="1:22" ht="16.8" x14ac:dyDescent="0.3">
      <c r="A508" s="20">
        <v>50.8</v>
      </c>
      <c r="B508" s="20">
        <v>53</v>
      </c>
      <c r="C508" s="20">
        <v>53.03</v>
      </c>
      <c r="D508" s="20">
        <v>-0.03</v>
      </c>
      <c r="E508" s="20">
        <v>-0.22</v>
      </c>
      <c r="F508" s="20">
        <v>1092.23</v>
      </c>
      <c r="Q508" s="20">
        <v>50.7</v>
      </c>
      <c r="R508" s="20">
        <v>52.99</v>
      </c>
      <c r="S508" s="26">
        <v>53</v>
      </c>
      <c r="T508" s="26">
        <v>0.01</v>
      </c>
      <c r="U508" s="26">
        <v>0.03</v>
      </c>
      <c r="V508" s="20">
        <v>876.42</v>
      </c>
    </row>
    <row r="509" spans="1:22" ht="16.8" x14ac:dyDescent="0.3">
      <c r="A509" s="20">
        <v>50.9</v>
      </c>
      <c r="B509" s="20">
        <v>53</v>
      </c>
      <c r="C509" s="20">
        <v>52.82</v>
      </c>
      <c r="D509" s="20">
        <v>0.18</v>
      </c>
      <c r="E509" s="20">
        <v>0.2</v>
      </c>
      <c r="F509" s="20">
        <v>1376.45</v>
      </c>
      <c r="Q509" s="20">
        <v>50.8</v>
      </c>
      <c r="R509" s="20">
        <v>52.98</v>
      </c>
      <c r="S509" s="20">
        <v>53</v>
      </c>
      <c r="T509" s="20">
        <v>0.02</v>
      </c>
      <c r="U509" s="26">
        <v>0.01</v>
      </c>
      <c r="V509" s="20">
        <v>877.15</v>
      </c>
    </row>
    <row r="510" spans="1:22" ht="16.8" x14ac:dyDescent="0.3">
      <c r="A510" s="20">
        <v>51</v>
      </c>
      <c r="B510" s="20">
        <v>53</v>
      </c>
      <c r="C510" s="20">
        <v>53.03</v>
      </c>
      <c r="D510" s="20">
        <v>-0.03</v>
      </c>
      <c r="E510" s="20">
        <v>-0.2</v>
      </c>
      <c r="F510" s="20">
        <v>1092.48</v>
      </c>
      <c r="Q510" s="20">
        <v>50.9</v>
      </c>
      <c r="R510" s="20">
        <v>53.08</v>
      </c>
      <c r="S510" s="26">
        <v>53</v>
      </c>
      <c r="T510" s="26">
        <v>-0.08</v>
      </c>
      <c r="U510" s="26">
        <v>-0.1</v>
      </c>
      <c r="V510" s="20">
        <v>859.3</v>
      </c>
    </row>
    <row r="511" spans="1:22" ht="16.8" x14ac:dyDescent="0.3">
      <c r="A511" s="20">
        <v>51.1</v>
      </c>
      <c r="B511" s="20">
        <v>53</v>
      </c>
      <c r="C511" s="20">
        <v>52.86</v>
      </c>
      <c r="D511" s="20">
        <v>0.14000000000000001</v>
      </c>
      <c r="E511" s="20">
        <v>0.17</v>
      </c>
      <c r="F511" s="20">
        <v>1341.15</v>
      </c>
      <c r="Q511" s="20">
        <v>51</v>
      </c>
      <c r="R511" s="20">
        <v>53.03</v>
      </c>
      <c r="S511" s="20">
        <v>53</v>
      </c>
      <c r="T511" s="20">
        <v>-0.03</v>
      </c>
      <c r="U511" s="26">
        <v>0.05</v>
      </c>
      <c r="V511" s="20">
        <v>870.29</v>
      </c>
    </row>
    <row r="512" spans="1:22" ht="16.8" x14ac:dyDescent="0.3">
      <c r="A512" s="20">
        <v>51.2</v>
      </c>
      <c r="B512" s="20">
        <v>53</v>
      </c>
      <c r="C512" s="20">
        <v>53.04</v>
      </c>
      <c r="D512" s="20">
        <v>-0.04</v>
      </c>
      <c r="E512" s="20">
        <v>-0.19</v>
      </c>
      <c r="F512" s="20">
        <v>1088.17</v>
      </c>
      <c r="Q512" s="20">
        <v>51.1</v>
      </c>
      <c r="R512" s="20">
        <v>53.05</v>
      </c>
      <c r="S512" s="26">
        <v>53</v>
      </c>
      <c r="T512" s="26">
        <v>-0.05</v>
      </c>
      <c r="U512" s="26">
        <v>-0.02</v>
      </c>
      <c r="V512" s="20">
        <v>866.11</v>
      </c>
    </row>
    <row r="513" spans="1:22" ht="16.8" x14ac:dyDescent="0.3">
      <c r="A513" s="20">
        <v>51.3</v>
      </c>
      <c r="B513" s="20">
        <v>53</v>
      </c>
      <c r="C513" s="20">
        <v>52.89</v>
      </c>
      <c r="D513" s="20">
        <v>0.11</v>
      </c>
      <c r="E513" s="20">
        <v>0.15</v>
      </c>
      <c r="F513" s="20">
        <v>1318.29</v>
      </c>
      <c r="Q513" s="20">
        <v>51.2</v>
      </c>
      <c r="R513" s="20">
        <v>53.02</v>
      </c>
      <c r="S513" s="20">
        <v>53</v>
      </c>
      <c r="T513" s="20">
        <v>-0.02</v>
      </c>
      <c r="U513" s="26">
        <v>0.02</v>
      </c>
      <c r="V513" s="20">
        <v>870.82</v>
      </c>
    </row>
    <row r="514" spans="1:22" ht="16.8" x14ac:dyDescent="0.3">
      <c r="A514" s="20">
        <v>51.4</v>
      </c>
      <c r="B514" s="20">
        <v>53</v>
      </c>
      <c r="C514" s="20">
        <v>53.07</v>
      </c>
      <c r="D514" s="20">
        <v>-7.0000000000000007E-2</v>
      </c>
      <c r="E514" s="20">
        <v>-0.17</v>
      </c>
      <c r="F514" s="20">
        <v>1081.8699999999999</v>
      </c>
      <c r="Q514" s="20">
        <v>51.3</v>
      </c>
      <c r="R514" s="20">
        <v>53.02</v>
      </c>
      <c r="S514" s="20">
        <v>53</v>
      </c>
      <c r="T514" s="26">
        <v>-0.02</v>
      </c>
      <c r="U514" s="20">
        <v>0</v>
      </c>
      <c r="V514" s="20">
        <v>870.19</v>
      </c>
    </row>
    <row r="515" spans="1:22" ht="16.8" x14ac:dyDescent="0.3">
      <c r="A515" s="20">
        <v>51.5</v>
      </c>
      <c r="B515" s="20">
        <v>53</v>
      </c>
      <c r="C515" s="20">
        <v>52.91</v>
      </c>
      <c r="D515" s="20">
        <v>0.09</v>
      </c>
      <c r="E515" s="20">
        <v>0.15</v>
      </c>
      <c r="F515" s="20">
        <v>1322.92</v>
      </c>
      <c r="Q515" s="20">
        <v>51.4</v>
      </c>
      <c r="R515" s="20">
        <v>53.05</v>
      </c>
      <c r="S515" s="26">
        <v>53</v>
      </c>
      <c r="T515" s="20">
        <v>-0.05</v>
      </c>
      <c r="U515" s="26">
        <v>-0.02</v>
      </c>
      <c r="V515" s="20">
        <v>865.72</v>
      </c>
    </row>
    <row r="516" spans="1:22" ht="16.8" x14ac:dyDescent="0.3">
      <c r="A516" s="20">
        <v>51.6</v>
      </c>
      <c r="B516" s="20">
        <v>53</v>
      </c>
      <c r="C516" s="20">
        <v>53.05</v>
      </c>
      <c r="D516" s="20">
        <v>-0.05</v>
      </c>
      <c r="E516" s="20">
        <v>-0.14000000000000001</v>
      </c>
      <c r="F516" s="20">
        <v>1085.76</v>
      </c>
      <c r="Q516" s="20">
        <v>51.5</v>
      </c>
      <c r="R516" s="20">
        <v>53.01</v>
      </c>
      <c r="S516" s="20">
        <v>53</v>
      </c>
      <c r="T516" s="20">
        <v>-0.01</v>
      </c>
      <c r="U516" s="20">
        <v>0.03</v>
      </c>
      <c r="V516" s="20">
        <v>872.09</v>
      </c>
    </row>
    <row r="517" spans="1:22" ht="16.8" x14ac:dyDescent="0.3">
      <c r="A517" s="20">
        <v>51.7</v>
      </c>
      <c r="B517" s="20">
        <v>53</v>
      </c>
      <c r="C517" s="20">
        <v>52.95</v>
      </c>
      <c r="D517" s="20">
        <v>0.05</v>
      </c>
      <c r="E517" s="20">
        <v>0.1</v>
      </c>
      <c r="F517" s="20">
        <v>1264.6199999999999</v>
      </c>
      <c r="Q517" s="20">
        <v>51.6</v>
      </c>
      <c r="R517" s="20">
        <v>53.05</v>
      </c>
      <c r="S517" s="26">
        <v>53</v>
      </c>
      <c r="T517" s="26">
        <v>-0.05</v>
      </c>
      <c r="U517" s="26">
        <v>-0.03</v>
      </c>
      <c r="V517" s="20">
        <v>865.39</v>
      </c>
    </row>
    <row r="518" spans="1:22" ht="16.8" x14ac:dyDescent="0.3">
      <c r="A518" s="20">
        <v>51.8</v>
      </c>
      <c r="B518" s="20">
        <v>53</v>
      </c>
      <c r="C518" s="20">
        <v>52.97</v>
      </c>
      <c r="D518" s="20">
        <v>0.03</v>
      </c>
      <c r="E518" s="20">
        <v>-0.02</v>
      </c>
      <c r="F518" s="20">
        <v>1127.78</v>
      </c>
      <c r="Q518" s="20">
        <v>51.7</v>
      </c>
      <c r="R518" s="20">
        <v>53.08</v>
      </c>
      <c r="S518" s="20">
        <v>53</v>
      </c>
      <c r="T518" s="20">
        <v>-0.08</v>
      </c>
      <c r="U518" s="20">
        <v>-0.03</v>
      </c>
      <c r="V518" s="20">
        <v>860.16</v>
      </c>
    </row>
    <row r="519" spans="1:22" ht="16.8" x14ac:dyDescent="0.3">
      <c r="A519" s="20">
        <v>51.9</v>
      </c>
      <c r="B519" s="20">
        <v>53</v>
      </c>
      <c r="C519" s="20">
        <v>52.97</v>
      </c>
      <c r="D519" s="20">
        <v>0.03</v>
      </c>
      <c r="E519" s="20">
        <v>0</v>
      </c>
      <c r="F519" s="20">
        <v>1127.75</v>
      </c>
      <c r="Q519" s="20">
        <v>51.8</v>
      </c>
      <c r="R519" s="20">
        <v>53.07</v>
      </c>
      <c r="S519" s="26">
        <v>53</v>
      </c>
      <c r="T519" s="26">
        <v>-7.0000000000000007E-2</v>
      </c>
      <c r="U519" s="26">
        <v>0.01</v>
      </c>
      <c r="V519" s="20">
        <v>862.23</v>
      </c>
    </row>
    <row r="520" spans="1:22" ht="16.8" x14ac:dyDescent="0.3">
      <c r="A520" s="20">
        <v>52</v>
      </c>
      <c r="B520" s="20">
        <v>53</v>
      </c>
      <c r="C520" s="20">
        <v>53</v>
      </c>
      <c r="D520" s="20">
        <v>0</v>
      </c>
      <c r="E520" s="20">
        <v>-0.03</v>
      </c>
      <c r="F520" s="20">
        <v>1099.72</v>
      </c>
      <c r="Q520" s="20">
        <v>51.9</v>
      </c>
      <c r="R520" s="20">
        <v>53.16</v>
      </c>
      <c r="S520" s="20">
        <v>53</v>
      </c>
      <c r="T520" s="20">
        <v>-0.16</v>
      </c>
      <c r="U520" s="26">
        <v>-0.09</v>
      </c>
      <c r="V520" s="20">
        <v>845.65</v>
      </c>
    </row>
    <row r="521" spans="1:22" ht="16.8" x14ac:dyDescent="0.3">
      <c r="A521" s="20">
        <v>52.1</v>
      </c>
      <c r="B521" s="20">
        <v>53</v>
      </c>
      <c r="C521" s="20">
        <v>53</v>
      </c>
      <c r="D521" s="20">
        <v>0</v>
      </c>
      <c r="E521" s="20">
        <v>0</v>
      </c>
      <c r="F521" s="20">
        <v>1099.72</v>
      </c>
      <c r="Q521" s="20">
        <v>52</v>
      </c>
      <c r="R521" s="20">
        <v>53.26</v>
      </c>
      <c r="S521" s="26">
        <v>53</v>
      </c>
      <c r="T521" s="26">
        <v>-0.26</v>
      </c>
      <c r="U521" s="20">
        <v>-0.1</v>
      </c>
      <c r="V521" s="20">
        <v>828.25</v>
      </c>
    </row>
    <row r="522" spans="1:22" ht="16.8" x14ac:dyDescent="0.3">
      <c r="A522" s="20">
        <v>52.2</v>
      </c>
      <c r="B522" s="20">
        <v>53</v>
      </c>
      <c r="C522" s="20">
        <v>53.05</v>
      </c>
      <c r="D522" s="20">
        <v>-0.05</v>
      </c>
      <c r="E522" s="20">
        <v>-0.04</v>
      </c>
      <c r="F522" s="20">
        <v>1088.72</v>
      </c>
      <c r="Q522" s="20">
        <v>52.1</v>
      </c>
      <c r="R522" s="20">
        <v>53.3</v>
      </c>
      <c r="S522" s="20">
        <v>53</v>
      </c>
      <c r="T522" s="20">
        <v>-0.3</v>
      </c>
      <c r="U522" s="26">
        <v>-0.04</v>
      </c>
      <c r="V522" s="20">
        <v>822.78</v>
      </c>
    </row>
    <row r="523" spans="1:22" ht="16.8" x14ac:dyDescent="0.3">
      <c r="A523" s="20">
        <v>52.3</v>
      </c>
      <c r="B523" s="20">
        <v>53</v>
      </c>
      <c r="C523" s="20">
        <v>52.98</v>
      </c>
      <c r="D523" s="20">
        <v>0.02</v>
      </c>
      <c r="E523" s="20">
        <v>0.06</v>
      </c>
      <c r="F523" s="20">
        <v>1203.68</v>
      </c>
      <c r="Q523" s="20">
        <v>52.2</v>
      </c>
      <c r="R523" s="20">
        <v>53.42</v>
      </c>
      <c r="S523" s="20">
        <v>53</v>
      </c>
      <c r="T523" s="26">
        <v>-0.42</v>
      </c>
      <c r="U523" s="20">
        <v>-0.12</v>
      </c>
      <c r="V523" s="20">
        <v>800.93</v>
      </c>
    </row>
    <row r="524" spans="1:22" ht="16.8" x14ac:dyDescent="0.3">
      <c r="A524" s="20">
        <v>52.4</v>
      </c>
      <c r="B524" s="20">
        <v>53</v>
      </c>
      <c r="C524" s="20">
        <v>53.08</v>
      </c>
      <c r="D524" s="20">
        <v>-0.08</v>
      </c>
      <c r="E524" s="20">
        <v>-0.1</v>
      </c>
      <c r="F524" s="20">
        <v>1079.53</v>
      </c>
      <c r="Q524" s="20">
        <v>52.3</v>
      </c>
      <c r="R524" s="20">
        <v>53.5</v>
      </c>
      <c r="S524" s="26">
        <v>53</v>
      </c>
      <c r="T524" s="20">
        <v>-0.5</v>
      </c>
      <c r="U524" s="26">
        <v>-0.08</v>
      </c>
      <c r="V524" s="20">
        <v>788.11</v>
      </c>
    </row>
    <row r="525" spans="1:22" ht="16.8" x14ac:dyDescent="0.3">
      <c r="A525" s="20">
        <v>52.5</v>
      </c>
      <c r="B525" s="20">
        <v>53</v>
      </c>
      <c r="C525" s="20">
        <v>53.03</v>
      </c>
      <c r="D525" s="20">
        <v>-0.03</v>
      </c>
      <c r="E525" s="20">
        <v>0.05</v>
      </c>
      <c r="F525" s="20">
        <v>1177.1600000000001</v>
      </c>
      <c r="Q525" s="20">
        <v>52.4</v>
      </c>
      <c r="R525" s="20">
        <v>53.58</v>
      </c>
      <c r="S525" s="20">
        <v>53</v>
      </c>
      <c r="T525" s="20">
        <v>-0.57999999999999996</v>
      </c>
      <c r="U525" s="20">
        <v>-7.0000000000000007E-2</v>
      </c>
      <c r="V525" s="20">
        <v>775.61</v>
      </c>
    </row>
    <row r="526" spans="1:22" ht="16.8" x14ac:dyDescent="0.3">
      <c r="A526" s="20">
        <v>52.6</v>
      </c>
      <c r="B526" s="20">
        <v>53</v>
      </c>
      <c r="C526" s="20">
        <v>53.04</v>
      </c>
      <c r="D526" s="20">
        <v>-0.04</v>
      </c>
      <c r="E526" s="20">
        <v>0</v>
      </c>
      <c r="F526" s="20">
        <v>1090.74</v>
      </c>
      <c r="Q526" s="20">
        <v>52.5</v>
      </c>
      <c r="R526" s="20">
        <v>53.59</v>
      </c>
      <c r="S526" s="26">
        <v>53</v>
      </c>
      <c r="T526" s="26">
        <v>-0.59</v>
      </c>
      <c r="U526" s="26">
        <v>-0.01</v>
      </c>
      <c r="V526" s="20">
        <v>774.55</v>
      </c>
    </row>
    <row r="527" spans="1:22" ht="16.8" x14ac:dyDescent="0.3">
      <c r="A527" s="20">
        <v>52.7</v>
      </c>
      <c r="B527" s="20">
        <v>53</v>
      </c>
      <c r="C527" s="20">
        <v>53.04</v>
      </c>
      <c r="D527" s="20">
        <v>-0.04</v>
      </c>
      <c r="E527" s="20">
        <v>0</v>
      </c>
      <c r="F527" s="20">
        <v>1090.74</v>
      </c>
      <c r="Q527" s="20">
        <v>52.6</v>
      </c>
      <c r="R527" s="20">
        <v>53.62</v>
      </c>
      <c r="S527" s="20">
        <v>53</v>
      </c>
      <c r="T527" s="20">
        <v>-0.62</v>
      </c>
      <c r="U527" s="26">
        <v>-0.03</v>
      </c>
      <c r="V527" s="20">
        <v>767.49</v>
      </c>
    </row>
    <row r="528" spans="1:22" ht="16.8" x14ac:dyDescent="0.3">
      <c r="A528" s="20">
        <v>52.8</v>
      </c>
      <c r="B528" s="20">
        <v>53</v>
      </c>
      <c r="C528" s="20">
        <v>53.04</v>
      </c>
      <c r="D528" s="20">
        <v>-0.04</v>
      </c>
      <c r="E528" s="20">
        <v>0</v>
      </c>
      <c r="F528" s="20">
        <v>1090.74</v>
      </c>
      <c r="Q528" s="20">
        <v>52.7</v>
      </c>
      <c r="R528" s="20">
        <v>53.69</v>
      </c>
      <c r="S528" s="26">
        <v>53</v>
      </c>
      <c r="T528" s="26">
        <v>-0.69</v>
      </c>
      <c r="U528" s="26">
        <v>-7.0000000000000007E-2</v>
      </c>
      <c r="V528" s="20">
        <v>753.58</v>
      </c>
    </row>
    <row r="529" spans="1:22" ht="16.8" x14ac:dyDescent="0.3">
      <c r="A529" s="20">
        <v>52.9</v>
      </c>
      <c r="B529" s="20">
        <v>53</v>
      </c>
      <c r="C529" s="20">
        <v>53.01</v>
      </c>
      <c r="D529" s="20">
        <v>-0.01</v>
      </c>
      <c r="E529" s="20">
        <v>0.03</v>
      </c>
      <c r="F529" s="20">
        <v>1157.81</v>
      </c>
      <c r="Q529" s="20">
        <v>52.8</v>
      </c>
      <c r="R529" s="20">
        <v>53.65</v>
      </c>
      <c r="S529" s="20">
        <v>53</v>
      </c>
      <c r="T529" s="20">
        <v>-0.65</v>
      </c>
      <c r="U529" s="26">
        <v>0.04</v>
      </c>
      <c r="V529" s="20">
        <v>761.1</v>
      </c>
    </row>
    <row r="530" spans="1:22" ht="16.8" x14ac:dyDescent="0.3">
      <c r="A530" s="20">
        <v>53</v>
      </c>
      <c r="B530" s="20">
        <v>53</v>
      </c>
      <c r="C530" s="20">
        <v>53.02</v>
      </c>
      <c r="D530" s="20">
        <v>-0.02</v>
      </c>
      <c r="E530" s="20">
        <v>-0.02</v>
      </c>
      <c r="F530" s="20">
        <v>1094.6600000000001</v>
      </c>
      <c r="Q530" s="20">
        <v>52.9</v>
      </c>
      <c r="R530" s="20">
        <v>53.63</v>
      </c>
      <c r="S530" s="26">
        <v>53</v>
      </c>
      <c r="T530" s="26">
        <v>-0.63</v>
      </c>
      <c r="U530" s="20">
        <v>0.02</v>
      </c>
      <c r="V530" s="20">
        <v>763.07</v>
      </c>
    </row>
    <row r="531" spans="1:22" ht="16.8" x14ac:dyDescent="0.3">
      <c r="A531" s="20">
        <v>53.1</v>
      </c>
      <c r="B531" s="20">
        <v>53</v>
      </c>
      <c r="C531" s="20">
        <v>53.01</v>
      </c>
      <c r="D531" s="20">
        <v>-0.01</v>
      </c>
      <c r="E531" s="20">
        <v>0.02</v>
      </c>
      <c r="F531" s="20">
        <v>1129.52</v>
      </c>
      <c r="Q531" s="20">
        <v>53</v>
      </c>
      <c r="R531" s="20">
        <v>53.67</v>
      </c>
      <c r="S531" s="20">
        <v>53</v>
      </c>
      <c r="T531" s="20">
        <v>-0.67</v>
      </c>
      <c r="U531" s="26">
        <v>-0.04</v>
      </c>
      <c r="V531" s="20">
        <v>753.67</v>
      </c>
    </row>
    <row r="532" spans="1:22" ht="16.8" x14ac:dyDescent="0.3">
      <c r="A532" s="20">
        <v>53.2</v>
      </c>
      <c r="B532" s="20">
        <v>53</v>
      </c>
      <c r="C532" s="20">
        <v>53.01</v>
      </c>
      <c r="D532" s="20">
        <v>-0.01</v>
      </c>
      <c r="E532" s="20">
        <v>0</v>
      </c>
      <c r="F532" s="20">
        <v>1098.71</v>
      </c>
      <c r="Q532" s="20">
        <v>53.1</v>
      </c>
      <c r="R532" s="20">
        <v>53.65</v>
      </c>
      <c r="S532" s="26">
        <v>53</v>
      </c>
      <c r="T532" s="26">
        <v>-0.65</v>
      </c>
      <c r="U532" s="20">
        <v>0.02</v>
      </c>
      <c r="V532" s="20">
        <v>756.06</v>
      </c>
    </row>
    <row r="533" spans="1:22" ht="16.8" x14ac:dyDescent="0.3">
      <c r="A533" s="20">
        <v>53.3</v>
      </c>
      <c r="B533" s="20">
        <v>53</v>
      </c>
      <c r="C533" s="20">
        <v>53.05</v>
      </c>
      <c r="D533" s="20">
        <v>-0.05</v>
      </c>
      <c r="E533" s="20">
        <v>-0.04</v>
      </c>
      <c r="F533" s="20">
        <v>1088.74</v>
      </c>
      <c r="Q533" s="20">
        <v>53.2</v>
      </c>
      <c r="R533" s="20">
        <v>53.62</v>
      </c>
      <c r="S533" s="20">
        <v>53</v>
      </c>
      <c r="T533" s="20">
        <v>-0.62</v>
      </c>
      <c r="U533" s="26">
        <v>0.03</v>
      </c>
      <c r="V533" s="20">
        <v>760.07</v>
      </c>
    </row>
    <row r="534" spans="1:22" ht="16.8" x14ac:dyDescent="0.3">
      <c r="A534" s="20">
        <v>53.4</v>
      </c>
      <c r="B534" s="20">
        <v>53</v>
      </c>
      <c r="C534" s="20">
        <v>53.02</v>
      </c>
      <c r="D534" s="20">
        <v>-0.02</v>
      </c>
      <c r="E534" s="20">
        <v>0.03</v>
      </c>
      <c r="F534" s="20">
        <v>1147.96</v>
      </c>
      <c r="Q534" s="20">
        <v>53.3</v>
      </c>
      <c r="R534" s="20">
        <v>53.66</v>
      </c>
      <c r="S534" s="26">
        <v>53</v>
      </c>
      <c r="T534" s="26">
        <v>-0.66</v>
      </c>
      <c r="U534" s="20">
        <v>-0.04</v>
      </c>
      <c r="V534" s="20">
        <v>750.51</v>
      </c>
    </row>
    <row r="535" spans="1:22" ht="16.8" x14ac:dyDescent="0.3">
      <c r="A535" s="20">
        <v>53.5</v>
      </c>
      <c r="B535" s="20">
        <v>53</v>
      </c>
      <c r="C535" s="20">
        <v>52.98</v>
      </c>
      <c r="D535" s="20">
        <v>0.02</v>
      </c>
      <c r="E535" s="20">
        <v>0.03</v>
      </c>
      <c r="F535" s="20">
        <v>1159.08</v>
      </c>
      <c r="Q535" s="20">
        <v>53.4</v>
      </c>
      <c r="R535" s="20">
        <v>53.64</v>
      </c>
      <c r="S535" s="20">
        <v>53</v>
      </c>
      <c r="T535" s="20">
        <v>-0.64</v>
      </c>
      <c r="U535" s="26">
        <v>0.02</v>
      </c>
      <c r="V535" s="20">
        <v>752.91</v>
      </c>
    </row>
    <row r="536" spans="1:22" ht="16.8" x14ac:dyDescent="0.3">
      <c r="A536" s="20">
        <v>53.6</v>
      </c>
      <c r="B536" s="20">
        <v>53</v>
      </c>
      <c r="C536" s="20">
        <v>52.99</v>
      </c>
      <c r="D536" s="20">
        <v>0.01</v>
      </c>
      <c r="E536" s="20">
        <v>-0.01</v>
      </c>
      <c r="F536" s="20">
        <v>1107.3399999999999</v>
      </c>
      <c r="Q536" s="20">
        <v>53.5</v>
      </c>
      <c r="R536" s="20">
        <v>53.56</v>
      </c>
      <c r="S536" s="20">
        <v>53</v>
      </c>
      <c r="T536" s="26">
        <v>-0.56000000000000005</v>
      </c>
      <c r="U536" s="20">
        <v>0.08</v>
      </c>
      <c r="V536" s="20">
        <v>765.8</v>
      </c>
    </row>
    <row r="537" spans="1:22" ht="16.8" x14ac:dyDescent="0.3">
      <c r="A537" s="20">
        <v>53.7</v>
      </c>
      <c r="B537" s="20">
        <v>53</v>
      </c>
      <c r="C537" s="20">
        <v>53.01</v>
      </c>
      <c r="D537" s="20">
        <v>-0.01</v>
      </c>
      <c r="E537" s="20">
        <v>-0.01</v>
      </c>
      <c r="F537" s="20">
        <v>1098.71</v>
      </c>
      <c r="Q537" s="20">
        <v>53.6</v>
      </c>
      <c r="R537" s="20">
        <v>53.59</v>
      </c>
      <c r="S537" s="26">
        <v>53</v>
      </c>
      <c r="T537" s="20">
        <v>-0.59</v>
      </c>
      <c r="U537" s="26">
        <v>-0.03</v>
      </c>
      <c r="V537" s="20">
        <v>756.67</v>
      </c>
    </row>
    <row r="538" spans="1:22" ht="16.8" x14ac:dyDescent="0.3">
      <c r="A538" s="20">
        <v>53.8</v>
      </c>
      <c r="B538" s="20">
        <v>53</v>
      </c>
      <c r="C538" s="20">
        <v>52.97</v>
      </c>
      <c r="D538" s="20">
        <v>0.03</v>
      </c>
      <c r="E538" s="20">
        <v>0.03</v>
      </c>
      <c r="F538" s="20">
        <v>1159.06</v>
      </c>
      <c r="Q538" s="20">
        <v>53.7</v>
      </c>
      <c r="R538" s="20">
        <v>53.55</v>
      </c>
      <c r="S538" s="20">
        <v>53</v>
      </c>
      <c r="T538" s="26">
        <v>-0.55000000000000004</v>
      </c>
      <c r="U538" s="26">
        <v>0.05</v>
      </c>
      <c r="V538" s="20">
        <v>764.93</v>
      </c>
    </row>
    <row r="539" spans="1:22" ht="16.8" x14ac:dyDescent="0.3">
      <c r="A539" s="20">
        <v>53.9</v>
      </c>
      <c r="B539" s="20">
        <v>53</v>
      </c>
      <c r="C539" s="20">
        <v>53.01</v>
      </c>
      <c r="D539" s="20">
        <v>-0.01</v>
      </c>
      <c r="E539" s="20">
        <v>-0.04</v>
      </c>
      <c r="F539" s="20">
        <v>1096.6600000000001</v>
      </c>
      <c r="Q539" s="20">
        <v>53.8</v>
      </c>
      <c r="R539" s="20">
        <v>53.66</v>
      </c>
      <c r="S539" s="26">
        <v>53</v>
      </c>
      <c r="T539" s="20">
        <v>-0.66</v>
      </c>
      <c r="U539" s="26">
        <v>-0.11</v>
      </c>
      <c r="V539" s="20">
        <v>741.87</v>
      </c>
    </row>
    <row r="540" spans="1:22" ht="16.8" x14ac:dyDescent="0.3">
      <c r="A540" s="20">
        <v>54</v>
      </c>
      <c r="B540" s="20">
        <v>53</v>
      </c>
      <c r="C540" s="20">
        <v>52.99</v>
      </c>
      <c r="D540" s="20">
        <v>0.01</v>
      </c>
      <c r="E540" s="20">
        <v>0.02</v>
      </c>
      <c r="F540" s="20">
        <v>1138.0999999999999</v>
      </c>
      <c r="Q540" s="20">
        <v>53.9</v>
      </c>
      <c r="R540" s="20">
        <v>53.56</v>
      </c>
      <c r="S540" s="20">
        <v>53</v>
      </c>
      <c r="T540" s="26">
        <v>-0.56000000000000005</v>
      </c>
      <c r="U540" s="26">
        <v>0.1</v>
      </c>
      <c r="V540" s="20">
        <v>760.76</v>
      </c>
    </row>
    <row r="541" spans="1:22" ht="16.8" x14ac:dyDescent="0.3">
      <c r="A541" s="20">
        <v>54.1</v>
      </c>
      <c r="B541" s="20">
        <v>53</v>
      </c>
      <c r="C541" s="20">
        <v>53</v>
      </c>
      <c r="D541" s="20">
        <v>0</v>
      </c>
      <c r="E541" s="20">
        <v>-0.01</v>
      </c>
      <c r="F541" s="20">
        <v>1099.72</v>
      </c>
      <c r="Q541" s="20">
        <v>54</v>
      </c>
      <c r="R541" s="20">
        <v>53.48</v>
      </c>
      <c r="S541" s="26">
        <v>53</v>
      </c>
      <c r="T541" s="20">
        <v>-0.48</v>
      </c>
      <c r="U541" s="20">
        <v>0.08</v>
      </c>
      <c r="V541" s="20">
        <v>771.9</v>
      </c>
    </row>
    <row r="542" spans="1:22" ht="16.8" x14ac:dyDescent="0.3">
      <c r="A542" s="20">
        <v>54.2</v>
      </c>
      <c r="B542" s="20">
        <v>53</v>
      </c>
      <c r="C542" s="20">
        <v>52.94</v>
      </c>
      <c r="D542" s="20">
        <v>0.06</v>
      </c>
      <c r="E542" s="20">
        <v>0.06</v>
      </c>
      <c r="F542" s="20">
        <v>1197.6199999999999</v>
      </c>
      <c r="Q542" s="20">
        <v>54.1</v>
      </c>
      <c r="R542" s="20">
        <v>53.46</v>
      </c>
      <c r="S542" s="20">
        <v>53</v>
      </c>
      <c r="T542" s="26">
        <v>-0.46</v>
      </c>
      <c r="U542" s="26">
        <v>0.02</v>
      </c>
      <c r="V542" s="20">
        <v>773.28</v>
      </c>
    </row>
    <row r="543" spans="1:22" ht="16.8" x14ac:dyDescent="0.3">
      <c r="A543" s="20">
        <v>54.3</v>
      </c>
      <c r="B543" s="20">
        <v>53</v>
      </c>
      <c r="C543" s="20">
        <v>52.94</v>
      </c>
      <c r="D543" s="20">
        <v>0.06</v>
      </c>
      <c r="E543" s="20">
        <v>0</v>
      </c>
      <c r="F543" s="20">
        <v>1154.5</v>
      </c>
      <c r="Q543" s="20">
        <v>54.2</v>
      </c>
      <c r="R543" s="20">
        <v>53.51</v>
      </c>
      <c r="S543" s="26">
        <v>53</v>
      </c>
      <c r="T543" s="20">
        <v>-0.51</v>
      </c>
      <c r="U543" s="20">
        <v>-0.06</v>
      </c>
      <c r="V543" s="20">
        <v>761.33</v>
      </c>
    </row>
    <row r="544" spans="1:22" ht="16.8" x14ac:dyDescent="0.3">
      <c r="A544" s="20">
        <v>54.4</v>
      </c>
      <c r="B544" s="20">
        <v>53</v>
      </c>
      <c r="C544" s="20">
        <v>52.96</v>
      </c>
      <c r="D544" s="20">
        <v>0.04</v>
      </c>
      <c r="E544" s="20">
        <v>-0.02</v>
      </c>
      <c r="F544" s="20">
        <v>1139.47</v>
      </c>
      <c r="Q544" s="20">
        <v>54.3</v>
      </c>
      <c r="R544" s="20">
        <v>53.47</v>
      </c>
      <c r="S544" s="20">
        <v>53</v>
      </c>
      <c r="T544" s="26">
        <v>-0.47</v>
      </c>
      <c r="U544" s="26">
        <v>0.04</v>
      </c>
      <c r="V544" s="20">
        <v>768.88</v>
      </c>
    </row>
    <row r="545" spans="1:22" ht="16.8" x14ac:dyDescent="0.3">
      <c r="A545" s="20">
        <v>54.5</v>
      </c>
      <c r="B545" s="20">
        <v>53</v>
      </c>
      <c r="C545" s="20">
        <v>52.96</v>
      </c>
      <c r="D545" s="20">
        <v>0.04</v>
      </c>
      <c r="E545" s="20">
        <v>0</v>
      </c>
      <c r="F545" s="20">
        <v>1139.47</v>
      </c>
      <c r="Q545" s="20">
        <v>54.4</v>
      </c>
      <c r="R545" s="20">
        <v>53.45</v>
      </c>
      <c r="S545" s="20">
        <v>53</v>
      </c>
      <c r="T545" s="20">
        <v>-0.45</v>
      </c>
      <c r="U545" s="20">
        <v>0.02</v>
      </c>
      <c r="V545" s="20">
        <v>771.25</v>
      </c>
    </row>
    <row r="546" spans="1:22" ht="16.8" x14ac:dyDescent="0.3">
      <c r="A546" s="20">
        <v>54.6</v>
      </c>
      <c r="B546" s="20">
        <v>53</v>
      </c>
      <c r="C546" s="20">
        <v>52.94</v>
      </c>
      <c r="D546" s="20">
        <v>0.06</v>
      </c>
      <c r="E546" s="20">
        <v>0.02</v>
      </c>
      <c r="F546" s="20">
        <v>1161.79</v>
      </c>
      <c r="Q546" s="20">
        <v>54.5</v>
      </c>
      <c r="R546" s="20">
        <v>53.46</v>
      </c>
      <c r="S546" s="26">
        <v>53</v>
      </c>
      <c r="T546" s="26">
        <v>-0.46</v>
      </c>
      <c r="U546" s="26">
        <v>-0.01</v>
      </c>
      <c r="V546" s="20">
        <v>768.16</v>
      </c>
    </row>
    <row r="547" spans="1:22" ht="16.8" x14ac:dyDescent="0.3">
      <c r="A547" s="20">
        <v>54.7</v>
      </c>
      <c r="B547" s="20">
        <v>53</v>
      </c>
      <c r="C547" s="20">
        <v>52.96</v>
      </c>
      <c r="D547" s="20">
        <v>0.04</v>
      </c>
      <c r="E547" s="20">
        <v>-0.02</v>
      </c>
      <c r="F547" s="20">
        <v>1143.28</v>
      </c>
      <c r="Q547" s="20">
        <v>54.6</v>
      </c>
      <c r="R547" s="20">
        <v>53.41</v>
      </c>
      <c r="S547" s="20">
        <v>53</v>
      </c>
      <c r="T547" s="20">
        <v>-0.41</v>
      </c>
      <c r="U547" s="20">
        <v>0.05</v>
      </c>
      <c r="V547" s="20">
        <v>776.15</v>
      </c>
    </row>
    <row r="548" spans="1:22" ht="16.8" x14ac:dyDescent="0.3">
      <c r="A548" s="20">
        <v>54.8</v>
      </c>
      <c r="B548" s="20">
        <v>53</v>
      </c>
      <c r="C548" s="20">
        <v>52.98</v>
      </c>
      <c r="D548" s="20">
        <v>0.02</v>
      </c>
      <c r="E548" s="20">
        <v>-0.02</v>
      </c>
      <c r="F548" s="20">
        <v>1123.8</v>
      </c>
      <c r="Q548" s="20">
        <v>54.7</v>
      </c>
      <c r="R548" s="20">
        <v>53.39</v>
      </c>
      <c r="S548" s="26">
        <v>53</v>
      </c>
      <c r="T548" s="26">
        <v>-0.39</v>
      </c>
      <c r="U548" s="26">
        <v>0.02</v>
      </c>
      <c r="V548" s="20">
        <v>777</v>
      </c>
    </row>
    <row r="549" spans="1:22" ht="16.8" x14ac:dyDescent="0.3">
      <c r="A549" s="20">
        <v>54.9</v>
      </c>
      <c r="B549" s="20">
        <v>53</v>
      </c>
      <c r="C549" s="20">
        <v>52.92</v>
      </c>
      <c r="D549" s="20">
        <v>0.08</v>
      </c>
      <c r="E549" s="20">
        <v>0.06</v>
      </c>
      <c r="F549" s="20">
        <v>1203.67</v>
      </c>
      <c r="Q549" s="20">
        <v>54.8</v>
      </c>
      <c r="R549" s="20">
        <v>53.4</v>
      </c>
      <c r="S549" s="20">
        <v>53</v>
      </c>
      <c r="T549" s="20">
        <v>-0.4</v>
      </c>
      <c r="U549" s="26">
        <v>-0.01</v>
      </c>
      <c r="V549" s="20">
        <v>774.24</v>
      </c>
    </row>
    <row r="550" spans="1:22" ht="16.8" x14ac:dyDescent="0.3">
      <c r="A550" s="20">
        <v>55</v>
      </c>
      <c r="B550" s="20">
        <v>53</v>
      </c>
      <c r="C550" s="20">
        <v>52.91</v>
      </c>
      <c r="D550" s="20">
        <v>0.09</v>
      </c>
      <c r="E550" s="20">
        <v>0.01</v>
      </c>
      <c r="F550" s="20">
        <v>1186.27</v>
      </c>
      <c r="Q550" s="20">
        <v>54.9</v>
      </c>
      <c r="R550" s="20">
        <v>53.37</v>
      </c>
      <c r="S550" s="26">
        <v>53</v>
      </c>
      <c r="T550" s="20">
        <v>-0.37</v>
      </c>
      <c r="U550" s="20">
        <v>0.03</v>
      </c>
      <c r="V550" s="20">
        <v>779.41</v>
      </c>
    </row>
    <row r="551" spans="1:22" ht="16.8" x14ac:dyDescent="0.3">
      <c r="A551" s="20">
        <v>55.1</v>
      </c>
      <c r="B551" s="20">
        <v>53</v>
      </c>
      <c r="C551" s="20">
        <v>52.91</v>
      </c>
      <c r="D551" s="20">
        <v>0.09</v>
      </c>
      <c r="E551" s="20">
        <v>0</v>
      </c>
      <c r="F551" s="20">
        <v>1182.8599999999999</v>
      </c>
      <c r="Q551" s="20">
        <v>55</v>
      </c>
      <c r="R551" s="20">
        <v>53.34</v>
      </c>
      <c r="S551" s="20">
        <v>53</v>
      </c>
      <c r="T551" s="26">
        <v>-0.34</v>
      </c>
      <c r="U551" s="26">
        <v>0.03</v>
      </c>
      <c r="V551" s="20">
        <v>783.69</v>
      </c>
    </row>
    <row r="552" spans="1:22" ht="16.8" x14ac:dyDescent="0.3">
      <c r="A552" s="20">
        <v>55.2</v>
      </c>
      <c r="B552" s="20">
        <v>53</v>
      </c>
      <c r="C552" s="20">
        <v>52.93</v>
      </c>
      <c r="D552" s="20">
        <v>7.0000000000000007E-2</v>
      </c>
      <c r="E552" s="20">
        <v>-0.02</v>
      </c>
      <c r="F552" s="20">
        <v>1165.3800000000001</v>
      </c>
      <c r="Q552" s="20">
        <v>55.1</v>
      </c>
      <c r="R552" s="20">
        <v>53.32</v>
      </c>
      <c r="S552" s="26">
        <v>53</v>
      </c>
      <c r="T552" s="20">
        <v>-0.32</v>
      </c>
      <c r="U552" s="26">
        <v>0.02</v>
      </c>
      <c r="V552" s="20">
        <v>785.1</v>
      </c>
    </row>
    <row r="553" spans="1:22" ht="16.8" x14ac:dyDescent="0.3">
      <c r="A553" s="20">
        <v>55.3</v>
      </c>
      <c r="B553" s="20">
        <v>53</v>
      </c>
      <c r="C553" s="20">
        <v>52.93</v>
      </c>
      <c r="D553" s="20">
        <v>7.0000000000000007E-2</v>
      </c>
      <c r="E553" s="20">
        <v>0</v>
      </c>
      <c r="F553" s="20">
        <v>1168.95</v>
      </c>
      <c r="Q553" s="20">
        <v>55.2</v>
      </c>
      <c r="R553" s="20">
        <v>53.33</v>
      </c>
      <c r="S553" s="20">
        <v>53</v>
      </c>
      <c r="T553" s="26">
        <v>-0.33</v>
      </c>
      <c r="U553" s="26">
        <v>-0.01</v>
      </c>
      <c r="V553" s="20">
        <v>782.5</v>
      </c>
    </row>
    <row r="554" spans="1:22" ht="16.8" x14ac:dyDescent="0.3">
      <c r="A554" s="20">
        <v>55.4</v>
      </c>
      <c r="B554" s="20">
        <v>53</v>
      </c>
      <c r="C554" s="20">
        <v>52.92</v>
      </c>
      <c r="D554" s="20">
        <v>0.08</v>
      </c>
      <c r="E554" s="20">
        <v>0.01</v>
      </c>
      <c r="F554" s="20">
        <v>1175.96</v>
      </c>
      <c r="Q554" s="20">
        <v>55.3</v>
      </c>
      <c r="R554" s="20">
        <v>53.34</v>
      </c>
      <c r="S554" s="26">
        <v>53</v>
      </c>
      <c r="T554" s="20">
        <v>-0.34</v>
      </c>
      <c r="U554" s="26">
        <v>-0.01</v>
      </c>
      <c r="V554" s="20">
        <v>780.46</v>
      </c>
    </row>
    <row r="555" spans="1:22" ht="16.8" x14ac:dyDescent="0.3">
      <c r="A555" s="20">
        <v>55.5</v>
      </c>
      <c r="B555" s="20">
        <v>53</v>
      </c>
      <c r="C555" s="20">
        <v>52.92</v>
      </c>
      <c r="D555" s="20">
        <v>0.08</v>
      </c>
      <c r="E555" s="20">
        <v>0</v>
      </c>
      <c r="F555" s="20">
        <v>1175.96</v>
      </c>
      <c r="Q555" s="20">
        <v>55.4</v>
      </c>
      <c r="R555" s="20">
        <v>53.4</v>
      </c>
      <c r="S555" s="20">
        <v>53</v>
      </c>
      <c r="T555" s="26">
        <v>-0.4</v>
      </c>
      <c r="U555" s="26">
        <v>-0.06</v>
      </c>
      <c r="V555" s="20">
        <v>768.09</v>
      </c>
    </row>
    <row r="556" spans="1:22" ht="16.8" x14ac:dyDescent="0.3">
      <c r="A556" s="20">
        <v>55.6</v>
      </c>
      <c r="B556" s="20">
        <v>53</v>
      </c>
      <c r="C556" s="20">
        <v>52.9</v>
      </c>
      <c r="D556" s="20">
        <v>0.1</v>
      </c>
      <c r="E556" s="20">
        <v>0.02</v>
      </c>
      <c r="F556" s="20">
        <v>1189.6500000000001</v>
      </c>
      <c r="Q556" s="20">
        <v>55.5</v>
      </c>
      <c r="R556" s="20">
        <v>53.31</v>
      </c>
      <c r="S556" s="26">
        <v>53</v>
      </c>
      <c r="T556" s="20">
        <v>-0.31</v>
      </c>
      <c r="U556" s="26">
        <v>0.09</v>
      </c>
      <c r="V556" s="20">
        <v>784.94</v>
      </c>
    </row>
    <row r="557" spans="1:22" ht="16.8" x14ac:dyDescent="0.3">
      <c r="A557" s="20">
        <v>55.7</v>
      </c>
      <c r="B557" s="20">
        <v>53</v>
      </c>
      <c r="C557" s="20">
        <v>52.89</v>
      </c>
      <c r="D557" s="20">
        <v>0.11</v>
      </c>
      <c r="E557" s="20">
        <v>0.01</v>
      </c>
      <c r="F557" s="20">
        <v>1199.6199999999999</v>
      </c>
      <c r="Q557" s="20">
        <v>55.6</v>
      </c>
      <c r="R557" s="20">
        <v>53.25</v>
      </c>
      <c r="S557" s="20">
        <v>53</v>
      </c>
      <c r="T557" s="26">
        <v>-0.25</v>
      </c>
      <c r="U557" s="26">
        <v>0.06</v>
      </c>
      <c r="V557" s="20">
        <v>793.89</v>
      </c>
    </row>
    <row r="558" spans="1:22" ht="16.8" x14ac:dyDescent="0.3">
      <c r="A558" s="20">
        <v>55.8</v>
      </c>
      <c r="B558" s="20">
        <v>53</v>
      </c>
      <c r="C558" s="20">
        <v>52.94</v>
      </c>
      <c r="D558" s="20">
        <v>0.06</v>
      </c>
      <c r="E558" s="20">
        <v>-0.04</v>
      </c>
      <c r="F558" s="20">
        <v>1161.8800000000001</v>
      </c>
      <c r="Q558" s="20">
        <v>55.7</v>
      </c>
      <c r="R558" s="20">
        <v>53.26</v>
      </c>
      <c r="S558" s="26">
        <v>53</v>
      </c>
      <c r="T558" s="20">
        <v>-0.26</v>
      </c>
      <c r="U558" s="20">
        <v>-0.02</v>
      </c>
      <c r="V558" s="20">
        <v>788.83</v>
      </c>
    </row>
    <row r="559" spans="1:22" ht="16.8" x14ac:dyDescent="0.3">
      <c r="A559" s="20">
        <v>55.9</v>
      </c>
      <c r="B559" s="20">
        <v>53</v>
      </c>
      <c r="C559" s="20">
        <v>52.94</v>
      </c>
      <c r="D559" s="20">
        <v>0.06</v>
      </c>
      <c r="E559" s="20">
        <v>0</v>
      </c>
      <c r="F559" s="20">
        <v>1161.79</v>
      </c>
      <c r="Q559" s="20">
        <v>55.8</v>
      </c>
      <c r="R559" s="20">
        <v>53.29</v>
      </c>
      <c r="S559" s="20">
        <v>53</v>
      </c>
      <c r="T559" s="26">
        <v>-0.28999999999999998</v>
      </c>
      <c r="U559" s="26">
        <v>-0.02</v>
      </c>
      <c r="V559" s="20">
        <v>784.19</v>
      </c>
    </row>
    <row r="560" spans="1:22" ht="16.8" x14ac:dyDescent="0.3">
      <c r="A560" s="20">
        <v>56</v>
      </c>
      <c r="B560" s="20">
        <v>53</v>
      </c>
      <c r="C560" s="20">
        <v>52.89</v>
      </c>
      <c r="D560" s="20">
        <v>0.11</v>
      </c>
      <c r="E560" s="20">
        <v>0.05</v>
      </c>
      <c r="F560" s="20">
        <v>1202.8800000000001</v>
      </c>
      <c r="Q560" s="20">
        <v>55.9</v>
      </c>
      <c r="R560" s="20">
        <v>53.29</v>
      </c>
      <c r="S560" s="20">
        <v>53</v>
      </c>
      <c r="T560" s="20">
        <v>-0.28999999999999998</v>
      </c>
      <c r="U560" s="20">
        <v>0</v>
      </c>
      <c r="V560" s="20">
        <v>784.11</v>
      </c>
    </row>
    <row r="561" spans="1:22" ht="16.8" x14ac:dyDescent="0.3">
      <c r="A561" s="20">
        <v>56.1</v>
      </c>
      <c r="B561" s="20">
        <v>53</v>
      </c>
      <c r="C561" s="20">
        <v>52.92</v>
      </c>
      <c r="D561" s="20">
        <v>0.08</v>
      </c>
      <c r="E561" s="20">
        <v>-0.04</v>
      </c>
      <c r="F561" s="20">
        <v>1172.48</v>
      </c>
      <c r="Q561" s="20">
        <v>56</v>
      </c>
      <c r="R561" s="20">
        <v>53.26</v>
      </c>
      <c r="S561" s="26">
        <v>53</v>
      </c>
      <c r="T561" s="20">
        <v>-0.26</v>
      </c>
      <c r="U561" s="26">
        <v>0.02</v>
      </c>
      <c r="V561" s="20">
        <v>787.87</v>
      </c>
    </row>
    <row r="562" spans="1:22" ht="16.8" x14ac:dyDescent="0.3">
      <c r="A562" s="20">
        <v>56.2</v>
      </c>
      <c r="B562" s="20">
        <v>53</v>
      </c>
      <c r="C562" s="20">
        <v>52.92</v>
      </c>
      <c r="D562" s="20">
        <v>0.08</v>
      </c>
      <c r="E562" s="20">
        <v>0</v>
      </c>
      <c r="F562" s="20">
        <v>1175.96</v>
      </c>
      <c r="Q562" s="20">
        <v>56.1</v>
      </c>
      <c r="R562" s="20">
        <v>53.25</v>
      </c>
      <c r="S562" s="20">
        <v>53</v>
      </c>
      <c r="T562" s="26">
        <v>-0.25</v>
      </c>
      <c r="U562" s="20">
        <v>0.01</v>
      </c>
      <c r="V562" s="20">
        <v>788.16</v>
      </c>
    </row>
    <row r="563" spans="1:22" ht="16.8" x14ac:dyDescent="0.3">
      <c r="A563" s="20">
        <v>56.3</v>
      </c>
      <c r="B563" s="20">
        <v>53</v>
      </c>
      <c r="C563" s="20">
        <v>52.94</v>
      </c>
      <c r="D563" s="20">
        <v>0.06</v>
      </c>
      <c r="E563" s="20">
        <v>-0.02</v>
      </c>
      <c r="F563" s="20">
        <v>1154.5</v>
      </c>
      <c r="Q563" s="20">
        <v>56.2</v>
      </c>
      <c r="R563" s="20">
        <v>53.25</v>
      </c>
      <c r="S563" s="26">
        <v>53</v>
      </c>
      <c r="T563" s="20">
        <v>-0.25</v>
      </c>
      <c r="U563" s="26">
        <v>0</v>
      </c>
      <c r="V563" s="20">
        <v>787.38</v>
      </c>
    </row>
    <row r="564" spans="1:22" ht="16.8" x14ac:dyDescent="0.3">
      <c r="A564" s="20">
        <v>56.4</v>
      </c>
      <c r="B564" s="20">
        <v>53</v>
      </c>
      <c r="C564" s="20">
        <v>52.94</v>
      </c>
      <c r="D564" s="20">
        <v>0.06</v>
      </c>
      <c r="E564" s="20">
        <v>0</v>
      </c>
      <c r="F564" s="20">
        <v>1158.1600000000001</v>
      </c>
      <c r="Q564" s="20">
        <v>56.3</v>
      </c>
      <c r="R564" s="20">
        <v>53.18</v>
      </c>
      <c r="S564" s="20">
        <v>53</v>
      </c>
      <c r="T564" s="26">
        <v>-0.18</v>
      </c>
      <c r="U564" s="20">
        <v>7.0000000000000007E-2</v>
      </c>
      <c r="V564" s="20">
        <v>800.06</v>
      </c>
    </row>
    <row r="565" spans="1:22" ht="16.8" x14ac:dyDescent="0.3">
      <c r="A565" s="20">
        <v>56.5</v>
      </c>
      <c r="B565" s="20">
        <v>53</v>
      </c>
      <c r="C565" s="20">
        <v>52.92</v>
      </c>
      <c r="D565" s="20">
        <v>0.08</v>
      </c>
      <c r="E565" s="20">
        <v>0.02</v>
      </c>
      <c r="F565" s="20">
        <v>1175.96</v>
      </c>
      <c r="Q565" s="20">
        <v>56.4</v>
      </c>
      <c r="R565" s="20">
        <v>53.23</v>
      </c>
      <c r="S565" s="26">
        <v>53</v>
      </c>
      <c r="T565" s="20">
        <v>-0.23</v>
      </c>
      <c r="U565" s="26">
        <v>-0.05</v>
      </c>
      <c r="V565" s="20">
        <v>789.06</v>
      </c>
    </row>
    <row r="566" spans="1:22" ht="16.8" x14ac:dyDescent="0.3">
      <c r="A566" s="20">
        <v>56.6</v>
      </c>
      <c r="B566" s="20">
        <v>53</v>
      </c>
      <c r="C566" s="20">
        <v>52.96</v>
      </c>
      <c r="D566" s="20">
        <v>0.04</v>
      </c>
      <c r="E566" s="20">
        <v>-0.04</v>
      </c>
      <c r="F566" s="20">
        <v>1139.6199999999999</v>
      </c>
      <c r="Q566" s="20">
        <v>56.5</v>
      </c>
      <c r="R566" s="20">
        <v>53.21</v>
      </c>
      <c r="S566" s="20">
        <v>53</v>
      </c>
      <c r="T566" s="26">
        <v>-0.21</v>
      </c>
      <c r="U566" s="20">
        <v>0.02</v>
      </c>
      <c r="V566" s="20">
        <v>792.63</v>
      </c>
    </row>
    <row r="567" spans="1:22" ht="16.8" x14ac:dyDescent="0.3">
      <c r="A567" s="20">
        <v>56.7</v>
      </c>
      <c r="B567" s="20">
        <v>53</v>
      </c>
      <c r="C567" s="20">
        <v>52.92</v>
      </c>
      <c r="D567" s="20">
        <v>0.08</v>
      </c>
      <c r="E567" s="20">
        <v>0.04</v>
      </c>
      <c r="F567" s="20">
        <v>1179.44</v>
      </c>
      <c r="Q567" s="20">
        <v>56.6</v>
      </c>
      <c r="R567" s="20">
        <v>53.18</v>
      </c>
      <c r="S567" s="26">
        <v>53</v>
      </c>
      <c r="T567" s="20">
        <v>-0.18</v>
      </c>
      <c r="U567" s="26">
        <v>0.03</v>
      </c>
      <c r="V567" s="20">
        <v>797.65</v>
      </c>
    </row>
    <row r="568" spans="1:22" ht="16.8" x14ac:dyDescent="0.3">
      <c r="A568" s="20">
        <v>56.8</v>
      </c>
      <c r="B568" s="20">
        <v>53</v>
      </c>
      <c r="C568" s="20">
        <v>52.96</v>
      </c>
      <c r="D568" s="20">
        <v>0.04</v>
      </c>
      <c r="E568" s="20">
        <v>-0.04</v>
      </c>
      <c r="F568" s="20">
        <v>1143.42</v>
      </c>
      <c r="Q568" s="20">
        <v>56.7</v>
      </c>
      <c r="R568" s="20">
        <v>53.2</v>
      </c>
      <c r="S568" s="20">
        <v>53</v>
      </c>
      <c r="T568" s="26">
        <v>-0.2</v>
      </c>
      <c r="U568" s="20">
        <v>-0.02</v>
      </c>
      <c r="V568" s="20">
        <v>793.51</v>
      </c>
    </row>
    <row r="569" spans="1:22" ht="16.8" x14ac:dyDescent="0.3">
      <c r="A569" s="20">
        <v>56.9</v>
      </c>
      <c r="B569" s="20">
        <v>53</v>
      </c>
      <c r="C569" s="20">
        <v>52.91</v>
      </c>
      <c r="D569" s="20">
        <v>0.09</v>
      </c>
      <c r="E569" s="20">
        <v>0.05</v>
      </c>
      <c r="F569" s="20">
        <v>1186.27</v>
      </c>
      <c r="Q569" s="20">
        <v>56.8</v>
      </c>
      <c r="R569" s="20">
        <v>53.16</v>
      </c>
      <c r="S569" s="20">
        <v>53</v>
      </c>
      <c r="T569" s="20">
        <v>-0.16</v>
      </c>
      <c r="U569" s="26">
        <v>0.04</v>
      </c>
      <c r="V569" s="20">
        <v>800.82</v>
      </c>
    </row>
    <row r="570" spans="1:22" ht="16.8" x14ac:dyDescent="0.3">
      <c r="A570" s="20">
        <v>57</v>
      </c>
      <c r="B570" s="20">
        <v>53</v>
      </c>
      <c r="C570" s="20">
        <v>52.96</v>
      </c>
      <c r="D570" s="20">
        <v>0.04</v>
      </c>
      <c r="E570" s="20">
        <v>-0.05</v>
      </c>
      <c r="F570" s="20">
        <v>1143.54</v>
      </c>
      <c r="Q570" s="20">
        <v>56.9</v>
      </c>
      <c r="R570" s="20">
        <v>53.13</v>
      </c>
      <c r="S570" s="26">
        <v>53</v>
      </c>
      <c r="T570" s="26">
        <v>-0.13</v>
      </c>
      <c r="U570" s="20">
        <v>0.02</v>
      </c>
      <c r="V570" s="20">
        <v>803.91</v>
      </c>
    </row>
    <row r="571" spans="1:22" ht="16.8" x14ac:dyDescent="0.3">
      <c r="A571" s="20">
        <v>57.1</v>
      </c>
      <c r="B571" s="20">
        <v>53</v>
      </c>
      <c r="C571" s="20">
        <v>52.97</v>
      </c>
      <c r="D571" s="20">
        <v>0.03</v>
      </c>
      <c r="E571" s="20">
        <v>-0.01</v>
      </c>
      <c r="F571" s="20">
        <v>1131.7</v>
      </c>
      <c r="Q571" s="20">
        <v>57</v>
      </c>
      <c r="R571" s="20">
        <v>53.16</v>
      </c>
      <c r="S571" s="20">
        <v>53</v>
      </c>
      <c r="T571" s="20">
        <v>-0.16</v>
      </c>
      <c r="U571" s="20">
        <v>-0.02</v>
      </c>
      <c r="V571" s="20">
        <v>798.6</v>
      </c>
    </row>
    <row r="572" spans="1:22" ht="16.8" x14ac:dyDescent="0.3">
      <c r="A572" s="20">
        <v>57.2</v>
      </c>
      <c r="B572" s="20">
        <v>53</v>
      </c>
      <c r="C572" s="20">
        <v>53.01</v>
      </c>
      <c r="D572" s="20">
        <v>-0.01</v>
      </c>
      <c r="E572" s="20">
        <v>-0.04</v>
      </c>
      <c r="F572" s="20">
        <v>1098.7</v>
      </c>
      <c r="Q572" s="20">
        <v>57.1</v>
      </c>
      <c r="R572" s="20">
        <v>53.17</v>
      </c>
      <c r="S572" s="26">
        <v>53</v>
      </c>
      <c r="T572" s="20">
        <v>-0.17</v>
      </c>
      <c r="U572" s="26">
        <v>-0.01</v>
      </c>
      <c r="V572" s="20">
        <v>797.34</v>
      </c>
    </row>
    <row r="573" spans="1:22" ht="16.8" x14ac:dyDescent="0.3">
      <c r="A573" s="20">
        <v>57.3</v>
      </c>
      <c r="B573" s="20">
        <v>53</v>
      </c>
      <c r="C573" s="20">
        <v>52.94</v>
      </c>
      <c r="D573" s="20">
        <v>0.06</v>
      </c>
      <c r="E573" s="20">
        <v>0.06</v>
      </c>
      <c r="F573" s="20">
        <v>1209.6199999999999</v>
      </c>
      <c r="Q573" s="20">
        <v>57.2</v>
      </c>
      <c r="R573" s="20">
        <v>53.15</v>
      </c>
      <c r="S573" s="20">
        <v>53</v>
      </c>
      <c r="T573" s="26">
        <v>-0.15</v>
      </c>
      <c r="U573" s="20">
        <v>0.02</v>
      </c>
      <c r="V573" s="20">
        <v>800.1</v>
      </c>
    </row>
    <row r="574" spans="1:22" ht="16.8" x14ac:dyDescent="0.3">
      <c r="A574" s="20">
        <v>57.4</v>
      </c>
      <c r="B574" s="20">
        <v>53</v>
      </c>
      <c r="C574" s="20">
        <v>53.01</v>
      </c>
      <c r="D574" s="20">
        <v>-0.01</v>
      </c>
      <c r="E574" s="20">
        <v>-0.06</v>
      </c>
      <c r="F574" s="20">
        <v>1098.68</v>
      </c>
      <c r="Q574" s="20">
        <v>57.3</v>
      </c>
      <c r="R574" s="20">
        <v>53.1</v>
      </c>
      <c r="S574" s="26">
        <v>53</v>
      </c>
      <c r="T574" s="20">
        <v>-0.1</v>
      </c>
      <c r="U574" s="26">
        <v>0.05</v>
      </c>
      <c r="V574" s="20">
        <v>808.21</v>
      </c>
    </row>
    <row r="575" spans="1:22" ht="16.8" x14ac:dyDescent="0.3">
      <c r="A575" s="20">
        <v>57.5</v>
      </c>
      <c r="B575" s="20">
        <v>53</v>
      </c>
      <c r="C575" s="20">
        <v>52.98</v>
      </c>
      <c r="D575" s="20">
        <v>0.02</v>
      </c>
      <c r="E575" s="20">
        <v>0.03</v>
      </c>
      <c r="F575" s="20">
        <v>1152.22</v>
      </c>
      <c r="Q575" s="20">
        <v>57.4</v>
      </c>
      <c r="R575" s="20">
        <v>53.14</v>
      </c>
      <c r="S575" s="20">
        <v>53</v>
      </c>
      <c r="T575" s="26">
        <v>-0.14000000000000001</v>
      </c>
      <c r="U575" s="20">
        <v>-0.04</v>
      </c>
      <c r="V575" s="20">
        <v>799.44</v>
      </c>
    </row>
    <row r="576" spans="1:22" ht="16.8" x14ac:dyDescent="0.3">
      <c r="A576" s="20">
        <v>57.6</v>
      </c>
      <c r="B576" s="20">
        <v>53</v>
      </c>
      <c r="C576" s="20">
        <v>52.97</v>
      </c>
      <c r="D576" s="20">
        <v>0.03</v>
      </c>
      <c r="E576" s="20">
        <v>0</v>
      </c>
      <c r="F576" s="20">
        <v>1127.75</v>
      </c>
      <c r="Q576" s="20">
        <v>57.5</v>
      </c>
      <c r="R576" s="20">
        <v>53.07</v>
      </c>
      <c r="S576" s="26">
        <v>53</v>
      </c>
      <c r="T576" s="20">
        <v>-7.0000000000000007E-2</v>
      </c>
      <c r="U576" s="26">
        <v>7.0000000000000007E-2</v>
      </c>
      <c r="V576" s="20">
        <v>813.36</v>
      </c>
    </row>
    <row r="577" spans="1:22" ht="16.8" x14ac:dyDescent="0.3">
      <c r="A577" s="20">
        <v>57.7</v>
      </c>
      <c r="B577" s="20">
        <v>53</v>
      </c>
      <c r="C577" s="20">
        <v>52.94</v>
      </c>
      <c r="D577" s="20">
        <v>0.06</v>
      </c>
      <c r="E577" s="20">
        <v>0.03</v>
      </c>
      <c r="F577" s="20">
        <v>1154.5</v>
      </c>
      <c r="Q577" s="20">
        <v>57.6</v>
      </c>
      <c r="R577" s="20">
        <v>53.11</v>
      </c>
      <c r="S577" s="20">
        <v>53</v>
      </c>
      <c r="T577" s="26">
        <v>-0.11</v>
      </c>
      <c r="U577" s="20">
        <v>-0.04</v>
      </c>
      <c r="V577" s="20">
        <v>804.08</v>
      </c>
    </row>
    <row r="578" spans="1:22" ht="16.8" x14ac:dyDescent="0.3">
      <c r="A578" s="20">
        <v>57.8</v>
      </c>
      <c r="B578" s="20">
        <v>53</v>
      </c>
      <c r="C578" s="20">
        <v>53.02</v>
      </c>
      <c r="D578" s="20">
        <v>-0.02</v>
      </c>
      <c r="E578" s="20">
        <v>-0.08</v>
      </c>
      <c r="F578" s="20">
        <v>1094.54</v>
      </c>
      <c r="Q578" s="20">
        <v>57.7</v>
      </c>
      <c r="R578" s="20">
        <v>53.08</v>
      </c>
      <c r="S578" s="26">
        <v>53</v>
      </c>
      <c r="T578" s="20">
        <v>-0.08</v>
      </c>
      <c r="U578" s="26">
        <v>0.03</v>
      </c>
      <c r="V578" s="20">
        <v>810.7</v>
      </c>
    </row>
    <row r="579" spans="1:22" ht="16.8" x14ac:dyDescent="0.3">
      <c r="A579" s="20">
        <v>57.9</v>
      </c>
      <c r="B579" s="20">
        <v>53</v>
      </c>
      <c r="C579" s="20">
        <v>52.97</v>
      </c>
      <c r="D579" s="20">
        <v>0.03</v>
      </c>
      <c r="E579" s="20">
        <v>0.05</v>
      </c>
      <c r="F579" s="20">
        <v>1185.23</v>
      </c>
      <c r="Q579" s="20">
        <v>57.8</v>
      </c>
      <c r="R579" s="20">
        <v>53.09</v>
      </c>
      <c r="S579" s="20">
        <v>53</v>
      </c>
      <c r="T579" s="20">
        <v>-0.09</v>
      </c>
      <c r="U579" s="20">
        <v>-0.02</v>
      </c>
      <c r="V579" s="20">
        <v>806.8</v>
      </c>
    </row>
    <row r="580" spans="1:22" ht="16.8" x14ac:dyDescent="0.3">
      <c r="A580" s="20">
        <v>58</v>
      </c>
      <c r="B580" s="20">
        <v>53</v>
      </c>
      <c r="C580" s="20">
        <v>52.93</v>
      </c>
      <c r="D580" s="20">
        <v>7.0000000000000007E-2</v>
      </c>
      <c r="E580" s="20">
        <v>0.04</v>
      </c>
      <c r="F580" s="20">
        <v>1172.43</v>
      </c>
      <c r="Q580" s="20">
        <v>57.9</v>
      </c>
      <c r="R580" s="20">
        <v>53.04</v>
      </c>
      <c r="S580" s="20">
        <v>53</v>
      </c>
      <c r="T580" s="26">
        <v>-0.04</v>
      </c>
      <c r="U580" s="26">
        <v>0.06</v>
      </c>
      <c r="V580" s="20">
        <v>817.29</v>
      </c>
    </row>
    <row r="581" spans="1:22" ht="16.8" x14ac:dyDescent="0.3">
      <c r="A581" s="20">
        <v>58.1</v>
      </c>
      <c r="B581" s="20">
        <v>53</v>
      </c>
      <c r="C581" s="20">
        <v>53</v>
      </c>
      <c r="D581" s="20">
        <v>0</v>
      </c>
      <c r="E581" s="20">
        <v>-0.06</v>
      </c>
      <c r="F581" s="20">
        <v>1103.1600000000001</v>
      </c>
      <c r="Q581" s="20">
        <v>58</v>
      </c>
      <c r="R581" s="20">
        <v>53.07</v>
      </c>
      <c r="S581" s="26">
        <v>53</v>
      </c>
      <c r="T581" s="20">
        <v>-7.0000000000000007E-2</v>
      </c>
      <c r="U581" s="20">
        <v>-0.03</v>
      </c>
      <c r="V581" s="20">
        <v>809.95</v>
      </c>
    </row>
    <row r="582" spans="1:22" ht="16.8" x14ac:dyDescent="0.3">
      <c r="A582" s="20">
        <v>58.2</v>
      </c>
      <c r="B582" s="20">
        <v>53</v>
      </c>
      <c r="C582" s="20">
        <v>52.97</v>
      </c>
      <c r="D582" s="20">
        <v>0.03</v>
      </c>
      <c r="E582" s="20">
        <v>0.02</v>
      </c>
      <c r="F582" s="20">
        <v>1145.21</v>
      </c>
      <c r="Q582" s="20">
        <v>58.1</v>
      </c>
      <c r="R582" s="20">
        <v>53.08</v>
      </c>
      <c r="S582" s="20">
        <v>53</v>
      </c>
      <c r="T582" s="26">
        <v>-0.08</v>
      </c>
      <c r="U582" s="26">
        <v>-0.01</v>
      </c>
      <c r="V582" s="20">
        <v>809.09</v>
      </c>
    </row>
    <row r="583" spans="1:22" ht="16.8" x14ac:dyDescent="0.3">
      <c r="A583" s="20">
        <v>58.3</v>
      </c>
      <c r="B583" s="20">
        <v>53</v>
      </c>
      <c r="C583" s="20">
        <v>52.99</v>
      </c>
      <c r="D583" s="20">
        <v>0.01</v>
      </c>
      <c r="E583" s="20">
        <v>-0.02</v>
      </c>
      <c r="F583" s="20">
        <v>1111.53</v>
      </c>
      <c r="Q583" s="20">
        <v>58.2</v>
      </c>
      <c r="R583" s="20">
        <v>53.05</v>
      </c>
      <c r="S583" s="26">
        <v>53</v>
      </c>
      <c r="T583" s="20">
        <v>-0.05</v>
      </c>
      <c r="U583" s="26">
        <v>0.02</v>
      </c>
      <c r="V583" s="20">
        <v>813.53</v>
      </c>
    </row>
    <row r="584" spans="1:22" ht="16.8" x14ac:dyDescent="0.3">
      <c r="A584" s="20">
        <v>58.4</v>
      </c>
      <c r="B584" s="20">
        <v>53</v>
      </c>
      <c r="C584" s="20">
        <v>52.98</v>
      </c>
      <c r="D584" s="20">
        <v>0.02</v>
      </c>
      <c r="E584" s="20">
        <v>0.01</v>
      </c>
      <c r="F584" s="20">
        <v>1123.78</v>
      </c>
      <c r="Q584" s="20">
        <v>58.3</v>
      </c>
      <c r="R584" s="20">
        <v>53.06</v>
      </c>
      <c r="S584" s="20">
        <v>53</v>
      </c>
      <c r="T584" s="26">
        <v>-0.06</v>
      </c>
      <c r="U584" s="26">
        <v>-0.01</v>
      </c>
      <c r="V584" s="20">
        <v>811.35</v>
      </c>
    </row>
    <row r="585" spans="1:22" ht="16.8" x14ac:dyDescent="0.3">
      <c r="A585" s="20">
        <v>58.5</v>
      </c>
      <c r="B585" s="20">
        <v>53</v>
      </c>
      <c r="C585" s="20">
        <v>52.94</v>
      </c>
      <c r="D585" s="20">
        <v>0.06</v>
      </c>
      <c r="E585" s="20">
        <v>0.04</v>
      </c>
      <c r="F585" s="20">
        <v>1165.79</v>
      </c>
      <c r="Q585" s="20">
        <v>58.4</v>
      </c>
      <c r="R585" s="20">
        <v>53.06</v>
      </c>
      <c r="S585" s="20">
        <v>53</v>
      </c>
      <c r="T585" s="20">
        <v>-0.06</v>
      </c>
      <c r="U585" s="26">
        <v>0</v>
      </c>
      <c r="V585" s="20">
        <v>811.4</v>
      </c>
    </row>
    <row r="586" spans="1:22" ht="16.8" x14ac:dyDescent="0.3">
      <c r="A586" s="20">
        <v>58.6</v>
      </c>
      <c r="B586" s="20">
        <v>53</v>
      </c>
      <c r="C586" s="20">
        <v>52.98</v>
      </c>
      <c r="D586" s="20">
        <v>0.02</v>
      </c>
      <c r="E586" s="20">
        <v>-0.04</v>
      </c>
      <c r="F586" s="20">
        <v>1123.8800000000001</v>
      </c>
      <c r="Q586" s="20">
        <v>58.5</v>
      </c>
      <c r="R586" s="20">
        <v>53.09</v>
      </c>
      <c r="S586" s="26">
        <v>53</v>
      </c>
      <c r="T586" s="26">
        <v>-0.09</v>
      </c>
      <c r="U586" s="26">
        <v>-0.03</v>
      </c>
      <c r="V586" s="20">
        <v>805.36</v>
      </c>
    </row>
    <row r="587" spans="1:22" ht="16.8" x14ac:dyDescent="0.3">
      <c r="A587" s="20">
        <v>58.7</v>
      </c>
      <c r="B587" s="20">
        <v>53</v>
      </c>
      <c r="C587" s="20">
        <v>52.99</v>
      </c>
      <c r="D587" s="20">
        <v>0.01</v>
      </c>
      <c r="E587" s="20">
        <v>-0.01</v>
      </c>
      <c r="F587" s="20">
        <v>1111.53</v>
      </c>
      <c r="Q587" s="20">
        <v>58.6</v>
      </c>
      <c r="R587" s="20">
        <v>53.09</v>
      </c>
      <c r="S587" s="20">
        <v>53</v>
      </c>
      <c r="T587" s="20">
        <v>-0.09</v>
      </c>
      <c r="U587" s="26">
        <v>0.01</v>
      </c>
      <c r="V587" s="20">
        <v>807.4</v>
      </c>
    </row>
    <row r="588" spans="1:22" ht="16.8" x14ac:dyDescent="0.3">
      <c r="A588" s="20">
        <v>58.8</v>
      </c>
      <c r="B588" s="20">
        <v>53</v>
      </c>
      <c r="C588" s="20">
        <v>53</v>
      </c>
      <c r="D588" s="20">
        <v>0</v>
      </c>
      <c r="E588" s="20">
        <v>-0.01</v>
      </c>
      <c r="F588" s="20">
        <v>1103.1099999999999</v>
      </c>
      <c r="Q588" s="20">
        <v>58.7</v>
      </c>
      <c r="R588" s="20">
        <v>53.06</v>
      </c>
      <c r="S588" s="26">
        <v>53</v>
      </c>
      <c r="T588" s="26">
        <v>-0.06</v>
      </c>
      <c r="U588" s="20">
        <v>0.02</v>
      </c>
      <c r="V588" s="20">
        <v>811.43</v>
      </c>
    </row>
    <row r="589" spans="1:22" ht="16.8" x14ac:dyDescent="0.3">
      <c r="A589" s="20">
        <v>58.9</v>
      </c>
      <c r="B589" s="20">
        <v>53</v>
      </c>
      <c r="C589" s="20">
        <v>52.99</v>
      </c>
      <c r="D589" s="20">
        <v>0.01</v>
      </c>
      <c r="E589" s="20">
        <v>0.01</v>
      </c>
      <c r="F589" s="20">
        <v>1115.74</v>
      </c>
      <c r="Q589" s="20">
        <v>58.8</v>
      </c>
      <c r="R589" s="20">
        <v>53.06</v>
      </c>
      <c r="S589" s="20">
        <v>53</v>
      </c>
      <c r="T589" s="20">
        <v>-0.06</v>
      </c>
      <c r="U589" s="26">
        <v>0</v>
      </c>
      <c r="V589" s="20">
        <v>810.71</v>
      </c>
    </row>
    <row r="590" spans="1:22" ht="16.8" x14ac:dyDescent="0.3">
      <c r="A590" s="20">
        <v>59</v>
      </c>
      <c r="B590" s="20">
        <v>53</v>
      </c>
      <c r="C590" s="20">
        <v>52.96</v>
      </c>
      <c r="D590" s="20">
        <v>0.04</v>
      </c>
      <c r="E590" s="20">
        <v>0.03</v>
      </c>
      <c r="F590" s="20">
        <v>1159.08</v>
      </c>
      <c r="Q590" s="20">
        <v>58.9</v>
      </c>
      <c r="R590" s="20">
        <v>53.08</v>
      </c>
      <c r="S590" s="26">
        <v>53</v>
      </c>
      <c r="T590" s="26">
        <v>-0.08</v>
      </c>
      <c r="U590" s="20">
        <v>-0.02</v>
      </c>
      <c r="V590" s="20">
        <v>807.62</v>
      </c>
    </row>
    <row r="591" spans="1:22" ht="16.8" x14ac:dyDescent="0.3">
      <c r="A591" s="20">
        <v>59.1</v>
      </c>
      <c r="B591" s="20">
        <v>53</v>
      </c>
      <c r="C591" s="20">
        <v>52.97</v>
      </c>
      <c r="D591" s="20">
        <v>0.03</v>
      </c>
      <c r="E591" s="20">
        <v>-0.01</v>
      </c>
      <c r="F591" s="20">
        <v>1131.7</v>
      </c>
      <c r="Q591" s="20">
        <v>59</v>
      </c>
      <c r="R591" s="20">
        <v>53.04</v>
      </c>
      <c r="S591" s="20">
        <v>53</v>
      </c>
      <c r="T591" s="20">
        <v>-0.04</v>
      </c>
      <c r="U591" s="26">
        <v>0.04</v>
      </c>
      <c r="V591" s="20">
        <v>815.2</v>
      </c>
    </row>
    <row r="592" spans="1:22" ht="16.8" x14ac:dyDescent="0.3">
      <c r="A592" s="20">
        <v>59.2</v>
      </c>
      <c r="B592" s="20">
        <v>53</v>
      </c>
      <c r="C592" s="20">
        <v>52.97</v>
      </c>
      <c r="D592" s="20">
        <v>0.03</v>
      </c>
      <c r="E592" s="20">
        <v>0</v>
      </c>
      <c r="F592" s="20">
        <v>1127.75</v>
      </c>
      <c r="Q592" s="20">
        <v>59.1</v>
      </c>
      <c r="R592" s="20">
        <v>53.09</v>
      </c>
      <c r="S592" s="26">
        <v>53</v>
      </c>
      <c r="T592" s="20">
        <v>-0.09</v>
      </c>
      <c r="U592" s="20">
        <v>-0.06</v>
      </c>
      <c r="V592" s="20">
        <v>803.82</v>
      </c>
    </row>
    <row r="593" spans="1:22" ht="16.8" x14ac:dyDescent="0.3">
      <c r="A593" s="20">
        <v>59.3</v>
      </c>
      <c r="B593" s="20">
        <v>53</v>
      </c>
      <c r="C593" s="20">
        <v>52.96</v>
      </c>
      <c r="D593" s="20">
        <v>0.04</v>
      </c>
      <c r="E593" s="20">
        <v>0.02</v>
      </c>
      <c r="F593" s="20">
        <v>1143.28</v>
      </c>
      <c r="Q593" s="20">
        <v>59.2</v>
      </c>
      <c r="R593" s="20">
        <v>53.03</v>
      </c>
      <c r="S593" s="20">
        <v>53</v>
      </c>
      <c r="T593" s="26">
        <v>-0.03</v>
      </c>
      <c r="U593" s="26">
        <v>0.06</v>
      </c>
      <c r="V593" s="20">
        <v>816.76</v>
      </c>
    </row>
    <row r="594" spans="1:22" ht="16.8" x14ac:dyDescent="0.3">
      <c r="A594" s="20">
        <v>59.4</v>
      </c>
      <c r="B594" s="20">
        <v>53</v>
      </c>
      <c r="C594" s="20">
        <v>52.98</v>
      </c>
      <c r="D594" s="20">
        <v>0.02</v>
      </c>
      <c r="E594" s="20">
        <v>-0.02</v>
      </c>
      <c r="F594" s="20">
        <v>1119.76</v>
      </c>
      <c r="Q594" s="20">
        <v>59.3</v>
      </c>
      <c r="R594" s="20">
        <v>53.07</v>
      </c>
      <c r="S594" s="26">
        <v>53</v>
      </c>
      <c r="T594" s="20">
        <v>-7.0000000000000007E-2</v>
      </c>
      <c r="U594" s="20">
        <v>-0.04</v>
      </c>
      <c r="V594" s="20">
        <v>807.77</v>
      </c>
    </row>
    <row r="595" spans="1:22" ht="16.8" x14ac:dyDescent="0.3">
      <c r="A595" s="20">
        <v>59.5</v>
      </c>
      <c r="B595" s="20">
        <v>53</v>
      </c>
      <c r="C595" s="20">
        <v>53.01</v>
      </c>
      <c r="D595" s="20">
        <v>-0.01</v>
      </c>
      <c r="E595" s="20">
        <v>-0.03</v>
      </c>
      <c r="F595" s="20">
        <v>1096.6600000000001</v>
      </c>
      <c r="Q595" s="20">
        <v>59.4</v>
      </c>
      <c r="R595" s="20">
        <v>52.97</v>
      </c>
      <c r="S595" s="20">
        <v>53</v>
      </c>
      <c r="T595" s="26">
        <v>0.03</v>
      </c>
      <c r="U595" s="26">
        <v>0.1</v>
      </c>
      <c r="V595" s="20">
        <v>826.27</v>
      </c>
    </row>
    <row r="596" spans="1:22" ht="16.8" x14ac:dyDescent="0.3">
      <c r="A596" s="20">
        <v>59.6</v>
      </c>
      <c r="B596" s="20">
        <v>53</v>
      </c>
      <c r="C596" s="20">
        <v>52.99</v>
      </c>
      <c r="D596" s="20">
        <v>0.01</v>
      </c>
      <c r="E596" s="20">
        <v>0.02</v>
      </c>
      <c r="F596" s="20">
        <v>1138.0999999999999</v>
      </c>
      <c r="Q596" s="20">
        <v>59.5</v>
      </c>
      <c r="R596" s="20">
        <v>53.01</v>
      </c>
      <c r="S596" s="20">
        <v>53</v>
      </c>
      <c r="T596" s="20">
        <v>-0.01</v>
      </c>
      <c r="U596" s="20">
        <v>-0.04</v>
      </c>
      <c r="V596" s="20">
        <v>816.64</v>
      </c>
    </row>
    <row r="597" spans="1:22" ht="16.8" x14ac:dyDescent="0.3">
      <c r="A597" s="20">
        <v>59.7</v>
      </c>
      <c r="B597" s="20">
        <v>53</v>
      </c>
      <c r="C597" s="20">
        <v>52.99</v>
      </c>
      <c r="D597" s="20">
        <v>0.01</v>
      </c>
      <c r="E597" s="20">
        <v>0</v>
      </c>
      <c r="F597" s="20">
        <v>1107.3399999999999</v>
      </c>
      <c r="Q597" s="20">
        <v>59.6</v>
      </c>
      <c r="R597" s="20">
        <v>53.03</v>
      </c>
      <c r="S597" s="26">
        <v>53</v>
      </c>
      <c r="T597" s="26">
        <v>-0.03</v>
      </c>
      <c r="U597" s="26">
        <v>-0.02</v>
      </c>
      <c r="V597" s="20">
        <v>814.63</v>
      </c>
    </row>
    <row r="598" spans="1:22" ht="16.8" x14ac:dyDescent="0.3">
      <c r="A598" s="20">
        <v>59.8</v>
      </c>
      <c r="B598" s="20">
        <v>53</v>
      </c>
      <c r="C598" s="20">
        <v>53</v>
      </c>
      <c r="D598" s="20">
        <v>0</v>
      </c>
      <c r="E598" s="20">
        <v>0</v>
      </c>
      <c r="F598" s="20">
        <v>1103.1099999999999</v>
      </c>
      <c r="Q598" s="20">
        <v>59.7</v>
      </c>
      <c r="R598" s="20">
        <v>53.04</v>
      </c>
      <c r="S598" s="20">
        <v>53</v>
      </c>
      <c r="T598" s="20">
        <v>-0.04</v>
      </c>
      <c r="U598" s="26">
        <v>-0.01</v>
      </c>
      <c r="V598" s="20">
        <v>813.47</v>
      </c>
    </row>
    <row r="599" spans="1:22" ht="16.8" x14ac:dyDescent="0.3">
      <c r="A599" s="20">
        <v>59.9</v>
      </c>
      <c r="B599" s="20">
        <v>53</v>
      </c>
      <c r="C599" s="20">
        <v>52.98</v>
      </c>
      <c r="D599" s="20">
        <v>0.02</v>
      </c>
      <c r="E599" s="20">
        <v>0.02</v>
      </c>
      <c r="F599" s="20">
        <v>1138.0999999999999</v>
      </c>
      <c r="Q599" s="20">
        <v>59.8</v>
      </c>
      <c r="R599" s="20">
        <v>53.01</v>
      </c>
      <c r="S599" s="26">
        <v>53</v>
      </c>
      <c r="T599" s="26">
        <v>-0.01</v>
      </c>
      <c r="U599" s="20">
        <v>0.03</v>
      </c>
      <c r="V599" s="20">
        <v>819.48</v>
      </c>
    </row>
    <row r="600" spans="1:22" ht="16.8" x14ac:dyDescent="0.3">
      <c r="A600" s="20">
        <v>60</v>
      </c>
      <c r="B600" s="20">
        <v>53</v>
      </c>
      <c r="C600" s="20">
        <v>52.97</v>
      </c>
      <c r="D600" s="20">
        <v>0.03</v>
      </c>
      <c r="E600" s="20">
        <v>0.01</v>
      </c>
      <c r="F600" s="20">
        <v>1131.7</v>
      </c>
      <c r="Q600" s="20">
        <v>59.9</v>
      </c>
      <c r="R600" s="20">
        <v>52.99</v>
      </c>
      <c r="S600" s="20">
        <v>53</v>
      </c>
      <c r="T600" s="20">
        <v>0.01</v>
      </c>
      <c r="U600" s="26">
        <v>0.02</v>
      </c>
      <c r="V600" s="20">
        <v>821.64</v>
      </c>
    </row>
    <row r="601" spans="1:22" ht="16.8" x14ac:dyDescent="0.3">
      <c r="A601" s="24">
        <v>60.1</v>
      </c>
      <c r="B601" s="24">
        <v>53</v>
      </c>
      <c r="C601" s="24">
        <v>52.94</v>
      </c>
      <c r="D601" s="24">
        <v>0.06</v>
      </c>
      <c r="E601" s="24">
        <v>0.03</v>
      </c>
      <c r="F601" s="24">
        <v>1161.79</v>
      </c>
      <c r="Q601" s="20">
        <v>60</v>
      </c>
      <c r="R601" s="20">
        <v>53.02</v>
      </c>
      <c r="S601" s="26">
        <v>53</v>
      </c>
      <c r="T601" s="26">
        <v>-0.02</v>
      </c>
      <c r="U601" s="20">
        <v>-0.03</v>
      </c>
      <c r="V601" s="20">
        <v>815.38</v>
      </c>
    </row>
    <row r="602" spans="1:22" ht="16.8" x14ac:dyDescent="0.3">
      <c r="A602" s="24">
        <v>60.1</v>
      </c>
      <c r="B602" s="24">
        <v>53</v>
      </c>
      <c r="C602" s="24">
        <v>53.36</v>
      </c>
      <c r="D602" s="24">
        <v>-0.36</v>
      </c>
      <c r="E602" s="24">
        <v>0.02</v>
      </c>
      <c r="F602" s="24">
        <v>1007.9</v>
      </c>
      <c r="Q602" s="24">
        <v>60.1</v>
      </c>
      <c r="R602" s="24">
        <v>53.01</v>
      </c>
      <c r="S602" s="24">
        <v>53</v>
      </c>
      <c r="T602" s="24">
        <v>-0.01</v>
      </c>
      <c r="U602" s="25">
        <v>0.02</v>
      </c>
      <c r="V602" s="24">
        <v>819.06</v>
      </c>
    </row>
  </sheetData>
  <mergeCells count="28">
    <mergeCell ref="X30:Y30"/>
    <mergeCell ref="X31:Y31"/>
    <mergeCell ref="X33:Y33"/>
    <mergeCell ref="X34:Y34"/>
    <mergeCell ref="X36:Z36"/>
    <mergeCell ref="X37:Z37"/>
    <mergeCell ref="H36:J36"/>
    <mergeCell ref="H37:J37"/>
    <mergeCell ref="X16:AA16"/>
    <mergeCell ref="Z17:AA17"/>
    <mergeCell ref="Z18:AA18"/>
    <mergeCell ref="X20:Z20"/>
    <mergeCell ref="X21:Z21"/>
    <mergeCell ref="X23:AA23"/>
    <mergeCell ref="Z24:AA24"/>
    <mergeCell ref="Z25:AA25"/>
    <mergeCell ref="J24:K24"/>
    <mergeCell ref="J25:K25"/>
    <mergeCell ref="H30:I30"/>
    <mergeCell ref="H31:I31"/>
    <mergeCell ref="H33:I33"/>
    <mergeCell ref="H34:I34"/>
    <mergeCell ref="H16:K16"/>
    <mergeCell ref="J17:K17"/>
    <mergeCell ref="J18:K18"/>
    <mergeCell ref="H20:J20"/>
    <mergeCell ref="H21:J21"/>
    <mergeCell ref="H23:K23"/>
  </mergeCells>
  <dataValidations count="6">
    <dataValidation allowBlank="1" showInputMessage="1" showErrorMessage="1" prompt="TBL_HST[CH6]" sqref="V2:V602 F2:F602" xr:uid="{DCA10CA6-BFB8-42B2-9E10-1BE175C7CAC7}"/>
    <dataValidation allowBlank="1" showInputMessage="1" showErrorMessage="1" prompt="TBL_HST[CH5]" sqref="U2:U602 E2:E602" xr:uid="{B34524D4-12BA-444C-8583-9AB39E28684E}"/>
    <dataValidation allowBlank="1" showInputMessage="1" showErrorMessage="1" prompt="TBL_HST[CH4]" sqref="T2:T602 D2:D602" xr:uid="{F028E886-538D-4CEF-86FE-5BEFFF03FDBE}"/>
    <dataValidation allowBlank="1" showInputMessage="1" showErrorMessage="1" prompt="TBL_HST[CH3]" sqref="S2:S602 C2:C602" xr:uid="{3F93B42B-2DEB-4919-BAE3-AE21FB831281}"/>
    <dataValidation allowBlank="1" showInputMessage="1" showErrorMessage="1" prompt="TBL_HST[CH2]" sqref="R2:R602 B2:B602" xr:uid="{F888F5A1-BC5F-4D23-85A7-A3F708C7397A}"/>
    <dataValidation allowBlank="1" showInputMessage="1" showErrorMessage="1" prompt="TBL_HST[CH1]" sqref="Q2:Q602 A2:A602" xr:uid="{F6BA23FC-7ECD-41AB-A27B-A4A655C7E005}"/>
  </dataValidations>
  <pageMargins left="0.7" right="0.7" top="0.75" bottom="0.75" header="0.3" footer="0.3"/>
  <ignoredErrors>
    <ignoredError sqref="X21" formulaRange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396E4-9099-4930-8D30-4FD29DDF5C0E}">
  <dimension ref="A1:AA602"/>
  <sheetViews>
    <sheetView topLeftCell="C1" zoomScale="85" workbookViewId="0">
      <selection activeCell="I25" sqref="I25"/>
    </sheetView>
  </sheetViews>
  <sheetFormatPr defaultRowHeight="14.4" x14ac:dyDescent="0.3"/>
  <cols>
    <col min="3" max="5" width="9" bestFit="1" customWidth="1"/>
    <col min="6" max="6" width="9.77734375" bestFit="1" customWidth="1"/>
    <col min="7" max="7" width="19.77734375" customWidth="1"/>
    <col min="8" max="8" width="13.33203125" customWidth="1"/>
    <col min="9" max="9" width="9.6640625" customWidth="1"/>
    <col min="10" max="10" width="13.44140625" customWidth="1"/>
    <col min="17" max="21" width="9" bestFit="1" customWidth="1"/>
    <col min="22" max="22" width="13.21875" customWidth="1"/>
    <col min="24" max="24" width="17.33203125" customWidth="1"/>
    <col min="25" max="25" width="19.77734375" customWidth="1"/>
    <col min="27" max="27" width="15.109375" customWidth="1"/>
  </cols>
  <sheetData>
    <row r="1" spans="1:22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38</v>
      </c>
      <c r="S1" t="s">
        <v>37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56</v>
      </c>
      <c r="C2" s="20">
        <v>28.24</v>
      </c>
      <c r="D2" s="20">
        <v>27.76</v>
      </c>
      <c r="E2" s="20">
        <v>6</v>
      </c>
      <c r="F2" s="20">
        <v>2048</v>
      </c>
      <c r="Q2" s="20">
        <v>0.1</v>
      </c>
      <c r="R2" s="20">
        <v>34.43</v>
      </c>
      <c r="S2" s="26">
        <v>56</v>
      </c>
      <c r="T2" s="20">
        <v>21.57</v>
      </c>
      <c r="U2" s="20">
        <v>21.57</v>
      </c>
      <c r="V2" s="20">
        <v>4095</v>
      </c>
    </row>
    <row r="3" spans="1:22" ht="16.8" x14ac:dyDescent="0.3">
      <c r="A3" s="20">
        <v>0.2</v>
      </c>
      <c r="B3" s="20">
        <v>56</v>
      </c>
      <c r="C3" s="20">
        <v>28.27</v>
      </c>
      <c r="D3" s="20">
        <v>27.73</v>
      </c>
      <c r="E3" s="20">
        <v>-0.03</v>
      </c>
      <c r="F3" s="20">
        <v>3419.82</v>
      </c>
      <c r="Q3" s="20">
        <v>0.2</v>
      </c>
      <c r="R3" s="20">
        <v>35.28</v>
      </c>
      <c r="S3" s="20">
        <v>56</v>
      </c>
      <c r="T3" s="20">
        <v>20.72</v>
      </c>
      <c r="U3" s="26">
        <v>-0.85</v>
      </c>
      <c r="V3" s="20">
        <v>3258.25</v>
      </c>
    </row>
    <row r="4" spans="1:22" ht="16.8" x14ac:dyDescent="0.3">
      <c r="A4" s="20">
        <v>0.3</v>
      </c>
      <c r="B4" s="20">
        <v>56</v>
      </c>
      <c r="C4" s="20">
        <v>28.38</v>
      </c>
      <c r="D4" s="20">
        <v>27.62</v>
      </c>
      <c r="E4" s="20">
        <v>-0.11</v>
      </c>
      <c r="F4" s="20">
        <v>3419.82</v>
      </c>
      <c r="Q4" s="20">
        <v>0.3</v>
      </c>
      <c r="R4" s="20">
        <v>35.24</v>
      </c>
      <c r="S4" s="26">
        <v>56</v>
      </c>
      <c r="T4" s="20">
        <v>20.76</v>
      </c>
      <c r="U4" s="20">
        <v>0.05</v>
      </c>
      <c r="V4" s="20">
        <v>3385.3</v>
      </c>
    </row>
    <row r="5" spans="1:22" ht="16.8" x14ac:dyDescent="0.3">
      <c r="A5" s="20">
        <v>0.4</v>
      </c>
      <c r="B5" s="20">
        <v>56</v>
      </c>
      <c r="C5" s="20">
        <v>28.37</v>
      </c>
      <c r="D5" s="20">
        <v>27.63</v>
      </c>
      <c r="E5" s="20">
        <v>0.01</v>
      </c>
      <c r="F5" s="20">
        <v>3419.82</v>
      </c>
      <c r="Q5" s="20">
        <v>0.4</v>
      </c>
      <c r="R5" s="20">
        <v>35.28</v>
      </c>
      <c r="S5" s="20">
        <v>56</v>
      </c>
      <c r="T5" s="26">
        <v>20.72</v>
      </c>
      <c r="U5" s="26">
        <v>-0.05</v>
      </c>
      <c r="V5" s="20">
        <v>3419</v>
      </c>
    </row>
    <row r="6" spans="1:22" ht="16.8" x14ac:dyDescent="0.3">
      <c r="A6" s="20">
        <v>0.5</v>
      </c>
      <c r="B6" s="20">
        <v>56</v>
      </c>
      <c r="C6" s="20">
        <v>28.42</v>
      </c>
      <c r="D6" s="20">
        <v>27.58</v>
      </c>
      <c r="E6" s="20">
        <v>-0.05</v>
      </c>
      <c r="F6" s="20">
        <v>3419.82</v>
      </c>
      <c r="Q6" s="20">
        <v>0.5</v>
      </c>
      <c r="R6" s="20">
        <v>35.49</v>
      </c>
      <c r="S6" s="20">
        <v>56</v>
      </c>
      <c r="T6" s="20">
        <v>20.51</v>
      </c>
      <c r="U6" s="20">
        <v>-0.2</v>
      </c>
      <c r="V6" s="20">
        <v>3423.61</v>
      </c>
    </row>
    <row r="7" spans="1:22" ht="16.8" x14ac:dyDescent="0.3">
      <c r="A7" s="20">
        <v>0.6</v>
      </c>
      <c r="B7" s="20">
        <v>56</v>
      </c>
      <c r="C7" s="20">
        <v>28.55</v>
      </c>
      <c r="D7" s="20">
        <v>27.45</v>
      </c>
      <c r="E7" s="20">
        <v>-0.13</v>
      </c>
      <c r="F7" s="20">
        <v>3417.88</v>
      </c>
      <c r="Q7" s="20">
        <v>0.6</v>
      </c>
      <c r="R7" s="20">
        <v>35.68</v>
      </c>
      <c r="S7" s="26">
        <v>56</v>
      </c>
      <c r="T7" s="26">
        <v>20.32</v>
      </c>
      <c r="U7" s="26">
        <v>-0.19</v>
      </c>
      <c r="V7" s="20">
        <v>3441.61</v>
      </c>
    </row>
    <row r="8" spans="1:22" ht="16.8" x14ac:dyDescent="0.3">
      <c r="A8" s="20">
        <v>0.7</v>
      </c>
      <c r="B8" s="20">
        <v>56</v>
      </c>
      <c r="C8" s="20">
        <v>28.71</v>
      </c>
      <c r="D8" s="20">
        <v>27.29</v>
      </c>
      <c r="E8" s="20">
        <v>-0.16</v>
      </c>
      <c r="F8" s="20">
        <v>3411.91</v>
      </c>
      <c r="Q8" s="20">
        <v>0.7</v>
      </c>
      <c r="R8" s="20">
        <v>35.94</v>
      </c>
      <c r="S8" s="20">
        <v>56</v>
      </c>
      <c r="T8" s="20">
        <v>20.059999999999999</v>
      </c>
      <c r="U8" s="20">
        <v>-0.26</v>
      </c>
      <c r="V8" s="20">
        <v>3443.15</v>
      </c>
    </row>
    <row r="9" spans="1:22" ht="16.8" x14ac:dyDescent="0.3">
      <c r="A9" s="20">
        <v>0.8</v>
      </c>
      <c r="B9" s="20">
        <v>56</v>
      </c>
      <c r="C9" s="20">
        <v>28.96</v>
      </c>
      <c r="D9" s="20">
        <v>27.04</v>
      </c>
      <c r="E9" s="20">
        <v>-0.25</v>
      </c>
      <c r="F9" s="20">
        <v>3387.52</v>
      </c>
      <c r="Q9" s="20">
        <v>0.8</v>
      </c>
      <c r="R9" s="20">
        <v>36.28</v>
      </c>
      <c r="S9" s="26">
        <v>56</v>
      </c>
      <c r="T9" s="26">
        <v>19.72</v>
      </c>
      <c r="U9" s="26">
        <v>-0.35</v>
      </c>
      <c r="V9" s="20">
        <v>3427.97</v>
      </c>
    </row>
    <row r="10" spans="1:22" ht="16.8" x14ac:dyDescent="0.3">
      <c r="A10" s="20">
        <v>0.9</v>
      </c>
      <c r="B10" s="20">
        <v>56</v>
      </c>
      <c r="C10" s="20">
        <v>29.2</v>
      </c>
      <c r="D10" s="20">
        <v>26.8</v>
      </c>
      <c r="E10" s="20">
        <v>-0.24</v>
      </c>
      <c r="F10" s="20">
        <v>3390.62</v>
      </c>
      <c r="Q10" s="32">
        <v>0.9</v>
      </c>
      <c r="R10" s="32">
        <v>36.65</v>
      </c>
      <c r="S10" s="32">
        <v>56</v>
      </c>
      <c r="T10" s="32">
        <v>19.350000000000001</v>
      </c>
      <c r="U10" s="32">
        <v>-0.36</v>
      </c>
      <c r="V10" s="32">
        <v>3415.04</v>
      </c>
    </row>
    <row r="11" spans="1:22" ht="16.8" x14ac:dyDescent="0.3">
      <c r="A11" s="20">
        <v>1</v>
      </c>
      <c r="B11" s="20">
        <v>56</v>
      </c>
      <c r="C11" s="20">
        <v>29.55</v>
      </c>
      <c r="D11" s="20">
        <v>26.45</v>
      </c>
      <c r="E11" s="20">
        <v>-0.35</v>
      </c>
      <c r="F11" s="20">
        <v>3379.88</v>
      </c>
      <c r="Q11" s="32">
        <v>1</v>
      </c>
      <c r="R11" s="32">
        <v>37.11</v>
      </c>
      <c r="S11" s="34">
        <v>56</v>
      </c>
      <c r="T11" s="34">
        <v>18.89</v>
      </c>
      <c r="U11" s="32">
        <v>-0.46</v>
      </c>
      <c r="V11" s="32">
        <v>3379.45</v>
      </c>
    </row>
    <row r="12" spans="1:22" ht="16.8" x14ac:dyDescent="0.3">
      <c r="A12" s="20">
        <v>1.1000000000000001</v>
      </c>
      <c r="B12" s="20">
        <v>56</v>
      </c>
      <c r="C12" s="20">
        <v>29.98</v>
      </c>
      <c r="D12" s="20">
        <v>26.02</v>
      </c>
      <c r="E12" s="20">
        <v>-0.43</v>
      </c>
      <c r="F12" s="20">
        <v>3393.47</v>
      </c>
      <c r="Q12" s="32">
        <v>1.1000000000000001</v>
      </c>
      <c r="R12" s="32">
        <v>37.65</v>
      </c>
      <c r="S12" s="32">
        <v>56</v>
      </c>
      <c r="T12" s="32">
        <v>18.350000000000001</v>
      </c>
      <c r="U12" s="34">
        <v>-0.55000000000000004</v>
      </c>
      <c r="V12" s="32">
        <v>3329.17</v>
      </c>
    </row>
    <row r="13" spans="1:22" ht="16.8" x14ac:dyDescent="0.3">
      <c r="A13" s="20">
        <v>1.2</v>
      </c>
      <c r="B13" s="20">
        <v>56</v>
      </c>
      <c r="C13" s="20">
        <v>30.41</v>
      </c>
      <c r="D13" s="20">
        <v>25.59</v>
      </c>
      <c r="E13" s="20">
        <v>-0.43</v>
      </c>
      <c r="F13" s="20">
        <v>3393.49</v>
      </c>
      <c r="Q13" s="32">
        <v>1.2</v>
      </c>
      <c r="R13" s="32">
        <v>38.159999999999997</v>
      </c>
      <c r="S13" s="34">
        <v>56</v>
      </c>
      <c r="T13" s="34">
        <v>17.84</v>
      </c>
      <c r="U13" s="32">
        <v>-0.51</v>
      </c>
      <c r="V13" s="32">
        <v>3294.13</v>
      </c>
    </row>
    <row r="14" spans="1:22" ht="16.8" x14ac:dyDescent="0.3">
      <c r="A14" s="20">
        <v>1.3</v>
      </c>
      <c r="B14" s="20">
        <v>56</v>
      </c>
      <c r="C14" s="20">
        <v>30.89</v>
      </c>
      <c r="D14" s="20">
        <v>25.11</v>
      </c>
      <c r="E14" s="20">
        <v>-0.48</v>
      </c>
      <c r="F14" s="20">
        <v>3400.49</v>
      </c>
      <c r="Q14" s="32">
        <v>1.3</v>
      </c>
      <c r="R14" s="32">
        <v>38.67</v>
      </c>
      <c r="S14" s="32">
        <v>56</v>
      </c>
      <c r="T14" s="32">
        <v>17.329999999999998</v>
      </c>
      <c r="U14" s="34">
        <v>-0.51</v>
      </c>
      <c r="V14" s="32">
        <v>3254.74</v>
      </c>
    </row>
    <row r="15" spans="1:22" ht="16.8" x14ac:dyDescent="0.3">
      <c r="A15" s="32">
        <v>1.4</v>
      </c>
      <c r="B15" s="20">
        <v>56</v>
      </c>
      <c r="C15" s="20">
        <v>31.37</v>
      </c>
      <c r="D15" s="20">
        <v>24.63</v>
      </c>
      <c r="E15" s="20">
        <v>-0.48</v>
      </c>
      <c r="F15" s="20">
        <v>3401.11</v>
      </c>
      <c r="Q15" s="32">
        <v>1.4</v>
      </c>
      <c r="R15" s="32">
        <v>39.25</v>
      </c>
      <c r="S15" s="34">
        <v>56</v>
      </c>
      <c r="T15" s="32">
        <v>16.75</v>
      </c>
      <c r="U15" s="32">
        <v>-0.57999999999999996</v>
      </c>
      <c r="V15" s="32">
        <v>3196.86</v>
      </c>
    </row>
    <row r="16" spans="1:22" ht="16.8" x14ac:dyDescent="0.3">
      <c r="A16" s="20">
        <v>1.5</v>
      </c>
      <c r="B16" s="20">
        <v>56</v>
      </c>
      <c r="C16" s="20">
        <v>31.92</v>
      </c>
      <c r="D16" s="20">
        <v>24.08</v>
      </c>
      <c r="E16" s="20">
        <v>-0.55000000000000004</v>
      </c>
      <c r="F16" s="20">
        <v>3411.82</v>
      </c>
      <c r="Q16" s="32">
        <v>1.5</v>
      </c>
      <c r="R16" s="32">
        <v>39.81</v>
      </c>
      <c r="S16" s="32">
        <v>56</v>
      </c>
      <c r="T16" s="34">
        <v>16.190000000000001</v>
      </c>
      <c r="U16" s="34">
        <v>-0.56000000000000005</v>
      </c>
      <c r="V16" s="32">
        <v>3147.11</v>
      </c>
    </row>
    <row r="17" spans="1:27" ht="16.8" x14ac:dyDescent="0.3">
      <c r="A17" s="20">
        <v>1.6</v>
      </c>
      <c r="B17" s="20">
        <v>56</v>
      </c>
      <c r="C17" s="20">
        <v>32.5</v>
      </c>
      <c r="D17" s="20">
        <v>23.5</v>
      </c>
      <c r="E17" s="20">
        <v>-0.59</v>
      </c>
      <c r="F17" s="20">
        <v>3418.02</v>
      </c>
      <c r="Q17" s="32">
        <v>1.6</v>
      </c>
      <c r="R17" s="32">
        <v>40.49</v>
      </c>
      <c r="S17" s="34">
        <v>56</v>
      </c>
      <c r="T17" s="32">
        <v>15.51</v>
      </c>
      <c r="U17" s="32">
        <v>-0.68</v>
      </c>
      <c r="V17" s="32">
        <v>3067.87</v>
      </c>
    </row>
    <row r="18" spans="1:27" ht="16.8" x14ac:dyDescent="0.3">
      <c r="A18" s="20">
        <v>1.7</v>
      </c>
      <c r="B18" s="20">
        <v>56</v>
      </c>
      <c r="C18" s="20">
        <v>33.03</v>
      </c>
      <c r="D18" s="20">
        <v>22.97</v>
      </c>
      <c r="E18" s="20">
        <v>-0.52</v>
      </c>
      <c r="F18" s="20">
        <v>3408.06</v>
      </c>
      <c r="Q18" s="32">
        <v>1.7</v>
      </c>
      <c r="R18" s="32">
        <v>41.05</v>
      </c>
      <c r="S18" s="32">
        <v>56</v>
      </c>
      <c r="T18" s="34">
        <v>14.95</v>
      </c>
      <c r="U18" s="34">
        <v>-0.56000000000000005</v>
      </c>
      <c r="V18" s="32">
        <v>3022.73</v>
      </c>
    </row>
    <row r="19" spans="1:27" ht="16.8" x14ac:dyDescent="0.3">
      <c r="A19" s="20">
        <v>1.8</v>
      </c>
      <c r="B19" s="20">
        <v>56</v>
      </c>
      <c r="C19" s="20">
        <v>33.58</v>
      </c>
      <c r="D19" s="20">
        <v>22.42</v>
      </c>
      <c r="E19" s="20">
        <v>-0.55000000000000004</v>
      </c>
      <c r="F19" s="20">
        <v>3412.44</v>
      </c>
      <c r="Q19" s="32">
        <v>1.8</v>
      </c>
      <c r="R19" s="32">
        <v>41.64</v>
      </c>
      <c r="S19" s="34">
        <v>56</v>
      </c>
      <c r="T19" s="32">
        <v>14.36</v>
      </c>
      <c r="U19" s="32">
        <v>-0.59</v>
      </c>
      <c r="V19" s="32">
        <v>2961.7</v>
      </c>
    </row>
    <row r="20" spans="1:27" ht="16.8" x14ac:dyDescent="0.3">
      <c r="A20" s="20">
        <v>1.9</v>
      </c>
      <c r="B20" s="20">
        <v>56</v>
      </c>
      <c r="C20" s="20">
        <v>34.200000000000003</v>
      </c>
      <c r="D20" s="20">
        <v>21.8</v>
      </c>
      <c r="E20" s="20">
        <v>-0.62</v>
      </c>
      <c r="F20" s="20">
        <v>3419.82</v>
      </c>
      <c r="Q20" s="32">
        <v>1.9</v>
      </c>
      <c r="R20" s="32">
        <v>42.27</v>
      </c>
      <c r="S20" s="32">
        <v>56</v>
      </c>
      <c r="T20" s="34">
        <v>13.73</v>
      </c>
      <c r="U20" s="34">
        <v>-0.63</v>
      </c>
      <c r="V20" s="32">
        <v>2891.55</v>
      </c>
    </row>
    <row r="21" spans="1:27" ht="16.8" x14ac:dyDescent="0.3">
      <c r="A21" s="20">
        <v>2</v>
      </c>
      <c r="B21" s="20">
        <v>56</v>
      </c>
      <c r="C21" s="20">
        <v>34.799999999999997</v>
      </c>
      <c r="D21" s="20">
        <v>21.2</v>
      </c>
      <c r="E21" s="20">
        <v>-0.59</v>
      </c>
      <c r="F21" s="20">
        <v>3418.64</v>
      </c>
      <c r="Q21" s="32">
        <v>2</v>
      </c>
      <c r="R21" s="32">
        <v>42.88</v>
      </c>
      <c r="S21" s="34">
        <v>56</v>
      </c>
      <c r="T21" s="32">
        <v>13.12</v>
      </c>
      <c r="U21" s="32">
        <v>-0.6</v>
      </c>
      <c r="V21" s="32">
        <v>2828.84</v>
      </c>
    </row>
    <row r="22" spans="1:27" ht="16.8" x14ac:dyDescent="0.3">
      <c r="A22" s="20">
        <v>2.1</v>
      </c>
      <c r="B22" s="20">
        <v>56</v>
      </c>
      <c r="C22" s="20">
        <v>35.32</v>
      </c>
      <c r="D22" s="20">
        <v>20.68</v>
      </c>
      <c r="E22" s="20">
        <v>-0.52</v>
      </c>
      <c r="F22" s="20">
        <v>3408.06</v>
      </c>
      <c r="G22" s="55" t="s">
        <v>46</v>
      </c>
      <c r="H22" s="56"/>
      <c r="I22" s="56"/>
      <c r="J22" s="57"/>
      <c r="Q22" s="32">
        <v>2.1</v>
      </c>
      <c r="R22" s="32">
        <v>43.47</v>
      </c>
      <c r="S22" s="32">
        <v>56</v>
      </c>
      <c r="T22" s="34">
        <v>12.53</v>
      </c>
      <c r="U22" s="32">
        <v>-0.6</v>
      </c>
      <c r="V22" s="32">
        <v>2764.73</v>
      </c>
      <c r="X22" s="55" t="s">
        <v>46</v>
      </c>
      <c r="Y22" s="56"/>
      <c r="Z22" s="56"/>
      <c r="AA22" s="57"/>
    </row>
    <row r="23" spans="1:27" ht="16.8" x14ac:dyDescent="0.3">
      <c r="A23" s="20">
        <v>2.2000000000000002</v>
      </c>
      <c r="B23" s="20">
        <v>56</v>
      </c>
      <c r="C23" s="20">
        <v>35.9</v>
      </c>
      <c r="D23" s="20">
        <v>20.100000000000001</v>
      </c>
      <c r="E23" s="20">
        <v>-0.57999999999999996</v>
      </c>
      <c r="F23" s="20">
        <v>3417.4</v>
      </c>
      <c r="G23" s="30" t="s">
        <v>47</v>
      </c>
      <c r="H23" s="30" t="s">
        <v>48</v>
      </c>
      <c r="I23" s="55" t="s">
        <v>49</v>
      </c>
      <c r="J23" s="57"/>
      <c r="Q23" s="32">
        <v>2.2000000000000002</v>
      </c>
      <c r="R23" s="32">
        <v>44.08</v>
      </c>
      <c r="S23" s="32">
        <v>56</v>
      </c>
      <c r="T23" s="32">
        <v>11.92</v>
      </c>
      <c r="U23" s="34">
        <v>-0.6</v>
      </c>
      <c r="V23" s="32">
        <v>2696.66</v>
      </c>
      <c r="X23" s="30" t="s">
        <v>47</v>
      </c>
      <c r="Y23" s="30" t="s">
        <v>48</v>
      </c>
      <c r="Z23" s="55" t="s">
        <v>49</v>
      </c>
      <c r="AA23" s="57"/>
    </row>
    <row r="24" spans="1:27" ht="16.8" x14ac:dyDescent="0.3">
      <c r="A24" s="20">
        <v>2.2999999999999998</v>
      </c>
      <c r="B24" s="20">
        <v>56</v>
      </c>
      <c r="C24" s="20">
        <v>36.479999999999997</v>
      </c>
      <c r="D24" s="20">
        <v>19.52</v>
      </c>
      <c r="E24" s="20">
        <v>-0.57999999999999996</v>
      </c>
      <c r="F24" s="20">
        <v>3416.8</v>
      </c>
      <c r="G24" s="30">
        <f>C2+0.1*(B2-C2)</f>
        <v>31.015999999999998</v>
      </c>
      <c r="H24" s="30">
        <f>C2+0.9*(B2-C2)</f>
        <v>53.224000000000004</v>
      </c>
      <c r="I24" s="55">
        <f>A58-A25</f>
        <v>3.3000000000000003</v>
      </c>
      <c r="J24" s="57"/>
      <c r="Q24" s="32">
        <v>2.2999999999999998</v>
      </c>
      <c r="R24" s="32">
        <v>44.63</v>
      </c>
      <c r="S24" s="34">
        <v>56</v>
      </c>
      <c r="T24" s="34">
        <v>11.37</v>
      </c>
      <c r="U24" s="32">
        <v>-0.56000000000000005</v>
      </c>
      <c r="V24" s="32">
        <v>2639.32</v>
      </c>
      <c r="X24" s="30">
        <f>R2+0.1*(S2-R2)</f>
        <v>36.587000000000003</v>
      </c>
      <c r="Y24" s="30">
        <f>R2+0.9*(S2-R2)</f>
        <v>53.843000000000004</v>
      </c>
      <c r="Z24" s="55">
        <f>Q49-Q10</f>
        <v>3.9</v>
      </c>
      <c r="AA24" s="57"/>
    </row>
    <row r="25" spans="1:27" ht="16.8" x14ac:dyDescent="0.3">
      <c r="A25" s="45">
        <v>2.4</v>
      </c>
      <c r="B25" s="20">
        <v>56</v>
      </c>
      <c r="C25" s="20">
        <v>37.06</v>
      </c>
      <c r="D25" s="20">
        <v>18.940000000000001</v>
      </c>
      <c r="E25" s="20">
        <v>-0.56999999999999995</v>
      </c>
      <c r="F25" s="20">
        <v>3415.56</v>
      </c>
      <c r="Q25" s="32">
        <v>2.4</v>
      </c>
      <c r="R25" s="32">
        <v>45.16</v>
      </c>
      <c r="S25" s="32">
        <v>56</v>
      </c>
      <c r="T25" s="32">
        <v>10.84</v>
      </c>
      <c r="U25" s="34">
        <v>-0.53</v>
      </c>
      <c r="V25" s="32">
        <v>2582.67</v>
      </c>
    </row>
    <row r="26" spans="1:27" ht="16.8" x14ac:dyDescent="0.3">
      <c r="A26" s="20">
        <v>2.5</v>
      </c>
      <c r="B26" s="20">
        <v>56</v>
      </c>
      <c r="C26" s="20">
        <v>37.68</v>
      </c>
      <c r="D26" s="20">
        <v>18.32</v>
      </c>
      <c r="E26" s="20">
        <v>-0.62</v>
      </c>
      <c r="F26" s="20">
        <v>3419.82</v>
      </c>
      <c r="G26" s="55" t="s">
        <v>50</v>
      </c>
      <c r="H26" s="56"/>
      <c r="I26" s="57"/>
      <c r="Q26" s="32">
        <v>2.5</v>
      </c>
      <c r="R26" s="32">
        <v>45.78</v>
      </c>
      <c r="S26" s="34">
        <v>56</v>
      </c>
      <c r="T26" s="32">
        <v>10.220000000000001</v>
      </c>
      <c r="U26" s="32">
        <v>-0.62</v>
      </c>
      <c r="V26" s="32">
        <v>2501.7399999999998</v>
      </c>
      <c r="X26" s="55" t="s">
        <v>50</v>
      </c>
      <c r="Y26" s="56"/>
      <c r="Z26" s="57"/>
    </row>
    <row r="27" spans="1:27" ht="16.8" x14ac:dyDescent="0.3">
      <c r="A27" s="20">
        <v>2.6</v>
      </c>
      <c r="B27" s="20">
        <v>56</v>
      </c>
      <c r="C27" s="20">
        <v>38.21</v>
      </c>
      <c r="D27" s="20">
        <v>17.79</v>
      </c>
      <c r="E27" s="20">
        <v>-0.53</v>
      </c>
      <c r="F27" s="20">
        <v>3409.31</v>
      </c>
      <c r="G27" s="58">
        <f>((MAX(C2:C131)-56)/56)*100</f>
        <v>2.6964285714285681</v>
      </c>
      <c r="H27" s="58"/>
      <c r="I27" s="58"/>
      <c r="Q27" s="32">
        <v>2.6</v>
      </c>
      <c r="R27" s="32">
        <v>46.26</v>
      </c>
      <c r="S27" s="32">
        <v>56</v>
      </c>
      <c r="T27" s="34">
        <v>9.74</v>
      </c>
      <c r="U27" s="34">
        <v>-0.48</v>
      </c>
      <c r="V27" s="32">
        <v>2460.85</v>
      </c>
      <c r="X27" s="58">
        <f>((MAX(R2:R181)-56)/56)*100</f>
        <v>2.0178571428571472</v>
      </c>
      <c r="Y27" s="58"/>
      <c r="Z27" s="58"/>
    </row>
    <row r="28" spans="1:27" ht="16.8" x14ac:dyDescent="0.3">
      <c r="A28" s="20">
        <v>2.7</v>
      </c>
      <c r="B28" s="20">
        <v>56</v>
      </c>
      <c r="C28" s="20">
        <v>38.83</v>
      </c>
      <c r="D28" s="20">
        <v>17.170000000000002</v>
      </c>
      <c r="E28" s="20">
        <v>-0.62</v>
      </c>
      <c r="F28" s="20">
        <v>3408.5</v>
      </c>
      <c r="Q28" s="32">
        <v>2.7</v>
      </c>
      <c r="R28" s="32">
        <v>46.74</v>
      </c>
      <c r="S28" s="34">
        <v>56</v>
      </c>
      <c r="T28" s="32">
        <v>9.26</v>
      </c>
      <c r="U28" s="32">
        <v>-0.48</v>
      </c>
      <c r="V28" s="32">
        <v>2405.6</v>
      </c>
    </row>
    <row r="29" spans="1:27" ht="16.8" x14ac:dyDescent="0.3">
      <c r="A29" s="20">
        <v>2.8</v>
      </c>
      <c r="B29" s="20">
        <v>56</v>
      </c>
      <c r="C29" s="20">
        <v>39.32</v>
      </c>
      <c r="D29" s="20">
        <v>16.68</v>
      </c>
      <c r="E29" s="20">
        <v>-0.5</v>
      </c>
      <c r="F29" s="20">
        <v>3403.66</v>
      </c>
      <c r="G29" s="54"/>
      <c r="H29" s="54"/>
      <c r="I29" s="54"/>
      <c r="J29" s="54"/>
      <c r="Q29" s="32">
        <v>2.8</v>
      </c>
      <c r="R29" s="32">
        <v>47.27</v>
      </c>
      <c r="S29" s="32">
        <v>56</v>
      </c>
      <c r="T29" s="34">
        <v>8.73</v>
      </c>
      <c r="U29" s="34">
        <v>-0.52</v>
      </c>
      <c r="V29" s="32">
        <v>2340.2399999999998</v>
      </c>
      <c r="X29" s="54"/>
      <c r="Y29" s="54"/>
      <c r="Z29" s="54"/>
      <c r="AA29" s="54"/>
    </row>
    <row r="30" spans="1:27" ht="16.8" x14ac:dyDescent="0.3">
      <c r="A30" s="20">
        <v>2.9</v>
      </c>
      <c r="B30" s="20">
        <v>56</v>
      </c>
      <c r="C30" s="20">
        <v>39.950000000000003</v>
      </c>
      <c r="D30" s="20">
        <v>16.05</v>
      </c>
      <c r="E30" s="20">
        <v>-0.63</v>
      </c>
      <c r="F30" s="20">
        <v>3400.4</v>
      </c>
      <c r="I30" s="54"/>
      <c r="J30" s="54"/>
      <c r="Q30" s="32">
        <v>2.9</v>
      </c>
      <c r="R30" s="32">
        <v>47.74</v>
      </c>
      <c r="S30" s="34">
        <v>56</v>
      </c>
      <c r="T30" s="32">
        <v>8.26</v>
      </c>
      <c r="U30" s="32">
        <v>-0.48</v>
      </c>
      <c r="V30" s="32">
        <v>2288.3000000000002</v>
      </c>
      <c r="Z30" s="54"/>
      <c r="AA30" s="54"/>
    </row>
    <row r="31" spans="1:27" ht="16.8" x14ac:dyDescent="0.3">
      <c r="A31" s="20">
        <v>3</v>
      </c>
      <c r="B31" s="20">
        <v>56</v>
      </c>
      <c r="C31" s="20">
        <v>40.51</v>
      </c>
      <c r="D31" s="20">
        <v>15.49</v>
      </c>
      <c r="E31" s="20">
        <v>-0.56000000000000005</v>
      </c>
      <c r="F31" s="20">
        <v>3411.91</v>
      </c>
      <c r="G31" s="31"/>
      <c r="H31" s="31"/>
      <c r="I31" s="54"/>
      <c r="J31" s="54"/>
      <c r="Q31" s="32">
        <v>3</v>
      </c>
      <c r="R31" s="32">
        <v>48.2</v>
      </c>
      <c r="S31" s="32">
        <v>56</v>
      </c>
      <c r="T31" s="34">
        <v>7.8</v>
      </c>
      <c r="U31" s="34">
        <v>-0.46</v>
      </c>
      <c r="V31" s="32">
        <v>2235.33</v>
      </c>
      <c r="X31" s="31"/>
      <c r="Y31" s="31"/>
      <c r="Z31" s="54"/>
      <c r="AA31" s="54"/>
    </row>
    <row r="32" spans="1:27" ht="16.8" x14ac:dyDescent="0.3">
      <c r="A32" s="20">
        <v>3.1</v>
      </c>
      <c r="B32" s="20">
        <v>56</v>
      </c>
      <c r="C32" s="20">
        <v>41.05</v>
      </c>
      <c r="D32" s="20">
        <v>14.95</v>
      </c>
      <c r="E32" s="20">
        <v>-0.54</v>
      </c>
      <c r="F32" s="20">
        <v>3403.49</v>
      </c>
      <c r="Q32" s="32">
        <v>3.1</v>
      </c>
      <c r="R32" s="32">
        <v>48.69</v>
      </c>
      <c r="S32" s="34">
        <v>56</v>
      </c>
      <c r="T32" s="32">
        <v>7.31</v>
      </c>
      <c r="U32" s="32">
        <v>-0.49</v>
      </c>
      <c r="V32" s="32">
        <v>2172.3200000000002</v>
      </c>
    </row>
    <row r="33" spans="1:26" ht="16.8" x14ac:dyDescent="0.3">
      <c r="A33" s="20">
        <v>3.2</v>
      </c>
      <c r="B33" s="20">
        <v>56</v>
      </c>
      <c r="C33" s="20">
        <v>41.61</v>
      </c>
      <c r="D33" s="20">
        <v>14.39</v>
      </c>
      <c r="E33" s="20">
        <v>-0.55000000000000004</v>
      </c>
      <c r="F33" s="20">
        <v>3394.77</v>
      </c>
      <c r="G33" s="29" t="s">
        <v>51</v>
      </c>
      <c r="H33" s="29">
        <f>ABS(AVERAGE(C301:C602))</f>
        <v>55.82658940397355</v>
      </c>
      <c r="Q33" s="32">
        <v>3.2</v>
      </c>
      <c r="R33" s="32">
        <v>49.17</v>
      </c>
      <c r="S33" s="32">
        <v>56</v>
      </c>
      <c r="T33" s="34">
        <v>6.83</v>
      </c>
      <c r="U33" s="34">
        <v>-0.48</v>
      </c>
      <c r="V33" s="32">
        <v>2114.5100000000002</v>
      </c>
      <c r="X33" s="29" t="s">
        <v>51</v>
      </c>
      <c r="Y33" s="29">
        <f>ABS(AVERAGE(R301:R602))</f>
        <v>56.110629139072898</v>
      </c>
    </row>
    <row r="34" spans="1:26" ht="16.8" x14ac:dyDescent="0.3">
      <c r="A34" s="20">
        <v>3.3</v>
      </c>
      <c r="B34" s="20">
        <v>56</v>
      </c>
      <c r="C34" s="20">
        <v>42.17</v>
      </c>
      <c r="D34" s="20">
        <v>13.83</v>
      </c>
      <c r="E34" s="20">
        <v>-0.56000000000000005</v>
      </c>
      <c r="F34" s="20">
        <v>3391.24</v>
      </c>
      <c r="G34" s="29" t="s">
        <v>52</v>
      </c>
      <c r="H34" s="29">
        <f>((H33-56)/56)*100</f>
        <v>-0.30966177861866079</v>
      </c>
      <c r="Q34" s="32">
        <v>3.3</v>
      </c>
      <c r="R34" s="32">
        <v>49.52</v>
      </c>
      <c r="S34" s="32">
        <v>56</v>
      </c>
      <c r="T34" s="32">
        <v>6.48</v>
      </c>
      <c r="U34" s="32">
        <v>-0.35</v>
      </c>
      <c r="V34" s="32">
        <v>2083.14</v>
      </c>
      <c r="X34" s="29" t="s">
        <v>52</v>
      </c>
      <c r="Y34" s="29">
        <f>((Y33-56)/56)*100</f>
        <v>0.19755203405874716</v>
      </c>
    </row>
    <row r="35" spans="1:26" ht="16.8" x14ac:dyDescent="0.3">
      <c r="A35" s="20">
        <v>3.4</v>
      </c>
      <c r="B35" s="20">
        <v>56</v>
      </c>
      <c r="C35" s="20">
        <v>42.74</v>
      </c>
      <c r="D35" s="20">
        <v>13.26</v>
      </c>
      <c r="E35" s="20">
        <v>-0.56999999999999995</v>
      </c>
      <c r="F35" s="20">
        <v>3400.22</v>
      </c>
      <c r="Q35" s="32">
        <v>3.4</v>
      </c>
      <c r="R35" s="32">
        <v>49.93</v>
      </c>
      <c r="S35" s="34">
        <v>56</v>
      </c>
      <c r="T35" s="34">
        <v>6.07</v>
      </c>
      <c r="U35" s="34">
        <v>-0.4</v>
      </c>
      <c r="V35" s="32">
        <v>2029.99</v>
      </c>
    </row>
    <row r="36" spans="1:26" ht="16.8" x14ac:dyDescent="0.3">
      <c r="A36" s="20">
        <v>3.5</v>
      </c>
      <c r="B36" s="20">
        <v>56</v>
      </c>
      <c r="C36" s="20">
        <v>43.22</v>
      </c>
      <c r="D36" s="20">
        <v>12.78</v>
      </c>
      <c r="E36" s="20">
        <v>-0.48</v>
      </c>
      <c r="F36" s="20">
        <v>3401.76</v>
      </c>
      <c r="G36" s="58" t="s">
        <v>53</v>
      </c>
      <c r="H36" s="58"/>
      <c r="Q36" s="32">
        <v>3.5</v>
      </c>
      <c r="R36" s="32">
        <v>50.37</v>
      </c>
      <c r="S36" s="32">
        <v>56</v>
      </c>
      <c r="T36" s="32">
        <v>5.63</v>
      </c>
      <c r="U36" s="32">
        <v>-0.44</v>
      </c>
      <c r="V36" s="32">
        <v>1970.04</v>
      </c>
      <c r="X36" s="58" t="s">
        <v>53</v>
      </c>
      <c r="Y36" s="58"/>
    </row>
    <row r="37" spans="1:26" ht="16.8" x14ac:dyDescent="0.3">
      <c r="A37" s="20">
        <v>3.6</v>
      </c>
      <c r="B37" s="20">
        <v>56</v>
      </c>
      <c r="C37" s="20">
        <v>43.78</v>
      </c>
      <c r="D37" s="20">
        <v>12.22</v>
      </c>
      <c r="E37" s="20">
        <v>-0.56000000000000005</v>
      </c>
      <c r="F37" s="20">
        <v>3413.06</v>
      </c>
      <c r="G37" s="58" cm="1">
        <f t="array" ref="G37">SUMPRODUCT(ABS(D2:D602)*0.1)</f>
        <v>103.90500000000034</v>
      </c>
      <c r="H37" s="58"/>
      <c r="Q37" s="32">
        <v>3.6</v>
      </c>
      <c r="R37" s="32">
        <v>50.69</v>
      </c>
      <c r="S37" s="34">
        <v>56</v>
      </c>
      <c r="T37" s="34">
        <v>5.31</v>
      </c>
      <c r="U37" s="32">
        <v>-0.32</v>
      </c>
      <c r="V37" s="32">
        <v>1941.02</v>
      </c>
      <c r="X37" s="58" cm="1">
        <f t="array" ref="X37">SUMPRODUCT(ABS(T2:T602)*0.1)</f>
        <v>66.618000000000208</v>
      </c>
      <c r="Y37" s="58"/>
    </row>
    <row r="38" spans="1:26" ht="16.8" x14ac:dyDescent="0.3">
      <c r="A38" s="20">
        <v>3.7</v>
      </c>
      <c r="B38" s="20">
        <v>56</v>
      </c>
      <c r="C38" s="20">
        <v>44.31</v>
      </c>
      <c r="D38" s="20">
        <v>11.69</v>
      </c>
      <c r="E38" s="20">
        <v>-0.53</v>
      </c>
      <c r="F38" s="20">
        <v>3408.69</v>
      </c>
      <c r="Q38" s="32">
        <v>3.7</v>
      </c>
      <c r="R38" s="32">
        <v>51.06</v>
      </c>
      <c r="S38" s="32">
        <v>56</v>
      </c>
      <c r="T38" s="32">
        <v>4.9400000000000004</v>
      </c>
      <c r="U38" s="34">
        <v>-0.37</v>
      </c>
      <c r="V38" s="32">
        <v>1890.28</v>
      </c>
    </row>
    <row r="39" spans="1:26" ht="16.8" x14ac:dyDescent="0.3">
      <c r="A39" s="20">
        <v>3.8</v>
      </c>
      <c r="B39" s="20">
        <v>56</v>
      </c>
      <c r="C39" s="20">
        <v>44.75</v>
      </c>
      <c r="D39" s="20">
        <v>11.25</v>
      </c>
      <c r="E39" s="20">
        <v>-0.45</v>
      </c>
      <c r="F39" s="20">
        <v>3396.03</v>
      </c>
      <c r="G39" s="58" t="s">
        <v>54</v>
      </c>
      <c r="H39" s="58"/>
      <c r="Q39" s="32">
        <v>3.8</v>
      </c>
      <c r="R39" s="32">
        <v>51.34</v>
      </c>
      <c r="S39" s="34">
        <v>56</v>
      </c>
      <c r="T39" s="34">
        <v>4.66</v>
      </c>
      <c r="U39" s="32">
        <v>-0.27</v>
      </c>
      <c r="V39" s="32">
        <v>1865.49</v>
      </c>
      <c r="X39" s="58" t="s">
        <v>54</v>
      </c>
      <c r="Y39" s="58"/>
    </row>
    <row r="40" spans="1:26" ht="16.8" x14ac:dyDescent="0.3">
      <c r="A40" s="20">
        <v>3.9</v>
      </c>
      <c r="B40" s="20">
        <v>56</v>
      </c>
      <c r="C40" s="20">
        <v>45.34</v>
      </c>
      <c r="D40" s="20">
        <v>10.66</v>
      </c>
      <c r="E40" s="20">
        <v>-0.59</v>
      </c>
      <c r="F40" s="20">
        <v>3418.02</v>
      </c>
      <c r="G40" s="58" cm="1">
        <f t="array" ref="G40">SUMPRODUCT(((D2:D602)^2)*0.1)</f>
        <v>1873.5473299999949</v>
      </c>
      <c r="H40" s="58"/>
      <c r="Q40" s="32">
        <v>3.9</v>
      </c>
      <c r="R40" s="32">
        <v>51.72</v>
      </c>
      <c r="S40" s="32">
        <v>56</v>
      </c>
      <c r="T40" s="32">
        <v>4.28</v>
      </c>
      <c r="U40" s="34">
        <v>-0.39</v>
      </c>
      <c r="V40" s="32">
        <v>1805.61</v>
      </c>
      <c r="X40" s="58" cm="1">
        <f t="array" ref="X40">SUMPRODUCT(((T2:T602)^2)*0.1)</f>
        <v>814.69740000000434</v>
      </c>
      <c r="Y40" s="58"/>
    </row>
    <row r="41" spans="1:26" ht="16.8" x14ac:dyDescent="0.3">
      <c r="A41" s="20">
        <v>4</v>
      </c>
      <c r="B41" s="20">
        <v>56</v>
      </c>
      <c r="C41" s="20">
        <v>45.83</v>
      </c>
      <c r="D41" s="20">
        <v>10.17</v>
      </c>
      <c r="E41" s="20">
        <v>-0.49</v>
      </c>
      <c r="F41" s="20">
        <v>3403.03</v>
      </c>
      <c r="Q41" s="32">
        <v>4</v>
      </c>
      <c r="R41" s="32">
        <v>52.03</v>
      </c>
      <c r="S41" s="34">
        <v>56</v>
      </c>
      <c r="T41" s="34">
        <v>3.97</v>
      </c>
      <c r="U41" s="32">
        <v>-0.31</v>
      </c>
      <c r="V41" s="32">
        <v>1772.84</v>
      </c>
    </row>
    <row r="42" spans="1:26" ht="16.8" x14ac:dyDescent="0.3">
      <c r="A42" s="20">
        <v>4.0999999999999996</v>
      </c>
      <c r="B42" s="20">
        <v>56</v>
      </c>
      <c r="C42" s="20">
        <v>46.33</v>
      </c>
      <c r="D42" s="20">
        <v>9.67</v>
      </c>
      <c r="E42" s="20">
        <v>-0.5</v>
      </c>
      <c r="F42" s="20">
        <v>3403.66</v>
      </c>
      <c r="G42" s="58" t="s">
        <v>55</v>
      </c>
      <c r="H42" s="58"/>
      <c r="I42" s="58"/>
      <c r="Q42" s="32">
        <v>4.0999999999999996</v>
      </c>
      <c r="R42" s="32">
        <v>52.29</v>
      </c>
      <c r="S42" s="32">
        <v>56</v>
      </c>
      <c r="T42" s="32">
        <v>3.71</v>
      </c>
      <c r="U42" s="34">
        <v>-0.26</v>
      </c>
      <c r="V42" s="32">
        <v>1744.59</v>
      </c>
      <c r="X42" s="58" t="s">
        <v>55</v>
      </c>
      <c r="Y42" s="58"/>
      <c r="Z42" s="58"/>
    </row>
    <row r="43" spans="1:26" ht="16.8" x14ac:dyDescent="0.3">
      <c r="A43" s="20">
        <v>4.2</v>
      </c>
      <c r="B43" s="20">
        <v>56</v>
      </c>
      <c r="C43" s="20">
        <v>46.85</v>
      </c>
      <c r="D43" s="20">
        <v>9.15</v>
      </c>
      <c r="E43" s="20">
        <v>-0.52</v>
      </c>
      <c r="F43" s="20">
        <v>3408.07</v>
      </c>
      <c r="G43" s="58" cm="1">
        <f t="array" ref="G43">SUMPRODUCT(A2:A602 * ABS(D2:D602) * 0.1)</f>
        <v>523.57829999999979</v>
      </c>
      <c r="H43" s="58"/>
      <c r="I43" s="58"/>
      <c r="Q43" s="32">
        <v>4.2</v>
      </c>
      <c r="R43" s="32">
        <v>52.56</v>
      </c>
      <c r="S43" s="32">
        <v>56</v>
      </c>
      <c r="T43" s="34">
        <v>3.44</v>
      </c>
      <c r="U43" s="32">
        <v>-0.27</v>
      </c>
      <c r="V43" s="32">
        <v>1708.12</v>
      </c>
      <c r="X43" s="58" cm="1">
        <f t="array" ref="X43">SUMPRODUCT(Q2:Q602 * ABS(T2:T602) * 0.1)</f>
        <v>371.51030000000009</v>
      </c>
      <c r="Y43" s="58"/>
      <c r="Z43" s="58"/>
    </row>
    <row r="44" spans="1:26" ht="16.8" x14ac:dyDescent="0.3">
      <c r="A44" s="20">
        <v>4.3</v>
      </c>
      <c r="B44" s="20">
        <v>56</v>
      </c>
      <c r="C44" s="20">
        <v>47.3</v>
      </c>
      <c r="D44" s="20">
        <v>8.6999999999999993</v>
      </c>
      <c r="E44" s="20">
        <v>-0.44</v>
      </c>
      <c r="F44" s="20">
        <v>3395.4</v>
      </c>
      <c r="Q44" s="32">
        <v>4.3</v>
      </c>
      <c r="R44" s="32">
        <v>52.84</v>
      </c>
      <c r="S44" s="34">
        <v>56</v>
      </c>
      <c r="T44" s="32">
        <v>3.16</v>
      </c>
      <c r="U44" s="34">
        <v>-0.27</v>
      </c>
      <c r="V44" s="32">
        <v>1672.26</v>
      </c>
    </row>
    <row r="45" spans="1:26" ht="16.8" x14ac:dyDescent="0.3">
      <c r="A45" s="20">
        <v>4.4000000000000004</v>
      </c>
      <c r="B45" s="20">
        <v>56</v>
      </c>
      <c r="C45" s="20">
        <v>47.78</v>
      </c>
      <c r="D45" s="20">
        <v>8.2200000000000006</v>
      </c>
      <c r="E45" s="20">
        <v>-0.48</v>
      </c>
      <c r="F45" s="20">
        <v>3401.76</v>
      </c>
      <c r="Q45" s="32">
        <v>4.4000000000000004</v>
      </c>
      <c r="R45" s="32">
        <v>53.13</v>
      </c>
      <c r="S45" s="32">
        <v>56</v>
      </c>
      <c r="T45" s="32">
        <v>2.87</v>
      </c>
      <c r="U45" s="32">
        <v>-0.3</v>
      </c>
      <c r="V45" s="32">
        <v>1629.99</v>
      </c>
    </row>
    <row r="46" spans="1:26" ht="16.8" x14ac:dyDescent="0.3">
      <c r="A46" s="20">
        <v>4.5</v>
      </c>
      <c r="B46" s="20">
        <v>56</v>
      </c>
      <c r="C46" s="20">
        <v>48.32</v>
      </c>
      <c r="D46" s="20">
        <v>7.68</v>
      </c>
      <c r="E46" s="20">
        <v>-0.54</v>
      </c>
      <c r="F46" s="20">
        <v>3411.19</v>
      </c>
      <c r="Q46" s="32">
        <v>4.5</v>
      </c>
      <c r="R46" s="32">
        <v>53.36</v>
      </c>
      <c r="S46" s="34">
        <v>56</v>
      </c>
      <c r="T46" s="34">
        <v>2.64</v>
      </c>
      <c r="U46" s="34">
        <v>-0.23</v>
      </c>
      <c r="V46" s="32">
        <v>1606.19</v>
      </c>
    </row>
    <row r="47" spans="1:26" ht="16.8" x14ac:dyDescent="0.3">
      <c r="A47" s="20">
        <v>4.5999999999999996</v>
      </c>
      <c r="B47" s="20">
        <v>56</v>
      </c>
      <c r="C47" s="20">
        <v>48.82</v>
      </c>
      <c r="D47" s="20">
        <v>7.18</v>
      </c>
      <c r="E47" s="20">
        <v>-0.5</v>
      </c>
      <c r="F47" s="20">
        <v>3403.66</v>
      </c>
      <c r="Q47" s="32">
        <v>4.5999999999999996</v>
      </c>
      <c r="R47" s="32">
        <v>53.57</v>
      </c>
      <c r="S47" s="32">
        <v>56</v>
      </c>
      <c r="T47" s="32">
        <v>2.4300000000000002</v>
      </c>
      <c r="U47" s="32">
        <v>-0.21</v>
      </c>
      <c r="V47" s="32">
        <v>1580.05</v>
      </c>
    </row>
    <row r="48" spans="1:26" ht="16.8" x14ac:dyDescent="0.3">
      <c r="A48" s="20">
        <v>4.7</v>
      </c>
      <c r="B48" s="20">
        <v>56</v>
      </c>
      <c r="C48" s="20">
        <v>49.24</v>
      </c>
      <c r="D48" s="20">
        <v>6.76</v>
      </c>
      <c r="E48" s="20">
        <v>-0.42</v>
      </c>
      <c r="F48" s="20">
        <v>3392.2</v>
      </c>
      <c r="Q48" s="32">
        <v>4.7</v>
      </c>
      <c r="R48" s="32">
        <v>53.78</v>
      </c>
      <c r="S48" s="34">
        <v>56</v>
      </c>
      <c r="T48" s="34">
        <v>2.2200000000000002</v>
      </c>
      <c r="U48" s="32">
        <v>-0.21</v>
      </c>
      <c r="V48" s="32">
        <v>1552.16</v>
      </c>
    </row>
    <row r="49" spans="1:22" ht="16.8" x14ac:dyDescent="0.3">
      <c r="A49" s="20">
        <v>4.8</v>
      </c>
      <c r="B49" s="20">
        <v>56</v>
      </c>
      <c r="C49" s="20">
        <v>49.75</v>
      </c>
      <c r="D49" s="20">
        <v>6.25</v>
      </c>
      <c r="E49" s="20">
        <v>-0.51</v>
      </c>
      <c r="F49" s="20">
        <v>3405.54</v>
      </c>
      <c r="Q49" s="32">
        <v>4.8</v>
      </c>
      <c r="R49" s="32">
        <v>54</v>
      </c>
      <c r="S49" s="32">
        <v>56</v>
      </c>
      <c r="T49" s="32">
        <v>2</v>
      </c>
      <c r="U49" s="34">
        <v>-0.23</v>
      </c>
      <c r="V49" s="32">
        <v>1519.93</v>
      </c>
    </row>
    <row r="50" spans="1:22" ht="16.8" x14ac:dyDescent="0.3">
      <c r="A50" s="20">
        <v>4.9000000000000004</v>
      </c>
      <c r="B50" s="20">
        <v>56</v>
      </c>
      <c r="C50" s="20">
        <v>50.22</v>
      </c>
      <c r="D50" s="20">
        <v>5.78</v>
      </c>
      <c r="E50" s="20">
        <v>-0.47</v>
      </c>
      <c r="F50" s="20">
        <v>3399.84</v>
      </c>
      <c r="Q50" s="20">
        <v>4.9000000000000004</v>
      </c>
      <c r="R50" s="20">
        <v>54.18</v>
      </c>
      <c r="S50" s="26">
        <v>56</v>
      </c>
      <c r="T50" s="26">
        <v>1.82</v>
      </c>
      <c r="U50" s="20">
        <v>-0.18</v>
      </c>
      <c r="V50" s="20">
        <v>1499.95</v>
      </c>
    </row>
    <row r="51" spans="1:22" ht="16.8" x14ac:dyDescent="0.3">
      <c r="A51" s="20">
        <v>5</v>
      </c>
      <c r="B51" s="20">
        <v>56</v>
      </c>
      <c r="C51" s="20">
        <v>50.71</v>
      </c>
      <c r="D51" s="20">
        <v>5.29</v>
      </c>
      <c r="E51" s="20">
        <v>-0.49</v>
      </c>
      <c r="F51" s="20">
        <v>3402.39</v>
      </c>
      <c r="Q51" s="20">
        <v>5</v>
      </c>
      <c r="R51" s="20">
        <v>54.4</v>
      </c>
      <c r="S51" s="20">
        <v>56</v>
      </c>
      <c r="T51" s="20">
        <v>1.6</v>
      </c>
      <c r="U51" s="26">
        <v>-0.22</v>
      </c>
      <c r="V51" s="20">
        <v>1466.18</v>
      </c>
    </row>
    <row r="52" spans="1:22" ht="16.8" x14ac:dyDescent="0.3">
      <c r="A52" s="20">
        <v>5.0999999999999996</v>
      </c>
      <c r="B52" s="20">
        <v>56</v>
      </c>
      <c r="C52" s="20">
        <v>51.13</v>
      </c>
      <c r="D52" s="20">
        <v>4.87</v>
      </c>
      <c r="E52" s="20">
        <v>-0.42</v>
      </c>
      <c r="F52" s="20">
        <v>3391.56</v>
      </c>
      <c r="Q52" s="20">
        <v>5.0999999999999996</v>
      </c>
      <c r="R52" s="20">
        <v>54.55</v>
      </c>
      <c r="S52" s="26">
        <v>56</v>
      </c>
      <c r="T52" s="26">
        <v>1.45</v>
      </c>
      <c r="U52" s="20">
        <v>-0.15</v>
      </c>
      <c r="V52" s="20">
        <v>1450.41</v>
      </c>
    </row>
    <row r="53" spans="1:22" ht="16.8" x14ac:dyDescent="0.3">
      <c r="A53" s="20">
        <v>5.2</v>
      </c>
      <c r="B53" s="20">
        <v>56</v>
      </c>
      <c r="C53" s="20">
        <v>51.61</v>
      </c>
      <c r="D53" s="20">
        <v>4.3899999999999997</v>
      </c>
      <c r="E53" s="20">
        <v>-0.48</v>
      </c>
      <c r="F53" s="20">
        <v>3401.76</v>
      </c>
      <c r="Q53" s="20">
        <v>5.2</v>
      </c>
      <c r="R53" s="20">
        <v>54.71</v>
      </c>
      <c r="S53" s="20">
        <v>56</v>
      </c>
      <c r="T53" s="20">
        <v>1.29</v>
      </c>
      <c r="U53" s="26">
        <v>-0.15</v>
      </c>
      <c r="V53" s="20">
        <v>1429.25</v>
      </c>
    </row>
    <row r="54" spans="1:22" ht="16.8" x14ac:dyDescent="0.3">
      <c r="A54" s="20">
        <v>5.3</v>
      </c>
      <c r="B54" s="20">
        <v>56</v>
      </c>
      <c r="C54" s="20">
        <v>52.08</v>
      </c>
      <c r="D54" s="20">
        <v>3.92</v>
      </c>
      <c r="E54" s="20">
        <v>-0.47</v>
      </c>
      <c r="F54" s="20">
        <v>3399.86</v>
      </c>
      <c r="Q54" s="20">
        <v>5.3</v>
      </c>
      <c r="R54" s="20">
        <v>54.92</v>
      </c>
      <c r="S54" s="26">
        <v>56</v>
      </c>
      <c r="T54" s="26">
        <v>1.08</v>
      </c>
      <c r="U54" s="20">
        <v>-0.21</v>
      </c>
      <c r="V54" s="20">
        <v>1394.28</v>
      </c>
    </row>
    <row r="55" spans="1:22" ht="16.8" x14ac:dyDescent="0.3">
      <c r="A55" s="20">
        <v>5.4</v>
      </c>
      <c r="B55" s="20">
        <v>56</v>
      </c>
      <c r="C55" s="20">
        <v>52.51</v>
      </c>
      <c r="D55" s="20">
        <v>3.49</v>
      </c>
      <c r="E55" s="20">
        <v>-0.43</v>
      </c>
      <c r="F55" s="20">
        <v>3393.49</v>
      </c>
      <c r="Q55" s="20">
        <v>5.4</v>
      </c>
      <c r="R55" s="20">
        <v>55.07</v>
      </c>
      <c r="S55" s="20">
        <v>56</v>
      </c>
      <c r="T55" s="20">
        <v>0.93</v>
      </c>
      <c r="U55" s="26">
        <v>-0.15</v>
      </c>
      <c r="V55" s="20">
        <v>1376.67</v>
      </c>
    </row>
    <row r="56" spans="1:22" ht="16.8" x14ac:dyDescent="0.3">
      <c r="A56" s="20">
        <v>5.5</v>
      </c>
      <c r="B56" s="20">
        <v>56</v>
      </c>
      <c r="C56" s="20">
        <v>52.97</v>
      </c>
      <c r="D56" s="20">
        <v>3.03</v>
      </c>
      <c r="E56" s="20">
        <v>-0.46</v>
      </c>
      <c r="F56" s="20">
        <v>3397.32</v>
      </c>
      <c r="Q56" s="20">
        <v>5.5</v>
      </c>
      <c r="R56" s="20">
        <v>55.22</v>
      </c>
      <c r="S56" s="26">
        <v>56</v>
      </c>
      <c r="T56" s="26">
        <v>0.78</v>
      </c>
      <c r="U56" s="20">
        <v>-0.15</v>
      </c>
      <c r="V56" s="20">
        <v>1354.29</v>
      </c>
    </row>
    <row r="57" spans="1:22" ht="16.8" x14ac:dyDescent="0.3">
      <c r="A57" s="32">
        <v>5.6</v>
      </c>
      <c r="B57" s="20">
        <v>56</v>
      </c>
      <c r="C57" s="20">
        <v>53.4</v>
      </c>
      <c r="D57" s="20">
        <v>2.6</v>
      </c>
      <c r="E57" s="20">
        <v>-0.43</v>
      </c>
      <c r="F57" s="20">
        <v>3018.53</v>
      </c>
      <c r="Q57" s="20">
        <v>5.6</v>
      </c>
      <c r="R57" s="20">
        <v>55.33</v>
      </c>
      <c r="S57" s="20">
        <v>56</v>
      </c>
      <c r="T57" s="20">
        <v>0.67</v>
      </c>
      <c r="U57" s="20">
        <v>-0.11</v>
      </c>
      <c r="V57" s="20">
        <v>1341.16</v>
      </c>
    </row>
    <row r="58" spans="1:22" ht="16.8" x14ac:dyDescent="0.3">
      <c r="A58" s="45">
        <v>5.7</v>
      </c>
      <c r="B58" s="20">
        <v>56</v>
      </c>
      <c r="C58" s="20">
        <v>53.86</v>
      </c>
      <c r="D58" s="20">
        <v>2.14</v>
      </c>
      <c r="E58" s="20">
        <v>-0.46</v>
      </c>
      <c r="F58" s="20">
        <v>2745.06</v>
      </c>
      <c r="Q58" s="20">
        <v>5.7</v>
      </c>
      <c r="R58" s="20">
        <v>55.42</v>
      </c>
      <c r="S58" s="26">
        <v>56</v>
      </c>
      <c r="T58" s="26">
        <v>0.57999999999999996</v>
      </c>
      <c r="U58" s="26">
        <v>-0.09</v>
      </c>
      <c r="V58" s="20">
        <v>1330.4</v>
      </c>
    </row>
    <row r="59" spans="1:22" ht="16.8" x14ac:dyDescent="0.3">
      <c r="A59" s="20">
        <v>5.8</v>
      </c>
      <c r="B59" s="20">
        <v>56</v>
      </c>
      <c r="C59" s="20">
        <v>54.31</v>
      </c>
      <c r="D59" s="20">
        <v>1.69</v>
      </c>
      <c r="E59" s="20">
        <v>-0.46</v>
      </c>
      <c r="F59" s="20">
        <v>2283.61</v>
      </c>
      <c r="Q59" s="20">
        <v>5.8</v>
      </c>
      <c r="R59" s="20">
        <v>55.6</v>
      </c>
      <c r="S59" s="20">
        <v>56</v>
      </c>
      <c r="T59" s="20">
        <v>0.4</v>
      </c>
      <c r="U59" s="20">
        <v>-0.18</v>
      </c>
      <c r="V59" s="20">
        <v>1296.3900000000001</v>
      </c>
    </row>
    <row r="60" spans="1:22" ht="16.8" x14ac:dyDescent="0.3">
      <c r="A60" s="20">
        <v>5.9</v>
      </c>
      <c r="B60" s="20">
        <v>56</v>
      </c>
      <c r="C60" s="20">
        <v>54.5</v>
      </c>
      <c r="D60" s="20">
        <v>1.5</v>
      </c>
      <c r="E60" s="20">
        <v>-0.19</v>
      </c>
      <c r="F60" s="20">
        <v>1800</v>
      </c>
      <c r="Q60" s="20">
        <v>5.9</v>
      </c>
      <c r="R60" s="20">
        <v>55.67</v>
      </c>
      <c r="S60" s="26">
        <v>56</v>
      </c>
      <c r="T60" s="26">
        <v>0.33</v>
      </c>
      <c r="U60" s="26">
        <v>-7.0000000000000007E-2</v>
      </c>
      <c r="V60" s="20">
        <v>1293.8599999999999</v>
      </c>
    </row>
    <row r="61" spans="1:22" ht="16.8" x14ac:dyDescent="0.3">
      <c r="A61" s="20">
        <v>6</v>
      </c>
      <c r="B61" s="20">
        <v>56</v>
      </c>
      <c r="C61" s="20">
        <v>54.96</v>
      </c>
      <c r="D61" s="20">
        <v>1.04</v>
      </c>
      <c r="E61" s="20">
        <v>-0.46</v>
      </c>
      <c r="F61" s="20">
        <v>1800</v>
      </c>
      <c r="Q61" s="20">
        <v>6</v>
      </c>
      <c r="R61" s="20">
        <v>55.79</v>
      </c>
      <c r="S61" s="20">
        <v>56</v>
      </c>
      <c r="T61" s="20">
        <v>0.21</v>
      </c>
      <c r="U61" s="20">
        <v>-0.11</v>
      </c>
      <c r="V61" s="20">
        <v>1273.3900000000001</v>
      </c>
    </row>
    <row r="62" spans="1:22" ht="16.8" x14ac:dyDescent="0.3">
      <c r="A62" s="20">
        <v>6.1</v>
      </c>
      <c r="B62" s="20">
        <v>56</v>
      </c>
      <c r="C62" s="20">
        <v>55.39</v>
      </c>
      <c r="D62" s="20">
        <v>0.61</v>
      </c>
      <c r="E62" s="20">
        <v>-0.43</v>
      </c>
      <c r="F62" s="20">
        <v>1564.68</v>
      </c>
      <c r="Q62" s="20">
        <v>6.1</v>
      </c>
      <c r="R62" s="20">
        <v>55.88</v>
      </c>
      <c r="S62" s="26">
        <v>56</v>
      </c>
      <c r="T62" s="20">
        <v>0.12</v>
      </c>
      <c r="U62" s="26">
        <v>-0.1</v>
      </c>
      <c r="V62" s="20">
        <v>1259.6300000000001</v>
      </c>
    </row>
    <row r="63" spans="1:22" ht="16.8" x14ac:dyDescent="0.3">
      <c r="A63" s="20">
        <v>6.2</v>
      </c>
      <c r="B63" s="20">
        <v>56</v>
      </c>
      <c r="C63" s="20">
        <v>55.79</v>
      </c>
      <c r="D63" s="20">
        <v>0.21</v>
      </c>
      <c r="E63" s="20">
        <v>-0.39</v>
      </c>
      <c r="F63" s="20">
        <v>1313.12</v>
      </c>
      <c r="Q63" s="20">
        <v>6.2</v>
      </c>
      <c r="R63" s="20">
        <v>55.99</v>
      </c>
      <c r="S63" s="20">
        <v>56</v>
      </c>
      <c r="T63" s="26">
        <v>0.01</v>
      </c>
      <c r="U63" s="20">
        <v>-0.11</v>
      </c>
      <c r="V63" s="20">
        <v>1240.54</v>
      </c>
    </row>
    <row r="64" spans="1:22" ht="16.8" x14ac:dyDescent="0.3">
      <c r="A64" s="20">
        <v>6.3</v>
      </c>
      <c r="B64" s="20">
        <v>56</v>
      </c>
      <c r="C64" s="20">
        <v>56.12</v>
      </c>
      <c r="D64" s="20">
        <v>-0.12</v>
      </c>
      <c r="E64" s="20">
        <v>-0.34</v>
      </c>
      <c r="F64" s="20">
        <v>1056.8399999999999</v>
      </c>
      <c r="Q64" s="20">
        <v>6.3</v>
      </c>
      <c r="R64" s="20">
        <v>56.06</v>
      </c>
      <c r="S64" s="26">
        <v>56</v>
      </c>
      <c r="T64" s="20">
        <v>-0.06</v>
      </c>
      <c r="U64" s="26">
        <v>-0.06</v>
      </c>
      <c r="V64" s="20">
        <v>1233.98</v>
      </c>
    </row>
    <row r="65" spans="1:22" ht="16.8" x14ac:dyDescent="0.3">
      <c r="A65" s="20">
        <v>6.4</v>
      </c>
      <c r="B65" s="20">
        <v>56</v>
      </c>
      <c r="C65" s="20">
        <v>56.41</v>
      </c>
      <c r="D65" s="20">
        <v>-0.41</v>
      </c>
      <c r="E65" s="20">
        <v>-0.28999999999999998</v>
      </c>
      <c r="F65" s="20">
        <v>979.12</v>
      </c>
      <c r="Q65" s="20">
        <v>6.4</v>
      </c>
      <c r="R65" s="20">
        <v>56.14</v>
      </c>
      <c r="S65" s="20">
        <v>56</v>
      </c>
      <c r="T65" s="26">
        <v>-0.14000000000000001</v>
      </c>
      <c r="U65" s="20">
        <v>-0.08</v>
      </c>
      <c r="V65" s="20">
        <v>1219.6400000000001</v>
      </c>
    </row>
    <row r="66" spans="1:22" ht="16.8" x14ac:dyDescent="0.3">
      <c r="A66" s="20">
        <v>6.5</v>
      </c>
      <c r="B66" s="20">
        <v>56</v>
      </c>
      <c r="C66" s="20">
        <v>56.7</v>
      </c>
      <c r="D66" s="20">
        <v>-0.7</v>
      </c>
      <c r="E66" s="20">
        <v>-0.28999999999999998</v>
      </c>
      <c r="F66" s="20">
        <v>734.95</v>
      </c>
      <c r="Q66" s="20">
        <v>6.5</v>
      </c>
      <c r="R66" s="20">
        <v>56.24</v>
      </c>
      <c r="S66" s="26">
        <v>56</v>
      </c>
      <c r="T66" s="20">
        <v>-0.24</v>
      </c>
      <c r="U66" s="26">
        <v>-0.1</v>
      </c>
      <c r="V66" s="20">
        <v>1200.6199999999999</v>
      </c>
    </row>
    <row r="67" spans="1:22" ht="16.8" x14ac:dyDescent="0.3">
      <c r="A67" s="20">
        <v>6.6</v>
      </c>
      <c r="B67" s="20">
        <v>56</v>
      </c>
      <c r="C67" s="20">
        <v>56.94</v>
      </c>
      <c r="D67" s="20">
        <v>-0.94</v>
      </c>
      <c r="E67" s="20">
        <v>-0.23</v>
      </c>
      <c r="F67" s="20">
        <v>58.5</v>
      </c>
      <c r="Q67" s="20">
        <v>6.6</v>
      </c>
      <c r="R67" s="20">
        <v>56.27</v>
      </c>
      <c r="S67" s="20">
        <v>56</v>
      </c>
      <c r="T67" s="26">
        <v>-0.27</v>
      </c>
      <c r="U67" s="20">
        <v>-0.02</v>
      </c>
      <c r="V67" s="20">
        <v>1202.44</v>
      </c>
    </row>
    <row r="68" spans="1:22" ht="16.8" x14ac:dyDescent="0.3">
      <c r="A68" s="20">
        <v>6.7</v>
      </c>
      <c r="B68" s="20">
        <v>56</v>
      </c>
      <c r="C68" s="20">
        <v>57.18</v>
      </c>
      <c r="D68" s="20">
        <v>-1.18</v>
      </c>
      <c r="E68" s="20">
        <v>-0.25</v>
      </c>
      <c r="F68" s="20">
        <v>59.15</v>
      </c>
      <c r="Q68" s="20">
        <v>6.7</v>
      </c>
      <c r="R68" s="20">
        <v>56.33</v>
      </c>
      <c r="S68" s="26">
        <v>56</v>
      </c>
      <c r="T68" s="20">
        <v>-0.33</v>
      </c>
      <c r="U68" s="26">
        <v>-0.06</v>
      </c>
      <c r="V68" s="20">
        <v>1190.24</v>
      </c>
    </row>
    <row r="69" spans="1:22" ht="16.8" x14ac:dyDescent="0.3">
      <c r="A69" s="20">
        <v>6.8</v>
      </c>
      <c r="B69" s="20">
        <v>56</v>
      </c>
      <c r="C69" s="20">
        <v>57.3</v>
      </c>
      <c r="D69" s="20">
        <v>-1.3</v>
      </c>
      <c r="E69" s="20">
        <v>-0.12</v>
      </c>
      <c r="F69" s="20">
        <v>53.64</v>
      </c>
      <c r="Q69" s="20">
        <v>6.8</v>
      </c>
      <c r="R69" s="20">
        <v>56.44</v>
      </c>
      <c r="S69" s="20">
        <v>56</v>
      </c>
      <c r="T69" s="26">
        <v>-0.44</v>
      </c>
      <c r="U69" s="20">
        <v>-0.11</v>
      </c>
      <c r="V69" s="20">
        <v>1166.97</v>
      </c>
    </row>
    <row r="70" spans="1:22" ht="16.8" x14ac:dyDescent="0.3">
      <c r="A70" s="20">
        <v>6.9</v>
      </c>
      <c r="B70" s="20">
        <v>56</v>
      </c>
      <c r="C70" s="20">
        <v>57.45</v>
      </c>
      <c r="D70" s="20">
        <v>-1.45</v>
      </c>
      <c r="E70" s="20">
        <v>-0.15</v>
      </c>
      <c r="F70" s="20">
        <v>54.54</v>
      </c>
      <c r="Q70" s="20">
        <v>6.9</v>
      </c>
      <c r="R70" s="20">
        <v>56.5</v>
      </c>
      <c r="S70" s="26">
        <v>56</v>
      </c>
      <c r="T70" s="20">
        <v>-0.5</v>
      </c>
      <c r="U70" s="20">
        <v>-0.06</v>
      </c>
      <c r="V70" s="20">
        <v>1159.3599999999999</v>
      </c>
    </row>
    <row r="71" spans="1:22" ht="16.8" x14ac:dyDescent="0.3">
      <c r="A71" s="20">
        <v>7</v>
      </c>
      <c r="B71" s="20">
        <v>56</v>
      </c>
      <c r="C71" s="20">
        <v>57.49</v>
      </c>
      <c r="D71" s="20">
        <v>-1.49</v>
      </c>
      <c r="E71" s="20">
        <v>-0.04</v>
      </c>
      <c r="F71" s="20">
        <v>53.64</v>
      </c>
      <c r="Q71" s="20">
        <v>7</v>
      </c>
      <c r="R71" s="20">
        <v>56.53</v>
      </c>
      <c r="S71" s="20">
        <v>56</v>
      </c>
      <c r="T71" s="26">
        <v>-0.53</v>
      </c>
      <c r="U71" s="26">
        <v>-0.03</v>
      </c>
      <c r="V71" s="20">
        <v>1155.51</v>
      </c>
    </row>
    <row r="72" spans="1:22" ht="16.8" x14ac:dyDescent="0.3">
      <c r="A72" s="20">
        <v>7.1</v>
      </c>
      <c r="B72" s="20">
        <v>56</v>
      </c>
      <c r="C72" s="20">
        <v>57.51</v>
      </c>
      <c r="D72" s="20">
        <v>-1.51</v>
      </c>
      <c r="E72" s="20">
        <v>-0.02</v>
      </c>
      <c r="F72" s="20">
        <v>53.64</v>
      </c>
      <c r="Q72" s="20">
        <v>7.1</v>
      </c>
      <c r="R72" s="20">
        <v>56.62</v>
      </c>
      <c r="S72" s="26">
        <v>56</v>
      </c>
      <c r="T72" s="20">
        <v>-0.62</v>
      </c>
      <c r="U72" s="20">
        <v>-0.09</v>
      </c>
      <c r="V72" s="20">
        <v>1135.6199999999999</v>
      </c>
    </row>
    <row r="73" spans="1:22" ht="16.8" x14ac:dyDescent="0.3">
      <c r="A73" s="20">
        <v>7.2</v>
      </c>
      <c r="B73" s="20">
        <v>56</v>
      </c>
      <c r="C73" s="20">
        <v>57.51</v>
      </c>
      <c r="D73" s="20">
        <v>-1.51</v>
      </c>
      <c r="E73" s="20">
        <v>0</v>
      </c>
      <c r="F73" s="20">
        <v>53.64</v>
      </c>
      <c r="Q73" s="20">
        <v>7.2</v>
      </c>
      <c r="R73" s="20">
        <v>56.68</v>
      </c>
      <c r="S73" s="20">
        <v>56</v>
      </c>
      <c r="T73" s="26">
        <v>-0.68</v>
      </c>
      <c r="U73" s="26">
        <v>-0.06</v>
      </c>
      <c r="V73" s="20">
        <v>1127.6099999999999</v>
      </c>
    </row>
    <row r="74" spans="1:22" ht="16.8" x14ac:dyDescent="0.3">
      <c r="A74" s="20">
        <v>7.3</v>
      </c>
      <c r="B74" s="20">
        <v>56</v>
      </c>
      <c r="C74" s="20">
        <v>57.49</v>
      </c>
      <c r="D74" s="20">
        <v>-1.49</v>
      </c>
      <c r="E74" s="20">
        <v>0.02</v>
      </c>
      <c r="F74" s="20">
        <v>53.64</v>
      </c>
      <c r="Q74" s="20">
        <v>7.3</v>
      </c>
      <c r="R74" s="20">
        <v>56.68</v>
      </c>
      <c r="S74" s="20">
        <v>56</v>
      </c>
      <c r="T74" s="20">
        <v>-0.68</v>
      </c>
      <c r="U74" s="20">
        <v>0</v>
      </c>
      <c r="V74" s="20">
        <v>1130.4000000000001</v>
      </c>
    </row>
    <row r="75" spans="1:22" ht="16.8" x14ac:dyDescent="0.3">
      <c r="A75" s="20">
        <v>7.4</v>
      </c>
      <c r="B75" s="20">
        <v>56</v>
      </c>
      <c r="C75" s="20">
        <v>57.38</v>
      </c>
      <c r="D75" s="20">
        <v>-1.38</v>
      </c>
      <c r="E75" s="20">
        <v>0.11</v>
      </c>
      <c r="F75" s="20">
        <v>53.64</v>
      </c>
      <c r="Q75" s="20">
        <v>7.4</v>
      </c>
      <c r="R75" s="20">
        <v>56.75</v>
      </c>
      <c r="S75" s="26">
        <v>56</v>
      </c>
      <c r="T75" s="20">
        <v>-0.75</v>
      </c>
      <c r="U75" s="26">
        <v>-7.0000000000000007E-2</v>
      </c>
      <c r="V75" s="20">
        <v>1111.5</v>
      </c>
    </row>
    <row r="76" spans="1:22" ht="16.8" x14ac:dyDescent="0.3">
      <c r="A76" s="20">
        <v>7.5</v>
      </c>
      <c r="B76" s="20">
        <v>56</v>
      </c>
      <c r="C76" s="20">
        <v>57.3</v>
      </c>
      <c r="D76" s="20">
        <v>-1.3</v>
      </c>
      <c r="E76" s="20">
        <v>0.08</v>
      </c>
      <c r="F76" s="20">
        <v>53.64</v>
      </c>
      <c r="Q76" s="20">
        <v>7.5</v>
      </c>
      <c r="R76" s="20">
        <v>56.87</v>
      </c>
      <c r="S76" s="20">
        <v>56</v>
      </c>
      <c r="T76" s="26">
        <v>-0.87</v>
      </c>
      <c r="U76" s="20">
        <v>-0.11</v>
      </c>
      <c r="V76" s="20">
        <v>1088.48</v>
      </c>
    </row>
    <row r="77" spans="1:22" ht="16.8" x14ac:dyDescent="0.3">
      <c r="A77" s="20">
        <v>7.6</v>
      </c>
      <c r="B77" s="20">
        <v>56</v>
      </c>
      <c r="C77" s="20">
        <v>57.12</v>
      </c>
      <c r="D77" s="20">
        <v>-1.1200000000000001</v>
      </c>
      <c r="E77" s="20">
        <v>0.18</v>
      </c>
      <c r="F77" s="20">
        <v>55.91</v>
      </c>
      <c r="Q77" s="20">
        <v>7.6</v>
      </c>
      <c r="R77" s="20">
        <v>56.82</v>
      </c>
      <c r="S77" s="26">
        <v>56</v>
      </c>
      <c r="T77" s="20">
        <v>-0.82</v>
      </c>
      <c r="U77" s="26">
        <v>0.04</v>
      </c>
      <c r="V77" s="20">
        <v>1104.8499999999999</v>
      </c>
    </row>
    <row r="78" spans="1:22" ht="16.8" x14ac:dyDescent="0.3">
      <c r="A78" s="20">
        <v>7.7</v>
      </c>
      <c r="B78" s="20">
        <v>56</v>
      </c>
      <c r="C78" s="20">
        <v>57.03</v>
      </c>
      <c r="D78" s="20">
        <v>-1.03</v>
      </c>
      <c r="E78" s="20">
        <v>0.1</v>
      </c>
      <c r="F78" s="20">
        <v>54.89</v>
      </c>
      <c r="Q78" s="20">
        <v>7.7</v>
      </c>
      <c r="R78" s="20">
        <v>56.86</v>
      </c>
      <c r="S78" s="20">
        <v>56</v>
      </c>
      <c r="T78" s="26">
        <v>-0.86</v>
      </c>
      <c r="U78" s="20">
        <v>-0.03</v>
      </c>
      <c r="V78" s="20">
        <v>1092.07</v>
      </c>
    </row>
    <row r="79" spans="1:22" ht="16.8" x14ac:dyDescent="0.3">
      <c r="A79" s="20">
        <v>7.8</v>
      </c>
      <c r="B79" s="20">
        <v>56</v>
      </c>
      <c r="C79" s="20">
        <v>56.8</v>
      </c>
      <c r="D79" s="20">
        <v>-0.8</v>
      </c>
      <c r="E79" s="20">
        <v>0.22</v>
      </c>
      <c r="F79" s="20">
        <v>58.4</v>
      </c>
      <c r="Q79" s="20">
        <v>7.8</v>
      </c>
      <c r="R79" s="20">
        <v>56.88</v>
      </c>
      <c r="S79" s="26">
        <v>56</v>
      </c>
      <c r="T79" s="20">
        <v>-0.88</v>
      </c>
      <c r="U79" s="26">
        <v>-0.02</v>
      </c>
      <c r="V79" s="20">
        <v>1086.79</v>
      </c>
    </row>
    <row r="80" spans="1:22" ht="16.8" x14ac:dyDescent="0.3">
      <c r="A80" s="20">
        <v>7.9</v>
      </c>
      <c r="B80" s="20">
        <v>56</v>
      </c>
      <c r="C80" s="20">
        <v>56.61</v>
      </c>
      <c r="D80" s="20">
        <v>-0.61</v>
      </c>
      <c r="E80" s="20">
        <v>0.19</v>
      </c>
      <c r="F80" s="20">
        <v>1322.9</v>
      </c>
      <c r="Q80" s="20">
        <v>7.9</v>
      </c>
      <c r="R80" s="20">
        <v>56.91</v>
      </c>
      <c r="S80" s="20">
        <v>56</v>
      </c>
      <c r="T80" s="26">
        <v>-0.91</v>
      </c>
      <c r="U80" s="20">
        <v>-0.02</v>
      </c>
      <c r="V80" s="20">
        <v>1080.83</v>
      </c>
    </row>
    <row r="81" spans="1:22" ht="16.8" x14ac:dyDescent="0.3">
      <c r="A81" s="20">
        <v>8</v>
      </c>
      <c r="B81" s="20">
        <v>56</v>
      </c>
      <c r="C81" s="20">
        <v>56.49</v>
      </c>
      <c r="D81" s="20">
        <v>-0.49</v>
      </c>
      <c r="E81" s="20">
        <v>0.12</v>
      </c>
      <c r="F81" s="20">
        <v>1221.83</v>
      </c>
      <c r="Q81" s="20">
        <v>8</v>
      </c>
      <c r="R81" s="20">
        <v>56.93</v>
      </c>
      <c r="S81" s="26">
        <v>56</v>
      </c>
      <c r="T81" s="20">
        <v>-0.93</v>
      </c>
      <c r="U81" s="26">
        <v>-0.02</v>
      </c>
      <c r="V81" s="20">
        <v>1074.81</v>
      </c>
    </row>
    <row r="82" spans="1:22" ht="16.8" x14ac:dyDescent="0.3">
      <c r="A82" s="20">
        <v>8.1</v>
      </c>
      <c r="B82" s="20">
        <v>56</v>
      </c>
      <c r="C82" s="20">
        <v>56.24</v>
      </c>
      <c r="D82" s="20">
        <v>-0.24</v>
      </c>
      <c r="E82" s="20">
        <v>0.25</v>
      </c>
      <c r="F82" s="20">
        <v>1380.58</v>
      </c>
      <c r="Q82" s="20">
        <v>8.1</v>
      </c>
      <c r="R82" s="20">
        <v>56.94</v>
      </c>
      <c r="S82" s="20">
        <v>56</v>
      </c>
      <c r="T82" s="26">
        <v>-0.94</v>
      </c>
      <c r="U82" s="20">
        <v>-0.01</v>
      </c>
      <c r="V82" s="20">
        <v>1072.5899999999999</v>
      </c>
    </row>
    <row r="83" spans="1:22" ht="16.8" x14ac:dyDescent="0.3">
      <c r="A83" s="20">
        <v>8.1999999999999993</v>
      </c>
      <c r="B83" s="20">
        <v>56</v>
      </c>
      <c r="C83" s="20">
        <v>56.08</v>
      </c>
      <c r="D83" s="20">
        <v>-0.08</v>
      </c>
      <c r="E83" s="20">
        <v>0.15</v>
      </c>
      <c r="F83" s="20">
        <v>1303.77</v>
      </c>
      <c r="Q83" s="20">
        <v>8.1999999999999993</v>
      </c>
      <c r="R83" s="20">
        <v>56.95</v>
      </c>
      <c r="S83" s="26">
        <v>56</v>
      </c>
      <c r="T83" s="20">
        <v>-0.95</v>
      </c>
      <c r="U83" s="20">
        <v>-0.02</v>
      </c>
      <c r="V83" s="20">
        <v>1067.1600000000001</v>
      </c>
    </row>
    <row r="84" spans="1:22" ht="16.8" x14ac:dyDescent="0.3">
      <c r="A84" s="20">
        <v>8.3000000000000007</v>
      </c>
      <c r="B84" s="20">
        <v>56</v>
      </c>
      <c r="C84" s="20">
        <v>55.9</v>
      </c>
      <c r="D84" s="20">
        <v>0.1</v>
      </c>
      <c r="E84" s="20">
        <v>0.19</v>
      </c>
      <c r="F84" s="20">
        <v>1358.96</v>
      </c>
      <c r="Q84" s="20">
        <v>8.3000000000000007</v>
      </c>
      <c r="R84" s="20">
        <v>56.99</v>
      </c>
      <c r="S84" s="20">
        <v>56</v>
      </c>
      <c r="T84" s="26">
        <v>-0.99</v>
      </c>
      <c r="U84" s="26">
        <v>-0.03</v>
      </c>
      <c r="V84" s="20">
        <v>1058.47</v>
      </c>
    </row>
    <row r="85" spans="1:22" ht="16.8" x14ac:dyDescent="0.3">
      <c r="A85" s="20">
        <v>8.4</v>
      </c>
      <c r="B85" s="20">
        <v>56</v>
      </c>
      <c r="C85" s="20">
        <v>55.75</v>
      </c>
      <c r="D85" s="20">
        <v>0.25</v>
      </c>
      <c r="E85" s="20">
        <v>0.15</v>
      </c>
      <c r="F85" s="20">
        <v>1315.51</v>
      </c>
      <c r="Q85" s="20">
        <v>8.4</v>
      </c>
      <c r="R85" s="20">
        <v>57.01</v>
      </c>
      <c r="S85" s="26">
        <v>56</v>
      </c>
      <c r="T85" s="20">
        <v>-1.01</v>
      </c>
      <c r="U85" s="20">
        <v>-0.02</v>
      </c>
      <c r="V85" s="20">
        <v>1052.9000000000001</v>
      </c>
    </row>
    <row r="86" spans="1:22" ht="16.8" x14ac:dyDescent="0.3">
      <c r="A86" s="20">
        <v>8.5</v>
      </c>
      <c r="B86" s="20">
        <v>56</v>
      </c>
      <c r="C86" s="20">
        <v>55.65</v>
      </c>
      <c r="D86" s="20">
        <v>0.35</v>
      </c>
      <c r="E86" s="20">
        <v>0.1</v>
      </c>
      <c r="F86" s="20">
        <v>1369.51</v>
      </c>
      <c r="Q86" s="20">
        <v>8.5</v>
      </c>
      <c r="R86" s="20">
        <v>57.04</v>
      </c>
      <c r="S86" s="20">
        <v>56</v>
      </c>
      <c r="T86" s="26">
        <v>-1.04</v>
      </c>
      <c r="U86" s="26">
        <v>-0.03</v>
      </c>
      <c r="V86" s="20">
        <v>1044.71</v>
      </c>
    </row>
    <row r="87" spans="1:22" ht="16.8" x14ac:dyDescent="0.3">
      <c r="A87" s="20">
        <v>8.6</v>
      </c>
      <c r="B87" s="20">
        <v>56</v>
      </c>
      <c r="C87" s="20">
        <v>55.5</v>
      </c>
      <c r="D87" s="20">
        <v>0.5</v>
      </c>
      <c r="E87" s="20">
        <v>0.15</v>
      </c>
      <c r="F87" s="20">
        <v>1473.41</v>
      </c>
      <c r="Q87" s="20">
        <v>8.6</v>
      </c>
      <c r="R87" s="20">
        <v>57.03</v>
      </c>
      <c r="S87" s="20">
        <v>56</v>
      </c>
      <c r="T87" s="20">
        <v>-1.03</v>
      </c>
      <c r="U87" s="20">
        <v>0.02</v>
      </c>
      <c r="V87" s="20">
        <v>1048.6099999999999</v>
      </c>
    </row>
    <row r="88" spans="1:22" ht="16.8" x14ac:dyDescent="0.3">
      <c r="A88" s="20">
        <v>8.6999999999999993</v>
      </c>
      <c r="B88" s="20">
        <v>56</v>
      </c>
      <c r="C88" s="20">
        <v>55.45</v>
      </c>
      <c r="D88" s="20">
        <v>0.55000000000000004</v>
      </c>
      <c r="E88" s="20">
        <v>0.05</v>
      </c>
      <c r="F88" s="20">
        <v>1514.8</v>
      </c>
      <c r="Q88" s="20">
        <v>8.6999999999999993</v>
      </c>
      <c r="R88" s="20">
        <v>57.07</v>
      </c>
      <c r="S88" s="26">
        <v>56</v>
      </c>
      <c r="T88" s="26">
        <v>-1.07</v>
      </c>
      <c r="U88" s="26">
        <v>-0.04</v>
      </c>
      <c r="V88" s="20">
        <v>1035.32</v>
      </c>
    </row>
    <row r="89" spans="1:22" ht="16.8" x14ac:dyDescent="0.3">
      <c r="A89" s="20">
        <v>8.8000000000000007</v>
      </c>
      <c r="B89" s="20">
        <v>56</v>
      </c>
      <c r="C89" s="20">
        <v>55.35</v>
      </c>
      <c r="D89" s="20">
        <v>0.65</v>
      </c>
      <c r="E89" s="20">
        <v>0.1</v>
      </c>
      <c r="F89" s="20">
        <v>1609.02</v>
      </c>
      <c r="Q89" s="20">
        <v>8.8000000000000007</v>
      </c>
      <c r="R89" s="20">
        <v>57.04</v>
      </c>
      <c r="S89" s="20">
        <v>56</v>
      </c>
      <c r="T89" s="20">
        <v>-1.04</v>
      </c>
      <c r="U89" s="20">
        <v>0.02</v>
      </c>
      <c r="V89" s="20">
        <v>1041.71</v>
      </c>
    </row>
    <row r="90" spans="1:22" ht="16.8" x14ac:dyDescent="0.3">
      <c r="A90" s="20">
        <v>8.9</v>
      </c>
      <c r="B90" s="20">
        <v>56</v>
      </c>
      <c r="C90" s="20">
        <v>55.31</v>
      </c>
      <c r="D90" s="20">
        <v>0.69</v>
      </c>
      <c r="E90" s="20">
        <v>0.04</v>
      </c>
      <c r="F90" s="20">
        <v>1653.51</v>
      </c>
      <c r="Q90" s="20">
        <v>8.9</v>
      </c>
      <c r="R90" s="20">
        <v>57.09</v>
      </c>
      <c r="S90" s="26">
        <v>56</v>
      </c>
      <c r="T90" s="20">
        <v>-1.0900000000000001</v>
      </c>
      <c r="U90" s="26">
        <v>-0.05</v>
      </c>
      <c r="V90" s="20">
        <v>1025.83</v>
      </c>
    </row>
    <row r="91" spans="1:22" ht="16.8" x14ac:dyDescent="0.3">
      <c r="A91" s="20">
        <v>9</v>
      </c>
      <c r="B91" s="20">
        <v>56</v>
      </c>
      <c r="C91" s="20">
        <v>55.31</v>
      </c>
      <c r="D91" s="20">
        <v>0.69</v>
      </c>
      <c r="E91" s="20">
        <v>0</v>
      </c>
      <c r="F91" s="20">
        <v>1658.21</v>
      </c>
      <c r="Q91" s="20">
        <v>9</v>
      </c>
      <c r="R91" s="20">
        <v>57.12</v>
      </c>
      <c r="S91" s="20">
        <v>56</v>
      </c>
      <c r="T91" s="26">
        <v>-1.1200000000000001</v>
      </c>
      <c r="U91" s="20">
        <v>-0.03</v>
      </c>
      <c r="V91" s="20">
        <v>1019.34</v>
      </c>
    </row>
    <row r="92" spans="1:22" ht="16.8" x14ac:dyDescent="0.3">
      <c r="A92" s="20">
        <v>9.1</v>
      </c>
      <c r="B92" s="20">
        <v>56</v>
      </c>
      <c r="C92" s="20">
        <v>55.29</v>
      </c>
      <c r="D92" s="20">
        <v>0.71</v>
      </c>
      <c r="E92" s="20">
        <v>0.01</v>
      </c>
      <c r="F92" s="20">
        <v>1672.55</v>
      </c>
      <c r="Q92" s="20">
        <v>9.1</v>
      </c>
      <c r="R92" s="20">
        <v>57.1</v>
      </c>
      <c r="S92" s="26">
        <v>56</v>
      </c>
      <c r="T92" s="20">
        <v>-1.1000000000000001</v>
      </c>
      <c r="U92" s="26">
        <v>0.02</v>
      </c>
      <c r="V92" s="20">
        <v>1024.97</v>
      </c>
    </row>
    <row r="93" spans="1:22" ht="16.8" x14ac:dyDescent="0.3">
      <c r="A93" s="20">
        <v>9.1999999999999993</v>
      </c>
      <c r="B93" s="20">
        <v>56</v>
      </c>
      <c r="C93" s="20">
        <v>55.29</v>
      </c>
      <c r="D93" s="20">
        <v>0.71</v>
      </c>
      <c r="E93" s="20">
        <v>0</v>
      </c>
      <c r="F93" s="20">
        <v>1677.42</v>
      </c>
      <c r="Q93" s="20">
        <v>9.1999999999999993</v>
      </c>
      <c r="R93" s="20">
        <v>57.08</v>
      </c>
      <c r="S93" s="20">
        <v>56</v>
      </c>
      <c r="T93" s="26">
        <v>-1.08</v>
      </c>
      <c r="U93" s="20">
        <v>0.02</v>
      </c>
      <c r="V93" s="20">
        <v>1024.3399999999999</v>
      </c>
    </row>
    <row r="94" spans="1:22" ht="16.8" x14ac:dyDescent="0.3">
      <c r="A94" s="20">
        <v>9.3000000000000007</v>
      </c>
      <c r="B94" s="20">
        <v>56</v>
      </c>
      <c r="C94" s="20">
        <v>55.27</v>
      </c>
      <c r="D94" s="20">
        <v>0.73</v>
      </c>
      <c r="E94" s="20">
        <v>0.02</v>
      </c>
      <c r="F94" s="20">
        <v>1707.72</v>
      </c>
      <c r="Q94" s="20">
        <v>9.3000000000000007</v>
      </c>
      <c r="R94" s="20">
        <v>57.09</v>
      </c>
      <c r="S94" s="26">
        <v>56</v>
      </c>
      <c r="T94" s="20">
        <v>-1.0900000000000001</v>
      </c>
      <c r="U94" s="20">
        <v>-0.01</v>
      </c>
      <c r="V94" s="20">
        <v>1018.6</v>
      </c>
    </row>
    <row r="95" spans="1:22" ht="16.8" x14ac:dyDescent="0.3">
      <c r="A95" s="20">
        <v>9.4</v>
      </c>
      <c r="B95" s="20">
        <v>56</v>
      </c>
      <c r="C95" s="20">
        <v>55.3</v>
      </c>
      <c r="D95" s="20">
        <v>0.7</v>
      </c>
      <c r="E95" s="20">
        <v>-0.04</v>
      </c>
      <c r="F95" s="20">
        <v>1662.94</v>
      </c>
      <c r="Q95" s="20">
        <v>9.4</v>
      </c>
      <c r="R95" s="20">
        <v>57.09</v>
      </c>
      <c r="S95" s="20">
        <v>56</v>
      </c>
      <c r="T95" s="26">
        <v>-1.0900000000000001</v>
      </c>
      <c r="U95" s="26">
        <v>0</v>
      </c>
      <c r="V95" s="20">
        <v>1016.66</v>
      </c>
    </row>
    <row r="96" spans="1:22" ht="16.8" x14ac:dyDescent="0.3">
      <c r="A96" s="20">
        <v>9.5</v>
      </c>
      <c r="B96" s="20">
        <v>56</v>
      </c>
      <c r="C96" s="20">
        <v>55.35</v>
      </c>
      <c r="D96" s="20">
        <v>0.65</v>
      </c>
      <c r="E96" s="20">
        <v>-0.05</v>
      </c>
      <c r="F96" s="20">
        <v>1604.8</v>
      </c>
      <c r="Q96" s="20">
        <v>9.5</v>
      </c>
      <c r="R96" s="20">
        <v>57.13</v>
      </c>
      <c r="S96" s="26">
        <v>56</v>
      </c>
      <c r="T96" s="20">
        <v>-1.1299999999999999</v>
      </c>
      <c r="U96" s="20">
        <v>-0.04</v>
      </c>
      <c r="V96" s="20">
        <v>1004.47</v>
      </c>
    </row>
    <row r="97" spans="1:22" ht="16.8" x14ac:dyDescent="0.3">
      <c r="A97" s="20">
        <v>9.6</v>
      </c>
      <c r="B97" s="20">
        <v>56</v>
      </c>
      <c r="C97" s="20">
        <v>55.36</v>
      </c>
      <c r="D97" s="20">
        <v>0.64</v>
      </c>
      <c r="E97" s="20">
        <v>-0.01</v>
      </c>
      <c r="F97" s="20">
        <v>1596.47</v>
      </c>
      <c r="Q97" s="20">
        <v>9.6</v>
      </c>
      <c r="R97" s="20">
        <v>57.09</v>
      </c>
      <c r="S97" s="20">
        <v>56</v>
      </c>
      <c r="T97" s="20">
        <v>-1.0900000000000001</v>
      </c>
      <c r="U97" s="26">
        <v>0.04</v>
      </c>
      <c r="V97" s="20">
        <v>1014.56</v>
      </c>
    </row>
    <row r="98" spans="1:22" ht="16.8" x14ac:dyDescent="0.3">
      <c r="A98" s="20">
        <v>9.6999999999999993</v>
      </c>
      <c r="B98" s="20">
        <v>56</v>
      </c>
      <c r="C98" s="20">
        <v>55.44</v>
      </c>
      <c r="D98" s="20">
        <v>0.56000000000000005</v>
      </c>
      <c r="E98" s="20">
        <v>-0.08</v>
      </c>
      <c r="F98" s="20">
        <v>1521.54</v>
      </c>
      <c r="Q98" s="20">
        <v>9.6999999999999993</v>
      </c>
      <c r="R98" s="20">
        <v>57.11</v>
      </c>
      <c r="S98" s="26">
        <v>56</v>
      </c>
      <c r="T98" s="26">
        <v>-1.1100000000000001</v>
      </c>
      <c r="U98" s="20">
        <v>-0.02</v>
      </c>
      <c r="V98" s="20">
        <v>1004.99</v>
      </c>
    </row>
    <row r="99" spans="1:22" ht="16.8" x14ac:dyDescent="0.3">
      <c r="A99" s="20">
        <v>9.8000000000000007</v>
      </c>
      <c r="B99" s="20">
        <v>56</v>
      </c>
      <c r="C99" s="20">
        <v>55.45</v>
      </c>
      <c r="D99" s="20">
        <v>0.55000000000000004</v>
      </c>
      <c r="E99" s="20">
        <v>-0.01</v>
      </c>
      <c r="F99" s="20">
        <v>1514.8</v>
      </c>
      <c r="Q99" s="20">
        <v>9.8000000000000007</v>
      </c>
      <c r="R99" s="20">
        <v>57.09</v>
      </c>
      <c r="S99" s="20">
        <v>56</v>
      </c>
      <c r="T99" s="20">
        <v>-1.0900000000000001</v>
      </c>
      <c r="U99" s="26">
        <v>0.02</v>
      </c>
      <c r="V99" s="20">
        <v>1007.48</v>
      </c>
    </row>
    <row r="100" spans="1:22" ht="16.8" x14ac:dyDescent="0.3">
      <c r="A100" s="20">
        <v>9.9</v>
      </c>
      <c r="B100" s="20">
        <v>56</v>
      </c>
      <c r="C100" s="20">
        <v>55.54</v>
      </c>
      <c r="D100" s="20">
        <v>0.46</v>
      </c>
      <c r="E100" s="20">
        <v>-0.09</v>
      </c>
      <c r="F100" s="20">
        <v>1443.84</v>
      </c>
      <c r="Q100" s="20">
        <v>9.9</v>
      </c>
      <c r="R100" s="20">
        <v>57.05</v>
      </c>
      <c r="S100" s="26">
        <v>56</v>
      </c>
      <c r="T100" s="26">
        <v>-1.05</v>
      </c>
      <c r="U100" s="20">
        <v>0.04</v>
      </c>
      <c r="V100" s="20">
        <v>1013.26</v>
      </c>
    </row>
    <row r="101" spans="1:22" ht="16.8" x14ac:dyDescent="0.3">
      <c r="A101" s="20">
        <v>10</v>
      </c>
      <c r="B101" s="20">
        <v>56</v>
      </c>
      <c r="C101" s="20">
        <v>55.62</v>
      </c>
      <c r="D101" s="20">
        <v>0.38</v>
      </c>
      <c r="E101" s="20">
        <v>-0.08</v>
      </c>
      <c r="F101" s="20">
        <v>1391.04</v>
      </c>
      <c r="Q101" s="20">
        <v>10</v>
      </c>
      <c r="R101" s="20">
        <v>57.09</v>
      </c>
      <c r="S101" s="20">
        <v>56</v>
      </c>
      <c r="T101" s="20">
        <v>-1.0900000000000001</v>
      </c>
      <c r="U101" s="26">
        <v>-0.04</v>
      </c>
      <c r="V101" s="20">
        <v>998.03</v>
      </c>
    </row>
    <row r="102" spans="1:22" ht="16.8" x14ac:dyDescent="0.3">
      <c r="A102" s="20">
        <v>10.1</v>
      </c>
      <c r="B102" s="20">
        <v>56</v>
      </c>
      <c r="C102" s="20">
        <v>55.68</v>
      </c>
      <c r="D102" s="20">
        <v>0.32</v>
      </c>
      <c r="E102" s="20">
        <v>-0.06</v>
      </c>
      <c r="F102" s="20">
        <v>1350.74</v>
      </c>
      <c r="Q102" s="20">
        <v>10.1</v>
      </c>
      <c r="R102" s="20">
        <v>57.1</v>
      </c>
      <c r="S102" s="20">
        <v>56</v>
      </c>
      <c r="T102" s="26">
        <v>-1.1000000000000001</v>
      </c>
      <c r="U102" s="20">
        <v>-0.01</v>
      </c>
      <c r="V102" s="20">
        <v>996.68</v>
      </c>
    </row>
    <row r="103" spans="1:22" ht="16.8" x14ac:dyDescent="0.3">
      <c r="A103" s="20">
        <v>10.199999999999999</v>
      </c>
      <c r="B103" s="20">
        <v>56</v>
      </c>
      <c r="C103" s="20">
        <v>55.72</v>
      </c>
      <c r="D103" s="20">
        <v>0.28000000000000003</v>
      </c>
      <c r="E103" s="20">
        <v>-0.04</v>
      </c>
      <c r="F103" s="20">
        <v>1321.14</v>
      </c>
      <c r="Q103" s="20">
        <v>10.199999999999999</v>
      </c>
      <c r="R103" s="20">
        <v>57.07</v>
      </c>
      <c r="S103" s="26">
        <v>56</v>
      </c>
      <c r="T103" s="20">
        <v>-1.07</v>
      </c>
      <c r="U103" s="26">
        <v>0.03</v>
      </c>
      <c r="V103" s="20">
        <v>1002.4</v>
      </c>
    </row>
    <row r="104" spans="1:22" ht="16.8" x14ac:dyDescent="0.3">
      <c r="A104" s="20">
        <v>10.3</v>
      </c>
      <c r="B104" s="20">
        <v>56</v>
      </c>
      <c r="C104" s="20">
        <v>55.79</v>
      </c>
      <c r="D104" s="20">
        <v>0.21</v>
      </c>
      <c r="E104" s="20">
        <v>-7.0000000000000007E-2</v>
      </c>
      <c r="F104" s="20">
        <v>1274.0999999999999</v>
      </c>
      <c r="Q104" s="20">
        <v>10.3</v>
      </c>
      <c r="R104" s="20">
        <v>57.1</v>
      </c>
      <c r="S104" s="20">
        <v>56</v>
      </c>
      <c r="T104" s="26">
        <v>-1.1000000000000001</v>
      </c>
      <c r="U104" s="20">
        <v>-0.03</v>
      </c>
      <c r="V104" s="20">
        <v>989.68</v>
      </c>
    </row>
    <row r="105" spans="1:22" ht="16.8" x14ac:dyDescent="0.3">
      <c r="A105" s="20">
        <v>10.4</v>
      </c>
      <c r="B105" s="20">
        <v>56</v>
      </c>
      <c r="C105" s="20">
        <v>55.88</v>
      </c>
      <c r="D105" s="20">
        <v>0.12</v>
      </c>
      <c r="E105" s="20">
        <v>-0.09</v>
      </c>
      <c r="F105" s="20">
        <v>1211.9000000000001</v>
      </c>
      <c r="Q105" s="20">
        <v>10.4</v>
      </c>
      <c r="R105" s="20">
        <v>57.1</v>
      </c>
      <c r="S105" s="26">
        <v>56</v>
      </c>
      <c r="T105" s="20">
        <v>-1.1000000000000001</v>
      </c>
      <c r="U105" s="20">
        <v>0</v>
      </c>
      <c r="V105" s="20">
        <v>989.6</v>
      </c>
    </row>
    <row r="106" spans="1:22" ht="16.8" x14ac:dyDescent="0.3">
      <c r="A106" s="20">
        <v>10.5</v>
      </c>
      <c r="B106" s="20">
        <v>56</v>
      </c>
      <c r="C106" s="20">
        <v>55.91</v>
      </c>
      <c r="D106" s="20">
        <v>0.09</v>
      </c>
      <c r="E106" s="20">
        <v>-0.03</v>
      </c>
      <c r="F106" s="20">
        <v>1188.72</v>
      </c>
      <c r="Q106" s="20">
        <v>10.5</v>
      </c>
      <c r="R106" s="20">
        <v>57.06</v>
      </c>
      <c r="S106" s="20">
        <v>56</v>
      </c>
      <c r="T106" s="26">
        <v>-1.06</v>
      </c>
      <c r="U106" s="26">
        <v>0.04</v>
      </c>
      <c r="V106" s="20">
        <v>996.62</v>
      </c>
    </row>
    <row r="107" spans="1:22" ht="16.8" x14ac:dyDescent="0.3">
      <c r="A107" s="20">
        <v>10.6</v>
      </c>
      <c r="B107" s="20">
        <v>56</v>
      </c>
      <c r="C107" s="20">
        <v>55.98</v>
      </c>
      <c r="D107" s="20">
        <v>0.02</v>
      </c>
      <c r="E107" s="20">
        <v>-7.0000000000000007E-2</v>
      </c>
      <c r="F107" s="20">
        <v>1119.03</v>
      </c>
      <c r="Q107" s="20">
        <v>10.6</v>
      </c>
      <c r="R107" s="20">
        <v>57.07</v>
      </c>
      <c r="S107" s="26">
        <v>56</v>
      </c>
      <c r="T107" s="20">
        <v>-1.07</v>
      </c>
      <c r="U107" s="20">
        <v>-0.01</v>
      </c>
      <c r="V107" s="20">
        <v>989.05</v>
      </c>
    </row>
    <row r="108" spans="1:22" ht="16.8" x14ac:dyDescent="0.3">
      <c r="A108" s="20">
        <v>10.7</v>
      </c>
      <c r="B108" s="20">
        <v>56</v>
      </c>
      <c r="C108" s="20">
        <v>56</v>
      </c>
      <c r="D108" s="20">
        <v>0</v>
      </c>
      <c r="E108" s="20">
        <v>-0.02</v>
      </c>
      <c r="F108" s="20">
        <v>1099.21</v>
      </c>
      <c r="Q108" s="20">
        <v>10.7</v>
      </c>
      <c r="R108" s="20">
        <v>57.09</v>
      </c>
      <c r="S108" s="20">
        <v>56</v>
      </c>
      <c r="T108" s="20">
        <v>-1.0900000000000001</v>
      </c>
      <c r="U108" s="26">
        <v>-0.02</v>
      </c>
      <c r="V108" s="20">
        <v>981.4</v>
      </c>
    </row>
    <row r="109" spans="1:22" ht="16.8" x14ac:dyDescent="0.3">
      <c r="A109" s="20">
        <v>10.8</v>
      </c>
      <c r="B109" s="20">
        <v>56</v>
      </c>
      <c r="C109" s="20">
        <v>56.06</v>
      </c>
      <c r="D109" s="20">
        <v>-0.06</v>
      </c>
      <c r="E109" s="20">
        <v>-0.05</v>
      </c>
      <c r="F109" s="20">
        <v>1085.54</v>
      </c>
      <c r="Q109" s="20">
        <v>10.8</v>
      </c>
      <c r="R109" s="20">
        <v>57.05</v>
      </c>
      <c r="S109" s="26">
        <v>56</v>
      </c>
      <c r="T109" s="26">
        <v>-1.05</v>
      </c>
      <c r="U109" s="20">
        <v>0.04</v>
      </c>
      <c r="V109" s="20">
        <v>990.32</v>
      </c>
    </row>
    <row r="110" spans="1:22" ht="16.8" x14ac:dyDescent="0.3">
      <c r="A110" s="20">
        <v>10.9</v>
      </c>
      <c r="B110" s="20">
        <v>56</v>
      </c>
      <c r="C110" s="20">
        <v>56.08</v>
      </c>
      <c r="D110" s="20">
        <v>-0.08</v>
      </c>
      <c r="E110" s="20">
        <v>-0.03</v>
      </c>
      <c r="F110" s="20">
        <v>1078.55</v>
      </c>
      <c r="Q110" s="20">
        <v>10.9</v>
      </c>
      <c r="R110" s="20">
        <v>57.03</v>
      </c>
      <c r="S110" s="20">
        <v>56</v>
      </c>
      <c r="T110" s="20">
        <v>-1.03</v>
      </c>
      <c r="U110" s="26">
        <v>0.02</v>
      </c>
      <c r="V110" s="20">
        <v>988.54</v>
      </c>
    </row>
    <row r="111" spans="1:22" ht="16.8" x14ac:dyDescent="0.3">
      <c r="A111" s="20">
        <v>11</v>
      </c>
      <c r="B111" s="20">
        <v>56</v>
      </c>
      <c r="C111" s="20">
        <v>56.1</v>
      </c>
      <c r="D111" s="20">
        <v>-0.1</v>
      </c>
      <c r="E111" s="20">
        <v>-0.02</v>
      </c>
      <c r="F111" s="20">
        <v>1074.6099999999999</v>
      </c>
      <c r="Q111" s="20">
        <v>11</v>
      </c>
      <c r="R111" s="20">
        <v>56.95</v>
      </c>
      <c r="S111" s="26">
        <v>56</v>
      </c>
      <c r="T111" s="26">
        <v>-0.95</v>
      </c>
      <c r="U111" s="20">
        <v>0.09</v>
      </c>
      <c r="V111" s="20">
        <v>1005.98</v>
      </c>
    </row>
    <row r="112" spans="1:22" ht="16.8" x14ac:dyDescent="0.3">
      <c r="A112" s="20">
        <v>11.1</v>
      </c>
      <c r="B112" s="20">
        <v>56</v>
      </c>
      <c r="C112" s="20">
        <v>56.12</v>
      </c>
      <c r="D112" s="20">
        <v>-0.12</v>
      </c>
      <c r="E112" s="20">
        <v>-0.02</v>
      </c>
      <c r="F112" s="20">
        <v>1069.8599999999999</v>
      </c>
      <c r="Q112" s="20">
        <v>11.1</v>
      </c>
      <c r="R112" s="20">
        <v>56.93</v>
      </c>
      <c r="S112" s="20">
        <v>56</v>
      </c>
      <c r="T112" s="20">
        <v>-0.93</v>
      </c>
      <c r="U112" s="26">
        <v>0.02</v>
      </c>
      <c r="V112" s="20">
        <v>1000.68</v>
      </c>
    </row>
    <row r="113" spans="1:22" ht="16.8" x14ac:dyDescent="0.3">
      <c r="A113" s="20">
        <v>11.2</v>
      </c>
      <c r="B113" s="20">
        <v>56</v>
      </c>
      <c r="C113" s="20">
        <v>56.17</v>
      </c>
      <c r="D113" s="20">
        <v>-0.17</v>
      </c>
      <c r="E113" s="20">
        <v>-0.05</v>
      </c>
      <c r="F113" s="20">
        <v>1058.82</v>
      </c>
      <c r="Q113" s="20">
        <v>11.2</v>
      </c>
      <c r="R113" s="20">
        <v>57.03</v>
      </c>
      <c r="S113" s="26">
        <v>56</v>
      </c>
      <c r="T113" s="26">
        <v>-1.03</v>
      </c>
      <c r="U113" s="20">
        <v>-0.1</v>
      </c>
      <c r="V113" s="20">
        <v>974.17</v>
      </c>
    </row>
    <row r="114" spans="1:22" ht="16.8" x14ac:dyDescent="0.3">
      <c r="A114" s="20">
        <v>11.3</v>
      </c>
      <c r="B114" s="20">
        <v>56</v>
      </c>
      <c r="C114" s="20">
        <v>56.1</v>
      </c>
      <c r="D114" s="20">
        <v>-0.1</v>
      </c>
      <c r="E114" s="20">
        <v>7.0000000000000007E-2</v>
      </c>
      <c r="F114" s="20">
        <v>1202.68</v>
      </c>
      <c r="Q114" s="20">
        <v>11.3</v>
      </c>
      <c r="R114" s="20">
        <v>56.99</v>
      </c>
      <c r="S114" s="20">
        <v>56</v>
      </c>
      <c r="T114" s="20">
        <v>-0.99</v>
      </c>
      <c r="U114" s="20">
        <v>0.03</v>
      </c>
      <c r="V114" s="20">
        <v>986.97</v>
      </c>
    </row>
    <row r="115" spans="1:22" ht="16.8" x14ac:dyDescent="0.3">
      <c r="A115" s="20">
        <v>11.4</v>
      </c>
      <c r="B115" s="20">
        <v>56</v>
      </c>
      <c r="C115" s="20">
        <v>56.08</v>
      </c>
      <c r="D115" s="20">
        <v>-0.08</v>
      </c>
      <c r="E115" s="20">
        <v>0.01</v>
      </c>
      <c r="F115" s="20">
        <v>1103.55</v>
      </c>
      <c r="Q115" s="20">
        <v>11.4</v>
      </c>
      <c r="R115" s="20">
        <v>57.04</v>
      </c>
      <c r="S115" s="26">
        <v>56</v>
      </c>
      <c r="T115" s="26">
        <v>-1.04</v>
      </c>
      <c r="U115" s="26">
        <v>-0.05</v>
      </c>
      <c r="V115" s="20">
        <v>970.58</v>
      </c>
    </row>
    <row r="116" spans="1:22" ht="16.8" x14ac:dyDescent="0.3">
      <c r="A116" s="20">
        <v>11.5</v>
      </c>
      <c r="B116" s="20">
        <v>56</v>
      </c>
      <c r="C116" s="20">
        <v>56.1</v>
      </c>
      <c r="D116" s="20">
        <v>-0.1</v>
      </c>
      <c r="E116" s="20">
        <v>-0.01</v>
      </c>
      <c r="F116" s="20">
        <v>1075.5899999999999</v>
      </c>
      <c r="Q116" s="20">
        <v>11.5</v>
      </c>
      <c r="R116" s="20">
        <v>56.98</v>
      </c>
      <c r="S116" s="20">
        <v>56</v>
      </c>
      <c r="T116" s="20">
        <v>-0.98</v>
      </c>
      <c r="U116" s="20">
        <v>0.06</v>
      </c>
      <c r="V116" s="20">
        <v>987.27</v>
      </c>
    </row>
    <row r="117" spans="1:22" ht="16.8" x14ac:dyDescent="0.3">
      <c r="A117" s="20">
        <v>11.6</v>
      </c>
      <c r="B117" s="20">
        <v>56</v>
      </c>
      <c r="C117" s="20">
        <v>56.11</v>
      </c>
      <c r="D117" s="20">
        <v>-0.11</v>
      </c>
      <c r="E117" s="20">
        <v>-0.02</v>
      </c>
      <c r="F117" s="20">
        <v>1071.75</v>
      </c>
      <c r="Q117" s="20">
        <v>11.6</v>
      </c>
      <c r="R117" s="20">
        <v>56.94</v>
      </c>
      <c r="S117" s="20">
        <v>56</v>
      </c>
      <c r="T117" s="26">
        <v>-0.94</v>
      </c>
      <c r="U117" s="26">
        <v>0.04</v>
      </c>
      <c r="V117" s="20">
        <v>989.54</v>
      </c>
    </row>
    <row r="118" spans="1:22" ht="16.8" x14ac:dyDescent="0.3">
      <c r="A118" s="20">
        <v>11.7</v>
      </c>
      <c r="B118" s="20">
        <v>56</v>
      </c>
      <c r="C118" s="20">
        <v>56.06</v>
      </c>
      <c r="D118" s="20">
        <v>-0.06</v>
      </c>
      <c r="E118" s="20">
        <v>0.05</v>
      </c>
      <c r="F118" s="20">
        <v>1181</v>
      </c>
      <c r="Q118" s="20">
        <v>11.7</v>
      </c>
      <c r="R118" s="20">
        <v>56.92</v>
      </c>
      <c r="S118" s="26">
        <v>56</v>
      </c>
      <c r="T118" s="20">
        <v>-0.92</v>
      </c>
      <c r="U118" s="20">
        <v>0.02</v>
      </c>
      <c r="V118" s="20">
        <v>988.03</v>
      </c>
    </row>
    <row r="119" spans="1:22" ht="16.8" x14ac:dyDescent="0.3">
      <c r="A119" s="20">
        <v>11.8</v>
      </c>
      <c r="B119" s="20">
        <v>56</v>
      </c>
      <c r="C119" s="20">
        <v>56.07</v>
      </c>
      <c r="D119" s="20">
        <v>-7.0000000000000007E-2</v>
      </c>
      <c r="E119" s="20">
        <v>-0.01</v>
      </c>
      <c r="F119" s="20">
        <v>1081.52</v>
      </c>
      <c r="Q119" s="20">
        <v>11.8</v>
      </c>
      <c r="R119" s="20">
        <v>56.95</v>
      </c>
      <c r="S119" s="20">
        <v>56</v>
      </c>
      <c r="T119" s="20">
        <v>-0.95</v>
      </c>
      <c r="U119" s="26">
        <v>-0.03</v>
      </c>
      <c r="V119" s="20">
        <v>976.91</v>
      </c>
    </row>
    <row r="120" spans="1:22" ht="16.8" x14ac:dyDescent="0.3">
      <c r="A120" s="20">
        <v>11.9</v>
      </c>
      <c r="B120" s="20">
        <v>56</v>
      </c>
      <c r="C120" s="20">
        <v>56.04</v>
      </c>
      <c r="D120" s="20">
        <v>-0.04</v>
      </c>
      <c r="E120" s="20">
        <v>0.03</v>
      </c>
      <c r="F120" s="20">
        <v>1144.1300000000001</v>
      </c>
      <c r="Q120" s="20">
        <v>11.9</v>
      </c>
      <c r="R120" s="20">
        <v>56.83</v>
      </c>
      <c r="S120" s="26">
        <v>56</v>
      </c>
      <c r="T120" s="26">
        <v>-0.83</v>
      </c>
      <c r="U120" s="20">
        <v>0.12</v>
      </c>
      <c r="V120" s="20">
        <v>1006.01</v>
      </c>
    </row>
    <row r="121" spans="1:22" ht="16.8" x14ac:dyDescent="0.3">
      <c r="A121" s="20">
        <v>12</v>
      </c>
      <c r="B121" s="20">
        <v>56</v>
      </c>
      <c r="C121" s="20">
        <v>56</v>
      </c>
      <c r="D121" s="20">
        <v>0</v>
      </c>
      <c r="E121" s="20">
        <v>0.04</v>
      </c>
      <c r="F121" s="20">
        <v>1182.99</v>
      </c>
      <c r="Q121" s="20">
        <v>12</v>
      </c>
      <c r="R121" s="20">
        <v>56.91</v>
      </c>
      <c r="S121" s="20">
        <v>56</v>
      </c>
      <c r="T121" s="20">
        <v>-0.91</v>
      </c>
      <c r="U121" s="20">
        <v>-0.08</v>
      </c>
      <c r="V121" s="20">
        <v>975.39</v>
      </c>
    </row>
    <row r="122" spans="1:22" ht="16.8" x14ac:dyDescent="0.3">
      <c r="A122" s="20">
        <v>12.1</v>
      </c>
      <c r="B122" s="20">
        <v>56</v>
      </c>
      <c r="C122" s="20">
        <v>55.95</v>
      </c>
      <c r="D122" s="20">
        <v>0.05</v>
      </c>
      <c r="E122" s="20">
        <v>0.05</v>
      </c>
      <c r="F122" s="20">
        <v>1195.8900000000001</v>
      </c>
      <c r="Q122" s="20">
        <v>12.1</v>
      </c>
      <c r="R122" s="20">
        <v>56.61</v>
      </c>
      <c r="S122" s="26">
        <v>56</v>
      </c>
      <c r="T122" s="26">
        <v>-0.61</v>
      </c>
      <c r="U122" s="26">
        <v>0.31</v>
      </c>
      <c r="V122" s="20">
        <v>1052.56</v>
      </c>
    </row>
    <row r="123" spans="1:22" ht="16.8" x14ac:dyDescent="0.3">
      <c r="A123" s="20">
        <v>12.2</v>
      </c>
      <c r="B123" s="20">
        <v>56</v>
      </c>
      <c r="C123" s="20">
        <v>55.96</v>
      </c>
      <c r="D123" s="20">
        <v>0.04</v>
      </c>
      <c r="E123" s="20">
        <v>-0.02</v>
      </c>
      <c r="F123" s="20">
        <v>1140.03</v>
      </c>
      <c r="Q123" s="20">
        <v>12.2</v>
      </c>
      <c r="R123" s="20">
        <v>56.91</v>
      </c>
      <c r="S123" s="20">
        <v>56</v>
      </c>
      <c r="T123" s="20">
        <v>-0.91</v>
      </c>
      <c r="U123" s="20">
        <v>-0.31</v>
      </c>
      <c r="V123" s="20">
        <v>954.2</v>
      </c>
    </row>
    <row r="124" spans="1:22" ht="16.8" x14ac:dyDescent="0.3">
      <c r="A124" s="20">
        <v>12.3</v>
      </c>
      <c r="B124" s="20">
        <v>56</v>
      </c>
      <c r="C124" s="20">
        <v>55.88</v>
      </c>
      <c r="D124" s="20">
        <v>0.12</v>
      </c>
      <c r="E124" s="20">
        <v>0.08</v>
      </c>
      <c r="F124" s="20">
        <v>1242.1500000000001</v>
      </c>
      <c r="Q124" s="20">
        <v>12.3</v>
      </c>
      <c r="R124" s="20">
        <v>56.24</v>
      </c>
      <c r="S124" s="26">
        <v>56</v>
      </c>
      <c r="T124" s="26">
        <v>-0.24</v>
      </c>
      <c r="U124" s="20">
        <v>0.67</v>
      </c>
      <c r="V124" s="20">
        <v>1135.45</v>
      </c>
    </row>
    <row r="125" spans="1:22" ht="16.8" x14ac:dyDescent="0.3">
      <c r="A125" s="20">
        <v>12.4</v>
      </c>
      <c r="B125" s="20">
        <v>56</v>
      </c>
      <c r="C125" s="20">
        <v>55.88</v>
      </c>
      <c r="D125" s="20">
        <v>0.12</v>
      </c>
      <c r="E125" s="20">
        <v>0</v>
      </c>
      <c r="F125" s="20">
        <v>1215.07</v>
      </c>
      <c r="Q125" s="20">
        <v>12.4</v>
      </c>
      <c r="R125" s="20">
        <v>56.87</v>
      </c>
      <c r="S125" s="20">
        <v>56</v>
      </c>
      <c r="T125" s="20">
        <v>-0.87</v>
      </c>
      <c r="U125" s="26">
        <v>-0.62</v>
      </c>
      <c r="V125" s="20">
        <v>934.72</v>
      </c>
    </row>
    <row r="126" spans="1:22" ht="16.8" x14ac:dyDescent="0.3">
      <c r="A126" s="20">
        <v>12.5</v>
      </c>
      <c r="B126" s="20">
        <v>56</v>
      </c>
      <c r="C126" s="20">
        <v>55.85</v>
      </c>
      <c r="D126" s="20">
        <v>0.15</v>
      </c>
      <c r="E126" s="20">
        <v>0.02</v>
      </c>
      <c r="F126" s="20">
        <v>1233.24</v>
      </c>
      <c r="Q126" s="20">
        <v>12.5</v>
      </c>
      <c r="R126" s="20">
        <v>56.18</v>
      </c>
      <c r="S126" s="26">
        <v>56</v>
      </c>
      <c r="T126" s="26">
        <v>-0.18</v>
      </c>
      <c r="U126" s="20">
        <v>0.68</v>
      </c>
      <c r="V126" s="20">
        <v>1144.44</v>
      </c>
    </row>
    <row r="127" spans="1:22" ht="16.8" x14ac:dyDescent="0.3">
      <c r="A127" s="20">
        <v>12.6</v>
      </c>
      <c r="B127" s="20">
        <v>56</v>
      </c>
      <c r="C127" s="20">
        <v>55.8</v>
      </c>
      <c r="D127" s="20">
        <v>0.2</v>
      </c>
      <c r="E127" s="20">
        <v>0.05</v>
      </c>
      <c r="F127" s="20">
        <v>1268.51</v>
      </c>
      <c r="Q127" s="20">
        <v>12.6</v>
      </c>
      <c r="R127" s="20">
        <v>56.83</v>
      </c>
      <c r="S127" s="20">
        <v>56</v>
      </c>
      <c r="T127" s="20">
        <v>-0.83</v>
      </c>
      <c r="U127" s="26">
        <v>-0.65</v>
      </c>
      <c r="V127" s="20">
        <v>934.91</v>
      </c>
    </row>
    <row r="128" spans="1:22" ht="16.8" x14ac:dyDescent="0.3">
      <c r="A128" s="20">
        <v>12.7</v>
      </c>
      <c r="B128" s="20">
        <v>56</v>
      </c>
      <c r="C128" s="20">
        <v>55.81</v>
      </c>
      <c r="D128" s="20">
        <v>0.19</v>
      </c>
      <c r="E128" s="20">
        <v>-0.01</v>
      </c>
      <c r="F128" s="20">
        <v>1263.43</v>
      </c>
      <c r="Q128" s="20">
        <v>12.7</v>
      </c>
      <c r="R128" s="20">
        <v>56.22</v>
      </c>
      <c r="S128" s="26">
        <v>56</v>
      </c>
      <c r="T128" s="20">
        <v>-0.22</v>
      </c>
      <c r="U128" s="20">
        <v>0.61</v>
      </c>
      <c r="V128" s="20">
        <v>1129.93</v>
      </c>
    </row>
    <row r="129" spans="1:22" ht="16.8" x14ac:dyDescent="0.3">
      <c r="A129" s="20">
        <v>12.8</v>
      </c>
      <c r="B129" s="20">
        <v>56</v>
      </c>
      <c r="C129" s="20">
        <v>55.82</v>
      </c>
      <c r="D129" s="20">
        <v>0.18</v>
      </c>
      <c r="E129" s="20">
        <v>-0.01</v>
      </c>
      <c r="F129" s="20">
        <v>1255.56</v>
      </c>
      <c r="Q129" s="20">
        <v>12.8</v>
      </c>
      <c r="R129" s="20">
        <v>56.86</v>
      </c>
      <c r="S129" s="20">
        <v>56</v>
      </c>
      <c r="T129" s="26">
        <v>-0.86</v>
      </c>
      <c r="U129" s="26">
        <v>-0.64</v>
      </c>
      <c r="V129" s="20">
        <v>929.8</v>
      </c>
    </row>
    <row r="130" spans="1:22" ht="16.8" x14ac:dyDescent="0.3">
      <c r="A130" s="20">
        <v>12.9</v>
      </c>
      <c r="B130" s="20">
        <v>56</v>
      </c>
      <c r="C130" s="20">
        <v>55.8</v>
      </c>
      <c r="D130" s="20">
        <v>0.2</v>
      </c>
      <c r="E130" s="20">
        <v>0.02</v>
      </c>
      <c r="F130" s="20">
        <v>1268.51</v>
      </c>
      <c r="Q130" s="20">
        <v>12.9</v>
      </c>
      <c r="R130" s="20">
        <v>56.18</v>
      </c>
      <c r="S130" s="26">
        <v>56</v>
      </c>
      <c r="T130" s="20">
        <v>-0.18</v>
      </c>
      <c r="U130" s="20">
        <v>0.68</v>
      </c>
      <c r="V130" s="20">
        <v>1138.8800000000001</v>
      </c>
    </row>
    <row r="131" spans="1:22" ht="16.8" x14ac:dyDescent="0.3">
      <c r="A131" s="20">
        <v>13</v>
      </c>
      <c r="B131" s="20">
        <v>56</v>
      </c>
      <c r="C131" s="20">
        <v>55.78</v>
      </c>
      <c r="D131" s="20">
        <v>0.22</v>
      </c>
      <c r="E131" s="20">
        <v>0.02</v>
      </c>
      <c r="F131" s="20">
        <v>1282.58</v>
      </c>
      <c r="Q131" s="20">
        <v>13</v>
      </c>
      <c r="R131" s="20">
        <v>56.78</v>
      </c>
      <c r="S131" s="20">
        <v>56</v>
      </c>
      <c r="T131" s="26">
        <v>-0.78</v>
      </c>
      <c r="U131" s="26">
        <v>-0.6</v>
      </c>
      <c r="V131" s="20">
        <v>943.42</v>
      </c>
    </row>
    <row r="132" spans="1:22" ht="16.8" x14ac:dyDescent="0.3">
      <c r="A132" s="20">
        <v>13.1</v>
      </c>
      <c r="B132" s="20">
        <v>56</v>
      </c>
      <c r="C132" s="20">
        <v>55.72</v>
      </c>
      <c r="D132" s="20">
        <v>0.28000000000000003</v>
      </c>
      <c r="E132" s="20">
        <v>0.06</v>
      </c>
      <c r="F132" s="20">
        <v>1323.84</v>
      </c>
      <c r="Q132" s="20">
        <v>13.1</v>
      </c>
      <c r="R132" s="20">
        <v>56.14</v>
      </c>
      <c r="S132" s="20">
        <v>56</v>
      </c>
      <c r="T132" s="20">
        <v>-0.14000000000000001</v>
      </c>
      <c r="U132" s="20">
        <v>0.64</v>
      </c>
      <c r="V132" s="20">
        <v>1139.94</v>
      </c>
    </row>
    <row r="133" spans="1:22" ht="16.8" x14ac:dyDescent="0.3">
      <c r="A133" s="20">
        <v>13.2</v>
      </c>
      <c r="B133" s="20">
        <v>56</v>
      </c>
      <c r="C133" s="20">
        <v>55.76</v>
      </c>
      <c r="D133" s="20">
        <v>0.24</v>
      </c>
      <c r="E133" s="20">
        <v>-0.04</v>
      </c>
      <c r="F133" s="20">
        <v>1296.52</v>
      </c>
      <c r="Q133" s="20">
        <v>13.2</v>
      </c>
      <c r="R133" s="20">
        <v>56.82</v>
      </c>
      <c r="S133" s="26">
        <v>56</v>
      </c>
      <c r="T133" s="26">
        <v>-0.82</v>
      </c>
      <c r="U133" s="26">
        <v>-0.68</v>
      </c>
      <c r="V133" s="20">
        <v>928.51</v>
      </c>
    </row>
    <row r="134" spans="1:22" ht="16.8" x14ac:dyDescent="0.3">
      <c r="A134" s="20">
        <v>13.3</v>
      </c>
      <c r="B134" s="20">
        <v>56</v>
      </c>
      <c r="C134" s="20">
        <v>55.75</v>
      </c>
      <c r="D134" s="20">
        <v>0.25</v>
      </c>
      <c r="E134" s="20">
        <v>0.02</v>
      </c>
      <c r="F134" s="20">
        <v>1307.52</v>
      </c>
      <c r="Q134" s="20">
        <v>13.3</v>
      </c>
      <c r="R134" s="20">
        <v>56.12</v>
      </c>
      <c r="S134" s="20">
        <v>56</v>
      </c>
      <c r="T134" s="20">
        <v>-0.12</v>
      </c>
      <c r="U134" s="20">
        <v>0.69</v>
      </c>
      <c r="V134" s="20">
        <v>1144.67</v>
      </c>
    </row>
    <row r="135" spans="1:22" ht="16.8" x14ac:dyDescent="0.3">
      <c r="A135" s="20">
        <v>13.4</v>
      </c>
      <c r="B135" s="20">
        <v>56</v>
      </c>
      <c r="C135" s="20">
        <v>55.76</v>
      </c>
      <c r="D135" s="20">
        <v>0.24</v>
      </c>
      <c r="E135" s="20">
        <v>-0.02</v>
      </c>
      <c r="F135" s="20">
        <v>1296.52</v>
      </c>
      <c r="Q135" s="20">
        <v>13.4</v>
      </c>
      <c r="R135" s="20">
        <v>56.82</v>
      </c>
      <c r="S135" s="26">
        <v>56</v>
      </c>
      <c r="T135" s="26">
        <v>-0.82</v>
      </c>
      <c r="U135" s="26">
        <v>-0.69</v>
      </c>
      <c r="V135" s="20">
        <v>925.03</v>
      </c>
    </row>
    <row r="136" spans="1:22" ht="16.8" x14ac:dyDescent="0.3">
      <c r="A136" s="20">
        <v>13.5</v>
      </c>
      <c r="B136" s="20">
        <v>56</v>
      </c>
      <c r="C136" s="20">
        <v>55.7</v>
      </c>
      <c r="D136" s="20">
        <v>0.3</v>
      </c>
      <c r="E136" s="20">
        <v>0.06</v>
      </c>
      <c r="F136" s="20">
        <v>1337.33</v>
      </c>
      <c r="Q136" s="20">
        <v>13.5</v>
      </c>
      <c r="R136" s="20">
        <v>56.04</v>
      </c>
      <c r="S136" s="20">
        <v>56</v>
      </c>
      <c r="T136" s="20">
        <v>-0.04</v>
      </c>
      <c r="U136" s="20">
        <v>0.78</v>
      </c>
      <c r="V136" s="20">
        <v>1163.5899999999999</v>
      </c>
    </row>
    <row r="137" spans="1:22" ht="16.8" x14ac:dyDescent="0.3">
      <c r="A137" s="20">
        <v>13.6</v>
      </c>
      <c r="B137" s="20">
        <v>56</v>
      </c>
      <c r="C137" s="20">
        <v>55.73</v>
      </c>
      <c r="D137" s="20">
        <v>0.27</v>
      </c>
      <c r="E137" s="20">
        <v>-0.03</v>
      </c>
      <c r="F137" s="20">
        <v>1318.42</v>
      </c>
      <c r="Q137" s="20">
        <v>13.6</v>
      </c>
      <c r="R137" s="20">
        <v>56.81</v>
      </c>
      <c r="S137" s="26">
        <v>56</v>
      </c>
      <c r="T137" s="26">
        <v>-0.81</v>
      </c>
      <c r="U137" s="20">
        <v>-0.77</v>
      </c>
      <c r="V137" s="20">
        <v>918.03</v>
      </c>
    </row>
    <row r="138" spans="1:22" ht="16.8" x14ac:dyDescent="0.3">
      <c r="A138" s="20">
        <v>13.7</v>
      </c>
      <c r="B138" s="20">
        <v>56</v>
      </c>
      <c r="C138" s="20">
        <v>55.72</v>
      </c>
      <c r="D138" s="20">
        <v>0.28000000000000003</v>
      </c>
      <c r="E138" s="20">
        <v>0</v>
      </c>
      <c r="F138" s="20">
        <v>1321.14</v>
      </c>
      <c r="Q138" s="20">
        <v>13.7</v>
      </c>
      <c r="R138" s="20">
        <v>56.07</v>
      </c>
      <c r="S138" s="20">
        <v>56</v>
      </c>
      <c r="T138" s="20">
        <v>-7.0000000000000007E-2</v>
      </c>
      <c r="U138" s="26">
        <v>0.74</v>
      </c>
      <c r="V138" s="20">
        <v>1153.29</v>
      </c>
    </row>
    <row r="139" spans="1:22" ht="16.8" x14ac:dyDescent="0.3">
      <c r="A139" s="20">
        <v>13.8</v>
      </c>
      <c r="B139" s="20">
        <v>56</v>
      </c>
      <c r="C139" s="20">
        <v>55.7</v>
      </c>
      <c r="D139" s="20">
        <v>0.3</v>
      </c>
      <c r="E139" s="20">
        <v>0.02</v>
      </c>
      <c r="F139" s="20">
        <v>1337.33</v>
      </c>
      <c r="Q139" s="20">
        <v>13.8</v>
      </c>
      <c r="R139" s="20">
        <v>56.77</v>
      </c>
      <c r="S139" s="26">
        <v>56</v>
      </c>
      <c r="T139" s="20">
        <v>-0.77</v>
      </c>
      <c r="U139" s="20">
        <v>-0.7</v>
      </c>
      <c r="V139" s="20">
        <v>928.08</v>
      </c>
    </row>
    <row r="140" spans="1:22" ht="16.8" x14ac:dyDescent="0.3">
      <c r="A140" s="20">
        <v>13.9</v>
      </c>
      <c r="B140" s="20">
        <v>56</v>
      </c>
      <c r="C140" s="20">
        <v>55.71</v>
      </c>
      <c r="D140" s="20">
        <v>0.28999999999999998</v>
      </c>
      <c r="E140" s="20">
        <v>-0.01</v>
      </c>
      <c r="F140" s="20">
        <v>1329.24</v>
      </c>
      <c r="Q140" s="20">
        <v>13.9</v>
      </c>
      <c r="R140" s="20">
        <v>56.03</v>
      </c>
      <c r="S140" s="20">
        <v>56</v>
      </c>
      <c r="T140" s="26">
        <v>-0.03</v>
      </c>
      <c r="U140" s="20">
        <v>0.74</v>
      </c>
      <c r="V140" s="20">
        <v>1157.78</v>
      </c>
    </row>
    <row r="141" spans="1:22" ht="16.8" x14ac:dyDescent="0.3">
      <c r="A141" s="20">
        <v>14</v>
      </c>
      <c r="B141" s="20">
        <v>56</v>
      </c>
      <c r="C141" s="20">
        <v>55.72</v>
      </c>
      <c r="D141" s="20">
        <v>0.28000000000000003</v>
      </c>
      <c r="E141" s="20">
        <v>-0.01</v>
      </c>
      <c r="F141" s="20">
        <v>1323.84</v>
      </c>
      <c r="Q141" s="20">
        <v>14</v>
      </c>
      <c r="R141" s="20">
        <v>56.79</v>
      </c>
      <c r="S141" s="20">
        <v>56</v>
      </c>
      <c r="T141" s="26">
        <v>-0.79</v>
      </c>
      <c r="U141" s="26">
        <v>-0.77</v>
      </c>
      <c r="V141" s="20">
        <v>917.3</v>
      </c>
    </row>
    <row r="142" spans="1:22" ht="16.8" x14ac:dyDescent="0.3">
      <c r="A142" s="20">
        <v>14.1</v>
      </c>
      <c r="B142" s="20">
        <v>56</v>
      </c>
      <c r="C142" s="20">
        <v>55.71</v>
      </c>
      <c r="D142" s="20">
        <v>0.28999999999999998</v>
      </c>
      <c r="E142" s="20">
        <v>0.01</v>
      </c>
      <c r="F142" s="20">
        <v>1331.94</v>
      </c>
      <c r="Q142" s="20">
        <v>14.1</v>
      </c>
      <c r="R142" s="20">
        <v>55.99</v>
      </c>
      <c r="S142" s="26">
        <v>56</v>
      </c>
      <c r="T142" s="20">
        <v>0.01</v>
      </c>
      <c r="U142" s="20">
        <v>0.81</v>
      </c>
      <c r="V142" s="20">
        <v>1167.3399999999999</v>
      </c>
    </row>
    <row r="143" spans="1:22" ht="16.8" x14ac:dyDescent="0.3">
      <c r="A143" s="20">
        <v>14.2</v>
      </c>
      <c r="B143" s="20">
        <v>56</v>
      </c>
      <c r="C143" s="20">
        <v>55.75</v>
      </c>
      <c r="D143" s="20">
        <v>0.25</v>
      </c>
      <c r="E143" s="20">
        <v>-0.04</v>
      </c>
      <c r="F143" s="20">
        <v>1304.79</v>
      </c>
      <c r="Q143" s="20">
        <v>14.2</v>
      </c>
      <c r="R143" s="20">
        <v>56.77</v>
      </c>
      <c r="S143" s="20">
        <v>56</v>
      </c>
      <c r="T143" s="26">
        <v>-0.77</v>
      </c>
      <c r="U143" s="26">
        <v>-0.78</v>
      </c>
      <c r="V143" s="20">
        <v>918.08</v>
      </c>
    </row>
    <row r="144" spans="1:22" ht="16.8" x14ac:dyDescent="0.3">
      <c r="A144" s="20">
        <v>14.3</v>
      </c>
      <c r="B144" s="20">
        <v>56</v>
      </c>
      <c r="C144" s="20">
        <v>55.74</v>
      </c>
      <c r="D144" s="20">
        <v>0.26</v>
      </c>
      <c r="E144" s="20">
        <v>0.01</v>
      </c>
      <c r="F144" s="20">
        <v>1312.99</v>
      </c>
      <c r="Q144" s="20">
        <v>14.3</v>
      </c>
      <c r="R144" s="20">
        <v>56</v>
      </c>
      <c r="S144" s="26">
        <v>56</v>
      </c>
      <c r="T144" s="20">
        <v>0</v>
      </c>
      <c r="U144" s="20">
        <v>0.77</v>
      </c>
      <c r="V144" s="20">
        <v>1159.83</v>
      </c>
    </row>
    <row r="145" spans="1:22" ht="16.8" x14ac:dyDescent="0.3">
      <c r="A145" s="20">
        <v>14.4</v>
      </c>
      <c r="B145" s="20">
        <v>56</v>
      </c>
      <c r="C145" s="20">
        <v>55.75</v>
      </c>
      <c r="D145" s="20">
        <v>0.25</v>
      </c>
      <c r="E145" s="20">
        <v>-0.01</v>
      </c>
      <c r="F145" s="20">
        <v>1304.79</v>
      </c>
      <c r="Q145" s="20">
        <v>14.4</v>
      </c>
      <c r="R145" s="20">
        <v>56.53</v>
      </c>
      <c r="S145" s="20">
        <v>56</v>
      </c>
      <c r="T145" s="20">
        <v>-0.53</v>
      </c>
      <c r="U145" s="20">
        <v>-0.53</v>
      </c>
      <c r="V145" s="20">
        <v>973.26</v>
      </c>
    </row>
    <row r="146" spans="1:22" ht="16.8" x14ac:dyDescent="0.3">
      <c r="A146" s="20">
        <v>14.5</v>
      </c>
      <c r="B146" s="20">
        <v>56</v>
      </c>
      <c r="C146" s="20">
        <v>55.73</v>
      </c>
      <c r="D146" s="20">
        <v>0.27</v>
      </c>
      <c r="E146" s="20">
        <v>0.02</v>
      </c>
      <c r="F146" s="20">
        <v>1315.71</v>
      </c>
      <c r="Q146" s="20">
        <v>14.5</v>
      </c>
      <c r="R146" s="20">
        <v>55.95</v>
      </c>
      <c r="S146" s="26">
        <v>56</v>
      </c>
      <c r="T146" s="26">
        <v>0.05</v>
      </c>
      <c r="U146" s="20">
        <v>0.57999999999999996</v>
      </c>
      <c r="V146" s="20">
        <v>1151.8599999999999</v>
      </c>
    </row>
    <row r="147" spans="1:22" ht="16.8" x14ac:dyDescent="0.3">
      <c r="A147" s="20">
        <v>14.6</v>
      </c>
      <c r="B147" s="20">
        <v>56</v>
      </c>
      <c r="C147" s="20">
        <v>55.77</v>
      </c>
      <c r="D147" s="20">
        <v>0.23</v>
      </c>
      <c r="E147" s="20">
        <v>-0.03</v>
      </c>
      <c r="F147" s="20">
        <v>1293.75</v>
      </c>
      <c r="Q147" s="20">
        <v>14.6</v>
      </c>
      <c r="R147" s="20">
        <v>56.24</v>
      </c>
      <c r="S147" s="20">
        <v>56</v>
      </c>
      <c r="T147" s="20">
        <v>-0.24</v>
      </c>
      <c r="U147" s="20">
        <v>-0.28999999999999998</v>
      </c>
      <c r="V147" s="20">
        <v>1037.52</v>
      </c>
    </row>
    <row r="148" spans="1:22" ht="16.8" x14ac:dyDescent="0.3">
      <c r="A148" s="20">
        <v>14.7</v>
      </c>
      <c r="B148" s="20">
        <v>56</v>
      </c>
      <c r="C148" s="20">
        <v>55.77</v>
      </c>
      <c r="D148" s="20">
        <v>0.23</v>
      </c>
      <c r="E148" s="20">
        <v>0</v>
      </c>
      <c r="F148" s="20">
        <v>1290.98</v>
      </c>
      <c r="Q148" s="20">
        <v>14.7</v>
      </c>
      <c r="R148" s="20">
        <v>56.02</v>
      </c>
      <c r="S148" s="26">
        <v>56</v>
      </c>
      <c r="T148" s="26">
        <v>-0.02</v>
      </c>
      <c r="U148" s="20">
        <v>0.23</v>
      </c>
      <c r="V148" s="20">
        <v>1113.3900000000001</v>
      </c>
    </row>
    <row r="149" spans="1:22" ht="16.8" x14ac:dyDescent="0.3">
      <c r="A149" s="20">
        <v>14.8</v>
      </c>
      <c r="B149" s="20">
        <v>56</v>
      </c>
      <c r="C149" s="20">
        <v>55.79</v>
      </c>
      <c r="D149" s="20">
        <v>0.21</v>
      </c>
      <c r="E149" s="20">
        <v>-0.02</v>
      </c>
      <c r="F149" s="20">
        <v>1279.77</v>
      </c>
      <c r="Q149" s="20">
        <v>14.8</v>
      </c>
      <c r="R149" s="20">
        <v>56.12</v>
      </c>
      <c r="S149" s="20">
        <v>56</v>
      </c>
      <c r="T149" s="20">
        <v>-0.12</v>
      </c>
      <c r="U149" s="20">
        <v>-0.1</v>
      </c>
      <c r="V149" s="20">
        <v>1072.68</v>
      </c>
    </row>
    <row r="150" spans="1:22" ht="16.8" x14ac:dyDescent="0.3">
      <c r="A150" s="20">
        <v>14.9</v>
      </c>
      <c r="B150" s="20">
        <v>56</v>
      </c>
      <c r="C150" s="20">
        <v>55.79</v>
      </c>
      <c r="D150" s="20">
        <v>0.21</v>
      </c>
      <c r="E150" s="20">
        <v>0</v>
      </c>
      <c r="F150" s="20">
        <v>1279.77</v>
      </c>
      <c r="Q150" s="20">
        <v>14.9</v>
      </c>
      <c r="R150" s="20">
        <v>56.06</v>
      </c>
      <c r="S150" s="26">
        <v>56</v>
      </c>
      <c r="T150" s="26">
        <v>-0.06</v>
      </c>
      <c r="U150" s="20">
        <v>0.06</v>
      </c>
      <c r="V150" s="20">
        <v>1093.4000000000001</v>
      </c>
    </row>
    <row r="151" spans="1:22" ht="16.8" x14ac:dyDescent="0.3">
      <c r="A151" s="20">
        <v>15</v>
      </c>
      <c r="B151" s="20">
        <v>56</v>
      </c>
      <c r="C151" s="20">
        <v>55.77</v>
      </c>
      <c r="D151" s="20">
        <v>0.23</v>
      </c>
      <c r="E151" s="20">
        <v>0.01</v>
      </c>
      <c r="F151" s="20">
        <v>1288.18</v>
      </c>
      <c r="Q151" s="20">
        <v>15</v>
      </c>
      <c r="R151" s="20">
        <v>56.06</v>
      </c>
      <c r="S151" s="20">
        <v>56</v>
      </c>
      <c r="T151" s="20">
        <v>-0.06</v>
      </c>
      <c r="U151" s="20">
        <v>0</v>
      </c>
      <c r="V151" s="20">
        <v>1088.8599999999999</v>
      </c>
    </row>
    <row r="152" spans="1:22" ht="16.8" x14ac:dyDescent="0.3">
      <c r="A152" s="20">
        <v>15.1</v>
      </c>
      <c r="B152" s="20">
        <v>56</v>
      </c>
      <c r="C152" s="20">
        <v>55.81</v>
      </c>
      <c r="D152" s="20">
        <v>0.19</v>
      </c>
      <c r="E152" s="20">
        <v>-0.03</v>
      </c>
      <c r="F152" s="20">
        <v>1265.98</v>
      </c>
      <c r="Q152" s="20">
        <v>15.1</v>
      </c>
      <c r="R152" s="20">
        <v>56.06</v>
      </c>
      <c r="S152" s="26">
        <v>56</v>
      </c>
      <c r="T152" s="26">
        <v>-0.06</v>
      </c>
      <c r="U152" s="20">
        <v>0</v>
      </c>
      <c r="V152" s="20">
        <v>1088.72</v>
      </c>
    </row>
    <row r="153" spans="1:22" ht="16.8" x14ac:dyDescent="0.3">
      <c r="A153" s="20">
        <v>15.2</v>
      </c>
      <c r="B153" s="20">
        <v>56</v>
      </c>
      <c r="C153" s="20">
        <v>55.81</v>
      </c>
      <c r="D153" s="20">
        <v>0.19</v>
      </c>
      <c r="E153" s="20">
        <v>0</v>
      </c>
      <c r="F153" s="20">
        <v>1265.98</v>
      </c>
      <c r="Q153" s="20">
        <v>15.2</v>
      </c>
      <c r="R153" s="20">
        <v>56.12</v>
      </c>
      <c r="S153" s="20">
        <v>56</v>
      </c>
      <c r="T153" s="20">
        <v>-0.12</v>
      </c>
      <c r="U153" s="26">
        <v>-0.06</v>
      </c>
      <c r="V153" s="20">
        <v>1075.1300000000001</v>
      </c>
    </row>
    <row r="154" spans="1:22" ht="16.8" x14ac:dyDescent="0.3">
      <c r="A154" s="20">
        <v>15.3</v>
      </c>
      <c r="B154" s="20">
        <v>56</v>
      </c>
      <c r="C154" s="20">
        <v>55.83</v>
      </c>
      <c r="D154" s="20">
        <v>0.17</v>
      </c>
      <c r="E154" s="20">
        <v>-0.03</v>
      </c>
      <c r="F154" s="20">
        <v>1247.43</v>
      </c>
      <c r="Q154" s="20">
        <v>15.3</v>
      </c>
      <c r="R154" s="20">
        <v>56.03</v>
      </c>
      <c r="S154" s="20">
        <v>56</v>
      </c>
      <c r="T154" s="26">
        <v>-0.03</v>
      </c>
      <c r="U154" s="20">
        <v>0.09</v>
      </c>
      <c r="V154" s="20">
        <v>1100.4000000000001</v>
      </c>
    </row>
    <row r="155" spans="1:22" ht="16.8" x14ac:dyDescent="0.3">
      <c r="A155" s="20">
        <v>15.4</v>
      </c>
      <c r="B155" s="20">
        <v>56</v>
      </c>
      <c r="C155" s="20">
        <v>55.83</v>
      </c>
      <c r="D155" s="20">
        <v>0.17</v>
      </c>
      <c r="E155" s="20">
        <v>0.01</v>
      </c>
      <c r="F155" s="20">
        <v>1252.8900000000001</v>
      </c>
      <c r="Q155" s="20">
        <v>15.4</v>
      </c>
      <c r="R155" s="20">
        <v>56.12</v>
      </c>
      <c r="S155" s="26">
        <v>56</v>
      </c>
      <c r="T155" s="20">
        <v>-0.12</v>
      </c>
      <c r="U155" s="26">
        <v>-0.1</v>
      </c>
      <c r="V155" s="20">
        <v>1070.3499999999999</v>
      </c>
    </row>
    <row r="156" spans="1:22" ht="16.8" x14ac:dyDescent="0.3">
      <c r="A156" s="20">
        <v>15.5</v>
      </c>
      <c r="B156" s="20">
        <v>56</v>
      </c>
      <c r="C156" s="20">
        <v>55.81</v>
      </c>
      <c r="D156" s="20">
        <v>0.19</v>
      </c>
      <c r="E156" s="20">
        <v>0.02</v>
      </c>
      <c r="F156" s="20">
        <v>1265.98</v>
      </c>
      <c r="Q156" s="20">
        <v>15.5</v>
      </c>
      <c r="R156" s="20">
        <v>56.09</v>
      </c>
      <c r="S156" s="20">
        <v>56</v>
      </c>
      <c r="T156" s="26">
        <v>-0.09</v>
      </c>
      <c r="U156" s="20">
        <v>0.03</v>
      </c>
      <c r="V156" s="20">
        <v>1085.3</v>
      </c>
    </row>
    <row r="157" spans="1:22" ht="16.8" x14ac:dyDescent="0.3">
      <c r="A157" s="20">
        <v>15.6</v>
      </c>
      <c r="B157" s="20">
        <v>56</v>
      </c>
      <c r="C157" s="20">
        <v>55.85</v>
      </c>
      <c r="D157" s="20">
        <v>0.15</v>
      </c>
      <c r="E157" s="20">
        <v>-0.05</v>
      </c>
      <c r="F157" s="20">
        <v>1233.24</v>
      </c>
      <c r="Q157" s="20">
        <v>15.6</v>
      </c>
      <c r="R157" s="20">
        <v>56.06</v>
      </c>
      <c r="S157" s="26">
        <v>56</v>
      </c>
      <c r="T157" s="20">
        <v>-0.06</v>
      </c>
      <c r="U157" s="26">
        <v>0.03</v>
      </c>
      <c r="V157" s="20">
        <v>1090.25</v>
      </c>
    </row>
    <row r="158" spans="1:22" ht="16.8" x14ac:dyDescent="0.3">
      <c r="A158" s="20">
        <v>15.7</v>
      </c>
      <c r="B158" s="20">
        <v>56</v>
      </c>
      <c r="C158" s="20">
        <v>55.87</v>
      </c>
      <c r="D158" s="20">
        <v>0.13</v>
      </c>
      <c r="E158" s="20">
        <v>-0.01</v>
      </c>
      <c r="F158" s="20">
        <v>1224.31</v>
      </c>
      <c r="Q158" s="20">
        <v>15.7</v>
      </c>
      <c r="R158" s="20">
        <v>56.07</v>
      </c>
      <c r="S158" s="20">
        <v>56</v>
      </c>
      <c r="T158" s="20">
        <v>-7.0000000000000007E-2</v>
      </c>
      <c r="U158" s="20">
        <v>-0.01</v>
      </c>
      <c r="V158" s="20">
        <v>1085.68</v>
      </c>
    </row>
    <row r="159" spans="1:22" ht="16.8" x14ac:dyDescent="0.3">
      <c r="A159" s="20">
        <v>15.8</v>
      </c>
      <c r="B159" s="20">
        <v>56</v>
      </c>
      <c r="C159" s="20">
        <v>55.83</v>
      </c>
      <c r="D159" s="20">
        <v>0.17</v>
      </c>
      <c r="E159" s="20">
        <v>0.04</v>
      </c>
      <c r="F159" s="20">
        <v>1250.17</v>
      </c>
      <c r="Q159" s="20">
        <v>15.8</v>
      </c>
      <c r="R159" s="20">
        <v>56.07</v>
      </c>
      <c r="S159" s="26">
        <v>56</v>
      </c>
      <c r="T159" s="26">
        <v>-7.0000000000000007E-2</v>
      </c>
      <c r="U159" s="20">
        <v>0</v>
      </c>
      <c r="V159" s="20">
        <v>1086.1500000000001</v>
      </c>
    </row>
    <row r="160" spans="1:22" ht="16.8" x14ac:dyDescent="0.3">
      <c r="A160" s="20">
        <v>15.9</v>
      </c>
      <c r="B160" s="20">
        <v>56</v>
      </c>
      <c r="C160" s="20">
        <v>55.87</v>
      </c>
      <c r="D160" s="20">
        <v>0.13</v>
      </c>
      <c r="E160" s="20">
        <v>-0.04</v>
      </c>
      <c r="F160" s="20">
        <v>1218.17</v>
      </c>
      <c r="Q160" s="20">
        <v>15.9</v>
      </c>
      <c r="R160" s="20">
        <v>56.09</v>
      </c>
      <c r="S160" s="20">
        <v>56</v>
      </c>
      <c r="T160" s="20">
        <v>-0.09</v>
      </c>
      <c r="U160" s="26">
        <v>-0.02</v>
      </c>
      <c r="V160" s="20">
        <v>1080.22</v>
      </c>
    </row>
    <row r="161" spans="1:22" ht="16.8" x14ac:dyDescent="0.3">
      <c r="A161" s="20">
        <v>16</v>
      </c>
      <c r="B161" s="20">
        <v>56</v>
      </c>
      <c r="C161" s="20">
        <v>55.88</v>
      </c>
      <c r="D161" s="20">
        <v>0.12</v>
      </c>
      <c r="E161" s="20">
        <v>-0.01</v>
      </c>
      <c r="F161" s="20">
        <v>1211.9000000000001</v>
      </c>
      <c r="Q161" s="20">
        <v>16</v>
      </c>
      <c r="R161" s="20">
        <v>56.05</v>
      </c>
      <c r="S161" s="26">
        <v>56</v>
      </c>
      <c r="T161" s="26">
        <v>-0.05</v>
      </c>
      <c r="U161" s="26">
        <v>0.04</v>
      </c>
      <c r="V161" s="20">
        <v>1091.5</v>
      </c>
    </row>
    <row r="162" spans="1:22" ht="16.8" x14ac:dyDescent="0.3">
      <c r="A162" s="20">
        <v>16.100000000000001</v>
      </c>
      <c r="B162" s="20">
        <v>56</v>
      </c>
      <c r="C162" s="20">
        <v>55.83</v>
      </c>
      <c r="D162" s="20">
        <v>0.17</v>
      </c>
      <c r="E162" s="20">
        <v>0.05</v>
      </c>
      <c r="F162" s="20">
        <v>1247.43</v>
      </c>
      <c r="Q162" s="20">
        <v>16.100000000000001</v>
      </c>
      <c r="R162" s="20">
        <v>56.12</v>
      </c>
      <c r="S162" s="20">
        <v>56</v>
      </c>
      <c r="T162" s="20">
        <v>-0.12</v>
      </c>
      <c r="U162" s="20">
        <v>-0.06</v>
      </c>
      <c r="V162" s="20">
        <v>1072.8599999999999</v>
      </c>
    </row>
    <row r="163" spans="1:22" ht="16.8" x14ac:dyDescent="0.3">
      <c r="A163" s="20">
        <v>16.2</v>
      </c>
      <c r="B163" s="20">
        <v>56</v>
      </c>
      <c r="C163" s="20">
        <v>55.85</v>
      </c>
      <c r="D163" s="20">
        <v>0.15</v>
      </c>
      <c r="E163" s="20">
        <v>-0.02</v>
      </c>
      <c r="F163" s="20">
        <v>1233.24</v>
      </c>
      <c r="Q163" s="20">
        <v>16.2</v>
      </c>
      <c r="R163" s="20">
        <v>56.07</v>
      </c>
      <c r="S163" s="20">
        <v>56</v>
      </c>
      <c r="T163" s="26">
        <v>-7.0000000000000007E-2</v>
      </c>
      <c r="U163" s="26">
        <v>0.05</v>
      </c>
      <c r="V163" s="20">
        <v>1089.1500000000001</v>
      </c>
    </row>
    <row r="164" spans="1:22" ht="16.8" x14ac:dyDescent="0.3">
      <c r="A164" s="20">
        <v>16.3</v>
      </c>
      <c r="B164" s="20">
        <v>56</v>
      </c>
      <c r="C164" s="20">
        <v>55.83</v>
      </c>
      <c r="D164" s="20">
        <v>0.17</v>
      </c>
      <c r="E164" s="20">
        <v>0.03</v>
      </c>
      <c r="F164" s="20">
        <v>1252.8900000000001</v>
      </c>
      <c r="Q164" s="20">
        <v>16.3</v>
      </c>
      <c r="R164" s="20">
        <v>56.09</v>
      </c>
      <c r="S164" s="26">
        <v>56</v>
      </c>
      <c r="T164" s="20">
        <v>-0.09</v>
      </c>
      <c r="U164" s="20">
        <v>-0.02</v>
      </c>
      <c r="V164" s="20">
        <v>1079.45</v>
      </c>
    </row>
    <row r="165" spans="1:22" ht="16.8" x14ac:dyDescent="0.3">
      <c r="A165" s="20">
        <v>16.399999999999999</v>
      </c>
      <c r="B165" s="20">
        <v>56</v>
      </c>
      <c r="C165" s="20">
        <v>55.87</v>
      </c>
      <c r="D165" s="20">
        <v>0.13</v>
      </c>
      <c r="E165" s="20">
        <v>-0.04</v>
      </c>
      <c r="F165" s="20">
        <v>1224.31</v>
      </c>
      <c r="Q165" s="20">
        <v>16.399999999999999</v>
      </c>
      <c r="R165" s="20">
        <v>56.08</v>
      </c>
      <c r="S165" s="20">
        <v>56</v>
      </c>
      <c r="T165" s="26">
        <v>-0.08</v>
      </c>
      <c r="U165" s="26">
        <v>0.02</v>
      </c>
      <c r="V165" s="20">
        <v>1084.96</v>
      </c>
    </row>
    <row r="166" spans="1:22" ht="16.8" x14ac:dyDescent="0.3">
      <c r="A166" s="20">
        <v>16.5</v>
      </c>
      <c r="B166" s="20">
        <v>56</v>
      </c>
      <c r="C166" s="20">
        <v>55.86</v>
      </c>
      <c r="D166" s="20">
        <v>0.14000000000000001</v>
      </c>
      <c r="E166" s="20">
        <v>0.01</v>
      </c>
      <c r="F166" s="20">
        <v>1230.3</v>
      </c>
      <c r="Q166" s="20">
        <v>16.5</v>
      </c>
      <c r="R166" s="20">
        <v>56.11</v>
      </c>
      <c r="S166" s="26">
        <v>56</v>
      </c>
      <c r="T166" s="20">
        <v>-0.11</v>
      </c>
      <c r="U166" s="20">
        <v>-0.03</v>
      </c>
      <c r="V166" s="20">
        <v>1075.8399999999999</v>
      </c>
    </row>
    <row r="167" spans="1:22" ht="16.8" x14ac:dyDescent="0.3">
      <c r="A167" s="20">
        <v>16.600000000000001</v>
      </c>
      <c r="B167" s="20">
        <v>56</v>
      </c>
      <c r="C167" s="20">
        <v>55.81</v>
      </c>
      <c r="D167" s="20">
        <v>0.19</v>
      </c>
      <c r="E167" s="20">
        <v>0.04</v>
      </c>
      <c r="F167" s="20">
        <v>1260.83</v>
      </c>
      <c r="Q167" s="20">
        <v>16.600000000000001</v>
      </c>
      <c r="R167" s="20">
        <v>56.12</v>
      </c>
      <c r="S167" s="20">
        <v>56</v>
      </c>
      <c r="T167" s="26">
        <v>-0.12</v>
      </c>
      <c r="U167" s="26">
        <v>-0.01</v>
      </c>
      <c r="V167" s="20">
        <v>1076.18</v>
      </c>
    </row>
    <row r="168" spans="1:22" ht="16.8" x14ac:dyDescent="0.3">
      <c r="A168" s="20">
        <v>16.7</v>
      </c>
      <c r="B168" s="20">
        <v>56</v>
      </c>
      <c r="C168" s="20">
        <v>55.8</v>
      </c>
      <c r="D168" s="20">
        <v>0.2</v>
      </c>
      <c r="E168" s="20">
        <v>0.02</v>
      </c>
      <c r="F168" s="20">
        <v>1271.25</v>
      </c>
      <c r="Q168" s="20">
        <v>16.7</v>
      </c>
      <c r="R168" s="20">
        <v>56.11</v>
      </c>
      <c r="S168" s="26">
        <v>56</v>
      </c>
      <c r="T168" s="20">
        <v>-0.11</v>
      </c>
      <c r="U168" s="20">
        <v>0.01</v>
      </c>
      <c r="V168" s="20">
        <v>1078.46</v>
      </c>
    </row>
    <row r="169" spans="1:22" ht="16.8" x14ac:dyDescent="0.3">
      <c r="A169" s="20">
        <v>16.8</v>
      </c>
      <c r="B169" s="20">
        <v>56</v>
      </c>
      <c r="C169" s="20">
        <v>55.83</v>
      </c>
      <c r="D169" s="20">
        <v>0.17</v>
      </c>
      <c r="E169" s="20">
        <v>-0.04</v>
      </c>
      <c r="F169" s="20">
        <v>1247.43</v>
      </c>
      <c r="Q169" s="20">
        <v>16.8</v>
      </c>
      <c r="R169" s="20">
        <v>56.09</v>
      </c>
      <c r="S169" s="20">
        <v>56</v>
      </c>
      <c r="T169" s="26">
        <v>-0.09</v>
      </c>
      <c r="U169" s="26">
        <v>0.02</v>
      </c>
      <c r="V169" s="20">
        <v>1081.42</v>
      </c>
    </row>
    <row r="170" spans="1:22" ht="16.8" x14ac:dyDescent="0.3">
      <c r="A170" s="20">
        <v>16.899999999999999</v>
      </c>
      <c r="B170" s="20">
        <v>56</v>
      </c>
      <c r="C170" s="20">
        <v>55.81</v>
      </c>
      <c r="D170" s="20">
        <v>0.19</v>
      </c>
      <c r="E170" s="20">
        <v>0.03</v>
      </c>
      <c r="F170" s="20">
        <v>1265.98</v>
      </c>
      <c r="Q170" s="20">
        <v>16.899999999999999</v>
      </c>
      <c r="R170" s="20">
        <v>56.1</v>
      </c>
      <c r="S170" s="26">
        <v>56</v>
      </c>
      <c r="T170" s="20">
        <v>-0.1</v>
      </c>
      <c r="U170" s="20">
        <v>-0.01</v>
      </c>
      <c r="V170" s="20">
        <v>1078.02</v>
      </c>
    </row>
    <row r="171" spans="1:22" ht="16.8" x14ac:dyDescent="0.3">
      <c r="A171" s="20">
        <v>17</v>
      </c>
      <c r="B171" s="20">
        <v>56</v>
      </c>
      <c r="C171" s="20">
        <v>55.85</v>
      </c>
      <c r="D171" s="20">
        <v>0.15</v>
      </c>
      <c r="E171" s="20">
        <v>-0.04</v>
      </c>
      <c r="F171" s="20">
        <v>1239.01</v>
      </c>
      <c r="Q171" s="20">
        <v>17</v>
      </c>
      <c r="R171" s="20">
        <v>56.13</v>
      </c>
      <c r="S171" s="20">
        <v>56</v>
      </c>
      <c r="T171" s="20">
        <v>-0.13</v>
      </c>
      <c r="U171" s="26">
        <v>-0.03</v>
      </c>
      <c r="V171" s="20">
        <v>1070.73</v>
      </c>
    </row>
    <row r="172" spans="1:22" ht="16.8" x14ac:dyDescent="0.3">
      <c r="A172" s="20">
        <v>17.100000000000001</v>
      </c>
      <c r="B172" s="20">
        <v>56</v>
      </c>
      <c r="C172" s="20">
        <v>55.83</v>
      </c>
      <c r="D172" s="20">
        <v>0.17</v>
      </c>
      <c r="E172" s="20">
        <v>0.02</v>
      </c>
      <c r="F172" s="20">
        <v>1252.8900000000001</v>
      </c>
      <c r="Q172" s="20">
        <v>17.100000000000001</v>
      </c>
      <c r="R172" s="20">
        <v>56.12</v>
      </c>
      <c r="S172" s="20">
        <v>56</v>
      </c>
      <c r="T172" s="26">
        <v>-0.12</v>
      </c>
      <c r="U172" s="20">
        <v>0.01</v>
      </c>
      <c r="V172" s="20">
        <v>1074.8499999999999</v>
      </c>
    </row>
    <row r="173" spans="1:22" ht="16.8" x14ac:dyDescent="0.3">
      <c r="A173" s="20">
        <v>17.2</v>
      </c>
      <c r="B173" s="20">
        <v>56</v>
      </c>
      <c r="C173" s="20">
        <v>55.79</v>
      </c>
      <c r="D173" s="20">
        <v>0.21</v>
      </c>
      <c r="E173" s="20">
        <v>0.03</v>
      </c>
      <c r="F173" s="20">
        <v>1274.0999999999999</v>
      </c>
      <c r="Q173" s="20">
        <v>17.2</v>
      </c>
      <c r="R173" s="20">
        <v>56.15</v>
      </c>
      <c r="S173" s="26">
        <v>56</v>
      </c>
      <c r="T173" s="20">
        <v>-0.15</v>
      </c>
      <c r="U173" s="26">
        <v>-0.02</v>
      </c>
      <c r="V173" s="20">
        <v>1068.17</v>
      </c>
    </row>
    <row r="174" spans="1:22" ht="16.8" x14ac:dyDescent="0.3">
      <c r="A174" s="20">
        <v>17.3</v>
      </c>
      <c r="B174" s="20">
        <v>56</v>
      </c>
      <c r="C174" s="20">
        <v>55.82</v>
      </c>
      <c r="D174" s="20">
        <v>0.18</v>
      </c>
      <c r="E174" s="20">
        <v>-0.02</v>
      </c>
      <c r="F174" s="20">
        <v>1258.22</v>
      </c>
      <c r="Q174" s="20">
        <v>17.3</v>
      </c>
      <c r="R174" s="20">
        <v>56.08</v>
      </c>
      <c r="S174" s="20">
        <v>56</v>
      </c>
      <c r="T174" s="26">
        <v>-0.08</v>
      </c>
      <c r="U174" s="20">
        <v>7.0000000000000007E-2</v>
      </c>
      <c r="V174" s="20">
        <v>1087</v>
      </c>
    </row>
    <row r="175" spans="1:22" ht="16.8" x14ac:dyDescent="0.3">
      <c r="A175" s="20">
        <v>17.399999999999999</v>
      </c>
      <c r="B175" s="20">
        <v>56</v>
      </c>
      <c r="C175" s="20">
        <v>55.86</v>
      </c>
      <c r="D175" s="20">
        <v>0.14000000000000001</v>
      </c>
      <c r="E175" s="20">
        <v>-0.04</v>
      </c>
      <c r="F175" s="20">
        <v>1230.3</v>
      </c>
      <c r="Q175" s="20">
        <v>17.399999999999999</v>
      </c>
      <c r="R175" s="20">
        <v>56.14</v>
      </c>
      <c r="S175" s="26">
        <v>56</v>
      </c>
      <c r="T175" s="20">
        <v>-0.14000000000000001</v>
      </c>
      <c r="U175" s="26">
        <v>-0.06</v>
      </c>
      <c r="V175" s="20">
        <v>1065.79</v>
      </c>
    </row>
    <row r="176" spans="1:22" ht="16.8" x14ac:dyDescent="0.3">
      <c r="A176" s="20">
        <v>17.5</v>
      </c>
      <c r="B176" s="20">
        <v>56</v>
      </c>
      <c r="C176" s="20">
        <v>55.79</v>
      </c>
      <c r="D176" s="20">
        <v>0.21</v>
      </c>
      <c r="E176" s="20">
        <v>0.06</v>
      </c>
      <c r="F176" s="20">
        <v>1274.0999999999999</v>
      </c>
      <c r="Q176" s="20">
        <v>17.5</v>
      </c>
      <c r="R176" s="20">
        <v>56.14</v>
      </c>
      <c r="S176" s="20">
        <v>56</v>
      </c>
      <c r="T176" s="26">
        <v>-0.14000000000000001</v>
      </c>
      <c r="U176" s="20">
        <v>0</v>
      </c>
      <c r="V176" s="20">
        <v>1070.49</v>
      </c>
    </row>
    <row r="177" spans="1:22" ht="16.8" x14ac:dyDescent="0.3">
      <c r="A177" s="20">
        <v>17.600000000000001</v>
      </c>
      <c r="B177" s="20">
        <v>56</v>
      </c>
      <c r="C177" s="20">
        <v>55.82</v>
      </c>
      <c r="D177" s="20">
        <v>0.18</v>
      </c>
      <c r="E177" s="20">
        <v>-0.03</v>
      </c>
      <c r="F177" s="20">
        <v>1255.56</v>
      </c>
      <c r="Q177" s="20">
        <v>17.600000000000001</v>
      </c>
      <c r="R177" s="20">
        <v>56.15</v>
      </c>
      <c r="S177" s="26">
        <v>56</v>
      </c>
      <c r="T177" s="20">
        <v>-0.15</v>
      </c>
      <c r="U177" s="26">
        <v>-0.01</v>
      </c>
      <c r="V177" s="20">
        <v>1068.24</v>
      </c>
    </row>
    <row r="178" spans="1:22" ht="16.8" x14ac:dyDescent="0.3">
      <c r="A178" s="20">
        <v>17.7</v>
      </c>
      <c r="B178" s="20">
        <v>56</v>
      </c>
      <c r="C178" s="20">
        <v>55.82</v>
      </c>
      <c r="D178" s="20">
        <v>0.18</v>
      </c>
      <c r="E178" s="20">
        <v>0</v>
      </c>
      <c r="F178" s="20">
        <v>1258.22</v>
      </c>
      <c r="Q178" s="20">
        <v>17.7</v>
      </c>
      <c r="R178" s="20">
        <v>56.18</v>
      </c>
      <c r="S178" s="20">
        <v>56</v>
      </c>
      <c r="T178" s="26">
        <v>-0.18</v>
      </c>
      <c r="U178" s="20">
        <v>-0.03</v>
      </c>
      <c r="V178" s="20">
        <v>1060.83</v>
      </c>
    </row>
    <row r="179" spans="1:22" ht="16.8" x14ac:dyDescent="0.3">
      <c r="A179" s="20">
        <v>17.8</v>
      </c>
      <c r="B179" s="20">
        <v>56</v>
      </c>
      <c r="C179" s="20">
        <v>55.82</v>
      </c>
      <c r="D179" s="20">
        <v>0.18</v>
      </c>
      <c r="E179" s="20">
        <v>0</v>
      </c>
      <c r="F179" s="20">
        <v>1255.56</v>
      </c>
      <c r="Q179" s="20">
        <v>17.8</v>
      </c>
      <c r="R179" s="20">
        <v>56.16</v>
      </c>
      <c r="S179" s="26">
        <v>56</v>
      </c>
      <c r="T179" s="20">
        <v>-0.16</v>
      </c>
      <c r="U179" s="26">
        <v>0.02</v>
      </c>
      <c r="V179" s="20">
        <v>1066.76</v>
      </c>
    </row>
    <row r="180" spans="1:22" ht="16.8" x14ac:dyDescent="0.3">
      <c r="A180" s="20">
        <v>17.899999999999999</v>
      </c>
      <c r="B180" s="20">
        <v>56</v>
      </c>
      <c r="C180" s="20">
        <v>55.81</v>
      </c>
      <c r="D180" s="20">
        <v>0.19</v>
      </c>
      <c r="E180" s="20">
        <v>0.01</v>
      </c>
      <c r="F180" s="20">
        <v>1260.83</v>
      </c>
      <c r="Q180" s="20">
        <v>17.899999999999999</v>
      </c>
      <c r="R180" s="20">
        <v>56.13</v>
      </c>
      <c r="S180" s="20">
        <v>56</v>
      </c>
      <c r="T180" s="20">
        <v>-0.13</v>
      </c>
      <c r="U180" s="20">
        <v>0.03</v>
      </c>
      <c r="V180" s="20">
        <v>1072.8</v>
      </c>
    </row>
    <row r="181" spans="1:22" ht="16.8" x14ac:dyDescent="0.3">
      <c r="A181" s="20">
        <v>18</v>
      </c>
      <c r="B181" s="20">
        <v>56</v>
      </c>
      <c r="C181" s="20">
        <v>55.79</v>
      </c>
      <c r="D181" s="20">
        <v>0.21</v>
      </c>
      <c r="E181" s="20">
        <v>0.03</v>
      </c>
      <c r="F181" s="20">
        <v>1279.77</v>
      </c>
      <c r="Q181" s="20">
        <v>18</v>
      </c>
      <c r="R181" s="20">
        <v>56.16</v>
      </c>
      <c r="S181" s="26">
        <v>56</v>
      </c>
      <c r="T181" s="26">
        <v>-0.16</v>
      </c>
      <c r="U181" s="26">
        <v>-0.03</v>
      </c>
      <c r="V181" s="20">
        <v>1062.29</v>
      </c>
    </row>
    <row r="182" spans="1:22" ht="16.8" x14ac:dyDescent="0.3">
      <c r="A182" s="20">
        <v>18.100000000000001</v>
      </c>
      <c r="B182" s="20">
        <v>56</v>
      </c>
      <c r="C182" s="20">
        <v>55.83</v>
      </c>
      <c r="D182" s="20">
        <v>0.17</v>
      </c>
      <c r="E182" s="20">
        <v>-0.04</v>
      </c>
      <c r="F182" s="20">
        <v>1250.17</v>
      </c>
      <c r="Q182" s="20">
        <v>18.100000000000001</v>
      </c>
      <c r="R182" s="20">
        <v>56.17</v>
      </c>
      <c r="S182" s="20">
        <v>56</v>
      </c>
      <c r="T182" s="20">
        <v>-0.17</v>
      </c>
      <c r="U182" s="20">
        <v>-0.01</v>
      </c>
      <c r="V182" s="20">
        <v>1062.5</v>
      </c>
    </row>
    <row r="183" spans="1:22" ht="16.8" x14ac:dyDescent="0.3">
      <c r="A183" s="20">
        <v>18.2</v>
      </c>
      <c r="B183" s="20">
        <v>56</v>
      </c>
      <c r="C183" s="20">
        <v>55.77</v>
      </c>
      <c r="D183" s="20">
        <v>0.23</v>
      </c>
      <c r="E183" s="20">
        <v>0.06</v>
      </c>
      <c r="F183" s="20">
        <v>1293.75</v>
      </c>
      <c r="Q183" s="20">
        <v>18.2</v>
      </c>
      <c r="R183" s="20">
        <v>56.13</v>
      </c>
      <c r="S183" s="20">
        <v>56</v>
      </c>
      <c r="T183" s="26">
        <v>-0.13</v>
      </c>
      <c r="U183" s="26">
        <v>0.04</v>
      </c>
      <c r="V183" s="20">
        <v>1072.33</v>
      </c>
    </row>
    <row r="184" spans="1:22" ht="16.8" x14ac:dyDescent="0.3">
      <c r="A184" s="20">
        <v>18.3</v>
      </c>
      <c r="B184" s="20">
        <v>56</v>
      </c>
      <c r="C184" s="20">
        <v>55.82</v>
      </c>
      <c r="D184" s="20">
        <v>0.18</v>
      </c>
      <c r="E184" s="20">
        <v>-0.06</v>
      </c>
      <c r="F184" s="20">
        <v>1255.56</v>
      </c>
      <c r="Q184" s="20">
        <v>18.3</v>
      </c>
      <c r="R184" s="20">
        <v>56.18</v>
      </c>
      <c r="S184" s="26">
        <v>56</v>
      </c>
      <c r="T184" s="20">
        <v>-0.18</v>
      </c>
      <c r="U184" s="20">
        <v>-0.05</v>
      </c>
      <c r="V184" s="20">
        <v>1057.3399999999999</v>
      </c>
    </row>
    <row r="185" spans="1:22" ht="16.8" x14ac:dyDescent="0.3">
      <c r="A185" s="20">
        <v>18.399999999999999</v>
      </c>
      <c r="B185" s="20">
        <v>56</v>
      </c>
      <c r="C185" s="20">
        <v>55.8</v>
      </c>
      <c r="D185" s="20">
        <v>0.2</v>
      </c>
      <c r="E185" s="20">
        <v>0.02</v>
      </c>
      <c r="F185" s="20">
        <v>1268.51</v>
      </c>
      <c r="Q185" s="20">
        <v>18.399999999999999</v>
      </c>
      <c r="R185" s="20">
        <v>56.11</v>
      </c>
      <c r="S185" s="20">
        <v>56</v>
      </c>
      <c r="T185" s="26">
        <v>-0.11</v>
      </c>
      <c r="U185" s="26">
        <v>7.0000000000000007E-2</v>
      </c>
      <c r="V185" s="20">
        <v>1077.99</v>
      </c>
    </row>
    <row r="186" spans="1:22" ht="16.8" x14ac:dyDescent="0.3">
      <c r="A186" s="20">
        <v>18.5</v>
      </c>
      <c r="B186" s="20">
        <v>56</v>
      </c>
      <c r="C186" s="20">
        <v>55.8</v>
      </c>
      <c r="D186" s="20">
        <v>0.2</v>
      </c>
      <c r="E186" s="20">
        <v>0</v>
      </c>
      <c r="F186" s="20">
        <v>1271.25</v>
      </c>
      <c r="Q186" s="20">
        <v>18.5</v>
      </c>
      <c r="R186" s="20">
        <v>56.19</v>
      </c>
      <c r="S186" s="26">
        <v>56</v>
      </c>
      <c r="T186" s="20">
        <v>-0.19</v>
      </c>
      <c r="U186" s="20">
        <v>-0.08</v>
      </c>
      <c r="V186" s="20">
        <v>1052.8599999999999</v>
      </c>
    </row>
    <row r="187" spans="1:22" ht="16.8" x14ac:dyDescent="0.3">
      <c r="A187" s="20">
        <v>18.600000000000001</v>
      </c>
      <c r="B187" s="20">
        <v>56</v>
      </c>
      <c r="C187" s="20">
        <v>55.77</v>
      </c>
      <c r="D187" s="20">
        <v>0.23</v>
      </c>
      <c r="E187" s="20">
        <v>0.03</v>
      </c>
      <c r="F187" s="20">
        <v>1290.98</v>
      </c>
      <c r="Q187" s="20">
        <v>18.600000000000001</v>
      </c>
      <c r="R187" s="20">
        <v>56.23</v>
      </c>
      <c r="S187" s="20">
        <v>56</v>
      </c>
      <c r="T187" s="26">
        <v>-0.23</v>
      </c>
      <c r="U187" s="26">
        <v>-0.04</v>
      </c>
      <c r="V187" s="20">
        <v>1049.0899999999999</v>
      </c>
    </row>
    <row r="188" spans="1:22" ht="16.8" x14ac:dyDescent="0.3">
      <c r="A188" s="20">
        <v>18.7</v>
      </c>
      <c r="B188" s="20">
        <v>56</v>
      </c>
      <c r="C188" s="20">
        <v>55.79</v>
      </c>
      <c r="D188" s="20">
        <v>0.21</v>
      </c>
      <c r="E188" s="20">
        <v>-0.02</v>
      </c>
      <c r="F188" s="20">
        <v>1274.0999999999999</v>
      </c>
      <c r="Q188" s="20">
        <v>18.7</v>
      </c>
      <c r="R188" s="20">
        <v>56.19</v>
      </c>
      <c r="S188" s="26">
        <v>56</v>
      </c>
      <c r="T188" s="20">
        <v>-0.19</v>
      </c>
      <c r="U188" s="20">
        <v>0.04</v>
      </c>
      <c r="V188" s="20">
        <v>1061.3</v>
      </c>
    </row>
    <row r="189" spans="1:22" ht="16.8" x14ac:dyDescent="0.3">
      <c r="A189" s="20">
        <v>18.8</v>
      </c>
      <c r="B189" s="20">
        <v>56</v>
      </c>
      <c r="C189" s="20">
        <v>55.79</v>
      </c>
      <c r="D189" s="20">
        <v>0.21</v>
      </c>
      <c r="E189" s="20">
        <v>0.01</v>
      </c>
      <c r="F189" s="20">
        <v>1279.77</v>
      </c>
      <c r="Q189" s="20">
        <v>18.8</v>
      </c>
      <c r="R189" s="20">
        <v>56.16</v>
      </c>
      <c r="S189" s="20">
        <v>56</v>
      </c>
      <c r="T189" s="26">
        <v>-0.16</v>
      </c>
      <c r="U189" s="26">
        <v>0.02</v>
      </c>
      <c r="V189" s="20">
        <v>1063.48</v>
      </c>
    </row>
    <row r="190" spans="1:22" ht="16.8" x14ac:dyDescent="0.3">
      <c r="A190" s="20">
        <v>18.899999999999999</v>
      </c>
      <c r="B190" s="20">
        <v>56</v>
      </c>
      <c r="C190" s="20">
        <v>55.75</v>
      </c>
      <c r="D190" s="20">
        <v>0.25</v>
      </c>
      <c r="E190" s="20">
        <v>0.03</v>
      </c>
      <c r="F190" s="20">
        <v>1302.03</v>
      </c>
      <c r="Q190" s="20">
        <v>18.899999999999999</v>
      </c>
      <c r="R190" s="20">
        <v>56.17</v>
      </c>
      <c r="S190" s="26">
        <v>56</v>
      </c>
      <c r="T190" s="20">
        <v>-0.17</v>
      </c>
      <c r="U190" s="20">
        <v>-0.01</v>
      </c>
      <c r="V190" s="20">
        <v>1059.28</v>
      </c>
    </row>
    <row r="191" spans="1:22" ht="16.8" x14ac:dyDescent="0.3">
      <c r="A191" s="20">
        <v>19</v>
      </c>
      <c r="B191" s="20">
        <v>56</v>
      </c>
      <c r="C191" s="20">
        <v>55.79</v>
      </c>
      <c r="D191" s="20">
        <v>0.21</v>
      </c>
      <c r="E191" s="20">
        <v>-0.03</v>
      </c>
      <c r="F191" s="20">
        <v>1279.77</v>
      </c>
      <c r="Q191" s="20">
        <v>19</v>
      </c>
      <c r="R191" s="20">
        <v>56.15</v>
      </c>
      <c r="S191" s="20">
        <v>56</v>
      </c>
      <c r="T191" s="26">
        <v>-0.15</v>
      </c>
      <c r="U191" s="26">
        <v>0.02</v>
      </c>
      <c r="V191" s="20">
        <v>1065.27</v>
      </c>
    </row>
    <row r="192" spans="1:22" ht="16.8" x14ac:dyDescent="0.3">
      <c r="A192" s="20">
        <v>19.100000000000001</v>
      </c>
      <c r="B192" s="20">
        <v>56</v>
      </c>
      <c r="C192" s="20">
        <v>55.75</v>
      </c>
      <c r="D192" s="20">
        <v>0.25</v>
      </c>
      <c r="E192" s="20">
        <v>0.03</v>
      </c>
      <c r="F192" s="20">
        <v>1302.03</v>
      </c>
      <c r="Q192" s="20">
        <v>19.100000000000001</v>
      </c>
      <c r="R192" s="20">
        <v>56.17</v>
      </c>
      <c r="S192" s="20">
        <v>56</v>
      </c>
      <c r="T192" s="20">
        <v>-0.17</v>
      </c>
      <c r="U192" s="20">
        <v>-0.02</v>
      </c>
      <c r="V192" s="20">
        <v>1057.27</v>
      </c>
    </row>
    <row r="193" spans="1:22" ht="16.8" x14ac:dyDescent="0.3">
      <c r="A193" s="20">
        <v>19.2</v>
      </c>
      <c r="B193" s="20">
        <v>56</v>
      </c>
      <c r="C193" s="20">
        <v>55.78</v>
      </c>
      <c r="D193" s="20">
        <v>0.22</v>
      </c>
      <c r="E193" s="20">
        <v>-0.03</v>
      </c>
      <c r="F193" s="20">
        <v>1282.58</v>
      </c>
      <c r="Q193" s="20">
        <v>19.2</v>
      </c>
      <c r="R193" s="20">
        <v>56.16</v>
      </c>
      <c r="S193" s="26">
        <v>56</v>
      </c>
      <c r="T193" s="20">
        <v>-0.16</v>
      </c>
      <c r="U193" s="26">
        <v>0.02</v>
      </c>
      <c r="V193" s="20">
        <v>1062.5899999999999</v>
      </c>
    </row>
    <row r="194" spans="1:22" ht="16.8" x14ac:dyDescent="0.3">
      <c r="A194" s="20">
        <v>19.3</v>
      </c>
      <c r="B194" s="20">
        <v>56</v>
      </c>
      <c r="C194" s="20">
        <v>55.73</v>
      </c>
      <c r="D194" s="20">
        <v>0.27</v>
      </c>
      <c r="E194" s="20">
        <v>0.05</v>
      </c>
      <c r="F194" s="20">
        <v>1315.71</v>
      </c>
      <c r="Q194" s="20">
        <v>19.3</v>
      </c>
      <c r="R194" s="20">
        <v>56.19</v>
      </c>
      <c r="S194" s="20">
        <v>56</v>
      </c>
      <c r="T194" s="26">
        <v>-0.19</v>
      </c>
      <c r="U194" s="20">
        <v>-0.03</v>
      </c>
      <c r="V194" s="20">
        <v>1053.28</v>
      </c>
    </row>
    <row r="195" spans="1:22" ht="16.8" x14ac:dyDescent="0.3">
      <c r="A195" s="20">
        <v>19.399999999999999</v>
      </c>
      <c r="B195" s="20">
        <v>56</v>
      </c>
      <c r="C195" s="20">
        <v>55.74</v>
      </c>
      <c r="D195" s="20">
        <v>0.26</v>
      </c>
      <c r="E195" s="20">
        <v>0</v>
      </c>
      <c r="F195" s="20">
        <v>1312.99</v>
      </c>
      <c r="Q195" s="20">
        <v>19.399999999999999</v>
      </c>
      <c r="R195" s="20">
        <v>56.19</v>
      </c>
      <c r="S195" s="26">
        <v>56</v>
      </c>
      <c r="T195" s="20">
        <v>-0.19</v>
      </c>
      <c r="U195" s="26">
        <v>0</v>
      </c>
      <c r="V195" s="20">
        <v>1055.3499999999999</v>
      </c>
    </row>
    <row r="196" spans="1:22" ht="16.8" x14ac:dyDescent="0.3">
      <c r="A196" s="20">
        <v>19.5</v>
      </c>
      <c r="B196" s="20">
        <v>56</v>
      </c>
      <c r="C196" s="20">
        <v>55.78</v>
      </c>
      <c r="D196" s="20">
        <v>0.22</v>
      </c>
      <c r="E196" s="20">
        <v>-0.04</v>
      </c>
      <c r="F196" s="20">
        <v>1285.3900000000001</v>
      </c>
      <c r="Q196" s="20">
        <v>19.5</v>
      </c>
      <c r="R196" s="20">
        <v>56.13</v>
      </c>
      <c r="S196" s="20">
        <v>56</v>
      </c>
      <c r="T196" s="26">
        <v>-0.13</v>
      </c>
      <c r="U196" s="20">
        <v>0.06</v>
      </c>
      <c r="V196" s="20">
        <v>1068.3599999999999</v>
      </c>
    </row>
    <row r="197" spans="1:22" ht="16.8" x14ac:dyDescent="0.3">
      <c r="A197" s="20">
        <v>19.600000000000001</v>
      </c>
      <c r="B197" s="20">
        <v>56</v>
      </c>
      <c r="C197" s="20">
        <v>55.79</v>
      </c>
      <c r="D197" s="20">
        <v>0.21</v>
      </c>
      <c r="E197" s="20">
        <v>-0.01</v>
      </c>
      <c r="F197" s="20">
        <v>1276.93</v>
      </c>
      <c r="Q197" s="20">
        <v>19.600000000000001</v>
      </c>
      <c r="R197" s="20">
        <v>56.17</v>
      </c>
      <c r="S197" s="26">
        <v>56</v>
      </c>
      <c r="T197" s="20">
        <v>-0.17</v>
      </c>
      <c r="U197" s="26">
        <v>-0.04</v>
      </c>
      <c r="V197" s="20">
        <v>1054.04</v>
      </c>
    </row>
    <row r="198" spans="1:22" ht="16.8" x14ac:dyDescent="0.3">
      <c r="A198" s="20">
        <v>19.7</v>
      </c>
      <c r="B198" s="20">
        <v>56</v>
      </c>
      <c r="C198" s="20">
        <v>55.79</v>
      </c>
      <c r="D198" s="20">
        <v>0.21</v>
      </c>
      <c r="E198" s="20">
        <v>0</v>
      </c>
      <c r="F198" s="20">
        <v>1279.77</v>
      </c>
      <c r="Q198" s="20">
        <v>19.7</v>
      </c>
      <c r="R198" s="20">
        <v>56.14</v>
      </c>
      <c r="S198" s="20">
        <v>56</v>
      </c>
      <c r="T198" s="26">
        <v>-0.14000000000000001</v>
      </c>
      <c r="U198" s="20">
        <v>0.03</v>
      </c>
      <c r="V198" s="20">
        <v>1064.46</v>
      </c>
    </row>
    <row r="199" spans="1:22" ht="16.8" x14ac:dyDescent="0.3">
      <c r="A199" s="20">
        <v>19.8</v>
      </c>
      <c r="B199" s="20">
        <v>56</v>
      </c>
      <c r="C199" s="20">
        <v>55.79</v>
      </c>
      <c r="D199" s="20">
        <v>0.21</v>
      </c>
      <c r="E199" s="20">
        <v>-0.01</v>
      </c>
      <c r="F199" s="20">
        <v>1274.0999999999999</v>
      </c>
      <c r="Q199" s="20">
        <v>19.8</v>
      </c>
      <c r="R199" s="20">
        <v>56.16</v>
      </c>
      <c r="S199" s="26">
        <v>56</v>
      </c>
      <c r="T199" s="20">
        <v>-0.16</v>
      </c>
      <c r="U199" s="26">
        <v>-0.02</v>
      </c>
      <c r="V199" s="20">
        <v>1057.78</v>
      </c>
    </row>
    <row r="200" spans="1:22" ht="16.8" x14ac:dyDescent="0.3">
      <c r="A200" s="20">
        <v>19.899999999999999</v>
      </c>
      <c r="B200" s="20">
        <v>56</v>
      </c>
      <c r="C200" s="20">
        <v>55.79</v>
      </c>
      <c r="D200" s="20">
        <v>0.21</v>
      </c>
      <c r="E200" s="20">
        <v>0.01</v>
      </c>
      <c r="F200" s="20">
        <v>1279.77</v>
      </c>
      <c r="Q200" s="20">
        <v>19.899999999999999</v>
      </c>
      <c r="R200" s="20">
        <v>56.21</v>
      </c>
      <c r="S200" s="20">
        <v>56</v>
      </c>
      <c r="T200" s="26">
        <v>-0.21</v>
      </c>
      <c r="U200" s="26">
        <v>-0.06</v>
      </c>
      <c r="V200" s="20">
        <v>1045.21</v>
      </c>
    </row>
    <row r="201" spans="1:22" ht="16.8" x14ac:dyDescent="0.3">
      <c r="A201" s="20">
        <v>20</v>
      </c>
      <c r="B201" s="20">
        <v>56</v>
      </c>
      <c r="C201" s="20">
        <v>55.75</v>
      </c>
      <c r="D201" s="20">
        <v>0.25</v>
      </c>
      <c r="E201" s="20">
        <v>0.03</v>
      </c>
      <c r="F201" s="20">
        <v>1302.03</v>
      </c>
      <c r="Q201" s="20">
        <v>20</v>
      </c>
      <c r="R201" s="20">
        <v>56.17</v>
      </c>
      <c r="S201" s="26">
        <v>56</v>
      </c>
      <c r="T201" s="20">
        <v>-0.17</v>
      </c>
      <c r="U201" s="20">
        <v>0.04</v>
      </c>
      <c r="V201" s="20">
        <v>1058.72</v>
      </c>
    </row>
    <row r="202" spans="1:22" ht="16.8" x14ac:dyDescent="0.3">
      <c r="A202" s="20">
        <v>20.100000000000001</v>
      </c>
      <c r="B202" s="20">
        <v>56</v>
      </c>
      <c r="C202" s="20">
        <v>55.75</v>
      </c>
      <c r="D202" s="20">
        <v>0.25</v>
      </c>
      <c r="E202" s="20">
        <v>0</v>
      </c>
      <c r="F202" s="20">
        <v>1302.03</v>
      </c>
      <c r="Q202" s="20">
        <v>20.100000000000001</v>
      </c>
      <c r="R202" s="20">
        <v>56.19</v>
      </c>
      <c r="S202" s="20">
        <v>56</v>
      </c>
      <c r="T202" s="26">
        <v>-0.19</v>
      </c>
      <c r="U202" s="26">
        <v>-0.02</v>
      </c>
      <c r="V202" s="20">
        <v>1051.33</v>
      </c>
    </row>
    <row r="203" spans="1:22" ht="16.8" x14ac:dyDescent="0.3">
      <c r="A203" s="20">
        <v>20.2</v>
      </c>
      <c r="B203" s="20">
        <v>56</v>
      </c>
      <c r="C203" s="20">
        <v>55.75</v>
      </c>
      <c r="D203" s="20">
        <v>0.25</v>
      </c>
      <c r="E203" s="20">
        <v>0</v>
      </c>
      <c r="F203" s="20">
        <v>1302.03</v>
      </c>
      <c r="Q203" s="20">
        <v>20.2</v>
      </c>
      <c r="R203" s="20">
        <v>56.14</v>
      </c>
      <c r="S203" s="20">
        <v>56</v>
      </c>
      <c r="T203" s="20">
        <v>-0.14000000000000001</v>
      </c>
      <c r="U203" s="20">
        <v>0.05</v>
      </c>
      <c r="V203" s="20">
        <v>1063.67</v>
      </c>
    </row>
    <row r="204" spans="1:22" ht="16.8" x14ac:dyDescent="0.3">
      <c r="A204" s="20">
        <v>20.3</v>
      </c>
      <c r="B204" s="20">
        <v>56</v>
      </c>
      <c r="C204" s="20">
        <v>55.75</v>
      </c>
      <c r="D204" s="20">
        <v>0.25</v>
      </c>
      <c r="E204" s="20">
        <v>0</v>
      </c>
      <c r="F204" s="20">
        <v>1302.03</v>
      </c>
      <c r="Q204" s="20">
        <v>20.3</v>
      </c>
      <c r="R204" s="20">
        <v>56.16</v>
      </c>
      <c r="S204" s="26">
        <v>56</v>
      </c>
      <c r="T204" s="20">
        <v>-0.16</v>
      </c>
      <c r="U204" s="26">
        <v>-0.02</v>
      </c>
      <c r="V204" s="20">
        <v>1053.8</v>
      </c>
    </row>
    <row r="205" spans="1:22" ht="16.8" x14ac:dyDescent="0.3">
      <c r="A205" s="20">
        <v>20.399999999999999</v>
      </c>
      <c r="B205" s="20">
        <v>56</v>
      </c>
      <c r="C205" s="20">
        <v>55.82</v>
      </c>
      <c r="D205" s="20">
        <v>0.18</v>
      </c>
      <c r="E205" s="20">
        <v>-7.0000000000000007E-2</v>
      </c>
      <c r="F205" s="20">
        <v>1255.56</v>
      </c>
      <c r="Q205" s="20">
        <v>20.399999999999999</v>
      </c>
      <c r="R205" s="20">
        <v>56.18</v>
      </c>
      <c r="S205" s="20">
        <v>56</v>
      </c>
      <c r="T205" s="26">
        <v>-0.18</v>
      </c>
      <c r="U205" s="20">
        <v>-0.02</v>
      </c>
      <c r="V205" s="20">
        <v>1051.46</v>
      </c>
    </row>
    <row r="206" spans="1:22" ht="16.8" x14ac:dyDescent="0.3">
      <c r="A206" s="20">
        <v>20.5</v>
      </c>
      <c r="B206" s="20">
        <v>56</v>
      </c>
      <c r="C206" s="20">
        <v>55.77</v>
      </c>
      <c r="D206" s="20">
        <v>0.23</v>
      </c>
      <c r="E206" s="20">
        <v>0.05</v>
      </c>
      <c r="F206" s="20">
        <v>1288.18</v>
      </c>
      <c r="Q206" s="20">
        <v>20.5</v>
      </c>
      <c r="R206" s="20">
        <v>56.2</v>
      </c>
      <c r="S206" s="26">
        <v>56</v>
      </c>
      <c r="T206" s="20">
        <v>-0.2</v>
      </c>
      <c r="U206" s="26">
        <v>-0.02</v>
      </c>
      <c r="V206" s="20">
        <v>1046.52</v>
      </c>
    </row>
    <row r="207" spans="1:22" ht="16.8" x14ac:dyDescent="0.3">
      <c r="A207" s="20">
        <v>20.6</v>
      </c>
      <c r="B207" s="20">
        <v>56</v>
      </c>
      <c r="C207" s="20">
        <v>55.79</v>
      </c>
      <c r="D207" s="20">
        <v>0.21</v>
      </c>
      <c r="E207" s="20">
        <v>-0.02</v>
      </c>
      <c r="F207" s="20">
        <v>1274.0999999999999</v>
      </c>
      <c r="Q207" s="20">
        <v>20.6</v>
      </c>
      <c r="R207" s="20">
        <v>56.13</v>
      </c>
      <c r="S207" s="20">
        <v>56</v>
      </c>
      <c r="T207" s="26">
        <v>-0.13</v>
      </c>
      <c r="U207" s="20">
        <v>7.0000000000000007E-2</v>
      </c>
      <c r="V207" s="20">
        <v>1065.22</v>
      </c>
    </row>
    <row r="208" spans="1:22" ht="16.8" x14ac:dyDescent="0.3">
      <c r="A208" s="20">
        <v>20.7</v>
      </c>
      <c r="B208" s="20">
        <v>56</v>
      </c>
      <c r="C208" s="20">
        <v>55.81</v>
      </c>
      <c r="D208" s="20">
        <v>0.19</v>
      </c>
      <c r="E208" s="20">
        <v>-0.02</v>
      </c>
      <c r="F208" s="20">
        <v>1260.83</v>
      </c>
      <c r="Q208" s="20">
        <v>20.7</v>
      </c>
      <c r="R208" s="20">
        <v>56.19</v>
      </c>
      <c r="S208" s="26">
        <v>56</v>
      </c>
      <c r="T208" s="20">
        <v>-0.19</v>
      </c>
      <c r="U208" s="26">
        <v>-0.06</v>
      </c>
      <c r="V208" s="20">
        <v>1045.8</v>
      </c>
    </row>
    <row r="209" spans="1:22" ht="16.8" x14ac:dyDescent="0.3">
      <c r="A209" s="20">
        <v>20.8</v>
      </c>
      <c r="B209" s="20">
        <v>56</v>
      </c>
      <c r="C209" s="20">
        <v>55.77</v>
      </c>
      <c r="D209" s="20">
        <v>0.23</v>
      </c>
      <c r="E209" s="20">
        <v>0.04</v>
      </c>
      <c r="F209" s="20">
        <v>1288.18</v>
      </c>
      <c r="Q209" s="20">
        <v>20.8</v>
      </c>
      <c r="R209" s="20">
        <v>56.16</v>
      </c>
      <c r="S209" s="20">
        <v>56</v>
      </c>
      <c r="T209" s="26">
        <v>-0.16</v>
      </c>
      <c r="U209" s="20">
        <v>0.02</v>
      </c>
      <c r="V209" s="20">
        <v>1055.52</v>
      </c>
    </row>
    <row r="210" spans="1:22" ht="16.8" x14ac:dyDescent="0.3">
      <c r="A210" s="20">
        <v>20.9</v>
      </c>
      <c r="B210" s="20">
        <v>56</v>
      </c>
      <c r="C210" s="20">
        <v>55.83</v>
      </c>
      <c r="D210" s="20">
        <v>0.17</v>
      </c>
      <c r="E210" s="20">
        <v>-0.05</v>
      </c>
      <c r="F210" s="20">
        <v>1252.8900000000001</v>
      </c>
      <c r="Q210" s="20">
        <v>20.9</v>
      </c>
      <c r="R210" s="20">
        <v>56.14</v>
      </c>
      <c r="S210" s="26">
        <v>56</v>
      </c>
      <c r="T210" s="20">
        <v>-0.14000000000000001</v>
      </c>
      <c r="U210" s="26">
        <v>0.02</v>
      </c>
      <c r="V210" s="20">
        <v>1059.02</v>
      </c>
    </row>
    <row r="211" spans="1:22" ht="16.8" x14ac:dyDescent="0.3">
      <c r="A211" s="20">
        <v>21</v>
      </c>
      <c r="B211" s="20">
        <v>56</v>
      </c>
      <c r="C211" s="20">
        <v>55.82</v>
      </c>
      <c r="D211" s="20">
        <v>0.18</v>
      </c>
      <c r="E211" s="20">
        <v>0</v>
      </c>
      <c r="F211" s="20">
        <v>1255.56</v>
      </c>
      <c r="Q211" s="20">
        <v>21</v>
      </c>
      <c r="R211" s="20">
        <v>56.2</v>
      </c>
      <c r="S211" s="20">
        <v>56</v>
      </c>
      <c r="T211" s="26">
        <v>-0.2</v>
      </c>
      <c r="U211" s="20">
        <v>-0.06</v>
      </c>
      <c r="V211" s="20">
        <v>1043.3499999999999</v>
      </c>
    </row>
    <row r="212" spans="1:22" ht="16.8" x14ac:dyDescent="0.3">
      <c r="A212" s="20">
        <v>21.1</v>
      </c>
      <c r="B212" s="20">
        <v>56</v>
      </c>
      <c r="C212" s="20">
        <v>55.83</v>
      </c>
      <c r="D212" s="20">
        <v>0.17</v>
      </c>
      <c r="E212" s="20">
        <v>-0.01</v>
      </c>
      <c r="F212" s="20">
        <v>1250.17</v>
      </c>
      <c r="Q212" s="20">
        <v>21.1</v>
      </c>
      <c r="R212" s="20">
        <v>56.16</v>
      </c>
      <c r="S212" s="26">
        <v>56</v>
      </c>
      <c r="T212" s="20">
        <v>-0.16</v>
      </c>
      <c r="U212" s="26">
        <v>0.04</v>
      </c>
      <c r="V212" s="20">
        <v>1056.8900000000001</v>
      </c>
    </row>
    <row r="213" spans="1:22" ht="16.8" x14ac:dyDescent="0.3">
      <c r="A213" s="20">
        <v>21.2</v>
      </c>
      <c r="B213" s="20">
        <v>56</v>
      </c>
      <c r="C213" s="20">
        <v>55.85</v>
      </c>
      <c r="D213" s="20">
        <v>0.15</v>
      </c>
      <c r="E213" s="20">
        <v>-0.02</v>
      </c>
      <c r="F213" s="20">
        <v>1239.01</v>
      </c>
      <c r="Q213" s="20">
        <v>21.2</v>
      </c>
      <c r="R213" s="20">
        <v>56.17</v>
      </c>
      <c r="S213" s="20">
        <v>56</v>
      </c>
      <c r="T213" s="20">
        <v>-0.17</v>
      </c>
      <c r="U213" s="20">
        <v>-0.02</v>
      </c>
      <c r="V213" s="20">
        <v>1049.54</v>
      </c>
    </row>
    <row r="214" spans="1:22" ht="16.8" x14ac:dyDescent="0.3">
      <c r="A214" s="20">
        <v>21.3</v>
      </c>
      <c r="B214" s="20">
        <v>56</v>
      </c>
      <c r="C214" s="20">
        <v>55.85</v>
      </c>
      <c r="D214" s="20">
        <v>0.15</v>
      </c>
      <c r="E214" s="20">
        <v>0</v>
      </c>
      <c r="F214" s="20">
        <v>1239.01</v>
      </c>
      <c r="Q214" s="20">
        <v>21.3</v>
      </c>
      <c r="R214" s="20">
        <v>56.14</v>
      </c>
      <c r="S214" s="26">
        <v>56</v>
      </c>
      <c r="T214" s="26">
        <v>-0.14000000000000001</v>
      </c>
      <c r="U214" s="20">
        <v>0.03</v>
      </c>
      <c r="V214" s="20">
        <v>1058.08</v>
      </c>
    </row>
    <row r="215" spans="1:22" ht="16.8" x14ac:dyDescent="0.3">
      <c r="A215" s="20">
        <v>21.4</v>
      </c>
      <c r="B215" s="20">
        <v>56</v>
      </c>
      <c r="C215" s="20">
        <v>55.86</v>
      </c>
      <c r="D215" s="20">
        <v>0.14000000000000001</v>
      </c>
      <c r="E215" s="20">
        <v>-0.01</v>
      </c>
      <c r="F215" s="20">
        <v>1230.3</v>
      </c>
      <c r="Q215" s="20">
        <v>21.4</v>
      </c>
      <c r="R215" s="20">
        <v>56.15</v>
      </c>
      <c r="S215" s="20">
        <v>56</v>
      </c>
      <c r="T215" s="20">
        <v>-0.15</v>
      </c>
      <c r="U215" s="26">
        <v>-0.01</v>
      </c>
      <c r="V215" s="20">
        <v>1053.31</v>
      </c>
    </row>
    <row r="216" spans="1:22" ht="16.8" x14ac:dyDescent="0.3">
      <c r="A216" s="20">
        <v>21.5</v>
      </c>
      <c r="B216" s="20">
        <v>56</v>
      </c>
      <c r="C216" s="20">
        <v>55.83</v>
      </c>
      <c r="D216" s="20">
        <v>0.17</v>
      </c>
      <c r="E216" s="20">
        <v>0.02</v>
      </c>
      <c r="F216" s="20">
        <v>1247.43</v>
      </c>
      <c r="Q216" s="20">
        <v>21.5</v>
      </c>
      <c r="R216" s="20">
        <v>56.17</v>
      </c>
      <c r="S216" s="26">
        <v>56</v>
      </c>
      <c r="T216" s="26">
        <v>-0.17</v>
      </c>
      <c r="U216" s="20">
        <v>-0.02</v>
      </c>
      <c r="V216" s="20">
        <v>1047.83</v>
      </c>
    </row>
    <row r="217" spans="1:22" ht="16.8" x14ac:dyDescent="0.3">
      <c r="A217" s="20">
        <v>21.6</v>
      </c>
      <c r="B217" s="20">
        <v>56</v>
      </c>
      <c r="C217" s="20">
        <v>55.83</v>
      </c>
      <c r="D217" s="20">
        <v>0.17</v>
      </c>
      <c r="E217" s="20">
        <v>0.01</v>
      </c>
      <c r="F217" s="20">
        <v>1252.8900000000001</v>
      </c>
      <c r="Q217" s="20">
        <v>21.6</v>
      </c>
      <c r="R217" s="20">
        <v>56.16</v>
      </c>
      <c r="S217" s="20">
        <v>56</v>
      </c>
      <c r="T217" s="20">
        <v>-0.16</v>
      </c>
      <c r="U217" s="26">
        <v>0.01</v>
      </c>
      <c r="V217" s="20">
        <v>1051.23</v>
      </c>
    </row>
    <row r="218" spans="1:22" ht="16.8" x14ac:dyDescent="0.3">
      <c r="A218" s="20">
        <v>21.7</v>
      </c>
      <c r="B218" s="20">
        <v>56</v>
      </c>
      <c r="C218" s="20">
        <v>55.83</v>
      </c>
      <c r="D218" s="20">
        <v>0.17</v>
      </c>
      <c r="E218" s="20">
        <v>-0.01</v>
      </c>
      <c r="F218" s="20">
        <v>1247.43</v>
      </c>
      <c r="Q218" s="20">
        <v>21.7</v>
      </c>
      <c r="R218" s="20">
        <v>56.18</v>
      </c>
      <c r="S218" s="20">
        <v>56</v>
      </c>
      <c r="T218" s="26">
        <v>-0.18</v>
      </c>
      <c r="U218" s="26">
        <v>-0.02</v>
      </c>
      <c r="V218" s="20">
        <v>1046.3699999999999</v>
      </c>
    </row>
    <row r="219" spans="1:22" ht="16.8" x14ac:dyDescent="0.3">
      <c r="A219" s="20">
        <v>21.8</v>
      </c>
      <c r="B219" s="20">
        <v>56</v>
      </c>
      <c r="C219" s="20">
        <v>55.84</v>
      </c>
      <c r="D219" s="20">
        <v>0.16</v>
      </c>
      <c r="E219" s="20">
        <v>-0.01</v>
      </c>
      <c r="F219" s="20">
        <v>1241.8499999999999</v>
      </c>
      <c r="Q219" s="20">
        <v>21.8</v>
      </c>
      <c r="R219" s="20">
        <v>56.12</v>
      </c>
      <c r="S219" s="26">
        <v>56</v>
      </c>
      <c r="T219" s="20">
        <v>-0.12</v>
      </c>
      <c r="U219" s="20">
        <v>0.06</v>
      </c>
      <c r="V219" s="20">
        <v>1060.6500000000001</v>
      </c>
    </row>
    <row r="220" spans="1:22" ht="16.8" x14ac:dyDescent="0.3">
      <c r="A220" s="20">
        <v>21.9</v>
      </c>
      <c r="B220" s="20">
        <v>56</v>
      </c>
      <c r="C220" s="20">
        <v>55.84</v>
      </c>
      <c r="D220" s="20">
        <v>0.16</v>
      </c>
      <c r="E220" s="20">
        <v>0</v>
      </c>
      <c r="F220" s="20">
        <v>1241.8499999999999</v>
      </c>
      <c r="Q220" s="20">
        <v>21.9</v>
      </c>
      <c r="R220" s="20">
        <v>56.15</v>
      </c>
      <c r="S220" s="20">
        <v>56</v>
      </c>
      <c r="T220" s="26">
        <v>-0.15</v>
      </c>
      <c r="U220" s="20">
        <v>-0.02</v>
      </c>
      <c r="V220" s="20">
        <v>1050.19</v>
      </c>
    </row>
    <row r="221" spans="1:22" ht="16.8" x14ac:dyDescent="0.3">
      <c r="A221" s="20">
        <v>22</v>
      </c>
      <c r="B221" s="20">
        <v>56</v>
      </c>
      <c r="C221" s="20">
        <v>55.84</v>
      </c>
      <c r="D221" s="20">
        <v>0.16</v>
      </c>
      <c r="E221" s="20">
        <v>0</v>
      </c>
      <c r="F221" s="20">
        <v>1244.6500000000001</v>
      </c>
      <c r="Q221" s="20">
        <v>22</v>
      </c>
      <c r="R221" s="20">
        <v>56.13</v>
      </c>
      <c r="S221" s="26">
        <v>56</v>
      </c>
      <c r="T221" s="20">
        <v>-0.13</v>
      </c>
      <c r="U221" s="26">
        <v>0.02</v>
      </c>
      <c r="V221" s="20">
        <v>1055.57</v>
      </c>
    </row>
    <row r="222" spans="1:22" ht="16.8" x14ac:dyDescent="0.3">
      <c r="A222" s="20">
        <v>22.1</v>
      </c>
      <c r="B222" s="20">
        <v>56</v>
      </c>
      <c r="C222" s="20">
        <v>55.84</v>
      </c>
      <c r="D222" s="20">
        <v>0.16</v>
      </c>
      <c r="E222" s="20">
        <v>0</v>
      </c>
      <c r="F222" s="20">
        <v>1244.6500000000001</v>
      </c>
      <c r="Q222" s="20">
        <v>22.1</v>
      </c>
      <c r="R222" s="20">
        <v>56.14</v>
      </c>
      <c r="S222" s="20">
        <v>56</v>
      </c>
      <c r="T222" s="26">
        <v>-0.14000000000000001</v>
      </c>
      <c r="U222" s="20">
        <v>-0.01</v>
      </c>
      <c r="V222" s="20">
        <v>1052.08</v>
      </c>
    </row>
    <row r="223" spans="1:22" ht="16.8" x14ac:dyDescent="0.3">
      <c r="A223" s="20">
        <v>22.2</v>
      </c>
      <c r="B223" s="20">
        <v>56</v>
      </c>
      <c r="C223" s="20">
        <v>55.79</v>
      </c>
      <c r="D223" s="20">
        <v>0.21</v>
      </c>
      <c r="E223" s="20">
        <v>0.05</v>
      </c>
      <c r="F223" s="20">
        <v>1276.93</v>
      </c>
      <c r="Q223" s="20">
        <v>22.2</v>
      </c>
      <c r="R223" s="20">
        <v>56.13</v>
      </c>
      <c r="S223" s="26">
        <v>56</v>
      </c>
      <c r="T223" s="20">
        <v>-0.13</v>
      </c>
      <c r="U223" s="26">
        <v>0.01</v>
      </c>
      <c r="V223" s="20">
        <v>1054.3</v>
      </c>
    </row>
    <row r="224" spans="1:22" ht="16.8" x14ac:dyDescent="0.3">
      <c r="A224" s="20">
        <v>22.3</v>
      </c>
      <c r="B224" s="20">
        <v>56</v>
      </c>
      <c r="C224" s="20">
        <v>55.81</v>
      </c>
      <c r="D224" s="20">
        <v>0.19</v>
      </c>
      <c r="E224" s="20">
        <v>-0.02</v>
      </c>
      <c r="F224" s="20">
        <v>1263.43</v>
      </c>
      <c r="Q224" s="20">
        <v>22.3</v>
      </c>
      <c r="R224" s="20">
        <v>56.09</v>
      </c>
      <c r="S224" s="20">
        <v>56</v>
      </c>
      <c r="T224" s="20">
        <v>-0.09</v>
      </c>
      <c r="U224" s="26">
        <v>0.04</v>
      </c>
      <c r="V224" s="20">
        <v>1062.97</v>
      </c>
    </row>
    <row r="225" spans="1:22" ht="16.8" x14ac:dyDescent="0.3">
      <c r="A225" s="20">
        <v>22.4</v>
      </c>
      <c r="B225" s="20">
        <v>56</v>
      </c>
      <c r="C225" s="20">
        <v>55.79</v>
      </c>
      <c r="D225" s="20">
        <v>0.21</v>
      </c>
      <c r="E225" s="20">
        <v>0.02</v>
      </c>
      <c r="F225" s="20">
        <v>1274.0999999999999</v>
      </c>
      <c r="Q225" s="20">
        <v>22.4</v>
      </c>
      <c r="R225" s="20">
        <v>56.11</v>
      </c>
      <c r="S225" s="26">
        <v>56</v>
      </c>
      <c r="T225" s="26">
        <v>-0.11</v>
      </c>
      <c r="U225" s="20">
        <v>-0.02</v>
      </c>
      <c r="V225" s="20">
        <v>1055.77</v>
      </c>
    </row>
    <row r="226" spans="1:22" ht="16.8" x14ac:dyDescent="0.3">
      <c r="A226" s="20">
        <v>22.5</v>
      </c>
      <c r="B226" s="20">
        <v>56</v>
      </c>
      <c r="C226" s="20">
        <v>55.77</v>
      </c>
      <c r="D226" s="20">
        <v>0.23</v>
      </c>
      <c r="E226" s="20">
        <v>0.02</v>
      </c>
      <c r="F226" s="20">
        <v>1290.98</v>
      </c>
      <c r="Q226" s="20">
        <v>22.5</v>
      </c>
      <c r="R226" s="20">
        <v>56.12</v>
      </c>
      <c r="S226" s="20">
        <v>56</v>
      </c>
      <c r="T226" s="20">
        <v>-0.12</v>
      </c>
      <c r="U226" s="26">
        <v>-0.01</v>
      </c>
      <c r="V226" s="20">
        <v>1054.8499999999999</v>
      </c>
    </row>
    <row r="227" spans="1:22" ht="16.8" x14ac:dyDescent="0.3">
      <c r="A227" s="20">
        <v>22.6</v>
      </c>
      <c r="B227" s="20">
        <v>56</v>
      </c>
      <c r="C227" s="20">
        <v>55.81</v>
      </c>
      <c r="D227" s="20">
        <v>0.19</v>
      </c>
      <c r="E227" s="20">
        <v>-0.04</v>
      </c>
      <c r="F227" s="20">
        <v>1263.43</v>
      </c>
      <c r="Q227" s="20">
        <v>22.6</v>
      </c>
      <c r="R227" s="20">
        <v>56.11</v>
      </c>
      <c r="S227" s="26">
        <v>56</v>
      </c>
      <c r="T227" s="26">
        <v>-0.11</v>
      </c>
      <c r="U227" s="20">
        <v>0.01</v>
      </c>
      <c r="V227" s="20">
        <v>1057.1300000000001</v>
      </c>
    </row>
    <row r="228" spans="1:22" ht="16.8" x14ac:dyDescent="0.3">
      <c r="A228" s="20">
        <v>22.7</v>
      </c>
      <c r="B228" s="20">
        <v>56</v>
      </c>
      <c r="C228" s="20">
        <v>55.8</v>
      </c>
      <c r="D228" s="20">
        <v>0.2</v>
      </c>
      <c r="E228" s="20">
        <v>0.01</v>
      </c>
      <c r="F228" s="20">
        <v>1271.25</v>
      </c>
      <c r="Q228" s="20">
        <v>22.7</v>
      </c>
      <c r="R228" s="20">
        <v>56.11</v>
      </c>
      <c r="S228" s="20">
        <v>56</v>
      </c>
      <c r="T228" s="20">
        <v>-0.11</v>
      </c>
      <c r="U228" s="26">
        <v>0</v>
      </c>
      <c r="V228" s="20">
        <v>1056.25</v>
      </c>
    </row>
    <row r="229" spans="1:22" ht="16.8" x14ac:dyDescent="0.3">
      <c r="A229" s="20">
        <v>22.8</v>
      </c>
      <c r="B229" s="20">
        <v>56</v>
      </c>
      <c r="C229" s="20">
        <v>55.76</v>
      </c>
      <c r="D229" s="20">
        <v>0.24</v>
      </c>
      <c r="E229" s="20">
        <v>0.04</v>
      </c>
      <c r="F229" s="20">
        <v>1296.52</v>
      </c>
      <c r="Q229" s="20">
        <v>22.8</v>
      </c>
      <c r="R229" s="20">
        <v>56.12</v>
      </c>
      <c r="S229" s="20">
        <v>56</v>
      </c>
      <c r="T229" s="26">
        <v>-0.12</v>
      </c>
      <c r="U229" s="20">
        <v>-0.01</v>
      </c>
      <c r="V229" s="20">
        <v>1054.07</v>
      </c>
    </row>
    <row r="230" spans="1:22" ht="16.8" x14ac:dyDescent="0.3">
      <c r="A230" s="20">
        <v>22.9</v>
      </c>
      <c r="B230" s="20">
        <v>56</v>
      </c>
      <c r="C230" s="20">
        <v>55.77</v>
      </c>
      <c r="D230" s="20">
        <v>0.23</v>
      </c>
      <c r="E230" s="20">
        <v>-0.01</v>
      </c>
      <c r="F230" s="20">
        <v>1288.18</v>
      </c>
      <c r="Q230" s="20">
        <v>22.9</v>
      </c>
      <c r="R230" s="20">
        <v>56.11</v>
      </c>
      <c r="S230" s="26">
        <v>56</v>
      </c>
      <c r="T230" s="20">
        <v>-0.11</v>
      </c>
      <c r="U230" s="20">
        <v>0.01</v>
      </c>
      <c r="V230" s="20">
        <v>1056.3499999999999</v>
      </c>
    </row>
    <row r="231" spans="1:22" ht="16.8" x14ac:dyDescent="0.3">
      <c r="A231" s="20">
        <v>23</v>
      </c>
      <c r="B231" s="20">
        <v>56</v>
      </c>
      <c r="C231" s="20">
        <v>55.73</v>
      </c>
      <c r="D231" s="20">
        <v>0.27</v>
      </c>
      <c r="E231" s="20">
        <v>0.04</v>
      </c>
      <c r="F231" s="20">
        <v>1315.71</v>
      </c>
      <c r="Q231" s="20">
        <v>23</v>
      </c>
      <c r="R231" s="20">
        <v>56.14</v>
      </c>
      <c r="S231" s="20">
        <v>56</v>
      </c>
      <c r="T231" s="26">
        <v>-0.14000000000000001</v>
      </c>
      <c r="U231" s="26">
        <v>-0.03</v>
      </c>
      <c r="V231" s="20">
        <v>1047.78</v>
      </c>
    </row>
    <row r="232" spans="1:22" ht="16.8" x14ac:dyDescent="0.3">
      <c r="A232" s="20">
        <v>23.1</v>
      </c>
      <c r="B232" s="20">
        <v>56</v>
      </c>
      <c r="C232" s="20">
        <v>55.75</v>
      </c>
      <c r="D232" s="20">
        <v>0.25</v>
      </c>
      <c r="E232" s="20">
        <v>-0.02</v>
      </c>
      <c r="F232" s="20">
        <v>1304.79</v>
      </c>
      <c r="Q232" s="20">
        <v>23.1</v>
      </c>
      <c r="R232" s="20">
        <v>56.11</v>
      </c>
      <c r="S232" s="26">
        <v>56</v>
      </c>
      <c r="T232" s="20">
        <v>-0.11</v>
      </c>
      <c r="U232" s="20">
        <v>0.03</v>
      </c>
      <c r="V232" s="20">
        <v>1057.6500000000001</v>
      </c>
    </row>
    <row r="233" spans="1:22" ht="16.8" x14ac:dyDescent="0.3">
      <c r="A233" s="20">
        <v>23.2</v>
      </c>
      <c r="B233" s="20">
        <v>56</v>
      </c>
      <c r="C233" s="20">
        <v>55.79</v>
      </c>
      <c r="D233" s="20">
        <v>0.21</v>
      </c>
      <c r="E233" s="20">
        <v>-0.04</v>
      </c>
      <c r="F233" s="20">
        <v>1276.93</v>
      </c>
      <c r="Q233" s="20">
        <v>23.2</v>
      </c>
      <c r="R233" s="20">
        <v>56.12</v>
      </c>
      <c r="S233" s="20">
        <v>56</v>
      </c>
      <c r="T233" s="20">
        <v>-0.12</v>
      </c>
      <c r="U233" s="26">
        <v>-0.01</v>
      </c>
      <c r="V233" s="20">
        <v>1052.96</v>
      </c>
    </row>
    <row r="234" spans="1:22" ht="16.8" x14ac:dyDescent="0.3">
      <c r="A234" s="20">
        <v>23.3</v>
      </c>
      <c r="B234" s="20">
        <v>56</v>
      </c>
      <c r="C234" s="20">
        <v>55.75</v>
      </c>
      <c r="D234" s="20">
        <v>0.25</v>
      </c>
      <c r="E234" s="20">
        <v>0.04</v>
      </c>
      <c r="F234" s="20">
        <v>1302.03</v>
      </c>
      <c r="Q234" s="20">
        <v>23.3</v>
      </c>
      <c r="R234" s="20">
        <v>56.12</v>
      </c>
      <c r="S234" s="26">
        <v>56</v>
      </c>
      <c r="T234" s="26">
        <v>-0.12</v>
      </c>
      <c r="U234" s="20">
        <v>0</v>
      </c>
      <c r="V234" s="20">
        <v>1053.31</v>
      </c>
    </row>
    <row r="235" spans="1:22" ht="16.8" x14ac:dyDescent="0.3">
      <c r="A235" s="20">
        <v>23.4</v>
      </c>
      <c r="B235" s="20">
        <v>56</v>
      </c>
      <c r="C235" s="20">
        <v>55.79</v>
      </c>
      <c r="D235" s="20">
        <v>0.21</v>
      </c>
      <c r="E235" s="20">
        <v>-0.03</v>
      </c>
      <c r="F235" s="20">
        <v>1279.77</v>
      </c>
      <c r="Q235" s="20">
        <v>23.4</v>
      </c>
      <c r="R235" s="20">
        <v>56.13</v>
      </c>
      <c r="S235" s="20">
        <v>56</v>
      </c>
      <c r="T235" s="20">
        <v>-0.13</v>
      </c>
      <c r="U235" s="26">
        <v>-0.02</v>
      </c>
      <c r="V235" s="20">
        <v>1049.2</v>
      </c>
    </row>
    <row r="236" spans="1:22" ht="16.8" x14ac:dyDescent="0.3">
      <c r="A236" s="20">
        <v>23.5</v>
      </c>
      <c r="B236" s="20">
        <v>56</v>
      </c>
      <c r="C236" s="20">
        <v>55.81</v>
      </c>
      <c r="D236" s="20">
        <v>0.19</v>
      </c>
      <c r="E236" s="20">
        <v>-0.02</v>
      </c>
      <c r="F236" s="20">
        <v>1265.98</v>
      </c>
      <c r="Q236" s="20">
        <v>23.5</v>
      </c>
      <c r="R236" s="20">
        <v>56.07</v>
      </c>
      <c r="S236" s="26">
        <v>56</v>
      </c>
      <c r="T236" s="26">
        <v>-7.0000000000000007E-2</v>
      </c>
      <c r="U236" s="20">
        <v>0.06</v>
      </c>
      <c r="V236" s="20">
        <v>1065.52</v>
      </c>
    </row>
    <row r="237" spans="1:22" ht="16.8" x14ac:dyDescent="0.3">
      <c r="A237" s="20">
        <v>23.6</v>
      </c>
      <c r="B237" s="20">
        <v>56</v>
      </c>
      <c r="C237" s="20">
        <v>55.81</v>
      </c>
      <c r="D237" s="20">
        <v>0.19</v>
      </c>
      <c r="E237" s="20">
        <v>-0.01</v>
      </c>
      <c r="F237" s="20">
        <v>1260.83</v>
      </c>
      <c r="Q237" s="20">
        <v>23.6</v>
      </c>
      <c r="R237" s="20">
        <v>56.16</v>
      </c>
      <c r="S237" s="20">
        <v>56</v>
      </c>
      <c r="T237" s="20">
        <v>-0.16</v>
      </c>
      <c r="U237" s="26">
        <v>-0.1</v>
      </c>
      <c r="V237" s="20">
        <v>1037.27</v>
      </c>
    </row>
    <row r="238" spans="1:22" ht="16.8" x14ac:dyDescent="0.3">
      <c r="A238" s="20">
        <v>23.7</v>
      </c>
      <c r="B238" s="20">
        <v>56</v>
      </c>
      <c r="C238" s="20">
        <v>55.82</v>
      </c>
      <c r="D238" s="20">
        <v>0.18</v>
      </c>
      <c r="E238" s="20">
        <v>0</v>
      </c>
      <c r="F238" s="20">
        <v>1258.22</v>
      </c>
      <c r="Q238" s="20">
        <v>23.7</v>
      </c>
      <c r="R238" s="20">
        <v>56.18</v>
      </c>
      <c r="S238" s="20">
        <v>56</v>
      </c>
      <c r="T238" s="26">
        <v>-0.18</v>
      </c>
      <c r="U238" s="20">
        <v>-0.02</v>
      </c>
      <c r="V238" s="20">
        <v>1040.58</v>
      </c>
    </row>
    <row r="239" spans="1:22" ht="16.8" x14ac:dyDescent="0.3">
      <c r="A239" s="20">
        <v>23.8</v>
      </c>
      <c r="B239" s="20">
        <v>56</v>
      </c>
      <c r="C239" s="20">
        <v>55.77</v>
      </c>
      <c r="D239" s="20">
        <v>0.23</v>
      </c>
      <c r="E239" s="20">
        <v>0.05</v>
      </c>
      <c r="F239" s="20">
        <v>1293.75</v>
      </c>
      <c r="Q239" s="20">
        <v>23.8</v>
      </c>
      <c r="R239" s="20">
        <v>56.14</v>
      </c>
      <c r="S239" s="26">
        <v>56</v>
      </c>
      <c r="T239" s="20">
        <v>-0.14000000000000001</v>
      </c>
      <c r="U239" s="26">
        <v>0.04</v>
      </c>
      <c r="V239" s="20">
        <v>1051.02</v>
      </c>
    </row>
    <row r="240" spans="1:22" ht="16.8" x14ac:dyDescent="0.3">
      <c r="A240" s="20">
        <v>23.9</v>
      </c>
      <c r="B240" s="20">
        <v>56</v>
      </c>
      <c r="C240" s="20">
        <v>55.78</v>
      </c>
      <c r="D240" s="20">
        <v>0.22</v>
      </c>
      <c r="E240" s="20">
        <v>-0.01</v>
      </c>
      <c r="F240" s="20">
        <v>1285.3900000000001</v>
      </c>
      <c r="Q240" s="20">
        <v>23.9</v>
      </c>
      <c r="R240" s="20">
        <v>56.14</v>
      </c>
      <c r="S240" s="20">
        <v>56</v>
      </c>
      <c r="T240" s="26">
        <v>-0.14000000000000001</v>
      </c>
      <c r="U240" s="26">
        <v>0</v>
      </c>
      <c r="V240" s="20">
        <v>1047.55</v>
      </c>
    </row>
    <row r="241" spans="1:22" ht="16.8" x14ac:dyDescent="0.3">
      <c r="A241" s="20">
        <v>24</v>
      </c>
      <c r="B241" s="20">
        <v>56</v>
      </c>
      <c r="C241" s="20">
        <v>55.81</v>
      </c>
      <c r="D241" s="20">
        <v>0.19</v>
      </c>
      <c r="E241" s="20">
        <v>-0.03</v>
      </c>
      <c r="F241" s="20">
        <v>1263.43</v>
      </c>
      <c r="Q241" s="20">
        <v>24</v>
      </c>
      <c r="R241" s="20">
        <v>56.11</v>
      </c>
      <c r="S241" s="26">
        <v>56</v>
      </c>
      <c r="T241" s="20">
        <v>-0.11</v>
      </c>
      <c r="U241" s="20">
        <v>0.03</v>
      </c>
      <c r="V241" s="20">
        <v>1054.9100000000001</v>
      </c>
    </row>
    <row r="242" spans="1:22" ht="16.8" x14ac:dyDescent="0.3">
      <c r="A242" s="20">
        <v>24.1</v>
      </c>
      <c r="B242" s="20">
        <v>56</v>
      </c>
      <c r="C242" s="20">
        <v>55.8</v>
      </c>
      <c r="D242" s="20">
        <v>0.2</v>
      </c>
      <c r="E242" s="20">
        <v>0.01</v>
      </c>
      <c r="F242" s="20">
        <v>1268.51</v>
      </c>
      <c r="Q242" s="20">
        <v>24.1</v>
      </c>
      <c r="R242" s="20">
        <v>56.13</v>
      </c>
      <c r="S242" s="20">
        <v>56</v>
      </c>
      <c r="T242" s="26">
        <v>-0.13</v>
      </c>
      <c r="U242" s="20">
        <v>-0.02</v>
      </c>
      <c r="V242" s="20">
        <v>1046.3699999999999</v>
      </c>
    </row>
    <row r="243" spans="1:22" ht="16.8" x14ac:dyDescent="0.3">
      <c r="A243" s="20">
        <v>24.2</v>
      </c>
      <c r="B243" s="20">
        <v>56</v>
      </c>
      <c r="C243" s="20">
        <v>55.81</v>
      </c>
      <c r="D243" s="20">
        <v>0.19</v>
      </c>
      <c r="E243" s="20">
        <v>0</v>
      </c>
      <c r="F243" s="20">
        <v>1265.98</v>
      </c>
      <c r="Q243" s="20">
        <v>24.2</v>
      </c>
      <c r="R243" s="20">
        <v>56.12</v>
      </c>
      <c r="S243" s="26">
        <v>56</v>
      </c>
      <c r="T243" s="20">
        <v>-0.12</v>
      </c>
      <c r="U243" s="26">
        <v>0.01</v>
      </c>
      <c r="V243" s="20">
        <v>1049.8699999999999</v>
      </c>
    </row>
    <row r="244" spans="1:22" ht="16.8" x14ac:dyDescent="0.3">
      <c r="A244" s="20">
        <v>24.3</v>
      </c>
      <c r="B244" s="20">
        <v>56</v>
      </c>
      <c r="C244" s="20">
        <v>55.76</v>
      </c>
      <c r="D244" s="20">
        <v>0.24</v>
      </c>
      <c r="E244" s="20">
        <v>0.04</v>
      </c>
      <c r="F244" s="20">
        <v>1296.52</v>
      </c>
      <c r="Q244" s="20">
        <v>24.3</v>
      </c>
      <c r="R244" s="20">
        <v>56.12</v>
      </c>
      <c r="S244" s="20">
        <v>56</v>
      </c>
      <c r="T244" s="20">
        <v>-0.12</v>
      </c>
      <c r="U244" s="20">
        <v>0.01</v>
      </c>
      <c r="V244" s="20">
        <v>1050.8699999999999</v>
      </c>
    </row>
    <row r="245" spans="1:22" ht="16.8" x14ac:dyDescent="0.3">
      <c r="A245" s="20">
        <v>24.4</v>
      </c>
      <c r="B245" s="20">
        <v>56</v>
      </c>
      <c r="C245" s="20">
        <v>55.77</v>
      </c>
      <c r="D245" s="20">
        <v>0.23</v>
      </c>
      <c r="E245" s="20">
        <v>-0.01</v>
      </c>
      <c r="F245" s="20">
        <v>1290.98</v>
      </c>
      <c r="Q245" s="20">
        <v>24.4</v>
      </c>
      <c r="R245" s="20">
        <v>56.12</v>
      </c>
      <c r="S245" s="26">
        <v>56</v>
      </c>
      <c r="T245" s="26">
        <v>-0.12</v>
      </c>
      <c r="U245" s="26">
        <v>0</v>
      </c>
      <c r="V245" s="20">
        <v>1049.97</v>
      </c>
    </row>
    <row r="246" spans="1:22" ht="16.8" x14ac:dyDescent="0.3">
      <c r="A246" s="20">
        <v>24.5</v>
      </c>
      <c r="B246" s="20">
        <v>56</v>
      </c>
      <c r="C246" s="20">
        <v>55.77</v>
      </c>
      <c r="D246" s="20">
        <v>0.23</v>
      </c>
      <c r="E246" s="20">
        <v>0</v>
      </c>
      <c r="F246" s="20">
        <v>1288.18</v>
      </c>
      <c r="Q246" s="20">
        <v>24.5</v>
      </c>
      <c r="R246" s="20">
        <v>56.05</v>
      </c>
      <c r="S246" s="20">
        <v>56</v>
      </c>
      <c r="T246" s="20">
        <v>-0.05</v>
      </c>
      <c r="U246" s="20">
        <v>0.06</v>
      </c>
      <c r="V246" s="20">
        <v>1065.07</v>
      </c>
    </row>
    <row r="247" spans="1:22" ht="16.8" x14ac:dyDescent="0.3">
      <c r="A247" s="20">
        <v>24.6</v>
      </c>
      <c r="B247" s="20">
        <v>56</v>
      </c>
      <c r="C247" s="20">
        <v>55.81</v>
      </c>
      <c r="D247" s="20">
        <v>0.19</v>
      </c>
      <c r="E247" s="20">
        <v>-0.04</v>
      </c>
      <c r="F247" s="20">
        <v>1260.83</v>
      </c>
      <c r="Q247" s="20">
        <v>24.6</v>
      </c>
      <c r="R247" s="20">
        <v>56.14</v>
      </c>
      <c r="S247" s="26">
        <v>56</v>
      </c>
      <c r="T247" s="26">
        <v>-0.14000000000000001</v>
      </c>
      <c r="U247" s="26">
        <v>-0.09</v>
      </c>
      <c r="V247" s="20">
        <v>1038.78</v>
      </c>
    </row>
    <row r="248" spans="1:22" ht="16.8" x14ac:dyDescent="0.3">
      <c r="A248" s="20">
        <v>24.7</v>
      </c>
      <c r="B248" s="20">
        <v>56</v>
      </c>
      <c r="C248" s="20">
        <v>55.83</v>
      </c>
      <c r="D248" s="20">
        <v>0.17</v>
      </c>
      <c r="E248" s="20">
        <v>-0.01</v>
      </c>
      <c r="F248" s="20">
        <v>1252.8900000000001</v>
      </c>
      <c r="Q248" s="20">
        <v>24.7</v>
      </c>
      <c r="R248" s="20">
        <v>56.12</v>
      </c>
      <c r="S248" s="20">
        <v>56</v>
      </c>
      <c r="T248" s="20">
        <v>-0.12</v>
      </c>
      <c r="U248" s="26">
        <v>0.02</v>
      </c>
      <c r="V248" s="20">
        <v>1051.1300000000001</v>
      </c>
    </row>
    <row r="249" spans="1:22" ht="16.8" x14ac:dyDescent="0.3">
      <c r="A249" s="20">
        <v>24.8</v>
      </c>
      <c r="B249" s="20">
        <v>56</v>
      </c>
      <c r="C249" s="20">
        <v>55.78</v>
      </c>
      <c r="D249" s="20">
        <v>0.22</v>
      </c>
      <c r="E249" s="20">
        <v>0.05</v>
      </c>
      <c r="F249" s="20">
        <v>1285.3900000000001</v>
      </c>
      <c r="Q249" s="20">
        <v>24.8</v>
      </c>
      <c r="R249" s="20">
        <v>56.14</v>
      </c>
      <c r="S249" s="26">
        <v>56</v>
      </c>
      <c r="T249" s="26">
        <v>-0.14000000000000001</v>
      </c>
      <c r="U249" s="20">
        <v>-0.02</v>
      </c>
      <c r="V249" s="20">
        <v>1043.2</v>
      </c>
    </row>
    <row r="250" spans="1:22" ht="16.8" x14ac:dyDescent="0.3">
      <c r="A250" s="20">
        <v>24.9</v>
      </c>
      <c r="B250" s="20">
        <v>56</v>
      </c>
      <c r="C250" s="20">
        <v>55.81</v>
      </c>
      <c r="D250" s="20">
        <v>0.19</v>
      </c>
      <c r="E250" s="20">
        <v>-0.03</v>
      </c>
      <c r="F250" s="20">
        <v>1265.98</v>
      </c>
      <c r="Q250" s="20">
        <v>24.9</v>
      </c>
      <c r="R250" s="20">
        <v>56.15</v>
      </c>
      <c r="S250" s="20">
        <v>56</v>
      </c>
      <c r="T250" s="20">
        <v>-0.15</v>
      </c>
      <c r="U250" s="20">
        <v>-0.01</v>
      </c>
      <c r="V250" s="20">
        <v>1042.8399999999999</v>
      </c>
    </row>
    <row r="251" spans="1:22" ht="16.8" x14ac:dyDescent="0.3">
      <c r="A251" s="20">
        <v>25</v>
      </c>
      <c r="B251" s="20">
        <v>56</v>
      </c>
      <c r="C251" s="20">
        <v>55.8</v>
      </c>
      <c r="D251" s="20">
        <v>0.2</v>
      </c>
      <c r="E251" s="20">
        <v>0</v>
      </c>
      <c r="F251" s="20">
        <v>1268.51</v>
      </c>
      <c r="Q251" s="20">
        <v>25</v>
      </c>
      <c r="R251" s="20">
        <v>56.08</v>
      </c>
      <c r="S251" s="20">
        <v>56</v>
      </c>
      <c r="T251" s="20">
        <v>-0.08</v>
      </c>
      <c r="U251" s="26">
        <v>0.06</v>
      </c>
      <c r="V251" s="20">
        <v>1058.49</v>
      </c>
    </row>
    <row r="252" spans="1:22" ht="16.8" x14ac:dyDescent="0.3">
      <c r="A252" s="20">
        <v>25.1</v>
      </c>
      <c r="B252" s="20">
        <v>56</v>
      </c>
      <c r="C252" s="20">
        <v>55.79</v>
      </c>
      <c r="D252" s="20">
        <v>0.21</v>
      </c>
      <c r="E252" s="20">
        <v>0.02</v>
      </c>
      <c r="F252" s="20">
        <v>1279.77</v>
      </c>
      <c r="Q252" s="20">
        <v>25.1</v>
      </c>
      <c r="R252" s="20">
        <v>56.12</v>
      </c>
      <c r="S252" s="26">
        <v>56</v>
      </c>
      <c r="T252" s="26">
        <v>-0.12</v>
      </c>
      <c r="U252" s="20">
        <v>-0.04</v>
      </c>
      <c r="V252" s="20">
        <v>1043.6600000000001</v>
      </c>
    </row>
    <row r="253" spans="1:22" ht="16.8" x14ac:dyDescent="0.3">
      <c r="A253" s="20">
        <v>25.2</v>
      </c>
      <c r="B253" s="20">
        <v>56</v>
      </c>
      <c r="C253" s="20">
        <v>55.83</v>
      </c>
      <c r="D253" s="20">
        <v>0.17</v>
      </c>
      <c r="E253" s="20">
        <v>-0.05</v>
      </c>
      <c r="F253" s="20">
        <v>1247.43</v>
      </c>
      <c r="Q253" s="20">
        <v>25.2</v>
      </c>
      <c r="R253" s="20">
        <v>56.11</v>
      </c>
      <c r="S253" s="20">
        <v>56</v>
      </c>
      <c r="T253" s="20">
        <v>-0.11</v>
      </c>
      <c r="U253" s="26">
        <v>0.02</v>
      </c>
      <c r="V253" s="20">
        <v>1050.3499999999999</v>
      </c>
    </row>
    <row r="254" spans="1:22" ht="16.8" x14ac:dyDescent="0.3">
      <c r="A254" s="20">
        <v>25.3</v>
      </c>
      <c r="B254" s="20">
        <v>56</v>
      </c>
      <c r="C254" s="20">
        <v>55.77</v>
      </c>
      <c r="D254" s="20">
        <v>0.23</v>
      </c>
      <c r="E254" s="20">
        <v>0.06</v>
      </c>
      <c r="F254" s="20">
        <v>1288.18</v>
      </c>
      <c r="Q254" s="20">
        <v>25.3</v>
      </c>
      <c r="R254" s="20">
        <v>56.08</v>
      </c>
      <c r="S254" s="26">
        <v>56</v>
      </c>
      <c r="T254" s="26">
        <v>-0.08</v>
      </c>
      <c r="U254" s="20">
        <v>0.03</v>
      </c>
      <c r="V254" s="20">
        <v>1056.53</v>
      </c>
    </row>
    <row r="255" spans="1:22" ht="16.8" x14ac:dyDescent="0.3">
      <c r="A255" s="20">
        <v>25.4</v>
      </c>
      <c r="B255" s="20">
        <v>56</v>
      </c>
      <c r="C255" s="20">
        <v>55.82</v>
      </c>
      <c r="D255" s="20">
        <v>0.18</v>
      </c>
      <c r="E255" s="20">
        <v>-0.05</v>
      </c>
      <c r="F255" s="20">
        <v>1255.56</v>
      </c>
      <c r="Q255" s="20">
        <v>25.4</v>
      </c>
      <c r="R255" s="20">
        <v>56.08</v>
      </c>
      <c r="S255" s="20">
        <v>56</v>
      </c>
      <c r="T255" s="20">
        <v>-0.08</v>
      </c>
      <c r="U255" s="26">
        <v>-0.01</v>
      </c>
      <c r="V255" s="20">
        <v>1051.9100000000001</v>
      </c>
    </row>
    <row r="256" spans="1:22" ht="16.8" x14ac:dyDescent="0.3">
      <c r="A256" s="20">
        <v>25.5</v>
      </c>
      <c r="B256" s="20">
        <v>56</v>
      </c>
      <c r="C256" s="20">
        <v>55.82</v>
      </c>
      <c r="D256" s="20">
        <v>0.18</v>
      </c>
      <c r="E256" s="20">
        <v>0</v>
      </c>
      <c r="F256" s="20">
        <v>1255.56</v>
      </c>
      <c r="Q256" s="20">
        <v>25.5</v>
      </c>
      <c r="R256" s="20">
        <v>56.13</v>
      </c>
      <c r="S256" s="26">
        <v>56</v>
      </c>
      <c r="T256" s="26">
        <v>-0.13</v>
      </c>
      <c r="U256" s="20">
        <v>-0.05</v>
      </c>
      <c r="V256" s="20">
        <v>1040.81</v>
      </c>
    </row>
    <row r="257" spans="1:22" ht="16.8" x14ac:dyDescent="0.3">
      <c r="A257" s="20">
        <v>25.6</v>
      </c>
      <c r="B257" s="20">
        <v>56</v>
      </c>
      <c r="C257" s="20">
        <v>55.84</v>
      </c>
      <c r="D257" s="20">
        <v>0.16</v>
      </c>
      <c r="E257" s="20">
        <v>-0.02</v>
      </c>
      <c r="F257" s="20">
        <v>1241.8499999999999</v>
      </c>
      <c r="Q257" s="20">
        <v>25.6</v>
      </c>
      <c r="R257" s="20">
        <v>56.08</v>
      </c>
      <c r="S257" s="20">
        <v>56</v>
      </c>
      <c r="T257" s="20">
        <v>-0.08</v>
      </c>
      <c r="U257" s="26">
        <v>0.06</v>
      </c>
      <c r="V257" s="20">
        <v>1057.73</v>
      </c>
    </row>
    <row r="258" spans="1:22" ht="16.8" x14ac:dyDescent="0.3">
      <c r="A258" s="20">
        <v>25.7</v>
      </c>
      <c r="B258" s="20">
        <v>56</v>
      </c>
      <c r="C258" s="20">
        <v>55.87</v>
      </c>
      <c r="D258" s="20">
        <v>0.13</v>
      </c>
      <c r="E258" s="20">
        <v>-0.03</v>
      </c>
      <c r="F258" s="20">
        <v>1218.17</v>
      </c>
      <c r="Q258" s="20">
        <v>25.7</v>
      </c>
      <c r="R258" s="20">
        <v>56.08</v>
      </c>
      <c r="S258" s="26">
        <v>56</v>
      </c>
      <c r="T258" s="26">
        <v>-0.08</v>
      </c>
      <c r="U258" s="26">
        <v>-0.01</v>
      </c>
      <c r="V258" s="20">
        <v>1051.23</v>
      </c>
    </row>
    <row r="259" spans="1:22" ht="16.8" x14ac:dyDescent="0.3">
      <c r="A259" s="20">
        <v>25.8</v>
      </c>
      <c r="B259" s="20">
        <v>56</v>
      </c>
      <c r="C259" s="20">
        <v>55.88</v>
      </c>
      <c r="D259" s="20">
        <v>0.12</v>
      </c>
      <c r="E259" s="20">
        <v>-0.01</v>
      </c>
      <c r="F259" s="20">
        <v>1211.9000000000001</v>
      </c>
      <c r="Q259" s="20">
        <v>25.8</v>
      </c>
      <c r="R259" s="20">
        <v>56.16</v>
      </c>
      <c r="S259" s="20">
        <v>56</v>
      </c>
      <c r="T259" s="20">
        <v>-0.16</v>
      </c>
      <c r="U259" s="20">
        <v>-7.0000000000000007E-2</v>
      </c>
      <c r="V259" s="20">
        <v>1034.3599999999999</v>
      </c>
    </row>
    <row r="260" spans="1:22" ht="16.8" x14ac:dyDescent="0.3">
      <c r="A260" s="20">
        <v>25.9</v>
      </c>
      <c r="B260" s="20">
        <v>56</v>
      </c>
      <c r="C260" s="20">
        <v>55.85</v>
      </c>
      <c r="D260" s="20">
        <v>0.15</v>
      </c>
      <c r="E260" s="20">
        <v>0.03</v>
      </c>
      <c r="F260" s="20">
        <v>1236.1400000000001</v>
      </c>
      <c r="Q260" s="20">
        <v>25.9</v>
      </c>
      <c r="R260" s="20">
        <v>56.09</v>
      </c>
      <c r="S260" s="26">
        <v>56</v>
      </c>
      <c r="T260" s="26">
        <v>-0.09</v>
      </c>
      <c r="U260" s="26">
        <v>0.06</v>
      </c>
      <c r="V260" s="20">
        <v>1055.03</v>
      </c>
    </row>
    <row r="261" spans="1:22" ht="16.8" x14ac:dyDescent="0.3">
      <c r="A261" s="20">
        <v>26</v>
      </c>
      <c r="B261" s="20">
        <v>56</v>
      </c>
      <c r="C261" s="20">
        <v>55.88</v>
      </c>
      <c r="D261" s="20">
        <v>0.12</v>
      </c>
      <c r="E261" s="20">
        <v>-0.03</v>
      </c>
      <c r="F261" s="20">
        <v>1211.9000000000001</v>
      </c>
      <c r="Q261" s="20">
        <v>26</v>
      </c>
      <c r="R261" s="20">
        <v>56.1</v>
      </c>
      <c r="S261" s="20">
        <v>56</v>
      </c>
      <c r="T261" s="20">
        <v>-0.1</v>
      </c>
      <c r="U261" s="20">
        <v>-0.01</v>
      </c>
      <c r="V261" s="20">
        <v>1047.8599999999999</v>
      </c>
    </row>
    <row r="262" spans="1:22" ht="16.8" x14ac:dyDescent="0.3">
      <c r="A262" s="20">
        <v>26.1</v>
      </c>
      <c r="B262" s="20">
        <v>56</v>
      </c>
      <c r="C262" s="20">
        <v>55.93</v>
      </c>
      <c r="D262" s="20">
        <v>7.0000000000000007E-2</v>
      </c>
      <c r="E262" s="20">
        <v>-0.04</v>
      </c>
      <c r="F262" s="20">
        <v>1174.58</v>
      </c>
      <c r="Q262" s="20">
        <v>26.1</v>
      </c>
      <c r="R262" s="20">
        <v>56.08</v>
      </c>
      <c r="S262" s="26">
        <v>56</v>
      </c>
      <c r="T262" s="26">
        <v>-0.08</v>
      </c>
      <c r="U262" s="26">
        <v>0.02</v>
      </c>
      <c r="V262" s="20">
        <v>1054.02</v>
      </c>
    </row>
    <row r="263" spans="1:22" ht="16.8" x14ac:dyDescent="0.3">
      <c r="A263" s="20">
        <v>26.2</v>
      </c>
      <c r="B263" s="20">
        <v>56</v>
      </c>
      <c r="C263" s="20">
        <v>55.94</v>
      </c>
      <c r="D263" s="20">
        <v>0.06</v>
      </c>
      <c r="E263" s="20">
        <v>-0.01</v>
      </c>
      <c r="F263" s="20">
        <v>1163.48</v>
      </c>
      <c r="Q263" s="20">
        <v>26.2</v>
      </c>
      <c r="R263" s="20">
        <v>56.18</v>
      </c>
      <c r="S263" s="20">
        <v>56</v>
      </c>
      <c r="T263" s="20">
        <v>-0.18</v>
      </c>
      <c r="U263" s="20">
        <v>-0.1</v>
      </c>
      <c r="V263" s="20">
        <v>1026.97</v>
      </c>
    </row>
    <row r="264" spans="1:22" ht="16.8" x14ac:dyDescent="0.3">
      <c r="A264" s="20">
        <v>26.3</v>
      </c>
      <c r="B264" s="20">
        <v>56</v>
      </c>
      <c r="C264" s="20">
        <v>55.95</v>
      </c>
      <c r="D264" s="20">
        <v>0.05</v>
      </c>
      <c r="E264" s="20">
        <v>-0.01</v>
      </c>
      <c r="F264" s="20">
        <v>1151.98</v>
      </c>
      <c r="Q264" s="20">
        <v>26.3</v>
      </c>
      <c r="R264" s="20">
        <v>56.13</v>
      </c>
      <c r="S264" s="20">
        <v>56</v>
      </c>
      <c r="T264" s="26">
        <v>-0.13</v>
      </c>
      <c r="U264" s="26">
        <v>0.05</v>
      </c>
      <c r="V264" s="20">
        <v>1046.24</v>
      </c>
    </row>
    <row r="265" spans="1:22" ht="16.8" x14ac:dyDescent="0.3">
      <c r="A265" s="20">
        <v>26.4</v>
      </c>
      <c r="B265" s="20">
        <v>56</v>
      </c>
      <c r="C265" s="20">
        <v>55.96</v>
      </c>
      <c r="D265" s="20">
        <v>0.04</v>
      </c>
      <c r="E265" s="20">
        <v>-0.01</v>
      </c>
      <c r="F265" s="20">
        <v>1144.05</v>
      </c>
      <c r="Q265" s="20">
        <v>26.4</v>
      </c>
      <c r="R265" s="20">
        <v>56.08</v>
      </c>
      <c r="S265" s="26">
        <v>56</v>
      </c>
      <c r="T265" s="20">
        <v>-0.08</v>
      </c>
      <c r="U265" s="20">
        <v>0.06</v>
      </c>
      <c r="V265" s="20">
        <v>1055.6199999999999</v>
      </c>
    </row>
    <row r="266" spans="1:22" ht="16.8" x14ac:dyDescent="0.3">
      <c r="A266" s="20">
        <v>26.5</v>
      </c>
      <c r="B266" s="20">
        <v>56</v>
      </c>
      <c r="C266" s="20">
        <v>55.95</v>
      </c>
      <c r="D266" s="20">
        <v>0.05</v>
      </c>
      <c r="E266" s="20">
        <v>0.01</v>
      </c>
      <c r="F266" s="20">
        <v>1155.8599999999999</v>
      </c>
      <c r="Q266" s="20">
        <v>26.5</v>
      </c>
      <c r="R266" s="20">
        <v>56.06</v>
      </c>
      <c r="S266" s="20">
        <v>56</v>
      </c>
      <c r="T266" s="26">
        <v>-0.06</v>
      </c>
      <c r="U266" s="26">
        <v>0.02</v>
      </c>
      <c r="V266" s="20">
        <v>1054.8800000000001</v>
      </c>
    </row>
    <row r="267" spans="1:22" ht="16.8" x14ac:dyDescent="0.3">
      <c r="A267" s="20">
        <v>26.6</v>
      </c>
      <c r="B267" s="20">
        <v>56</v>
      </c>
      <c r="C267" s="20">
        <v>55.95</v>
      </c>
      <c r="D267" s="20">
        <v>0.05</v>
      </c>
      <c r="E267" s="20">
        <v>-0.01</v>
      </c>
      <c r="F267" s="20">
        <v>1148.04</v>
      </c>
      <c r="Q267" s="20">
        <v>26.6</v>
      </c>
      <c r="R267" s="20">
        <v>56.08</v>
      </c>
      <c r="S267" s="26">
        <v>56</v>
      </c>
      <c r="T267" s="20">
        <v>-0.08</v>
      </c>
      <c r="U267" s="20">
        <v>-0.02</v>
      </c>
      <c r="V267" s="20">
        <v>1049.6400000000001</v>
      </c>
    </row>
    <row r="268" spans="1:22" ht="16.8" x14ac:dyDescent="0.3">
      <c r="A268" s="20">
        <v>26.7</v>
      </c>
      <c r="B268" s="20">
        <v>56</v>
      </c>
      <c r="C268" s="20">
        <v>55.96</v>
      </c>
      <c r="D268" s="20">
        <v>0.04</v>
      </c>
      <c r="E268" s="20">
        <v>0</v>
      </c>
      <c r="F268" s="20">
        <v>1144.05</v>
      </c>
      <c r="Q268" s="20">
        <v>26.7</v>
      </c>
      <c r="R268" s="20">
        <v>56.09</v>
      </c>
      <c r="S268" s="20">
        <v>56</v>
      </c>
      <c r="T268" s="26">
        <v>-0.09</v>
      </c>
      <c r="U268" s="20">
        <v>-0.02</v>
      </c>
      <c r="V268" s="20">
        <v>1046.8800000000001</v>
      </c>
    </row>
    <row r="269" spans="1:22" ht="16.8" x14ac:dyDescent="0.3">
      <c r="A269" s="20">
        <v>26.8</v>
      </c>
      <c r="B269" s="20">
        <v>56</v>
      </c>
      <c r="C269" s="20">
        <v>55.95</v>
      </c>
      <c r="D269" s="20">
        <v>0.05</v>
      </c>
      <c r="E269" s="20">
        <v>0.01</v>
      </c>
      <c r="F269" s="20">
        <v>1155.8599999999999</v>
      </c>
      <c r="Q269" s="20">
        <v>26.8</v>
      </c>
      <c r="R269" s="20">
        <v>56.08</v>
      </c>
      <c r="S269" s="26">
        <v>56</v>
      </c>
      <c r="T269" s="20">
        <v>-0.08</v>
      </c>
      <c r="U269" s="26">
        <v>0.02</v>
      </c>
      <c r="V269" s="20">
        <v>1051.76</v>
      </c>
    </row>
    <row r="270" spans="1:22" ht="16.8" x14ac:dyDescent="0.3">
      <c r="A270" s="20">
        <v>26.9</v>
      </c>
      <c r="B270" s="20">
        <v>56</v>
      </c>
      <c r="C270" s="20">
        <v>55.92</v>
      </c>
      <c r="D270" s="20">
        <v>0.08</v>
      </c>
      <c r="E270" s="20">
        <v>0.02</v>
      </c>
      <c r="F270" s="20">
        <v>1178.17</v>
      </c>
      <c r="Q270" s="20">
        <v>26.9</v>
      </c>
      <c r="R270" s="20">
        <v>56.11</v>
      </c>
      <c r="S270" s="20">
        <v>56</v>
      </c>
      <c r="T270" s="26">
        <v>-0.11</v>
      </c>
      <c r="U270" s="20">
        <v>-0.03</v>
      </c>
      <c r="V270" s="20">
        <v>1042.6400000000001</v>
      </c>
    </row>
    <row r="271" spans="1:22" ht="16.8" x14ac:dyDescent="0.3">
      <c r="A271" s="20">
        <v>27</v>
      </c>
      <c r="B271" s="20">
        <v>56</v>
      </c>
      <c r="C271" s="20">
        <v>55.92</v>
      </c>
      <c r="D271" s="20">
        <v>0.08</v>
      </c>
      <c r="E271" s="20">
        <v>0</v>
      </c>
      <c r="F271" s="20">
        <v>1178.17</v>
      </c>
      <c r="Q271" s="20">
        <v>27</v>
      </c>
      <c r="R271" s="20">
        <v>56.04</v>
      </c>
      <c r="S271" s="26">
        <v>56</v>
      </c>
      <c r="T271" s="20">
        <v>-0.04</v>
      </c>
      <c r="U271" s="26">
        <v>7.0000000000000007E-2</v>
      </c>
      <c r="V271" s="20">
        <v>1062.2</v>
      </c>
    </row>
    <row r="272" spans="1:22" ht="16.8" x14ac:dyDescent="0.3">
      <c r="A272" s="20">
        <v>27.1</v>
      </c>
      <c r="B272" s="20">
        <v>56</v>
      </c>
      <c r="C272" s="20">
        <v>55.86</v>
      </c>
      <c r="D272" s="20">
        <v>0.14000000000000001</v>
      </c>
      <c r="E272" s="20">
        <v>0.06</v>
      </c>
      <c r="F272" s="20">
        <v>1230.3</v>
      </c>
      <c r="Q272" s="20">
        <v>27.1</v>
      </c>
      <c r="R272" s="20">
        <v>56.1</v>
      </c>
      <c r="S272" s="20">
        <v>56</v>
      </c>
      <c r="T272" s="20">
        <v>-0.1</v>
      </c>
      <c r="U272" s="20">
        <v>-0.06</v>
      </c>
      <c r="V272" s="20">
        <v>1041.08</v>
      </c>
    </row>
    <row r="273" spans="1:22" ht="16.8" x14ac:dyDescent="0.3">
      <c r="A273" s="20">
        <v>27.2</v>
      </c>
      <c r="B273" s="20">
        <v>56</v>
      </c>
      <c r="C273" s="20">
        <v>55.85</v>
      </c>
      <c r="D273" s="20">
        <v>0.15</v>
      </c>
      <c r="E273" s="20">
        <v>0.01</v>
      </c>
      <c r="F273" s="20">
        <v>1236.1400000000001</v>
      </c>
      <c r="Q273" s="20">
        <v>27.2</v>
      </c>
      <c r="R273" s="20">
        <v>56.08</v>
      </c>
      <c r="S273" s="26">
        <v>56</v>
      </c>
      <c r="T273" s="26">
        <v>-0.08</v>
      </c>
      <c r="U273" s="26">
        <v>0.02</v>
      </c>
      <c r="V273" s="20">
        <v>1049.72</v>
      </c>
    </row>
    <row r="274" spans="1:22" ht="16.8" x14ac:dyDescent="0.3">
      <c r="A274" s="20">
        <v>27.3</v>
      </c>
      <c r="B274" s="20">
        <v>56</v>
      </c>
      <c r="C274" s="20">
        <v>55.87</v>
      </c>
      <c r="D274" s="20">
        <v>0.13</v>
      </c>
      <c r="E274" s="20">
        <v>-0.02</v>
      </c>
      <c r="F274" s="20">
        <v>1224.31</v>
      </c>
      <c r="Q274" s="20">
        <v>27.3</v>
      </c>
      <c r="R274" s="20">
        <v>56.09</v>
      </c>
      <c r="S274" s="20">
        <v>56</v>
      </c>
      <c r="T274" s="20">
        <v>-0.09</v>
      </c>
      <c r="U274" s="20">
        <v>-0.01</v>
      </c>
      <c r="V274" s="20">
        <v>1046.3399999999999</v>
      </c>
    </row>
    <row r="275" spans="1:22" ht="16.8" x14ac:dyDescent="0.3">
      <c r="A275" s="20">
        <v>27.4</v>
      </c>
      <c r="B275" s="20">
        <v>56</v>
      </c>
      <c r="C275" s="20">
        <v>55.87</v>
      </c>
      <c r="D275" s="20">
        <v>0.13</v>
      </c>
      <c r="E275" s="20">
        <v>0</v>
      </c>
      <c r="F275" s="20">
        <v>1224.31</v>
      </c>
      <c r="Q275" s="20">
        <v>27.4</v>
      </c>
      <c r="R275" s="20">
        <v>56.08</v>
      </c>
      <c r="S275" s="20">
        <v>56</v>
      </c>
      <c r="T275" s="26">
        <v>-0.08</v>
      </c>
      <c r="U275" s="20">
        <v>0.01</v>
      </c>
      <c r="V275" s="20">
        <v>1048.68</v>
      </c>
    </row>
    <row r="276" spans="1:22" ht="16.8" x14ac:dyDescent="0.3">
      <c r="A276" s="20">
        <v>27.5</v>
      </c>
      <c r="B276" s="20">
        <v>56</v>
      </c>
      <c r="C276" s="20">
        <v>55.8</v>
      </c>
      <c r="D276" s="20">
        <v>0.2</v>
      </c>
      <c r="E276" s="20">
        <v>7.0000000000000007E-2</v>
      </c>
      <c r="F276" s="20">
        <v>1271.25</v>
      </c>
      <c r="Q276" s="20">
        <v>27.5</v>
      </c>
      <c r="R276" s="20">
        <v>56.04</v>
      </c>
      <c r="S276" s="26">
        <v>56</v>
      </c>
      <c r="T276" s="20">
        <v>-0.04</v>
      </c>
      <c r="U276" s="26">
        <v>0.04</v>
      </c>
      <c r="V276" s="20">
        <v>1057.46</v>
      </c>
    </row>
    <row r="277" spans="1:22" ht="16.8" x14ac:dyDescent="0.3">
      <c r="A277" s="20">
        <v>27.6</v>
      </c>
      <c r="B277" s="20">
        <v>56</v>
      </c>
      <c r="C277" s="20">
        <v>55.8</v>
      </c>
      <c r="D277" s="20">
        <v>0.2</v>
      </c>
      <c r="E277" s="20">
        <v>0</v>
      </c>
      <c r="F277" s="20">
        <v>1271.25</v>
      </c>
      <c r="Q277" s="20">
        <v>27.6</v>
      </c>
      <c r="R277" s="20">
        <v>56.08</v>
      </c>
      <c r="S277" s="20">
        <v>56</v>
      </c>
      <c r="T277" s="26">
        <v>-0.08</v>
      </c>
      <c r="U277" s="20">
        <v>-0.04</v>
      </c>
      <c r="V277" s="20">
        <v>1044.6099999999999</v>
      </c>
    </row>
    <row r="278" spans="1:22" ht="16.8" x14ac:dyDescent="0.3">
      <c r="A278" s="20">
        <v>27.7</v>
      </c>
      <c r="B278" s="20">
        <v>56</v>
      </c>
      <c r="C278" s="20">
        <v>55.8</v>
      </c>
      <c r="D278" s="20">
        <v>0.2</v>
      </c>
      <c r="E278" s="20">
        <v>0</v>
      </c>
      <c r="F278" s="20">
        <v>1271.25</v>
      </c>
      <c r="Q278" s="20">
        <v>27.7</v>
      </c>
      <c r="R278" s="20">
        <v>56.04</v>
      </c>
      <c r="S278" s="26">
        <v>56</v>
      </c>
      <c r="T278" s="20">
        <v>-0.04</v>
      </c>
      <c r="U278" s="26">
        <v>0.04</v>
      </c>
      <c r="V278" s="20">
        <v>1057.1600000000001</v>
      </c>
    </row>
    <row r="279" spans="1:22" ht="16.8" x14ac:dyDescent="0.3">
      <c r="A279" s="20">
        <v>27.8</v>
      </c>
      <c r="B279" s="20">
        <v>56</v>
      </c>
      <c r="C279" s="20">
        <v>55.82</v>
      </c>
      <c r="D279" s="20">
        <v>0.18</v>
      </c>
      <c r="E279" s="20">
        <v>-0.02</v>
      </c>
      <c r="F279" s="20">
        <v>1255.56</v>
      </c>
      <c r="Q279" s="20">
        <v>27.8</v>
      </c>
      <c r="R279" s="20">
        <v>56.1</v>
      </c>
      <c r="S279" s="20">
        <v>56</v>
      </c>
      <c r="T279" s="26">
        <v>-0.1</v>
      </c>
      <c r="U279" s="20">
        <v>-0.06</v>
      </c>
      <c r="V279" s="20">
        <v>1040.46</v>
      </c>
    </row>
    <row r="280" spans="1:22" ht="16.8" x14ac:dyDescent="0.3">
      <c r="A280" s="20">
        <v>27.9</v>
      </c>
      <c r="B280" s="20">
        <v>56</v>
      </c>
      <c r="C280" s="20">
        <v>55.75</v>
      </c>
      <c r="D280" s="20">
        <v>0.25</v>
      </c>
      <c r="E280" s="20">
        <v>0.08</v>
      </c>
      <c r="F280" s="20">
        <v>1307.52</v>
      </c>
      <c r="Q280" s="20">
        <v>27.9</v>
      </c>
      <c r="R280" s="20">
        <v>56.02</v>
      </c>
      <c r="S280" s="26">
        <v>56</v>
      </c>
      <c r="T280" s="20">
        <v>-0.02</v>
      </c>
      <c r="U280" s="26">
        <v>0.08</v>
      </c>
      <c r="V280" s="20">
        <v>1063.8499999999999</v>
      </c>
    </row>
    <row r="281" spans="1:22" ht="16.8" x14ac:dyDescent="0.3">
      <c r="A281" s="20">
        <v>28</v>
      </c>
      <c r="B281" s="20">
        <v>56</v>
      </c>
      <c r="C281" s="20">
        <v>55.72</v>
      </c>
      <c r="D281" s="20">
        <v>0.28000000000000003</v>
      </c>
      <c r="E281" s="20">
        <v>0.03</v>
      </c>
      <c r="F281" s="20">
        <v>1326.55</v>
      </c>
      <c r="Q281" s="20">
        <v>28</v>
      </c>
      <c r="R281" s="20">
        <v>56.04</v>
      </c>
      <c r="S281" s="20">
        <v>56</v>
      </c>
      <c r="T281" s="20">
        <v>-0.04</v>
      </c>
      <c r="U281" s="20">
        <v>-0.02</v>
      </c>
      <c r="V281" s="20">
        <v>1051.75</v>
      </c>
    </row>
    <row r="282" spans="1:22" ht="16.8" x14ac:dyDescent="0.3">
      <c r="A282" s="20">
        <v>28.1</v>
      </c>
      <c r="B282" s="20">
        <v>56</v>
      </c>
      <c r="C282" s="20">
        <v>55.74</v>
      </c>
      <c r="D282" s="20">
        <v>0.26</v>
      </c>
      <c r="E282" s="20">
        <v>-0.02</v>
      </c>
      <c r="F282" s="20">
        <v>1312.99</v>
      </c>
      <c r="Q282" s="20">
        <v>28.1</v>
      </c>
      <c r="R282" s="20">
        <v>56.04</v>
      </c>
      <c r="S282" s="26">
        <v>56</v>
      </c>
      <c r="T282" s="26">
        <v>-0.04</v>
      </c>
      <c r="U282" s="20">
        <v>0.01</v>
      </c>
      <c r="V282" s="20">
        <v>1055.46</v>
      </c>
    </row>
    <row r="283" spans="1:22" ht="16.8" x14ac:dyDescent="0.3">
      <c r="A283" s="20">
        <v>28.2</v>
      </c>
      <c r="B283" s="20">
        <v>56</v>
      </c>
      <c r="C283" s="20">
        <v>55.76</v>
      </c>
      <c r="D283" s="20">
        <v>0.24</v>
      </c>
      <c r="E283" s="20">
        <v>-0.02</v>
      </c>
      <c r="F283" s="20">
        <v>1299.28</v>
      </c>
      <c r="Q283" s="20">
        <v>28.2</v>
      </c>
      <c r="R283" s="20">
        <v>55.99</v>
      </c>
      <c r="S283" s="20">
        <v>56</v>
      </c>
      <c r="T283" s="20">
        <v>0.01</v>
      </c>
      <c r="U283" s="26">
        <v>0.05</v>
      </c>
      <c r="V283" s="20">
        <v>1066.28</v>
      </c>
    </row>
    <row r="284" spans="1:22" ht="16.8" x14ac:dyDescent="0.3">
      <c r="A284" s="20">
        <v>28.3</v>
      </c>
      <c r="B284" s="20">
        <v>56</v>
      </c>
      <c r="C284" s="20">
        <v>55.75</v>
      </c>
      <c r="D284" s="20">
        <v>0.25</v>
      </c>
      <c r="E284" s="20">
        <v>0.01</v>
      </c>
      <c r="F284" s="20">
        <v>1304.79</v>
      </c>
      <c r="Q284" s="20">
        <v>28.3</v>
      </c>
      <c r="R284" s="20">
        <v>56.05</v>
      </c>
      <c r="S284" s="26">
        <v>56</v>
      </c>
      <c r="T284" s="26">
        <v>-0.05</v>
      </c>
      <c r="U284" s="20">
        <v>-0.06</v>
      </c>
      <c r="V284" s="20">
        <v>1047.1600000000001</v>
      </c>
    </row>
    <row r="285" spans="1:22" ht="16.8" x14ac:dyDescent="0.3">
      <c r="A285" s="20">
        <v>28.4</v>
      </c>
      <c r="B285" s="20">
        <v>56</v>
      </c>
      <c r="C285" s="20">
        <v>55.75</v>
      </c>
      <c r="D285" s="20">
        <v>0.25</v>
      </c>
      <c r="E285" s="20">
        <v>0</v>
      </c>
      <c r="F285" s="20">
        <v>1302.03</v>
      </c>
      <c r="Q285" s="20">
        <v>28.4</v>
      </c>
      <c r="R285" s="20">
        <v>56.13</v>
      </c>
      <c r="S285" s="20">
        <v>56</v>
      </c>
      <c r="T285" s="20">
        <v>-0.13</v>
      </c>
      <c r="U285" s="26">
        <v>-0.08</v>
      </c>
      <c r="V285" s="20">
        <v>1032.8499999999999</v>
      </c>
    </row>
    <row r="286" spans="1:22" ht="16.8" x14ac:dyDescent="0.3">
      <c r="A286" s="20">
        <v>28.5</v>
      </c>
      <c r="B286" s="20">
        <v>56</v>
      </c>
      <c r="C286" s="20">
        <v>55.75</v>
      </c>
      <c r="D286" s="20">
        <v>0.25</v>
      </c>
      <c r="E286" s="20">
        <v>0</v>
      </c>
      <c r="F286" s="20">
        <v>1304.79</v>
      </c>
      <c r="Q286" s="20">
        <v>28.5</v>
      </c>
      <c r="R286" s="20">
        <v>56.04</v>
      </c>
      <c r="S286" s="20">
        <v>56</v>
      </c>
      <c r="T286" s="26">
        <v>-0.04</v>
      </c>
      <c r="U286" s="20">
        <v>0.1</v>
      </c>
      <c r="V286" s="20">
        <v>1061.8900000000001</v>
      </c>
    </row>
    <row r="287" spans="1:22" ht="16.8" x14ac:dyDescent="0.3">
      <c r="A287" s="20">
        <v>28.6</v>
      </c>
      <c r="B287" s="20">
        <v>56</v>
      </c>
      <c r="C287" s="20">
        <v>55.72</v>
      </c>
      <c r="D287" s="20">
        <v>0.28000000000000003</v>
      </c>
      <c r="E287" s="20">
        <v>0.03</v>
      </c>
      <c r="F287" s="20">
        <v>1323.84</v>
      </c>
      <c r="Q287" s="20">
        <v>28.6</v>
      </c>
      <c r="R287" s="20">
        <v>56.06</v>
      </c>
      <c r="S287" s="26">
        <v>56</v>
      </c>
      <c r="T287" s="20">
        <v>-0.06</v>
      </c>
      <c r="U287" s="26">
        <v>-0.02</v>
      </c>
      <c r="V287" s="20">
        <v>1048.5</v>
      </c>
    </row>
    <row r="288" spans="1:22" ht="16.8" x14ac:dyDescent="0.3">
      <c r="A288" s="20">
        <v>28.7</v>
      </c>
      <c r="B288" s="20">
        <v>56</v>
      </c>
      <c r="C288" s="20">
        <v>55.76</v>
      </c>
      <c r="D288" s="20">
        <v>0.24</v>
      </c>
      <c r="E288" s="20">
        <v>-0.04</v>
      </c>
      <c r="F288" s="20">
        <v>1296.52</v>
      </c>
      <c r="Q288" s="20">
        <v>28.7</v>
      </c>
      <c r="R288" s="20">
        <v>56.04</v>
      </c>
      <c r="S288" s="20">
        <v>56</v>
      </c>
      <c r="T288" s="26">
        <v>-0.04</v>
      </c>
      <c r="U288" s="20">
        <v>0.02</v>
      </c>
      <c r="V288" s="20">
        <v>1056.01</v>
      </c>
    </row>
    <row r="289" spans="1:22" ht="16.8" x14ac:dyDescent="0.3">
      <c r="A289" s="20">
        <v>28.8</v>
      </c>
      <c r="B289" s="20">
        <v>56</v>
      </c>
      <c r="C289" s="20">
        <v>55.74</v>
      </c>
      <c r="D289" s="20">
        <v>0.26</v>
      </c>
      <c r="E289" s="20">
        <v>0.02</v>
      </c>
      <c r="F289" s="20">
        <v>1310.26</v>
      </c>
      <c r="Q289" s="20">
        <v>28.8</v>
      </c>
      <c r="R289" s="20">
        <v>56.07</v>
      </c>
      <c r="S289" s="26">
        <v>56</v>
      </c>
      <c r="T289" s="20">
        <v>-7.0000000000000007E-2</v>
      </c>
      <c r="U289" s="20">
        <v>-0.03</v>
      </c>
      <c r="V289" s="20">
        <v>1046.3499999999999</v>
      </c>
    </row>
    <row r="290" spans="1:22" ht="16.8" x14ac:dyDescent="0.3">
      <c r="A290" s="20">
        <v>28.9</v>
      </c>
      <c r="B290" s="20">
        <v>56</v>
      </c>
      <c r="C290" s="20">
        <v>55.76</v>
      </c>
      <c r="D290" s="20">
        <v>0.24</v>
      </c>
      <c r="E290" s="20">
        <v>-0.02</v>
      </c>
      <c r="F290" s="20">
        <v>1296.52</v>
      </c>
      <c r="Q290" s="20">
        <v>28.9</v>
      </c>
      <c r="R290" s="20">
        <v>56.08</v>
      </c>
      <c r="S290" s="20">
        <v>56</v>
      </c>
      <c r="T290" s="26">
        <v>-0.08</v>
      </c>
      <c r="U290" s="26">
        <v>-0.02</v>
      </c>
      <c r="V290" s="20">
        <v>1044.8599999999999</v>
      </c>
    </row>
    <row r="291" spans="1:22" ht="16.8" x14ac:dyDescent="0.3">
      <c r="A291" s="20">
        <v>29</v>
      </c>
      <c r="B291" s="20">
        <v>56</v>
      </c>
      <c r="C291" s="20">
        <v>55.72</v>
      </c>
      <c r="D291" s="20">
        <v>0.28000000000000003</v>
      </c>
      <c r="E291" s="20">
        <v>0.04</v>
      </c>
      <c r="F291" s="20">
        <v>1321.14</v>
      </c>
      <c r="Q291" s="20">
        <v>29</v>
      </c>
      <c r="R291" s="20">
        <v>56.04</v>
      </c>
      <c r="S291" s="26">
        <v>56</v>
      </c>
      <c r="T291" s="20">
        <v>-0.04</v>
      </c>
      <c r="U291" s="20">
        <v>0.04</v>
      </c>
      <c r="V291" s="20">
        <v>1055.53</v>
      </c>
    </row>
    <row r="292" spans="1:22" ht="16.8" x14ac:dyDescent="0.3">
      <c r="A292" s="20">
        <v>29.1</v>
      </c>
      <c r="B292" s="20">
        <v>56</v>
      </c>
      <c r="C292" s="20">
        <v>55.78</v>
      </c>
      <c r="D292" s="20">
        <v>0.22</v>
      </c>
      <c r="E292" s="20">
        <v>-0.06</v>
      </c>
      <c r="F292" s="20">
        <v>1282.58</v>
      </c>
      <c r="Q292" s="20">
        <v>29.1</v>
      </c>
      <c r="R292" s="20">
        <v>56.04</v>
      </c>
      <c r="S292" s="20">
        <v>56</v>
      </c>
      <c r="T292" s="20">
        <v>-0.04</v>
      </c>
      <c r="U292" s="26">
        <v>0.01</v>
      </c>
      <c r="V292" s="20">
        <v>1054.21</v>
      </c>
    </row>
    <row r="293" spans="1:22" ht="16.8" x14ac:dyDescent="0.3">
      <c r="A293" s="20">
        <v>29.2</v>
      </c>
      <c r="B293" s="20">
        <v>56</v>
      </c>
      <c r="C293" s="20">
        <v>55.75</v>
      </c>
      <c r="D293" s="20">
        <v>0.25</v>
      </c>
      <c r="E293" s="20">
        <v>0.03</v>
      </c>
      <c r="F293" s="20">
        <v>1302.03</v>
      </c>
      <c r="Q293" s="20">
        <v>29.2</v>
      </c>
      <c r="R293" s="20">
        <v>56.05</v>
      </c>
      <c r="S293" s="26">
        <v>56</v>
      </c>
      <c r="T293" s="26">
        <v>-0.05</v>
      </c>
      <c r="U293" s="20">
        <v>-0.02</v>
      </c>
      <c r="V293" s="20">
        <v>1049.6500000000001</v>
      </c>
    </row>
    <row r="294" spans="1:22" ht="16.8" x14ac:dyDescent="0.3">
      <c r="A294" s="20">
        <v>29.3</v>
      </c>
      <c r="B294" s="20">
        <v>56</v>
      </c>
      <c r="C294" s="20">
        <v>55.77</v>
      </c>
      <c r="D294" s="20">
        <v>0.23</v>
      </c>
      <c r="E294" s="20">
        <v>-0.02</v>
      </c>
      <c r="F294" s="20">
        <v>1288.18</v>
      </c>
      <c r="Q294" s="20">
        <v>29.3</v>
      </c>
      <c r="R294" s="20">
        <v>56.12</v>
      </c>
      <c r="S294" s="20">
        <v>56</v>
      </c>
      <c r="T294" s="20">
        <v>-0.12</v>
      </c>
      <c r="U294" s="26">
        <v>-0.06</v>
      </c>
      <c r="V294" s="20">
        <v>1035.4100000000001</v>
      </c>
    </row>
    <row r="295" spans="1:22" ht="16.8" x14ac:dyDescent="0.3">
      <c r="A295" s="20">
        <v>29.4</v>
      </c>
      <c r="B295" s="20">
        <v>56</v>
      </c>
      <c r="C295" s="20">
        <v>55.79</v>
      </c>
      <c r="D295" s="20">
        <v>0.21</v>
      </c>
      <c r="E295" s="20">
        <v>-0.01</v>
      </c>
      <c r="F295" s="20">
        <v>1279.77</v>
      </c>
      <c r="Q295" s="20">
        <v>29.4</v>
      </c>
      <c r="R295" s="20">
        <v>56.01</v>
      </c>
      <c r="S295" s="20">
        <v>56</v>
      </c>
      <c r="T295" s="26">
        <v>-0.01</v>
      </c>
      <c r="U295" s="20">
        <v>0.1</v>
      </c>
      <c r="V295" s="20">
        <v>1065.1600000000001</v>
      </c>
    </row>
    <row r="296" spans="1:22" ht="16.8" x14ac:dyDescent="0.3">
      <c r="A296" s="20">
        <v>29.5</v>
      </c>
      <c r="B296" s="20">
        <v>56</v>
      </c>
      <c r="C296" s="20">
        <v>55.79</v>
      </c>
      <c r="D296" s="20">
        <v>0.21</v>
      </c>
      <c r="E296" s="20">
        <v>-0.01</v>
      </c>
      <c r="F296" s="20">
        <v>1274.0999999999999</v>
      </c>
      <c r="Q296" s="20">
        <v>29.5</v>
      </c>
      <c r="R296" s="20">
        <v>56.04</v>
      </c>
      <c r="S296" s="26">
        <v>56</v>
      </c>
      <c r="T296" s="20">
        <v>-0.04</v>
      </c>
      <c r="U296" s="26">
        <v>-0.02</v>
      </c>
      <c r="V296" s="20">
        <v>1051.19</v>
      </c>
    </row>
    <row r="297" spans="1:22" ht="16.8" x14ac:dyDescent="0.3">
      <c r="A297" s="20">
        <v>29.6</v>
      </c>
      <c r="B297" s="20">
        <v>56</v>
      </c>
      <c r="C297" s="20">
        <v>55.8</v>
      </c>
      <c r="D297" s="20">
        <v>0.2</v>
      </c>
      <c r="E297" s="20">
        <v>0</v>
      </c>
      <c r="F297" s="20">
        <v>1271.25</v>
      </c>
      <c r="Q297" s="20">
        <v>29.6</v>
      </c>
      <c r="R297" s="20">
        <v>56.08</v>
      </c>
      <c r="S297" s="20">
        <v>56</v>
      </c>
      <c r="T297" s="26">
        <v>-0.08</v>
      </c>
      <c r="U297" s="20">
        <v>-0.04</v>
      </c>
      <c r="V297" s="20">
        <v>1043.3800000000001</v>
      </c>
    </row>
    <row r="298" spans="1:22" ht="16.8" x14ac:dyDescent="0.3">
      <c r="A298" s="20">
        <v>29.7</v>
      </c>
      <c r="B298" s="20">
        <v>56</v>
      </c>
      <c r="C298" s="20">
        <v>55.78</v>
      </c>
      <c r="D298" s="20">
        <v>0.22</v>
      </c>
      <c r="E298" s="20">
        <v>0.02</v>
      </c>
      <c r="F298" s="20">
        <v>1285.3900000000001</v>
      </c>
      <c r="Q298" s="20">
        <v>29.7</v>
      </c>
      <c r="R298" s="20">
        <v>56.01</v>
      </c>
      <c r="S298" s="26">
        <v>56</v>
      </c>
      <c r="T298" s="20">
        <v>-0.01</v>
      </c>
      <c r="U298" s="26">
        <v>0.06</v>
      </c>
      <c r="V298" s="20">
        <v>1061.73</v>
      </c>
    </row>
    <row r="299" spans="1:22" ht="16.8" x14ac:dyDescent="0.3">
      <c r="A299" s="20">
        <v>29.8</v>
      </c>
      <c r="B299" s="20">
        <v>56</v>
      </c>
      <c r="C299" s="20">
        <v>55.83</v>
      </c>
      <c r="D299" s="20">
        <v>0.17</v>
      </c>
      <c r="E299" s="20">
        <v>-0.05</v>
      </c>
      <c r="F299" s="20">
        <v>1250.17</v>
      </c>
      <c r="Q299" s="20">
        <v>29.8</v>
      </c>
      <c r="R299" s="20">
        <v>56.01</v>
      </c>
      <c r="S299" s="20">
        <v>56</v>
      </c>
      <c r="T299" s="26">
        <v>-0.01</v>
      </c>
      <c r="U299" s="20">
        <v>0</v>
      </c>
      <c r="V299" s="20">
        <v>1056.67</v>
      </c>
    </row>
    <row r="300" spans="1:22" ht="16.8" x14ac:dyDescent="0.3">
      <c r="A300" s="20">
        <v>29.9</v>
      </c>
      <c r="B300" s="20">
        <v>56</v>
      </c>
      <c r="C300" s="20">
        <v>55.79</v>
      </c>
      <c r="D300" s="20">
        <v>0.21</v>
      </c>
      <c r="E300" s="20">
        <v>0.04</v>
      </c>
      <c r="F300" s="20">
        <v>1274.0999999999999</v>
      </c>
      <c r="Q300" s="20">
        <v>29.9</v>
      </c>
      <c r="R300" s="20">
        <v>56.05</v>
      </c>
      <c r="S300" s="26">
        <v>56</v>
      </c>
      <c r="T300" s="20">
        <v>-0.05</v>
      </c>
      <c r="U300" s="20">
        <v>-0.04</v>
      </c>
      <c r="V300" s="20">
        <v>1047.04</v>
      </c>
    </row>
    <row r="301" spans="1:22" ht="16.8" x14ac:dyDescent="0.3">
      <c r="A301" s="20">
        <v>30</v>
      </c>
      <c r="B301" s="20">
        <v>56</v>
      </c>
      <c r="C301" s="20">
        <v>55.83</v>
      </c>
      <c r="D301" s="20">
        <v>0.17</v>
      </c>
      <c r="E301" s="20">
        <v>-0.04</v>
      </c>
      <c r="F301" s="20">
        <v>1247.43</v>
      </c>
      <c r="Q301" s="20">
        <v>30</v>
      </c>
      <c r="R301" s="20">
        <v>56.02</v>
      </c>
      <c r="S301" s="20">
        <v>56</v>
      </c>
      <c r="T301" s="26">
        <v>-0.02</v>
      </c>
      <c r="U301" s="26">
        <v>0.03</v>
      </c>
      <c r="V301" s="20">
        <v>1057.75</v>
      </c>
    </row>
    <row r="302" spans="1:22" ht="16.8" x14ac:dyDescent="0.3">
      <c r="A302" s="20">
        <v>30.1</v>
      </c>
      <c r="B302" s="20">
        <v>56</v>
      </c>
      <c r="C302" s="20">
        <v>55.87</v>
      </c>
      <c r="D302" s="20">
        <v>0.13</v>
      </c>
      <c r="E302" s="20">
        <v>-0.03</v>
      </c>
      <c r="F302" s="20">
        <v>1224.31</v>
      </c>
      <c r="Q302" s="20">
        <v>30.1</v>
      </c>
      <c r="R302" s="20">
        <v>55.99</v>
      </c>
      <c r="S302" s="20">
        <v>56</v>
      </c>
      <c r="T302" s="20">
        <v>0.01</v>
      </c>
      <c r="U302" s="20">
        <v>0.03</v>
      </c>
      <c r="V302" s="20">
        <v>1062.8699999999999</v>
      </c>
    </row>
    <row r="303" spans="1:22" ht="16.8" x14ac:dyDescent="0.3">
      <c r="A303" s="20">
        <v>30.2</v>
      </c>
      <c r="B303" s="20">
        <v>56</v>
      </c>
      <c r="C303" s="20">
        <v>55.84</v>
      </c>
      <c r="D303" s="20">
        <v>0.16</v>
      </c>
      <c r="E303" s="20">
        <v>0.02</v>
      </c>
      <c r="F303" s="20">
        <v>1241.8499999999999</v>
      </c>
      <c r="Q303" s="20">
        <v>30.2</v>
      </c>
      <c r="R303" s="20">
        <v>56.07</v>
      </c>
      <c r="S303" s="26">
        <v>56</v>
      </c>
      <c r="T303" s="20">
        <v>-7.0000000000000007E-2</v>
      </c>
      <c r="U303" s="26">
        <v>-0.08</v>
      </c>
      <c r="V303" s="20">
        <v>1041.17</v>
      </c>
    </row>
    <row r="304" spans="1:22" ht="16.8" x14ac:dyDescent="0.3">
      <c r="A304" s="20">
        <v>30.3</v>
      </c>
      <c r="B304" s="20">
        <v>56</v>
      </c>
      <c r="C304" s="20">
        <v>55.85</v>
      </c>
      <c r="D304" s="20">
        <v>0.15</v>
      </c>
      <c r="E304" s="20">
        <v>-0.01</v>
      </c>
      <c r="F304" s="20">
        <v>1236.1400000000001</v>
      </c>
      <c r="Q304" s="20">
        <v>30.3</v>
      </c>
      <c r="R304" s="20">
        <v>56.04</v>
      </c>
      <c r="S304" s="20">
        <v>56</v>
      </c>
      <c r="T304" s="26">
        <v>-0.04</v>
      </c>
      <c r="U304" s="20">
        <v>0.02</v>
      </c>
      <c r="V304" s="20">
        <v>1053.06</v>
      </c>
    </row>
    <row r="305" spans="1:22" ht="16.8" x14ac:dyDescent="0.3">
      <c r="A305" s="20">
        <v>30.4</v>
      </c>
      <c r="B305" s="20">
        <v>56</v>
      </c>
      <c r="C305" s="20">
        <v>55.85</v>
      </c>
      <c r="D305" s="20">
        <v>0.15</v>
      </c>
      <c r="E305" s="20">
        <v>0</v>
      </c>
      <c r="F305" s="20">
        <v>1236.1400000000001</v>
      </c>
      <c r="Q305" s="20">
        <v>30.4</v>
      </c>
      <c r="R305" s="20">
        <v>56.01</v>
      </c>
      <c r="S305" s="20">
        <v>56</v>
      </c>
      <c r="T305" s="20">
        <v>-0.01</v>
      </c>
      <c r="U305" s="26">
        <v>0.03</v>
      </c>
      <c r="V305" s="20">
        <v>1058.76</v>
      </c>
    </row>
    <row r="306" spans="1:22" ht="16.8" x14ac:dyDescent="0.3">
      <c r="A306" s="20">
        <v>30.5</v>
      </c>
      <c r="B306" s="20">
        <v>56</v>
      </c>
      <c r="C306" s="20">
        <v>55.88</v>
      </c>
      <c r="D306" s="20">
        <v>0.12</v>
      </c>
      <c r="E306" s="20">
        <v>-0.03</v>
      </c>
      <c r="F306" s="20">
        <v>1215.07</v>
      </c>
      <c r="Q306" s="20">
        <v>30.5</v>
      </c>
      <c r="R306" s="20">
        <v>56.05</v>
      </c>
      <c r="S306" s="26">
        <v>56</v>
      </c>
      <c r="T306" s="26">
        <v>-0.05</v>
      </c>
      <c r="U306" s="20">
        <v>-0.04</v>
      </c>
      <c r="V306" s="20">
        <v>1046.6099999999999</v>
      </c>
    </row>
    <row r="307" spans="1:22" ht="16.8" x14ac:dyDescent="0.3">
      <c r="A307" s="20">
        <v>30.6</v>
      </c>
      <c r="B307" s="20">
        <v>56</v>
      </c>
      <c r="C307" s="20">
        <v>55.89</v>
      </c>
      <c r="D307" s="20">
        <v>0.11</v>
      </c>
      <c r="E307" s="20">
        <v>-0.01</v>
      </c>
      <c r="F307" s="20">
        <v>1205.48</v>
      </c>
      <c r="Q307" s="20">
        <v>30.6</v>
      </c>
      <c r="R307" s="20">
        <v>56.04</v>
      </c>
      <c r="S307" s="20">
        <v>56</v>
      </c>
      <c r="T307" s="20">
        <v>-0.04</v>
      </c>
      <c r="U307" s="26">
        <v>0.02</v>
      </c>
      <c r="V307" s="20">
        <v>1053.48</v>
      </c>
    </row>
    <row r="308" spans="1:22" ht="16.8" x14ac:dyDescent="0.3">
      <c r="A308" s="20">
        <v>30.7</v>
      </c>
      <c r="B308" s="20">
        <v>56</v>
      </c>
      <c r="C308" s="20">
        <v>55.87</v>
      </c>
      <c r="D308" s="20">
        <v>0.13</v>
      </c>
      <c r="E308" s="20">
        <v>0.02</v>
      </c>
      <c r="F308" s="20">
        <v>1224.31</v>
      </c>
      <c r="Q308" s="20">
        <v>30.7</v>
      </c>
      <c r="R308" s="20">
        <v>56.12</v>
      </c>
      <c r="S308" s="26">
        <v>56</v>
      </c>
      <c r="T308" s="26">
        <v>-0.12</v>
      </c>
      <c r="U308" s="20">
        <v>-0.09</v>
      </c>
      <c r="V308" s="20">
        <v>1031</v>
      </c>
    </row>
    <row r="309" spans="1:22" ht="16.8" x14ac:dyDescent="0.3">
      <c r="A309" s="20">
        <v>30.8</v>
      </c>
      <c r="B309" s="20">
        <v>56</v>
      </c>
      <c r="C309" s="20">
        <v>55.93</v>
      </c>
      <c r="D309" s="20">
        <v>7.0000000000000007E-2</v>
      </c>
      <c r="E309" s="20">
        <v>-0.06</v>
      </c>
      <c r="F309" s="20">
        <v>1170.92</v>
      </c>
      <c r="Q309" s="20">
        <v>30.8</v>
      </c>
      <c r="R309" s="20">
        <v>56.08</v>
      </c>
      <c r="S309" s="20">
        <v>56</v>
      </c>
      <c r="T309" s="20">
        <v>-0.08</v>
      </c>
      <c r="U309" s="26">
        <v>0.04</v>
      </c>
      <c r="V309" s="20">
        <v>1047.23</v>
      </c>
    </row>
    <row r="310" spans="1:22" ht="16.8" x14ac:dyDescent="0.3">
      <c r="A310" s="20">
        <v>30.9</v>
      </c>
      <c r="B310" s="20">
        <v>56</v>
      </c>
      <c r="C310" s="20">
        <v>55.9</v>
      </c>
      <c r="D310" s="20">
        <v>0.1</v>
      </c>
      <c r="E310" s="20">
        <v>0.03</v>
      </c>
      <c r="F310" s="20">
        <v>1198.9000000000001</v>
      </c>
      <c r="Q310" s="20">
        <v>30.9</v>
      </c>
      <c r="R310" s="20">
        <v>56.04</v>
      </c>
      <c r="S310" s="26">
        <v>56</v>
      </c>
      <c r="T310" s="26">
        <v>-0.04</v>
      </c>
      <c r="U310" s="20">
        <v>0.05</v>
      </c>
      <c r="V310" s="20">
        <v>1055.42</v>
      </c>
    </row>
    <row r="311" spans="1:22" ht="16.8" x14ac:dyDescent="0.3">
      <c r="A311" s="20">
        <v>31</v>
      </c>
      <c r="B311" s="20">
        <v>56</v>
      </c>
      <c r="C311" s="20">
        <v>55.91</v>
      </c>
      <c r="D311" s="20">
        <v>0.09</v>
      </c>
      <c r="E311" s="20">
        <v>-0.01</v>
      </c>
      <c r="F311" s="20">
        <v>1192.1600000000001</v>
      </c>
      <c r="Q311" s="20">
        <v>31</v>
      </c>
      <c r="R311" s="20">
        <v>56.08</v>
      </c>
      <c r="S311" s="20">
        <v>56</v>
      </c>
      <c r="T311" s="20">
        <v>-0.08</v>
      </c>
      <c r="U311" s="20">
        <v>-0.05</v>
      </c>
      <c r="V311" s="20">
        <v>1040.03</v>
      </c>
    </row>
    <row r="312" spans="1:22" ht="16.8" x14ac:dyDescent="0.3">
      <c r="A312" s="20">
        <v>31.1</v>
      </c>
      <c r="B312" s="20">
        <v>56</v>
      </c>
      <c r="C312" s="20">
        <v>55.87</v>
      </c>
      <c r="D312" s="20">
        <v>0.13</v>
      </c>
      <c r="E312" s="20">
        <v>0.04</v>
      </c>
      <c r="F312" s="20">
        <v>1221.27</v>
      </c>
      <c r="Q312" s="20">
        <v>31.1</v>
      </c>
      <c r="R312" s="20">
        <v>56.07</v>
      </c>
      <c r="S312" s="26">
        <v>56</v>
      </c>
      <c r="T312" s="20">
        <v>-7.0000000000000007E-2</v>
      </c>
      <c r="U312" s="26">
        <v>0.02</v>
      </c>
      <c r="V312" s="20">
        <v>1047.45</v>
      </c>
    </row>
    <row r="313" spans="1:22" ht="16.8" x14ac:dyDescent="0.3">
      <c r="A313" s="20">
        <v>31.2</v>
      </c>
      <c r="B313" s="20">
        <v>56</v>
      </c>
      <c r="C313" s="20">
        <v>55.91</v>
      </c>
      <c r="D313" s="20">
        <v>0.09</v>
      </c>
      <c r="E313" s="20">
        <v>-0.04</v>
      </c>
      <c r="F313" s="20">
        <v>1185.25</v>
      </c>
      <c r="Q313" s="20">
        <v>31.2</v>
      </c>
      <c r="R313" s="20">
        <v>56.07</v>
      </c>
      <c r="S313" s="20">
        <v>56</v>
      </c>
      <c r="T313" s="26">
        <v>-7.0000000000000007E-2</v>
      </c>
      <c r="U313" s="20">
        <v>0</v>
      </c>
      <c r="V313" s="20">
        <v>1046.04</v>
      </c>
    </row>
    <row r="314" spans="1:22" ht="16.8" x14ac:dyDescent="0.3">
      <c r="A314" s="20">
        <v>31.3</v>
      </c>
      <c r="B314" s="20">
        <v>56</v>
      </c>
      <c r="C314" s="20">
        <v>55.89</v>
      </c>
      <c r="D314" s="20">
        <v>0.11</v>
      </c>
      <c r="E314" s="20">
        <v>0.02</v>
      </c>
      <c r="F314" s="20">
        <v>1202.21</v>
      </c>
      <c r="Q314" s="20">
        <v>31.3</v>
      </c>
      <c r="R314" s="20">
        <v>56.07</v>
      </c>
      <c r="S314" s="26">
        <v>56</v>
      </c>
      <c r="T314" s="20">
        <v>-7.0000000000000007E-2</v>
      </c>
      <c r="U314" s="26">
        <v>0</v>
      </c>
      <c r="V314" s="20">
        <v>1045.8800000000001</v>
      </c>
    </row>
    <row r="315" spans="1:22" ht="16.8" x14ac:dyDescent="0.3">
      <c r="A315" s="20">
        <v>31.4</v>
      </c>
      <c r="B315" s="20">
        <v>56</v>
      </c>
      <c r="C315" s="20">
        <v>55.87</v>
      </c>
      <c r="D315" s="20">
        <v>0.13</v>
      </c>
      <c r="E315" s="20">
        <v>0.03</v>
      </c>
      <c r="F315" s="20">
        <v>1224.31</v>
      </c>
      <c r="Q315" s="20">
        <v>31.4</v>
      </c>
      <c r="R315" s="20">
        <v>56.07</v>
      </c>
      <c r="S315" s="20">
        <v>56</v>
      </c>
      <c r="T315" s="26">
        <v>-7.0000000000000007E-2</v>
      </c>
      <c r="U315" s="20">
        <v>0</v>
      </c>
      <c r="V315" s="20">
        <v>1045.72</v>
      </c>
    </row>
    <row r="316" spans="1:22" ht="16.8" x14ac:dyDescent="0.3">
      <c r="A316" s="20">
        <v>31.5</v>
      </c>
      <c r="B316" s="20">
        <v>56</v>
      </c>
      <c r="C316" s="20">
        <v>55.83</v>
      </c>
      <c r="D316" s="20">
        <v>0.17</v>
      </c>
      <c r="E316" s="20">
        <v>0.04</v>
      </c>
      <c r="F316" s="20">
        <v>1250.17</v>
      </c>
      <c r="Q316" s="20">
        <v>31.5</v>
      </c>
      <c r="R316" s="20">
        <v>56.08</v>
      </c>
      <c r="S316" s="26">
        <v>56</v>
      </c>
      <c r="T316" s="20">
        <v>-0.08</v>
      </c>
      <c r="U316" s="26">
        <v>-0.01</v>
      </c>
      <c r="V316" s="20">
        <v>1043.6400000000001</v>
      </c>
    </row>
    <row r="317" spans="1:22" ht="16.8" x14ac:dyDescent="0.3">
      <c r="A317" s="20">
        <v>31.6</v>
      </c>
      <c r="B317" s="20">
        <v>56</v>
      </c>
      <c r="C317" s="20">
        <v>55.82</v>
      </c>
      <c r="D317" s="20">
        <v>0.18</v>
      </c>
      <c r="E317" s="20">
        <v>0.01</v>
      </c>
      <c r="F317" s="20">
        <v>1258.22</v>
      </c>
      <c r="Q317" s="20">
        <v>31.6</v>
      </c>
      <c r="R317" s="20">
        <v>56.02</v>
      </c>
      <c r="S317" s="20">
        <v>56</v>
      </c>
      <c r="T317" s="26">
        <v>-0.02</v>
      </c>
      <c r="U317" s="20">
        <v>0.06</v>
      </c>
      <c r="V317" s="20">
        <v>1057.54</v>
      </c>
    </row>
    <row r="318" spans="1:22" ht="16.8" x14ac:dyDescent="0.3">
      <c r="A318" s="20">
        <v>31.7</v>
      </c>
      <c r="B318" s="20">
        <v>56</v>
      </c>
      <c r="C318" s="20">
        <v>55.83</v>
      </c>
      <c r="D318" s="20">
        <v>0.17</v>
      </c>
      <c r="E318" s="20">
        <v>-0.01</v>
      </c>
      <c r="F318" s="20">
        <v>1252.8900000000001</v>
      </c>
      <c r="Q318" s="20">
        <v>31.7</v>
      </c>
      <c r="R318" s="20">
        <v>56.07</v>
      </c>
      <c r="S318" s="20">
        <v>56</v>
      </c>
      <c r="T318" s="20">
        <v>-7.0000000000000007E-2</v>
      </c>
      <c r="U318" s="26">
        <v>-0.05</v>
      </c>
      <c r="V318" s="20">
        <v>1041.57</v>
      </c>
    </row>
    <row r="319" spans="1:22" ht="16.8" x14ac:dyDescent="0.3">
      <c r="A319" s="20">
        <v>31.8</v>
      </c>
      <c r="B319" s="20">
        <v>56</v>
      </c>
      <c r="C319" s="20">
        <v>55.87</v>
      </c>
      <c r="D319" s="20">
        <v>0.13</v>
      </c>
      <c r="E319" s="20">
        <v>-0.05</v>
      </c>
      <c r="F319" s="20">
        <v>1218.17</v>
      </c>
      <c r="Q319" s="20">
        <v>31.8</v>
      </c>
      <c r="R319" s="20">
        <v>55.99</v>
      </c>
      <c r="S319" s="26">
        <v>56</v>
      </c>
      <c r="T319" s="26">
        <v>0.01</v>
      </c>
      <c r="U319" s="20">
        <v>7.0000000000000007E-2</v>
      </c>
      <c r="V319" s="20">
        <v>1062.47</v>
      </c>
    </row>
    <row r="320" spans="1:22" ht="16.8" x14ac:dyDescent="0.3">
      <c r="A320" s="20">
        <v>31.9</v>
      </c>
      <c r="B320" s="20">
        <v>56</v>
      </c>
      <c r="C320" s="20">
        <v>55.83</v>
      </c>
      <c r="D320" s="20">
        <v>0.17</v>
      </c>
      <c r="E320" s="20">
        <v>0.04</v>
      </c>
      <c r="F320" s="20">
        <v>1250.17</v>
      </c>
      <c r="Q320" s="20">
        <v>31.9</v>
      </c>
      <c r="R320" s="20">
        <v>56.06</v>
      </c>
      <c r="S320" s="20">
        <v>56</v>
      </c>
      <c r="T320" s="20">
        <v>-0.06</v>
      </c>
      <c r="U320" s="26">
        <v>-0.06</v>
      </c>
      <c r="V320" s="20">
        <v>1041.46</v>
      </c>
    </row>
    <row r="321" spans="1:22" ht="16.8" x14ac:dyDescent="0.3">
      <c r="A321" s="20">
        <v>32</v>
      </c>
      <c r="B321" s="20">
        <v>56</v>
      </c>
      <c r="C321" s="20">
        <v>55.86</v>
      </c>
      <c r="D321" s="20">
        <v>0.14000000000000001</v>
      </c>
      <c r="E321" s="20">
        <v>-0.03</v>
      </c>
      <c r="F321" s="20">
        <v>1230.3</v>
      </c>
      <c r="Q321" s="20">
        <v>32</v>
      </c>
      <c r="R321" s="20">
        <v>56.03</v>
      </c>
      <c r="S321" s="20">
        <v>56</v>
      </c>
      <c r="T321" s="26">
        <v>-0.03</v>
      </c>
      <c r="U321" s="20">
        <v>0.03</v>
      </c>
      <c r="V321" s="20">
        <v>1054.03</v>
      </c>
    </row>
    <row r="322" spans="1:22" ht="16.8" x14ac:dyDescent="0.3">
      <c r="A322" s="20">
        <v>32.1</v>
      </c>
      <c r="B322" s="20">
        <v>56</v>
      </c>
      <c r="C322" s="20">
        <v>55.83</v>
      </c>
      <c r="D322" s="20">
        <v>0.17</v>
      </c>
      <c r="E322" s="20">
        <v>0.02</v>
      </c>
      <c r="F322" s="20">
        <v>1247.43</v>
      </c>
      <c r="Q322" s="20">
        <v>32.1</v>
      </c>
      <c r="R322" s="20">
        <v>56.08</v>
      </c>
      <c r="S322" s="26">
        <v>56</v>
      </c>
      <c r="T322" s="20">
        <v>-0.08</v>
      </c>
      <c r="U322" s="26">
        <v>-0.05</v>
      </c>
      <c r="V322" s="20">
        <v>1039.92</v>
      </c>
    </row>
    <row r="323" spans="1:22" ht="16.8" x14ac:dyDescent="0.3">
      <c r="A323" s="20">
        <v>32.200000000000003</v>
      </c>
      <c r="B323" s="20">
        <v>56</v>
      </c>
      <c r="C323" s="20">
        <v>55.82</v>
      </c>
      <c r="D323" s="20">
        <v>0.18</v>
      </c>
      <c r="E323" s="20">
        <v>0.01</v>
      </c>
      <c r="F323" s="20">
        <v>1255.56</v>
      </c>
      <c r="Q323" s="20">
        <v>32.200000000000003</v>
      </c>
      <c r="R323" s="20">
        <v>56.12</v>
      </c>
      <c r="S323" s="20">
        <v>56</v>
      </c>
      <c r="T323" s="20">
        <v>-0.12</v>
      </c>
      <c r="U323" s="20">
        <v>-0.05</v>
      </c>
      <c r="V323" s="20">
        <v>1031.98</v>
      </c>
    </row>
    <row r="324" spans="1:22" ht="16.8" x14ac:dyDescent="0.3">
      <c r="A324" s="20">
        <v>32.299999999999997</v>
      </c>
      <c r="B324" s="20">
        <v>56</v>
      </c>
      <c r="C324" s="20">
        <v>55.81</v>
      </c>
      <c r="D324" s="20">
        <v>0.19</v>
      </c>
      <c r="E324" s="20">
        <v>0.02</v>
      </c>
      <c r="F324" s="20">
        <v>1265.98</v>
      </c>
      <c r="Q324" s="20">
        <v>32.299999999999997</v>
      </c>
      <c r="R324" s="20">
        <v>56.04</v>
      </c>
      <c r="S324" s="26">
        <v>56</v>
      </c>
      <c r="T324" s="26">
        <v>-0.04</v>
      </c>
      <c r="U324" s="20">
        <v>0.09</v>
      </c>
      <c r="V324" s="20">
        <v>1056.5999999999999</v>
      </c>
    </row>
    <row r="325" spans="1:22" ht="16.8" x14ac:dyDescent="0.3">
      <c r="A325" s="20">
        <v>32.4</v>
      </c>
      <c r="B325" s="20">
        <v>56</v>
      </c>
      <c r="C325" s="20">
        <v>55.83</v>
      </c>
      <c r="D325" s="20">
        <v>0.17</v>
      </c>
      <c r="E325" s="20">
        <v>-0.02</v>
      </c>
      <c r="F325" s="20">
        <v>1252.8900000000001</v>
      </c>
      <c r="Q325" s="20">
        <v>32.4</v>
      </c>
      <c r="R325" s="20">
        <v>56.08</v>
      </c>
      <c r="S325" s="20">
        <v>56</v>
      </c>
      <c r="T325" s="20">
        <v>-0.08</v>
      </c>
      <c r="U325" s="26">
        <v>-0.05</v>
      </c>
      <c r="V325" s="20">
        <v>1038.07</v>
      </c>
    </row>
    <row r="326" spans="1:22" ht="16.8" x14ac:dyDescent="0.3">
      <c r="A326" s="20">
        <v>32.5</v>
      </c>
      <c r="B326" s="20">
        <v>56</v>
      </c>
      <c r="C326" s="20">
        <v>55.79</v>
      </c>
      <c r="D326" s="20">
        <v>0.21</v>
      </c>
      <c r="E326" s="20">
        <v>0.04</v>
      </c>
      <c r="F326" s="20">
        <v>1279.77</v>
      </c>
      <c r="Q326" s="20">
        <v>32.5</v>
      </c>
      <c r="R326" s="20">
        <v>56.04</v>
      </c>
      <c r="S326" s="20">
        <v>56</v>
      </c>
      <c r="T326" s="26">
        <v>-0.04</v>
      </c>
      <c r="U326" s="20">
        <v>0.05</v>
      </c>
      <c r="V326" s="20">
        <v>1053.18</v>
      </c>
    </row>
    <row r="327" spans="1:22" ht="16.8" x14ac:dyDescent="0.3">
      <c r="A327" s="20">
        <v>32.6</v>
      </c>
      <c r="B327" s="20">
        <v>56</v>
      </c>
      <c r="C327" s="20">
        <v>55.84</v>
      </c>
      <c r="D327" s="20">
        <v>0.16</v>
      </c>
      <c r="E327" s="20">
        <v>-0.06</v>
      </c>
      <c r="F327" s="20">
        <v>1241.8499999999999</v>
      </c>
      <c r="Q327" s="20">
        <v>32.6</v>
      </c>
      <c r="R327" s="20">
        <v>56.06</v>
      </c>
      <c r="S327" s="20">
        <v>56</v>
      </c>
      <c r="T327" s="20">
        <v>-0.06</v>
      </c>
      <c r="U327" s="26">
        <v>-0.02</v>
      </c>
      <c r="V327" s="20">
        <v>1043.56</v>
      </c>
    </row>
    <row r="328" spans="1:22" ht="16.8" x14ac:dyDescent="0.3">
      <c r="A328" s="20">
        <v>32.700000000000003</v>
      </c>
      <c r="B328" s="20">
        <v>56</v>
      </c>
      <c r="C328" s="20">
        <v>55.78</v>
      </c>
      <c r="D328" s="20">
        <v>0.22</v>
      </c>
      <c r="E328" s="20">
        <v>0.06</v>
      </c>
      <c r="F328" s="20">
        <v>1285.3900000000001</v>
      </c>
      <c r="Q328" s="20">
        <v>32.700000000000003</v>
      </c>
      <c r="R328" s="20">
        <v>56.06</v>
      </c>
      <c r="S328" s="20">
        <v>56</v>
      </c>
      <c r="T328" s="26">
        <v>-0.06</v>
      </c>
      <c r="U328" s="20">
        <v>0</v>
      </c>
      <c r="V328" s="20">
        <v>1045.31</v>
      </c>
    </row>
    <row r="329" spans="1:22" ht="16.8" x14ac:dyDescent="0.3">
      <c r="A329" s="20">
        <v>32.799999999999997</v>
      </c>
      <c r="B329" s="20">
        <v>56</v>
      </c>
      <c r="C329" s="20">
        <v>55.79</v>
      </c>
      <c r="D329" s="20">
        <v>0.21</v>
      </c>
      <c r="E329" s="20">
        <v>-0.02</v>
      </c>
      <c r="F329" s="20">
        <v>1274.0999999999999</v>
      </c>
      <c r="Q329" s="20">
        <v>32.799999999999997</v>
      </c>
      <c r="R329" s="20">
        <v>56.04</v>
      </c>
      <c r="S329" s="20">
        <v>56</v>
      </c>
      <c r="T329" s="20">
        <v>-0.04</v>
      </c>
      <c r="U329" s="26">
        <v>0.02</v>
      </c>
      <c r="V329" s="20">
        <v>1050.93</v>
      </c>
    </row>
    <row r="330" spans="1:22" ht="16.8" x14ac:dyDescent="0.3">
      <c r="A330" s="20">
        <v>32.9</v>
      </c>
      <c r="B330" s="20">
        <v>56</v>
      </c>
      <c r="C330" s="20">
        <v>55.81</v>
      </c>
      <c r="D330" s="20">
        <v>0.19</v>
      </c>
      <c r="E330" s="20">
        <v>-0.01</v>
      </c>
      <c r="F330" s="20">
        <v>1265.98</v>
      </c>
      <c r="Q330" s="20">
        <v>32.9</v>
      </c>
      <c r="R330" s="20">
        <v>56.11</v>
      </c>
      <c r="S330" s="20">
        <v>56</v>
      </c>
      <c r="T330" s="26">
        <v>-0.11</v>
      </c>
      <c r="U330" s="20">
        <v>-7.0000000000000007E-2</v>
      </c>
      <c r="V330" s="20">
        <v>1031.67</v>
      </c>
    </row>
    <row r="331" spans="1:22" ht="16.8" x14ac:dyDescent="0.3">
      <c r="A331" s="20">
        <v>33</v>
      </c>
      <c r="B331" s="20">
        <v>56</v>
      </c>
      <c r="C331" s="20">
        <v>55.84</v>
      </c>
      <c r="D331" s="20">
        <v>0.16</v>
      </c>
      <c r="E331" s="20">
        <v>-0.04</v>
      </c>
      <c r="F331" s="20">
        <v>1241.8499999999999</v>
      </c>
      <c r="Q331" s="20">
        <v>33</v>
      </c>
      <c r="R331" s="20">
        <v>56.06</v>
      </c>
      <c r="S331" s="20">
        <v>56</v>
      </c>
      <c r="T331" s="20">
        <v>-0.06</v>
      </c>
      <c r="U331" s="26">
        <v>0.05</v>
      </c>
      <c r="V331" s="20">
        <v>1048.5999999999999</v>
      </c>
    </row>
    <row r="332" spans="1:22" ht="16.8" x14ac:dyDescent="0.3">
      <c r="A332" s="20">
        <v>33.1</v>
      </c>
      <c r="B332" s="20">
        <v>56</v>
      </c>
      <c r="C332" s="20">
        <v>55.79</v>
      </c>
      <c r="D332" s="20">
        <v>0.21</v>
      </c>
      <c r="E332" s="20">
        <v>0.05</v>
      </c>
      <c r="F332" s="20">
        <v>1276.93</v>
      </c>
      <c r="Q332" s="20">
        <v>33.1</v>
      </c>
      <c r="R332" s="20">
        <v>56.07</v>
      </c>
      <c r="S332" s="20">
        <v>56</v>
      </c>
      <c r="T332" s="26">
        <v>-7.0000000000000007E-2</v>
      </c>
      <c r="U332" s="20">
        <v>-0.01</v>
      </c>
      <c r="V332" s="20">
        <v>1042.77</v>
      </c>
    </row>
    <row r="333" spans="1:22" ht="16.8" x14ac:dyDescent="0.3">
      <c r="A333" s="20">
        <v>33.200000000000003</v>
      </c>
      <c r="B333" s="20">
        <v>56</v>
      </c>
      <c r="C333" s="20">
        <v>55.84</v>
      </c>
      <c r="D333" s="20">
        <v>0.16</v>
      </c>
      <c r="E333" s="20">
        <v>-0.05</v>
      </c>
      <c r="F333" s="20">
        <v>1244.6500000000001</v>
      </c>
      <c r="Q333" s="20">
        <v>33.200000000000003</v>
      </c>
      <c r="R333" s="20">
        <v>56.07</v>
      </c>
      <c r="S333" s="20">
        <v>56</v>
      </c>
      <c r="T333" s="20">
        <v>-7.0000000000000007E-2</v>
      </c>
      <c r="U333" s="20">
        <v>0</v>
      </c>
      <c r="V333" s="20">
        <v>1043.24</v>
      </c>
    </row>
    <row r="334" spans="1:22" ht="16.8" x14ac:dyDescent="0.3">
      <c r="A334" s="20">
        <v>33.299999999999997</v>
      </c>
      <c r="B334" s="20">
        <v>56</v>
      </c>
      <c r="C334" s="20">
        <v>55.84</v>
      </c>
      <c r="D334" s="20">
        <v>0.16</v>
      </c>
      <c r="E334" s="20">
        <v>0</v>
      </c>
      <c r="F334" s="20">
        <v>1241.8499999999999</v>
      </c>
      <c r="Q334" s="20">
        <v>33.299999999999997</v>
      </c>
      <c r="R334" s="20">
        <v>56.08</v>
      </c>
      <c r="S334" s="26">
        <v>56</v>
      </c>
      <c r="T334" s="20">
        <v>-0.08</v>
      </c>
      <c r="U334" s="26">
        <v>-0.01</v>
      </c>
      <c r="V334" s="20">
        <v>1041.1500000000001</v>
      </c>
    </row>
    <row r="335" spans="1:22" ht="16.8" x14ac:dyDescent="0.3">
      <c r="A335" s="20">
        <v>33.4</v>
      </c>
      <c r="B335" s="20">
        <v>56</v>
      </c>
      <c r="C335" s="20">
        <v>55.78</v>
      </c>
      <c r="D335" s="20">
        <v>0.22</v>
      </c>
      <c r="E335" s="20">
        <v>0.06</v>
      </c>
      <c r="F335" s="20">
        <v>1282.58</v>
      </c>
      <c r="Q335" s="20">
        <v>33.4</v>
      </c>
      <c r="R335" s="20">
        <v>56.11</v>
      </c>
      <c r="S335" s="20">
        <v>56</v>
      </c>
      <c r="T335" s="26">
        <v>-0.11</v>
      </c>
      <c r="U335" s="20">
        <v>-0.03</v>
      </c>
      <c r="V335" s="20">
        <v>1033.92</v>
      </c>
    </row>
    <row r="336" spans="1:22" ht="16.8" x14ac:dyDescent="0.3">
      <c r="A336" s="20">
        <v>33.5</v>
      </c>
      <c r="B336" s="20">
        <v>56</v>
      </c>
      <c r="C336" s="20">
        <v>55.79</v>
      </c>
      <c r="D336" s="20">
        <v>0.21</v>
      </c>
      <c r="E336" s="20">
        <v>-0.01</v>
      </c>
      <c r="F336" s="20">
        <v>1274.0999999999999</v>
      </c>
      <c r="Q336" s="20">
        <v>33.5</v>
      </c>
      <c r="R336" s="20">
        <v>56.08</v>
      </c>
      <c r="S336" s="26">
        <v>56</v>
      </c>
      <c r="T336" s="20">
        <v>-0.08</v>
      </c>
      <c r="U336" s="26">
        <v>0.03</v>
      </c>
      <c r="V336" s="20">
        <v>1043.8599999999999</v>
      </c>
    </row>
    <row r="337" spans="1:22" ht="16.8" x14ac:dyDescent="0.3">
      <c r="A337" s="20">
        <v>33.6</v>
      </c>
      <c r="B337" s="20">
        <v>56</v>
      </c>
      <c r="C337" s="20">
        <v>55.84</v>
      </c>
      <c r="D337" s="20">
        <v>0.16</v>
      </c>
      <c r="E337" s="20">
        <v>-0.04</v>
      </c>
      <c r="F337" s="20">
        <v>1244.6500000000001</v>
      </c>
      <c r="Q337" s="20">
        <v>33.6</v>
      </c>
      <c r="R337" s="20">
        <v>56.06</v>
      </c>
      <c r="S337" s="20">
        <v>56</v>
      </c>
      <c r="T337" s="26">
        <v>-0.06</v>
      </c>
      <c r="U337" s="20">
        <v>0.02</v>
      </c>
      <c r="V337" s="20">
        <v>1045.02</v>
      </c>
    </row>
    <row r="338" spans="1:22" ht="16.8" x14ac:dyDescent="0.3">
      <c r="A338" s="20">
        <v>33.700000000000003</v>
      </c>
      <c r="B338" s="20">
        <v>56</v>
      </c>
      <c r="C338" s="20">
        <v>55.87</v>
      </c>
      <c r="D338" s="20">
        <v>0.13</v>
      </c>
      <c r="E338" s="20">
        <v>-0.03</v>
      </c>
      <c r="F338" s="20">
        <v>1224.31</v>
      </c>
      <c r="Q338" s="20">
        <v>33.700000000000003</v>
      </c>
      <c r="R338" s="20">
        <v>56.08</v>
      </c>
      <c r="S338" s="26">
        <v>56</v>
      </c>
      <c r="T338" s="20">
        <v>-0.08</v>
      </c>
      <c r="U338" s="26">
        <v>-0.02</v>
      </c>
      <c r="V338" s="20">
        <v>1037.8499999999999</v>
      </c>
    </row>
    <row r="339" spans="1:22" ht="16.8" x14ac:dyDescent="0.3">
      <c r="A339" s="20">
        <v>33.799999999999997</v>
      </c>
      <c r="B339" s="20">
        <v>56</v>
      </c>
      <c r="C339" s="20">
        <v>55.85</v>
      </c>
      <c r="D339" s="20">
        <v>0.15</v>
      </c>
      <c r="E339" s="20">
        <v>0.02</v>
      </c>
      <c r="F339" s="20">
        <v>1236.1400000000001</v>
      </c>
      <c r="Q339" s="20">
        <v>33.799999999999997</v>
      </c>
      <c r="R339" s="20">
        <v>56.05</v>
      </c>
      <c r="S339" s="20">
        <v>56</v>
      </c>
      <c r="T339" s="26">
        <v>-0.05</v>
      </c>
      <c r="U339" s="20">
        <v>0.03</v>
      </c>
      <c r="V339" s="20">
        <v>1047.23</v>
      </c>
    </row>
    <row r="340" spans="1:22" ht="16.8" x14ac:dyDescent="0.3">
      <c r="A340" s="20">
        <v>33.9</v>
      </c>
      <c r="B340" s="20">
        <v>56</v>
      </c>
      <c r="C340" s="20">
        <v>55.81</v>
      </c>
      <c r="D340" s="20">
        <v>0.19</v>
      </c>
      <c r="E340" s="20">
        <v>0.04</v>
      </c>
      <c r="F340" s="20">
        <v>1265.98</v>
      </c>
      <c r="Q340" s="20">
        <v>33.9</v>
      </c>
      <c r="R340" s="20">
        <v>56.05</v>
      </c>
      <c r="S340" s="20">
        <v>56</v>
      </c>
      <c r="T340" s="20">
        <v>-0.05</v>
      </c>
      <c r="U340" s="26">
        <v>0</v>
      </c>
      <c r="V340" s="20">
        <v>1044.5999999999999</v>
      </c>
    </row>
    <row r="341" spans="1:22" ht="16.8" x14ac:dyDescent="0.3">
      <c r="A341" s="20">
        <v>34</v>
      </c>
      <c r="B341" s="20">
        <v>56</v>
      </c>
      <c r="C341" s="20">
        <v>55.86</v>
      </c>
      <c r="D341" s="20">
        <v>0.14000000000000001</v>
      </c>
      <c r="E341" s="20">
        <v>-0.06</v>
      </c>
      <c r="F341" s="20">
        <v>1227.32</v>
      </c>
      <c r="Q341" s="20">
        <v>34</v>
      </c>
      <c r="R341" s="20">
        <v>56</v>
      </c>
      <c r="S341" s="26">
        <v>56</v>
      </c>
      <c r="T341" s="26">
        <v>0</v>
      </c>
      <c r="U341" s="20">
        <v>0.05</v>
      </c>
      <c r="V341" s="20">
        <v>1056.01</v>
      </c>
    </row>
    <row r="342" spans="1:22" ht="16.8" x14ac:dyDescent="0.3">
      <c r="A342" s="20">
        <v>34.1</v>
      </c>
      <c r="B342" s="20">
        <v>56</v>
      </c>
      <c r="C342" s="20">
        <v>55.81</v>
      </c>
      <c r="D342" s="20">
        <v>0.19</v>
      </c>
      <c r="E342" s="20">
        <v>0.05</v>
      </c>
      <c r="F342" s="20">
        <v>1263.43</v>
      </c>
      <c r="Q342" s="20">
        <v>34.1</v>
      </c>
      <c r="R342" s="20">
        <v>56.08</v>
      </c>
      <c r="S342" s="26">
        <v>56</v>
      </c>
      <c r="T342" s="20">
        <v>-0.08</v>
      </c>
      <c r="U342" s="20">
        <v>-7.0000000000000007E-2</v>
      </c>
      <c r="V342" s="20">
        <v>1034.93</v>
      </c>
    </row>
    <row r="343" spans="1:22" ht="16.8" x14ac:dyDescent="0.3">
      <c r="A343" s="20">
        <v>34.200000000000003</v>
      </c>
      <c r="B343" s="20">
        <v>56</v>
      </c>
      <c r="C343" s="20">
        <v>55.81</v>
      </c>
      <c r="D343" s="20">
        <v>0.19</v>
      </c>
      <c r="E343" s="20">
        <v>0</v>
      </c>
      <c r="F343" s="20">
        <v>1263.43</v>
      </c>
      <c r="Q343" s="20">
        <v>34.200000000000003</v>
      </c>
      <c r="R343" s="20">
        <v>56.04</v>
      </c>
      <c r="S343" s="20">
        <v>56</v>
      </c>
      <c r="T343" s="20">
        <v>-0.04</v>
      </c>
      <c r="U343" s="26">
        <v>0.03</v>
      </c>
      <c r="V343" s="20">
        <v>1048.0999999999999</v>
      </c>
    </row>
    <row r="344" spans="1:22" ht="16.8" x14ac:dyDescent="0.3">
      <c r="A344" s="20">
        <v>34.299999999999997</v>
      </c>
      <c r="B344" s="20">
        <v>56</v>
      </c>
      <c r="C344" s="20">
        <v>55.86</v>
      </c>
      <c r="D344" s="20">
        <v>0.14000000000000001</v>
      </c>
      <c r="E344" s="20">
        <v>-0.05</v>
      </c>
      <c r="F344" s="20">
        <v>1227.32</v>
      </c>
      <c r="Q344" s="20">
        <v>34.299999999999997</v>
      </c>
      <c r="R344" s="20">
        <v>56.04</v>
      </c>
      <c r="S344" s="26">
        <v>56</v>
      </c>
      <c r="T344" s="26">
        <v>-0.04</v>
      </c>
      <c r="U344" s="20">
        <v>0</v>
      </c>
      <c r="V344" s="20">
        <v>1045.48</v>
      </c>
    </row>
    <row r="345" spans="1:22" ht="16.8" x14ac:dyDescent="0.3">
      <c r="A345" s="20">
        <v>34.4</v>
      </c>
      <c r="B345" s="20">
        <v>56</v>
      </c>
      <c r="C345" s="20">
        <v>55.85</v>
      </c>
      <c r="D345" s="20">
        <v>0.15</v>
      </c>
      <c r="E345" s="20">
        <v>0.02</v>
      </c>
      <c r="F345" s="20">
        <v>1239.01</v>
      </c>
      <c r="Q345" s="20">
        <v>34.4</v>
      </c>
      <c r="R345" s="20">
        <v>56.01</v>
      </c>
      <c r="S345" s="20">
        <v>56</v>
      </c>
      <c r="T345" s="20">
        <v>-0.01</v>
      </c>
      <c r="U345" s="26">
        <v>0.03</v>
      </c>
      <c r="V345" s="20">
        <v>1053.07</v>
      </c>
    </row>
    <row r="346" spans="1:22" ht="16.8" x14ac:dyDescent="0.3">
      <c r="A346" s="20">
        <v>34.5</v>
      </c>
      <c r="B346" s="20">
        <v>56</v>
      </c>
      <c r="C346" s="20">
        <v>55.84</v>
      </c>
      <c r="D346" s="20">
        <v>0.16</v>
      </c>
      <c r="E346" s="20">
        <v>0.01</v>
      </c>
      <c r="F346" s="20">
        <v>1244.6500000000001</v>
      </c>
      <c r="Q346" s="20">
        <v>34.5</v>
      </c>
      <c r="R346" s="20">
        <v>56.07</v>
      </c>
      <c r="S346" s="26">
        <v>56</v>
      </c>
      <c r="T346" s="26">
        <v>-7.0000000000000007E-2</v>
      </c>
      <c r="U346" s="20">
        <v>-0.06</v>
      </c>
      <c r="V346" s="20">
        <v>1037.07</v>
      </c>
    </row>
    <row r="347" spans="1:22" ht="16.8" x14ac:dyDescent="0.3">
      <c r="A347" s="20">
        <v>34.6</v>
      </c>
      <c r="B347" s="20">
        <v>56</v>
      </c>
      <c r="C347" s="20">
        <v>55.83</v>
      </c>
      <c r="D347" s="20">
        <v>0.17</v>
      </c>
      <c r="E347" s="20">
        <v>0</v>
      </c>
      <c r="F347" s="20">
        <v>1247.43</v>
      </c>
      <c r="Q347" s="20">
        <v>34.6</v>
      </c>
      <c r="R347" s="20">
        <v>56.08</v>
      </c>
      <c r="S347" s="20">
        <v>56</v>
      </c>
      <c r="T347" s="20">
        <v>-0.08</v>
      </c>
      <c r="U347" s="26">
        <v>-0.02</v>
      </c>
      <c r="V347" s="20">
        <v>1037.47</v>
      </c>
    </row>
    <row r="348" spans="1:22" ht="16.8" x14ac:dyDescent="0.3">
      <c r="A348" s="20">
        <v>34.700000000000003</v>
      </c>
      <c r="B348" s="20">
        <v>56</v>
      </c>
      <c r="C348" s="20">
        <v>55.87</v>
      </c>
      <c r="D348" s="20">
        <v>0.13</v>
      </c>
      <c r="E348" s="20">
        <v>-0.04</v>
      </c>
      <c r="F348" s="20">
        <v>1221.27</v>
      </c>
      <c r="Q348" s="20">
        <v>34.700000000000003</v>
      </c>
      <c r="R348" s="20">
        <v>56.08</v>
      </c>
      <c r="S348" s="26">
        <v>56</v>
      </c>
      <c r="T348" s="26">
        <v>-0.08</v>
      </c>
      <c r="U348" s="20">
        <v>0</v>
      </c>
      <c r="V348" s="20">
        <v>1038.53</v>
      </c>
    </row>
    <row r="349" spans="1:22" ht="16.8" x14ac:dyDescent="0.3">
      <c r="A349" s="20">
        <v>34.799999999999997</v>
      </c>
      <c r="B349" s="20">
        <v>56</v>
      </c>
      <c r="C349" s="20">
        <v>55.89</v>
      </c>
      <c r="D349" s="20">
        <v>0.11</v>
      </c>
      <c r="E349" s="20">
        <v>-0.02</v>
      </c>
      <c r="F349" s="20">
        <v>1205.48</v>
      </c>
      <c r="Q349" s="20">
        <v>34.799999999999997</v>
      </c>
      <c r="R349" s="20">
        <v>56.04</v>
      </c>
      <c r="S349" s="20">
        <v>56</v>
      </c>
      <c r="T349" s="20">
        <v>-0.04</v>
      </c>
      <c r="U349" s="26">
        <v>0.04</v>
      </c>
      <c r="V349" s="20">
        <v>1047.94</v>
      </c>
    </row>
    <row r="350" spans="1:22" ht="16.8" x14ac:dyDescent="0.3">
      <c r="A350" s="20">
        <v>34.9</v>
      </c>
      <c r="B350" s="20">
        <v>56</v>
      </c>
      <c r="C350" s="20">
        <v>55.87</v>
      </c>
      <c r="D350" s="20">
        <v>0.13</v>
      </c>
      <c r="E350" s="20">
        <v>0.02</v>
      </c>
      <c r="F350" s="20">
        <v>1224.31</v>
      </c>
      <c r="Q350" s="20">
        <v>34.9</v>
      </c>
      <c r="R350" s="20">
        <v>56.05</v>
      </c>
      <c r="S350" s="26">
        <v>56</v>
      </c>
      <c r="T350" s="26">
        <v>-0.05</v>
      </c>
      <c r="U350" s="20">
        <v>-0.01</v>
      </c>
      <c r="V350" s="20">
        <v>1042.78</v>
      </c>
    </row>
    <row r="351" spans="1:22" ht="16.8" x14ac:dyDescent="0.3">
      <c r="A351" s="20">
        <v>35</v>
      </c>
      <c r="B351" s="20">
        <v>56</v>
      </c>
      <c r="C351" s="20">
        <v>55.83</v>
      </c>
      <c r="D351" s="20">
        <v>0.17</v>
      </c>
      <c r="E351" s="20">
        <v>0.04</v>
      </c>
      <c r="F351" s="20">
        <v>1250.17</v>
      </c>
      <c r="Q351" s="20">
        <v>35</v>
      </c>
      <c r="R351" s="20">
        <v>56.04</v>
      </c>
      <c r="S351" s="20">
        <v>56</v>
      </c>
      <c r="T351" s="20">
        <v>-0.04</v>
      </c>
      <c r="U351" s="26">
        <v>0.01</v>
      </c>
      <c r="V351" s="20">
        <v>1045.2</v>
      </c>
    </row>
    <row r="352" spans="1:22" ht="16.8" x14ac:dyDescent="0.3">
      <c r="A352" s="20">
        <v>35.1</v>
      </c>
      <c r="B352" s="20">
        <v>56</v>
      </c>
      <c r="C352" s="20">
        <v>55.81</v>
      </c>
      <c r="D352" s="20">
        <v>0.19</v>
      </c>
      <c r="E352" s="20">
        <v>0.02</v>
      </c>
      <c r="F352" s="20">
        <v>1260.83</v>
      </c>
      <c r="Q352" s="20">
        <v>35.1</v>
      </c>
      <c r="R352" s="20">
        <v>56.1</v>
      </c>
      <c r="S352" s="26">
        <v>56</v>
      </c>
      <c r="T352" s="20">
        <v>-0.1</v>
      </c>
      <c r="U352" s="20">
        <v>-0.06</v>
      </c>
      <c r="V352" s="20">
        <v>1031.02</v>
      </c>
    </row>
    <row r="353" spans="1:22" ht="16.8" x14ac:dyDescent="0.3">
      <c r="A353" s="20">
        <v>35.200000000000003</v>
      </c>
      <c r="B353" s="20">
        <v>56</v>
      </c>
      <c r="C353" s="20">
        <v>55.82</v>
      </c>
      <c r="D353" s="20">
        <v>0.18</v>
      </c>
      <c r="E353" s="20">
        <v>0</v>
      </c>
      <c r="F353" s="20">
        <v>1258.22</v>
      </c>
      <c r="Q353" s="20">
        <v>35.200000000000003</v>
      </c>
      <c r="R353" s="20">
        <v>56.07</v>
      </c>
      <c r="S353" s="20">
        <v>56</v>
      </c>
      <c r="T353" s="26">
        <v>-7.0000000000000007E-2</v>
      </c>
      <c r="U353" s="26">
        <v>0.03</v>
      </c>
      <c r="V353" s="20">
        <v>1042.8699999999999</v>
      </c>
    </row>
    <row r="354" spans="1:22" ht="16.8" x14ac:dyDescent="0.3">
      <c r="A354" s="20">
        <v>35.299999999999997</v>
      </c>
      <c r="B354" s="20">
        <v>56</v>
      </c>
      <c r="C354" s="20">
        <v>55.87</v>
      </c>
      <c r="D354" s="20">
        <v>0.13</v>
      </c>
      <c r="E354" s="20">
        <v>-0.06</v>
      </c>
      <c r="F354" s="20">
        <v>1218.17</v>
      </c>
      <c r="Q354" s="20">
        <v>35.299999999999997</v>
      </c>
      <c r="R354" s="20">
        <v>56.07</v>
      </c>
      <c r="S354" s="26">
        <v>56</v>
      </c>
      <c r="T354" s="20">
        <v>-7.0000000000000007E-2</v>
      </c>
      <c r="U354" s="20">
        <v>0</v>
      </c>
      <c r="V354" s="20">
        <v>1040.2</v>
      </c>
    </row>
    <row r="355" spans="1:22" ht="16.8" x14ac:dyDescent="0.3">
      <c r="A355" s="20">
        <v>35.4</v>
      </c>
      <c r="B355" s="20">
        <v>56</v>
      </c>
      <c r="C355" s="20">
        <v>55.83</v>
      </c>
      <c r="D355" s="20">
        <v>0.17</v>
      </c>
      <c r="E355" s="20">
        <v>0.04</v>
      </c>
      <c r="F355" s="20">
        <v>1247.43</v>
      </c>
      <c r="Q355" s="20">
        <v>35.4</v>
      </c>
      <c r="R355" s="20">
        <v>56.06</v>
      </c>
      <c r="S355" s="20">
        <v>56</v>
      </c>
      <c r="T355" s="26">
        <v>-0.06</v>
      </c>
      <c r="U355" s="20">
        <v>0.01</v>
      </c>
      <c r="V355" s="20">
        <v>1041.96</v>
      </c>
    </row>
    <row r="356" spans="1:22" ht="16.8" x14ac:dyDescent="0.3">
      <c r="A356" s="20">
        <v>35.5</v>
      </c>
      <c r="B356" s="20">
        <v>56</v>
      </c>
      <c r="C356" s="20">
        <v>55.84</v>
      </c>
      <c r="D356" s="20">
        <v>0.16</v>
      </c>
      <c r="E356" s="20">
        <v>0</v>
      </c>
      <c r="F356" s="20">
        <v>1244.6500000000001</v>
      </c>
      <c r="Q356" s="20">
        <v>35.5</v>
      </c>
      <c r="R356" s="20">
        <v>56.07</v>
      </c>
      <c r="S356" s="26">
        <v>56</v>
      </c>
      <c r="T356" s="20">
        <v>-7.0000000000000007E-2</v>
      </c>
      <c r="U356" s="26">
        <v>-0.01</v>
      </c>
      <c r="V356" s="20">
        <v>1039.27</v>
      </c>
    </row>
    <row r="357" spans="1:22" ht="16.8" x14ac:dyDescent="0.3">
      <c r="A357" s="20">
        <v>35.6</v>
      </c>
      <c r="B357" s="20">
        <v>56</v>
      </c>
      <c r="C357" s="20">
        <v>55.84</v>
      </c>
      <c r="D357" s="20">
        <v>0.16</v>
      </c>
      <c r="E357" s="20">
        <v>0</v>
      </c>
      <c r="F357" s="20">
        <v>1244.6500000000001</v>
      </c>
      <c r="Q357" s="20">
        <v>35.6</v>
      </c>
      <c r="R357" s="20">
        <v>56.12</v>
      </c>
      <c r="S357" s="20">
        <v>56</v>
      </c>
      <c r="T357" s="26">
        <v>-0.12</v>
      </c>
      <c r="U357" s="20">
        <v>-0.05</v>
      </c>
      <c r="V357" s="20">
        <v>1028.21</v>
      </c>
    </row>
    <row r="358" spans="1:22" ht="16.8" x14ac:dyDescent="0.3">
      <c r="A358" s="20">
        <v>35.700000000000003</v>
      </c>
      <c r="B358" s="20">
        <v>56</v>
      </c>
      <c r="C358" s="20">
        <v>55.82</v>
      </c>
      <c r="D358" s="20">
        <v>0.18</v>
      </c>
      <c r="E358" s="20">
        <v>0.02</v>
      </c>
      <c r="F358" s="20">
        <v>1255.56</v>
      </c>
      <c r="Q358" s="20">
        <v>35.700000000000003</v>
      </c>
      <c r="R358" s="20">
        <v>56.12</v>
      </c>
      <c r="S358" s="26">
        <v>56</v>
      </c>
      <c r="T358" s="20">
        <v>-0.12</v>
      </c>
      <c r="U358" s="26">
        <v>-0.01</v>
      </c>
      <c r="V358" s="20">
        <v>1029.79</v>
      </c>
    </row>
    <row r="359" spans="1:22" ht="16.8" x14ac:dyDescent="0.3">
      <c r="A359" s="20">
        <v>35.799999999999997</v>
      </c>
      <c r="B359" s="20">
        <v>56</v>
      </c>
      <c r="C359" s="20">
        <v>55.83</v>
      </c>
      <c r="D359" s="20">
        <v>0.17</v>
      </c>
      <c r="E359" s="20">
        <v>-0.01</v>
      </c>
      <c r="F359" s="20">
        <v>1247.43</v>
      </c>
      <c r="Q359" s="20">
        <v>35.799999999999997</v>
      </c>
      <c r="R359" s="20">
        <v>56.09</v>
      </c>
      <c r="S359" s="20">
        <v>56</v>
      </c>
      <c r="T359" s="26">
        <v>-0.09</v>
      </c>
      <c r="U359" s="20">
        <v>0.03</v>
      </c>
      <c r="V359" s="20">
        <v>1037.81</v>
      </c>
    </row>
    <row r="360" spans="1:22" ht="16.8" x14ac:dyDescent="0.3">
      <c r="A360" s="20">
        <v>35.9</v>
      </c>
      <c r="B360" s="20">
        <v>56</v>
      </c>
      <c r="C360" s="20">
        <v>55.79</v>
      </c>
      <c r="D360" s="20">
        <v>0.21</v>
      </c>
      <c r="E360" s="20">
        <v>0.04</v>
      </c>
      <c r="F360" s="20">
        <v>1276.93</v>
      </c>
      <c r="Q360" s="20">
        <v>35.9</v>
      </c>
      <c r="R360" s="20">
        <v>56.1</v>
      </c>
      <c r="S360" s="26">
        <v>56</v>
      </c>
      <c r="T360" s="20">
        <v>-0.1</v>
      </c>
      <c r="U360" s="26">
        <v>-0.01</v>
      </c>
      <c r="V360" s="20">
        <v>1033.1600000000001</v>
      </c>
    </row>
    <row r="361" spans="1:22" ht="16.8" x14ac:dyDescent="0.3">
      <c r="A361" s="20">
        <v>36</v>
      </c>
      <c r="B361" s="20">
        <v>56</v>
      </c>
      <c r="C361" s="20">
        <v>55.84</v>
      </c>
      <c r="D361" s="20">
        <v>0.16</v>
      </c>
      <c r="E361" s="20">
        <v>-0.05</v>
      </c>
      <c r="F361" s="20">
        <v>1241.8499999999999</v>
      </c>
      <c r="Q361" s="20">
        <v>36</v>
      </c>
      <c r="R361" s="20">
        <v>56.12</v>
      </c>
      <c r="S361" s="20">
        <v>56</v>
      </c>
      <c r="T361" s="20">
        <v>-0.12</v>
      </c>
      <c r="U361" s="20">
        <v>-0.02</v>
      </c>
      <c r="V361" s="20">
        <v>1029.71</v>
      </c>
    </row>
    <row r="362" spans="1:22" ht="16.8" x14ac:dyDescent="0.3">
      <c r="A362" s="20">
        <v>36.1</v>
      </c>
      <c r="B362" s="20">
        <v>56</v>
      </c>
      <c r="C362" s="20">
        <v>55.81</v>
      </c>
      <c r="D362" s="20">
        <v>0.19</v>
      </c>
      <c r="E362" s="20">
        <v>0.04</v>
      </c>
      <c r="F362" s="20">
        <v>1265.98</v>
      </c>
      <c r="Q362" s="20">
        <v>36.1</v>
      </c>
      <c r="R362" s="20">
        <v>56.06</v>
      </c>
      <c r="S362" s="26">
        <v>56</v>
      </c>
      <c r="T362" s="26">
        <v>-0.06</v>
      </c>
      <c r="U362" s="26">
        <v>0.06</v>
      </c>
      <c r="V362" s="20">
        <v>1044.1500000000001</v>
      </c>
    </row>
    <row r="363" spans="1:22" ht="16.8" x14ac:dyDescent="0.3">
      <c r="A363" s="20">
        <v>36.200000000000003</v>
      </c>
      <c r="B363" s="20">
        <v>56</v>
      </c>
      <c r="C363" s="20">
        <v>55.8</v>
      </c>
      <c r="D363" s="20">
        <v>0.2</v>
      </c>
      <c r="E363" s="20">
        <v>0</v>
      </c>
      <c r="F363" s="20">
        <v>1268.51</v>
      </c>
      <c r="Q363" s="20">
        <v>36.200000000000003</v>
      </c>
      <c r="R363" s="20">
        <v>56.08</v>
      </c>
      <c r="S363" s="20">
        <v>56</v>
      </c>
      <c r="T363" s="20">
        <v>-0.08</v>
      </c>
      <c r="U363" s="20">
        <v>-0.02</v>
      </c>
      <c r="V363" s="20">
        <v>1035.76</v>
      </c>
    </row>
    <row r="364" spans="1:22" ht="16.8" x14ac:dyDescent="0.3">
      <c r="A364" s="20">
        <v>36.299999999999997</v>
      </c>
      <c r="B364" s="20">
        <v>56</v>
      </c>
      <c r="C364" s="20">
        <v>55.77</v>
      </c>
      <c r="D364" s="20">
        <v>0.23</v>
      </c>
      <c r="E364" s="20">
        <v>0.04</v>
      </c>
      <c r="F364" s="20">
        <v>1293.75</v>
      </c>
      <c r="Q364" s="20">
        <v>36.299999999999997</v>
      </c>
      <c r="R364" s="20">
        <v>56.06</v>
      </c>
      <c r="S364" s="26">
        <v>56</v>
      </c>
      <c r="T364" s="26">
        <v>-0.06</v>
      </c>
      <c r="U364" s="20">
        <v>0.02</v>
      </c>
      <c r="V364" s="20">
        <v>1040.69</v>
      </c>
    </row>
    <row r="365" spans="1:22" ht="16.8" x14ac:dyDescent="0.3">
      <c r="A365" s="20">
        <v>36.4</v>
      </c>
      <c r="B365" s="20">
        <v>56</v>
      </c>
      <c r="C365" s="20">
        <v>55.78</v>
      </c>
      <c r="D365" s="20">
        <v>0.22</v>
      </c>
      <c r="E365" s="20">
        <v>-0.01</v>
      </c>
      <c r="F365" s="20">
        <v>1285.3900000000001</v>
      </c>
      <c r="Q365" s="20">
        <v>36.4</v>
      </c>
      <c r="R365" s="20">
        <v>56.08</v>
      </c>
      <c r="S365" s="20">
        <v>56</v>
      </c>
      <c r="T365" s="20">
        <v>-0.08</v>
      </c>
      <c r="U365" s="26">
        <v>-0.02</v>
      </c>
      <c r="V365" s="20">
        <v>1033.52</v>
      </c>
    </row>
    <row r="366" spans="1:22" ht="16.8" x14ac:dyDescent="0.3">
      <c r="A366" s="20">
        <v>36.5</v>
      </c>
      <c r="B366" s="20">
        <v>56</v>
      </c>
      <c r="C366" s="20">
        <v>55.77</v>
      </c>
      <c r="D366" s="20">
        <v>0.23</v>
      </c>
      <c r="E366" s="20">
        <v>0</v>
      </c>
      <c r="F366" s="20">
        <v>1288.18</v>
      </c>
      <c r="Q366" s="20">
        <v>36.5</v>
      </c>
      <c r="R366" s="20">
        <v>56.1</v>
      </c>
      <c r="S366" s="26">
        <v>56</v>
      </c>
      <c r="T366" s="26">
        <v>-0.1</v>
      </c>
      <c r="U366" s="20">
        <v>-0.02</v>
      </c>
      <c r="V366" s="20">
        <v>1031.3699999999999</v>
      </c>
    </row>
    <row r="367" spans="1:22" ht="16.8" x14ac:dyDescent="0.3">
      <c r="A367" s="20">
        <v>36.6</v>
      </c>
      <c r="B367" s="20">
        <v>56</v>
      </c>
      <c r="C367" s="20">
        <v>55.79</v>
      </c>
      <c r="D367" s="20">
        <v>0.21</v>
      </c>
      <c r="E367" s="20">
        <v>-0.01</v>
      </c>
      <c r="F367" s="20">
        <v>1279.77</v>
      </c>
      <c r="Q367" s="20">
        <v>36.6</v>
      </c>
      <c r="R367" s="20">
        <v>56.04</v>
      </c>
      <c r="S367" s="20">
        <v>56</v>
      </c>
      <c r="T367" s="20">
        <v>-0.04</v>
      </c>
      <c r="U367" s="26">
        <v>0.06</v>
      </c>
      <c r="V367" s="20">
        <v>1045.8399999999999</v>
      </c>
    </row>
    <row r="368" spans="1:22" ht="16.8" x14ac:dyDescent="0.3">
      <c r="A368" s="20">
        <v>36.700000000000003</v>
      </c>
      <c r="B368" s="20">
        <v>56</v>
      </c>
      <c r="C368" s="20">
        <v>55.8</v>
      </c>
      <c r="D368" s="20">
        <v>0.2</v>
      </c>
      <c r="E368" s="20">
        <v>-0.02</v>
      </c>
      <c r="F368" s="20">
        <v>1268.51</v>
      </c>
      <c r="Q368" s="20">
        <v>36.700000000000003</v>
      </c>
      <c r="R368" s="20">
        <v>56.04</v>
      </c>
      <c r="S368" s="26">
        <v>56</v>
      </c>
      <c r="T368" s="26">
        <v>-0.04</v>
      </c>
      <c r="U368" s="20">
        <v>0</v>
      </c>
      <c r="V368" s="20">
        <v>1041.3399999999999</v>
      </c>
    </row>
    <row r="369" spans="1:22" ht="16.8" x14ac:dyDescent="0.3">
      <c r="A369" s="20">
        <v>36.799999999999997</v>
      </c>
      <c r="B369" s="20">
        <v>56</v>
      </c>
      <c r="C369" s="20">
        <v>55.77</v>
      </c>
      <c r="D369" s="20">
        <v>0.23</v>
      </c>
      <c r="E369" s="20">
        <v>0.03</v>
      </c>
      <c r="F369" s="20">
        <v>1288.18</v>
      </c>
      <c r="Q369" s="20">
        <v>36.799999999999997</v>
      </c>
      <c r="R369" s="20">
        <v>56.12</v>
      </c>
      <c r="S369" s="20">
        <v>56</v>
      </c>
      <c r="T369" s="20">
        <v>-0.12</v>
      </c>
      <c r="U369" s="26">
        <v>-0.08</v>
      </c>
      <c r="V369" s="20">
        <v>1022.02</v>
      </c>
    </row>
    <row r="370" spans="1:22" ht="16.8" x14ac:dyDescent="0.3">
      <c r="A370" s="20">
        <v>36.9</v>
      </c>
      <c r="B370" s="20">
        <v>56</v>
      </c>
      <c r="C370" s="20">
        <v>55.79</v>
      </c>
      <c r="D370" s="20">
        <v>0.21</v>
      </c>
      <c r="E370" s="20">
        <v>-0.02</v>
      </c>
      <c r="F370" s="20">
        <v>1274.0999999999999</v>
      </c>
      <c r="Q370" s="20">
        <v>36.9</v>
      </c>
      <c r="R370" s="20">
        <v>56.08</v>
      </c>
      <c r="S370" s="26">
        <v>56</v>
      </c>
      <c r="T370" s="26">
        <v>-0.08</v>
      </c>
      <c r="U370" s="20">
        <v>0.04</v>
      </c>
      <c r="V370" s="20">
        <v>1037.6199999999999</v>
      </c>
    </row>
    <row r="371" spans="1:22" ht="16.8" x14ac:dyDescent="0.3">
      <c r="A371" s="20">
        <v>37</v>
      </c>
      <c r="B371" s="20">
        <v>56</v>
      </c>
      <c r="C371" s="20">
        <v>55.77</v>
      </c>
      <c r="D371" s="20">
        <v>0.23</v>
      </c>
      <c r="E371" s="20">
        <v>0.02</v>
      </c>
      <c r="F371" s="20">
        <v>1290.98</v>
      </c>
      <c r="Q371" s="20">
        <v>37</v>
      </c>
      <c r="R371" s="20">
        <v>56.04</v>
      </c>
      <c r="S371" s="20">
        <v>56</v>
      </c>
      <c r="T371" s="20">
        <v>-0.04</v>
      </c>
      <c r="U371" s="26">
        <v>0.05</v>
      </c>
      <c r="V371" s="20">
        <v>1045.81</v>
      </c>
    </row>
    <row r="372" spans="1:22" ht="16.8" x14ac:dyDescent="0.3">
      <c r="A372" s="20">
        <v>37.1</v>
      </c>
      <c r="B372" s="20">
        <v>56</v>
      </c>
      <c r="C372" s="20">
        <v>55.77</v>
      </c>
      <c r="D372" s="20">
        <v>0.23</v>
      </c>
      <c r="E372" s="20">
        <v>0</v>
      </c>
      <c r="F372" s="20"/>
      <c r="Q372" s="20">
        <v>37.1</v>
      </c>
      <c r="R372" s="20">
        <v>56.02</v>
      </c>
      <c r="S372" s="26">
        <v>56</v>
      </c>
      <c r="T372" s="20">
        <v>-0.02</v>
      </c>
      <c r="U372" s="20">
        <v>0.02</v>
      </c>
      <c r="V372" s="20">
        <v>1045.8</v>
      </c>
    </row>
    <row r="373" spans="1:22" ht="16.8" x14ac:dyDescent="0.3">
      <c r="A373" s="20">
        <v>37.200000000000003</v>
      </c>
      <c r="B373" s="20">
        <v>56</v>
      </c>
      <c r="C373" s="20">
        <v>55.76</v>
      </c>
      <c r="D373" s="20">
        <v>0.24</v>
      </c>
      <c r="E373" s="20">
        <v>0.01</v>
      </c>
      <c r="F373" s="20">
        <v>1296.52</v>
      </c>
      <c r="Q373" s="20">
        <v>37.200000000000003</v>
      </c>
      <c r="R373" s="20">
        <v>56.07</v>
      </c>
      <c r="S373" s="20">
        <v>56</v>
      </c>
      <c r="T373" s="26">
        <v>-7.0000000000000007E-2</v>
      </c>
      <c r="U373" s="26">
        <v>-0.05</v>
      </c>
      <c r="V373" s="20">
        <v>1032.97</v>
      </c>
    </row>
    <row r="374" spans="1:22" ht="16.8" x14ac:dyDescent="0.3">
      <c r="A374" s="20">
        <v>37.299999999999997</v>
      </c>
      <c r="B374" s="20">
        <v>56</v>
      </c>
      <c r="C374" s="20">
        <v>55.8</v>
      </c>
      <c r="D374" s="20">
        <v>0.2</v>
      </c>
      <c r="E374" s="20">
        <v>-0.04</v>
      </c>
      <c r="F374" s="20">
        <v>1271.25</v>
      </c>
      <c r="Q374" s="20">
        <v>37.299999999999997</v>
      </c>
      <c r="R374" s="20">
        <v>56.17</v>
      </c>
      <c r="S374" s="26">
        <v>56</v>
      </c>
      <c r="T374" s="20">
        <v>-0.17</v>
      </c>
      <c r="U374" s="20">
        <v>-0.1</v>
      </c>
      <c r="V374" s="20">
        <v>1011.6</v>
      </c>
    </row>
    <row r="375" spans="1:22" ht="16.8" x14ac:dyDescent="0.3">
      <c r="A375" s="20">
        <v>37.4</v>
      </c>
      <c r="B375" s="20">
        <v>56</v>
      </c>
      <c r="C375" s="20">
        <v>55.79</v>
      </c>
      <c r="D375" s="20">
        <v>0.21</v>
      </c>
      <c r="E375" s="20">
        <v>0.01</v>
      </c>
      <c r="F375" s="20">
        <v>1276.93</v>
      </c>
      <c r="Q375" s="20">
        <v>37.4</v>
      </c>
      <c r="R375" s="20">
        <v>56.08</v>
      </c>
      <c r="S375" s="20">
        <v>56</v>
      </c>
      <c r="T375" s="26">
        <v>-0.08</v>
      </c>
      <c r="U375" s="26">
        <v>0.09</v>
      </c>
      <c r="V375" s="20">
        <v>1040.5</v>
      </c>
    </row>
    <row r="376" spans="1:22" ht="16.8" x14ac:dyDescent="0.3">
      <c r="A376" s="20">
        <v>37.5</v>
      </c>
      <c r="B376" s="20">
        <v>56</v>
      </c>
      <c r="C376" s="20">
        <v>55.81</v>
      </c>
      <c r="D376" s="20">
        <v>0.19</v>
      </c>
      <c r="E376" s="20">
        <v>-0.02</v>
      </c>
      <c r="F376" s="20">
        <v>1263.43</v>
      </c>
      <c r="Q376" s="20">
        <v>37.5</v>
      </c>
      <c r="R376" s="20">
        <v>56.07</v>
      </c>
      <c r="S376" s="26">
        <v>56</v>
      </c>
      <c r="T376" s="20">
        <v>-7.0000000000000007E-2</v>
      </c>
      <c r="U376" s="20">
        <v>0.02</v>
      </c>
      <c r="V376" s="20">
        <v>1037.24</v>
      </c>
    </row>
    <row r="377" spans="1:22" ht="16.8" x14ac:dyDescent="0.3">
      <c r="A377" s="20">
        <v>37.6</v>
      </c>
      <c r="B377" s="20">
        <v>56</v>
      </c>
      <c r="C377" s="20">
        <v>55.83</v>
      </c>
      <c r="D377" s="20">
        <v>0.17</v>
      </c>
      <c r="E377" s="20">
        <v>-0.02</v>
      </c>
      <c r="F377" s="20">
        <v>1252.8900000000001</v>
      </c>
      <c r="Q377" s="20">
        <v>37.6</v>
      </c>
      <c r="R377" s="20">
        <v>56.04</v>
      </c>
      <c r="S377" s="20">
        <v>56</v>
      </c>
      <c r="T377" s="26">
        <v>-0.04</v>
      </c>
      <c r="U377" s="26">
        <v>0.02</v>
      </c>
      <c r="V377" s="20">
        <v>1041.58</v>
      </c>
    </row>
    <row r="378" spans="1:22" ht="16.8" x14ac:dyDescent="0.3">
      <c r="A378" s="20">
        <v>37.700000000000003</v>
      </c>
      <c r="B378" s="20">
        <v>56</v>
      </c>
      <c r="C378" s="20">
        <v>55.81</v>
      </c>
      <c r="D378" s="20">
        <v>0.19</v>
      </c>
      <c r="E378" s="20">
        <v>0.02</v>
      </c>
      <c r="F378" s="20">
        <v>1265.98</v>
      </c>
      <c r="Q378" s="20">
        <v>37.700000000000003</v>
      </c>
      <c r="R378" s="20">
        <v>56.07</v>
      </c>
      <c r="S378" s="26">
        <v>56</v>
      </c>
      <c r="T378" s="20">
        <v>-7.0000000000000007E-2</v>
      </c>
      <c r="U378" s="20">
        <v>-0.02</v>
      </c>
      <c r="V378" s="20">
        <v>1033.83</v>
      </c>
    </row>
    <row r="379" spans="1:22" ht="16.8" x14ac:dyDescent="0.3">
      <c r="A379" s="20">
        <v>37.799999999999997</v>
      </c>
      <c r="B379" s="20">
        <v>56</v>
      </c>
      <c r="C379" s="20">
        <v>55.81</v>
      </c>
      <c r="D379" s="20">
        <v>0.19</v>
      </c>
      <c r="E379" s="20">
        <v>0</v>
      </c>
      <c r="F379" s="20">
        <v>1265.98</v>
      </c>
      <c r="Q379" s="20">
        <v>37.799999999999997</v>
      </c>
      <c r="R379" s="20">
        <v>55.99</v>
      </c>
      <c r="S379" s="20">
        <v>56</v>
      </c>
      <c r="T379" s="26">
        <v>0.01</v>
      </c>
      <c r="U379" s="20">
        <v>7.0000000000000007E-2</v>
      </c>
      <c r="V379" s="20">
        <v>1052.8599999999999</v>
      </c>
    </row>
    <row r="380" spans="1:22" ht="16.8" x14ac:dyDescent="0.3">
      <c r="A380" s="20">
        <v>37.9</v>
      </c>
      <c r="B380" s="20">
        <v>56</v>
      </c>
      <c r="C380" s="20">
        <v>55.81</v>
      </c>
      <c r="D380" s="20">
        <v>0.19</v>
      </c>
      <c r="E380" s="20">
        <v>0</v>
      </c>
      <c r="F380" s="20">
        <v>1265.98</v>
      </c>
      <c r="Q380" s="20">
        <v>37.9</v>
      </c>
      <c r="R380" s="20">
        <v>56.05</v>
      </c>
      <c r="S380" s="26">
        <v>56</v>
      </c>
      <c r="T380" s="20">
        <v>-0.05</v>
      </c>
      <c r="U380" s="26">
        <v>-0.06</v>
      </c>
      <c r="V380" s="20">
        <v>1033.76</v>
      </c>
    </row>
    <row r="381" spans="1:22" ht="16.8" x14ac:dyDescent="0.3">
      <c r="A381" s="20">
        <v>38</v>
      </c>
      <c r="B381" s="20">
        <v>56</v>
      </c>
      <c r="C381" s="20">
        <v>55.83</v>
      </c>
      <c r="D381" s="20">
        <v>0.17</v>
      </c>
      <c r="E381" s="20">
        <v>-0.02</v>
      </c>
      <c r="F381" s="20">
        <v>1252.8900000000001</v>
      </c>
      <c r="Q381" s="20">
        <v>38</v>
      </c>
      <c r="R381" s="20">
        <v>56.07</v>
      </c>
      <c r="S381" s="26">
        <v>56</v>
      </c>
      <c r="T381" s="20">
        <v>-7.0000000000000007E-2</v>
      </c>
      <c r="U381" s="20">
        <v>-0.02</v>
      </c>
      <c r="V381" s="20">
        <v>1034.19</v>
      </c>
    </row>
    <row r="382" spans="1:22" ht="16.8" x14ac:dyDescent="0.3">
      <c r="A382" s="20">
        <v>38.1</v>
      </c>
      <c r="B382" s="20">
        <v>56</v>
      </c>
      <c r="C382" s="20">
        <v>55.83</v>
      </c>
      <c r="D382" s="20">
        <v>0.17</v>
      </c>
      <c r="E382" s="20">
        <v>-0.01</v>
      </c>
      <c r="F382" s="20">
        <v>1247.43</v>
      </c>
      <c r="Q382" s="20">
        <v>38.1</v>
      </c>
      <c r="R382" s="20">
        <v>56.02</v>
      </c>
      <c r="S382" s="20">
        <v>56</v>
      </c>
      <c r="T382" s="26">
        <v>-0.02</v>
      </c>
      <c r="U382" s="26">
        <v>0.05</v>
      </c>
      <c r="V382" s="20">
        <v>1046.82</v>
      </c>
    </row>
    <row r="383" spans="1:22" ht="16.8" x14ac:dyDescent="0.3">
      <c r="A383" s="20">
        <v>38.200000000000003</v>
      </c>
      <c r="B383" s="20">
        <v>56</v>
      </c>
      <c r="C383" s="20">
        <v>55.8</v>
      </c>
      <c r="D383" s="20">
        <v>0.2</v>
      </c>
      <c r="E383" s="20">
        <v>0.04</v>
      </c>
      <c r="F383" s="20">
        <v>1271.25</v>
      </c>
      <c r="Q383" s="20">
        <v>38.200000000000003</v>
      </c>
      <c r="R383" s="20">
        <v>56.07</v>
      </c>
      <c r="S383" s="26">
        <v>56</v>
      </c>
      <c r="T383" s="20">
        <v>-7.0000000000000007E-2</v>
      </c>
      <c r="U383" s="20">
        <v>-0.05</v>
      </c>
      <c r="V383" s="20">
        <v>1031.47</v>
      </c>
    </row>
    <row r="384" spans="1:22" ht="16.8" x14ac:dyDescent="0.3">
      <c r="A384" s="20">
        <v>38.299999999999997</v>
      </c>
      <c r="B384" s="20">
        <v>56</v>
      </c>
      <c r="C384" s="20">
        <v>55.85</v>
      </c>
      <c r="D384" s="20">
        <v>0.15</v>
      </c>
      <c r="E384" s="20">
        <v>-0.06</v>
      </c>
      <c r="F384" s="20">
        <v>1233.24</v>
      </c>
      <c r="Q384" s="20">
        <v>38.299999999999997</v>
      </c>
      <c r="R384" s="20">
        <v>56.04</v>
      </c>
      <c r="S384" s="20">
        <v>56</v>
      </c>
      <c r="T384" s="26">
        <v>-0.04</v>
      </c>
      <c r="U384" s="26">
        <v>0.03</v>
      </c>
      <c r="V384" s="20">
        <v>1042.77</v>
      </c>
    </row>
    <row r="385" spans="1:22" ht="16.8" x14ac:dyDescent="0.3">
      <c r="A385" s="20">
        <v>38.4</v>
      </c>
      <c r="B385" s="20">
        <v>56</v>
      </c>
      <c r="C385" s="20">
        <v>55.87</v>
      </c>
      <c r="D385" s="20">
        <v>0.13</v>
      </c>
      <c r="E385" s="20">
        <v>-0.01</v>
      </c>
      <c r="F385" s="20">
        <v>1224.31</v>
      </c>
      <c r="Q385" s="20">
        <v>38.4</v>
      </c>
      <c r="R385" s="20">
        <v>56.04</v>
      </c>
      <c r="S385" s="26">
        <v>56</v>
      </c>
      <c r="T385" s="20">
        <v>-0.04</v>
      </c>
      <c r="U385" s="20">
        <v>-0.01</v>
      </c>
      <c r="V385" s="20">
        <v>1038.26</v>
      </c>
    </row>
    <row r="386" spans="1:22" ht="16.8" x14ac:dyDescent="0.3">
      <c r="A386" s="20">
        <v>38.5</v>
      </c>
      <c r="B386" s="20">
        <v>56</v>
      </c>
      <c r="C386" s="20">
        <v>55.85</v>
      </c>
      <c r="D386" s="20">
        <v>0.15</v>
      </c>
      <c r="E386" s="20">
        <v>0.01</v>
      </c>
      <c r="F386" s="20">
        <v>1233.24</v>
      </c>
      <c r="Q386" s="20">
        <v>38.5</v>
      </c>
      <c r="R386" s="20">
        <v>56.02</v>
      </c>
      <c r="S386" s="20">
        <v>56</v>
      </c>
      <c r="T386" s="26">
        <v>-0.02</v>
      </c>
      <c r="U386" s="26">
        <v>0.02</v>
      </c>
      <c r="V386" s="20">
        <v>1044.55</v>
      </c>
    </row>
    <row r="387" spans="1:22" ht="16.8" x14ac:dyDescent="0.3">
      <c r="A387" s="20">
        <v>38.6</v>
      </c>
      <c r="B387" s="20">
        <v>56</v>
      </c>
      <c r="C387" s="20">
        <v>55.8</v>
      </c>
      <c r="D387" s="20">
        <v>0.2</v>
      </c>
      <c r="E387" s="20">
        <v>0.06</v>
      </c>
      <c r="F387" s="20">
        <v>1271.25</v>
      </c>
      <c r="Q387" s="20">
        <v>38.6</v>
      </c>
      <c r="R387" s="20">
        <v>56.06</v>
      </c>
      <c r="S387" s="26">
        <v>56</v>
      </c>
      <c r="T387" s="20">
        <v>-0.06</v>
      </c>
      <c r="U387" s="20">
        <v>-0.04</v>
      </c>
      <c r="V387" s="20">
        <v>1033.01</v>
      </c>
    </row>
    <row r="388" spans="1:22" ht="16.8" x14ac:dyDescent="0.3">
      <c r="A388" s="20">
        <v>38.700000000000003</v>
      </c>
      <c r="B388" s="20">
        <v>56</v>
      </c>
      <c r="C388" s="20">
        <v>55.8</v>
      </c>
      <c r="D388" s="20">
        <v>0.2</v>
      </c>
      <c r="E388" s="20">
        <v>0</v>
      </c>
      <c r="F388" s="20">
        <v>1268.51</v>
      </c>
      <c r="Q388" s="20">
        <v>38.700000000000003</v>
      </c>
      <c r="R388" s="20">
        <v>56.06</v>
      </c>
      <c r="S388" s="20">
        <v>56</v>
      </c>
      <c r="T388" s="26">
        <v>-0.06</v>
      </c>
      <c r="U388" s="20">
        <v>0</v>
      </c>
      <c r="V388" s="20">
        <v>1036.01</v>
      </c>
    </row>
    <row r="389" spans="1:22" ht="16.8" x14ac:dyDescent="0.3">
      <c r="A389" s="20">
        <v>38.799999999999997</v>
      </c>
      <c r="B389" s="20">
        <v>56</v>
      </c>
      <c r="C389" s="20">
        <v>55.82</v>
      </c>
      <c r="D389" s="20">
        <v>0.18</v>
      </c>
      <c r="E389" s="20">
        <v>-0.02</v>
      </c>
      <c r="F389" s="20">
        <v>1258.22</v>
      </c>
      <c r="Q389" s="20">
        <v>38.799999999999997</v>
      </c>
      <c r="R389" s="20">
        <v>55.99</v>
      </c>
      <c r="S389" s="26">
        <v>56</v>
      </c>
      <c r="T389" s="20">
        <v>0.01</v>
      </c>
      <c r="U389" s="26">
        <v>0.06</v>
      </c>
      <c r="V389" s="20">
        <v>1051.25</v>
      </c>
    </row>
    <row r="390" spans="1:22" ht="16.8" x14ac:dyDescent="0.3">
      <c r="A390" s="20">
        <v>38.9</v>
      </c>
      <c r="B390" s="20">
        <v>56</v>
      </c>
      <c r="C390" s="20">
        <v>55.82</v>
      </c>
      <c r="D390" s="20">
        <v>0.18</v>
      </c>
      <c r="E390" s="20">
        <v>0</v>
      </c>
      <c r="F390" s="20">
        <v>1255.56</v>
      </c>
      <c r="Q390" s="20">
        <v>38.9</v>
      </c>
      <c r="R390" s="20">
        <v>56.04</v>
      </c>
      <c r="S390" s="20">
        <v>56</v>
      </c>
      <c r="T390" s="26">
        <v>-0.04</v>
      </c>
      <c r="U390" s="20">
        <v>-0.05</v>
      </c>
      <c r="V390" s="20">
        <v>1034.7</v>
      </c>
    </row>
    <row r="391" spans="1:22" ht="16.8" x14ac:dyDescent="0.3">
      <c r="A391" s="20">
        <v>39</v>
      </c>
      <c r="B391" s="20">
        <v>56</v>
      </c>
      <c r="C391" s="20">
        <v>55.79</v>
      </c>
      <c r="D391" s="20">
        <v>0.21</v>
      </c>
      <c r="E391" s="20">
        <v>0.04</v>
      </c>
      <c r="F391" s="20">
        <v>1279.77</v>
      </c>
      <c r="Q391" s="20">
        <v>39</v>
      </c>
      <c r="R391" s="20">
        <v>56.01</v>
      </c>
      <c r="S391" s="26">
        <v>56</v>
      </c>
      <c r="T391" s="20">
        <v>-0.01</v>
      </c>
      <c r="U391" s="26">
        <v>0.03</v>
      </c>
      <c r="V391" s="20">
        <v>1046.06</v>
      </c>
    </row>
    <row r="392" spans="1:22" ht="16.8" x14ac:dyDescent="0.3">
      <c r="A392" s="20">
        <v>39.1</v>
      </c>
      <c r="B392" s="20">
        <v>56</v>
      </c>
      <c r="C392" s="20">
        <v>55.81</v>
      </c>
      <c r="D392" s="20">
        <v>0.19</v>
      </c>
      <c r="E392" s="20">
        <v>-0.03</v>
      </c>
      <c r="F392" s="20">
        <v>1260.83</v>
      </c>
      <c r="Q392" s="20">
        <v>39.1</v>
      </c>
      <c r="R392" s="20">
        <v>56.04</v>
      </c>
      <c r="S392" s="20">
        <v>56</v>
      </c>
      <c r="T392" s="26">
        <v>-0.04</v>
      </c>
      <c r="U392" s="20">
        <v>-0.02</v>
      </c>
      <c r="V392" s="20">
        <v>1037.75</v>
      </c>
    </row>
    <row r="393" spans="1:22" ht="16.8" x14ac:dyDescent="0.3">
      <c r="A393" s="20">
        <v>39.200000000000003</v>
      </c>
      <c r="B393" s="20">
        <v>56</v>
      </c>
      <c r="C393" s="20">
        <v>55.84</v>
      </c>
      <c r="D393" s="20">
        <v>0.16</v>
      </c>
      <c r="E393" s="20">
        <v>-0.02</v>
      </c>
      <c r="F393" s="20">
        <v>1244.6500000000001</v>
      </c>
      <c r="Q393" s="20">
        <v>39.200000000000003</v>
      </c>
      <c r="R393" s="20">
        <v>55.99</v>
      </c>
      <c r="S393" s="26">
        <v>56</v>
      </c>
      <c r="T393" s="20">
        <v>0.01</v>
      </c>
      <c r="U393" s="26">
        <v>0.04</v>
      </c>
      <c r="V393" s="20">
        <v>1049.1600000000001</v>
      </c>
    </row>
    <row r="394" spans="1:22" ht="16.8" x14ac:dyDescent="0.3">
      <c r="A394" s="20">
        <v>39.299999999999997</v>
      </c>
      <c r="B394" s="20">
        <v>56</v>
      </c>
      <c r="C394" s="20">
        <v>55.83</v>
      </c>
      <c r="D394" s="20">
        <v>0.17</v>
      </c>
      <c r="E394" s="20">
        <v>0.01</v>
      </c>
      <c r="F394" s="20">
        <v>1250.17</v>
      </c>
      <c r="Q394" s="20">
        <v>39.299999999999997</v>
      </c>
      <c r="R394" s="20">
        <v>55.97</v>
      </c>
      <c r="S394" s="20">
        <v>56</v>
      </c>
      <c r="T394" s="20">
        <v>0.03</v>
      </c>
      <c r="U394" s="20">
        <v>0.02</v>
      </c>
      <c r="V394" s="20">
        <v>1051.8</v>
      </c>
    </row>
    <row r="395" spans="1:22" ht="16.8" x14ac:dyDescent="0.3">
      <c r="A395" s="20">
        <v>39.4</v>
      </c>
      <c r="B395" s="20">
        <v>56</v>
      </c>
      <c r="C395" s="20">
        <v>55.85</v>
      </c>
      <c r="D395" s="20">
        <v>0.15</v>
      </c>
      <c r="E395" s="20">
        <v>-0.02</v>
      </c>
      <c r="F395" s="20">
        <v>1233.24</v>
      </c>
      <c r="Q395" s="20">
        <v>39.4</v>
      </c>
      <c r="R395" s="20">
        <v>56.03</v>
      </c>
      <c r="S395" s="20">
        <v>56</v>
      </c>
      <c r="T395" s="26">
        <v>-0.03</v>
      </c>
      <c r="U395" s="26">
        <v>-0.06</v>
      </c>
      <c r="V395" s="20">
        <v>1036.53</v>
      </c>
    </row>
    <row r="396" spans="1:22" ht="16.8" x14ac:dyDescent="0.3">
      <c r="A396" s="20">
        <v>39.5</v>
      </c>
      <c r="B396" s="20">
        <v>56</v>
      </c>
      <c r="C396" s="20">
        <v>55.84</v>
      </c>
      <c r="D396" s="20">
        <v>0.16</v>
      </c>
      <c r="E396" s="20">
        <v>0.01</v>
      </c>
      <c r="F396" s="20">
        <v>1241.8499999999999</v>
      </c>
      <c r="Q396" s="20">
        <v>39.5</v>
      </c>
      <c r="R396" s="20">
        <v>56.04</v>
      </c>
      <c r="S396" s="26">
        <v>56</v>
      </c>
      <c r="T396" s="20">
        <v>-0.04</v>
      </c>
      <c r="U396" s="20">
        <v>-0.02</v>
      </c>
      <c r="V396" s="20">
        <v>1037.02</v>
      </c>
    </row>
    <row r="397" spans="1:22" ht="16.8" x14ac:dyDescent="0.3">
      <c r="A397" s="20">
        <v>39.6</v>
      </c>
      <c r="B397" s="20">
        <v>56</v>
      </c>
      <c r="C397" s="20">
        <v>55.8</v>
      </c>
      <c r="D397" s="20">
        <v>0.2</v>
      </c>
      <c r="E397" s="20">
        <v>0.04</v>
      </c>
      <c r="F397" s="20">
        <v>1268.51</v>
      </c>
      <c r="Q397" s="20">
        <v>39.6</v>
      </c>
      <c r="R397" s="20">
        <v>56.08</v>
      </c>
      <c r="S397" s="20">
        <v>56</v>
      </c>
      <c r="T397" s="26">
        <v>-0.08</v>
      </c>
      <c r="U397" s="26">
        <v>-0.03</v>
      </c>
      <c r="V397" s="20">
        <v>1030.48</v>
      </c>
    </row>
    <row r="398" spans="1:22" ht="16.8" x14ac:dyDescent="0.3">
      <c r="A398" s="20">
        <v>39.700000000000003</v>
      </c>
      <c r="B398" s="20">
        <v>56</v>
      </c>
      <c r="C398" s="20">
        <v>55.84</v>
      </c>
      <c r="D398" s="20">
        <v>0.16</v>
      </c>
      <c r="E398" s="20">
        <v>-0.04</v>
      </c>
      <c r="F398" s="20">
        <v>1244.6500000000001</v>
      </c>
      <c r="Q398" s="20">
        <v>39.700000000000003</v>
      </c>
      <c r="R398" s="20">
        <v>55.96</v>
      </c>
      <c r="S398" s="26">
        <v>56</v>
      </c>
      <c r="T398" s="20">
        <v>0.04</v>
      </c>
      <c r="U398" s="20">
        <v>0.11</v>
      </c>
      <c r="V398" s="20">
        <v>1059.73</v>
      </c>
    </row>
    <row r="399" spans="1:22" ht="16.8" x14ac:dyDescent="0.3">
      <c r="A399" s="20">
        <v>39.799999999999997</v>
      </c>
      <c r="B399" s="20">
        <v>56</v>
      </c>
      <c r="C399" s="20">
        <v>55.82</v>
      </c>
      <c r="D399" s="20">
        <v>0.18</v>
      </c>
      <c r="E399" s="20">
        <v>0.02</v>
      </c>
      <c r="F399" s="20">
        <v>1258.22</v>
      </c>
      <c r="Q399" s="20">
        <v>39.799999999999997</v>
      </c>
      <c r="R399" s="20">
        <v>56.04</v>
      </c>
      <c r="S399" s="26">
        <v>56</v>
      </c>
      <c r="T399" s="20">
        <v>-0.04</v>
      </c>
      <c r="U399" s="20">
        <v>-0.08</v>
      </c>
      <c r="V399" s="20">
        <v>1031.8</v>
      </c>
    </row>
    <row r="400" spans="1:22" ht="16.8" x14ac:dyDescent="0.3">
      <c r="A400" s="20">
        <v>39.9</v>
      </c>
      <c r="B400" s="20">
        <v>56</v>
      </c>
      <c r="C400" s="20">
        <v>55.83</v>
      </c>
      <c r="D400" s="20">
        <v>0.17</v>
      </c>
      <c r="E400" s="20">
        <v>-0.01</v>
      </c>
      <c r="F400" s="20">
        <v>1252.8900000000001</v>
      </c>
      <c r="Q400" s="20">
        <v>39.9</v>
      </c>
      <c r="R400" s="20">
        <v>56.01</v>
      </c>
      <c r="S400" s="20">
        <v>56</v>
      </c>
      <c r="T400" s="26">
        <v>-0.01</v>
      </c>
      <c r="U400" s="26">
        <v>0.03</v>
      </c>
      <c r="V400" s="20">
        <v>1045.67</v>
      </c>
    </row>
    <row r="401" spans="1:22" ht="16.8" x14ac:dyDescent="0.3">
      <c r="A401" s="20">
        <v>40</v>
      </c>
      <c r="B401" s="20">
        <v>56</v>
      </c>
      <c r="C401" s="20">
        <v>55.82</v>
      </c>
      <c r="D401" s="20">
        <v>0.18</v>
      </c>
      <c r="E401" s="20">
        <v>0.01</v>
      </c>
      <c r="F401" s="20">
        <v>1258.22</v>
      </c>
      <c r="Q401" s="20">
        <v>40</v>
      </c>
      <c r="R401" s="20">
        <v>56.04</v>
      </c>
      <c r="S401" s="20">
        <v>56</v>
      </c>
      <c r="T401" s="20">
        <v>-0.04</v>
      </c>
      <c r="U401" s="20">
        <v>-0.02</v>
      </c>
      <c r="V401" s="20">
        <v>1037.3599999999999</v>
      </c>
    </row>
    <row r="402" spans="1:22" ht="16.8" x14ac:dyDescent="0.3">
      <c r="A402" s="20">
        <v>40.1</v>
      </c>
      <c r="B402" s="20">
        <v>56</v>
      </c>
      <c r="C402" s="20">
        <v>55.82</v>
      </c>
      <c r="D402" s="20">
        <v>0.18</v>
      </c>
      <c r="E402" s="20">
        <v>0</v>
      </c>
      <c r="F402" s="20">
        <v>1255.56</v>
      </c>
      <c r="Q402" s="20">
        <v>40.1</v>
      </c>
      <c r="R402" s="20">
        <v>56</v>
      </c>
      <c r="S402" s="26">
        <v>56</v>
      </c>
      <c r="T402" s="26">
        <v>0</v>
      </c>
      <c r="U402" s="26">
        <v>0.03</v>
      </c>
      <c r="V402" s="20">
        <v>1046.8499999999999</v>
      </c>
    </row>
    <row r="403" spans="1:22" ht="16.8" x14ac:dyDescent="0.3">
      <c r="A403" s="20">
        <v>40.200000000000003</v>
      </c>
      <c r="B403" s="20">
        <v>56</v>
      </c>
      <c r="C403" s="20">
        <v>55.77</v>
      </c>
      <c r="D403" s="20">
        <v>0.23</v>
      </c>
      <c r="E403" s="20">
        <v>0.05</v>
      </c>
      <c r="F403" s="20">
        <v>1288.18</v>
      </c>
      <c r="Q403" s="20">
        <v>40.200000000000003</v>
      </c>
      <c r="R403" s="20">
        <v>56.02</v>
      </c>
      <c r="S403" s="20">
        <v>56</v>
      </c>
      <c r="T403" s="20">
        <v>-0.02</v>
      </c>
      <c r="U403" s="20">
        <v>-0.02</v>
      </c>
      <c r="V403" s="20">
        <v>1040.49</v>
      </c>
    </row>
    <row r="404" spans="1:22" ht="16.8" x14ac:dyDescent="0.3">
      <c r="A404" s="20">
        <v>40.299999999999997</v>
      </c>
      <c r="B404" s="20">
        <v>56</v>
      </c>
      <c r="C404" s="20">
        <v>55.8</v>
      </c>
      <c r="D404" s="20">
        <v>0.2</v>
      </c>
      <c r="E404" s="20">
        <v>-0.03</v>
      </c>
      <c r="F404" s="20">
        <v>1268.51</v>
      </c>
      <c r="Q404" s="20">
        <v>40.299999999999997</v>
      </c>
      <c r="R404" s="20">
        <v>56</v>
      </c>
      <c r="S404" s="26">
        <v>56</v>
      </c>
      <c r="T404" s="26">
        <v>0</v>
      </c>
      <c r="U404" s="20">
        <v>0.02</v>
      </c>
      <c r="V404" s="20">
        <v>1045.54</v>
      </c>
    </row>
    <row r="405" spans="1:22" ht="16.8" x14ac:dyDescent="0.3">
      <c r="A405" s="20">
        <v>40.4</v>
      </c>
      <c r="B405" s="20">
        <v>56</v>
      </c>
      <c r="C405" s="20">
        <v>55.83</v>
      </c>
      <c r="D405" s="20">
        <v>0.17</v>
      </c>
      <c r="E405" s="20">
        <v>-0.03</v>
      </c>
      <c r="F405" s="20">
        <v>1247.43</v>
      </c>
      <c r="Q405" s="20">
        <v>40.4</v>
      </c>
      <c r="R405" s="20">
        <v>56.07</v>
      </c>
      <c r="S405" s="26">
        <v>56</v>
      </c>
      <c r="T405" s="20">
        <v>-7.0000000000000007E-2</v>
      </c>
      <c r="U405" s="26">
        <v>-0.06</v>
      </c>
      <c r="V405" s="20">
        <v>1028.9100000000001</v>
      </c>
    </row>
    <row r="406" spans="1:22" ht="16.8" x14ac:dyDescent="0.3">
      <c r="A406" s="20">
        <v>40.5</v>
      </c>
      <c r="B406" s="20">
        <v>56</v>
      </c>
      <c r="C406" s="20">
        <v>55.86</v>
      </c>
      <c r="D406" s="20">
        <v>0.14000000000000001</v>
      </c>
      <c r="E406" s="20">
        <v>-0.03</v>
      </c>
      <c r="F406" s="20">
        <v>1227.32</v>
      </c>
      <c r="Q406" s="20">
        <v>40.5</v>
      </c>
      <c r="R406" s="20">
        <v>56.02</v>
      </c>
      <c r="S406" s="20">
        <v>56</v>
      </c>
      <c r="T406" s="26">
        <v>-0.02</v>
      </c>
      <c r="U406" s="20">
        <v>0.05</v>
      </c>
      <c r="V406" s="20">
        <v>1045.31</v>
      </c>
    </row>
    <row r="407" spans="1:22" ht="16.8" x14ac:dyDescent="0.3">
      <c r="A407" s="20">
        <v>40.6</v>
      </c>
      <c r="B407" s="20">
        <v>56</v>
      </c>
      <c r="C407" s="20">
        <v>55.84</v>
      </c>
      <c r="D407" s="20">
        <v>0.16</v>
      </c>
      <c r="E407" s="20">
        <v>0.02</v>
      </c>
      <c r="F407" s="20">
        <v>1241.8499999999999</v>
      </c>
      <c r="Q407" s="20">
        <v>40.6</v>
      </c>
      <c r="R407" s="20">
        <v>56.06</v>
      </c>
      <c r="S407" s="26">
        <v>56</v>
      </c>
      <c r="T407" s="20">
        <v>-0.06</v>
      </c>
      <c r="U407" s="26">
        <v>-0.04</v>
      </c>
      <c r="V407" s="20">
        <v>1031.8800000000001</v>
      </c>
    </row>
    <row r="408" spans="1:22" ht="16.8" x14ac:dyDescent="0.3">
      <c r="A408" s="20">
        <v>40.700000000000003</v>
      </c>
      <c r="B408" s="20">
        <v>56</v>
      </c>
      <c r="C408" s="20">
        <v>55.87</v>
      </c>
      <c r="D408" s="20">
        <v>0.13</v>
      </c>
      <c r="E408" s="20">
        <v>-0.02</v>
      </c>
      <c r="F408" s="20">
        <v>1224.31</v>
      </c>
      <c r="Q408" s="20">
        <v>40.700000000000003</v>
      </c>
      <c r="R408" s="20">
        <v>56.01</v>
      </c>
      <c r="S408" s="20">
        <v>56</v>
      </c>
      <c r="T408" s="20">
        <v>-0.01</v>
      </c>
      <c r="U408" s="20">
        <v>0.05</v>
      </c>
      <c r="V408" s="20">
        <v>1046.42</v>
      </c>
    </row>
    <row r="409" spans="1:22" ht="16.8" x14ac:dyDescent="0.3">
      <c r="A409" s="20">
        <v>40.799999999999997</v>
      </c>
      <c r="B409" s="20">
        <v>56</v>
      </c>
      <c r="C409" s="20">
        <v>55.86</v>
      </c>
      <c r="D409" s="20">
        <v>0.14000000000000001</v>
      </c>
      <c r="E409" s="20">
        <v>0.01</v>
      </c>
      <c r="F409" s="20">
        <v>1230.3</v>
      </c>
      <c r="Q409" s="20">
        <v>40.799999999999997</v>
      </c>
      <c r="R409" s="20">
        <v>56.07</v>
      </c>
      <c r="S409" s="26">
        <v>56</v>
      </c>
      <c r="T409" s="26">
        <v>-7.0000000000000007E-2</v>
      </c>
      <c r="U409" s="26">
        <v>-0.06</v>
      </c>
      <c r="V409" s="20">
        <v>1029.1600000000001</v>
      </c>
    </row>
    <row r="410" spans="1:22" ht="16.8" x14ac:dyDescent="0.3">
      <c r="A410" s="20">
        <v>40.9</v>
      </c>
      <c r="B410" s="20">
        <v>56</v>
      </c>
      <c r="C410" s="20">
        <v>55.85</v>
      </c>
      <c r="D410" s="20">
        <v>0.15</v>
      </c>
      <c r="E410" s="20">
        <v>0.01</v>
      </c>
      <c r="F410" s="20">
        <v>1236.1400000000001</v>
      </c>
      <c r="Q410" s="20">
        <v>40.9</v>
      </c>
      <c r="R410" s="20">
        <v>56.05</v>
      </c>
      <c r="S410" s="20">
        <v>56</v>
      </c>
      <c r="T410" s="20">
        <v>-0.05</v>
      </c>
      <c r="U410" s="20">
        <v>0.02</v>
      </c>
      <c r="V410" s="20">
        <v>1037.25</v>
      </c>
    </row>
    <row r="411" spans="1:22" ht="16.8" x14ac:dyDescent="0.3">
      <c r="A411" s="20">
        <v>41</v>
      </c>
      <c r="B411" s="20">
        <v>56</v>
      </c>
      <c r="C411" s="20">
        <v>55.83</v>
      </c>
      <c r="D411" s="20">
        <v>0.17</v>
      </c>
      <c r="E411" s="20">
        <v>0.02</v>
      </c>
      <c r="F411" s="20">
        <v>1250.17</v>
      </c>
      <c r="Q411" s="20">
        <v>41</v>
      </c>
      <c r="R411" s="20">
        <v>56.07</v>
      </c>
      <c r="S411" s="20">
        <v>56</v>
      </c>
      <c r="T411" s="26">
        <v>-7.0000000000000007E-2</v>
      </c>
      <c r="U411" s="26">
        <v>-0.02</v>
      </c>
      <c r="V411" s="20">
        <v>1032.03</v>
      </c>
    </row>
    <row r="412" spans="1:22" ht="16.8" x14ac:dyDescent="0.3">
      <c r="A412" s="20">
        <v>41.1</v>
      </c>
      <c r="B412" s="20">
        <v>56</v>
      </c>
      <c r="C412" s="20">
        <v>55.81</v>
      </c>
      <c r="D412" s="20">
        <v>0.19</v>
      </c>
      <c r="E412" s="20">
        <v>0.02</v>
      </c>
      <c r="F412" s="20">
        <v>1263.43</v>
      </c>
      <c r="Q412" s="20">
        <v>41.1</v>
      </c>
      <c r="R412" s="20">
        <v>56.01</v>
      </c>
      <c r="S412" s="26">
        <v>56</v>
      </c>
      <c r="T412" s="20">
        <v>-0.01</v>
      </c>
      <c r="U412" s="20">
        <v>0.06</v>
      </c>
      <c r="V412" s="20">
        <v>1046.58</v>
      </c>
    </row>
    <row r="413" spans="1:22" ht="16.8" x14ac:dyDescent="0.3">
      <c r="A413" s="20">
        <v>41.2</v>
      </c>
      <c r="B413" s="20">
        <v>56</v>
      </c>
      <c r="C413" s="20">
        <v>55.85</v>
      </c>
      <c r="D413" s="20">
        <v>0.15</v>
      </c>
      <c r="E413" s="20">
        <v>-0.04</v>
      </c>
      <c r="F413" s="20">
        <v>1239.01</v>
      </c>
      <c r="Q413" s="20">
        <v>41.2</v>
      </c>
      <c r="R413" s="20">
        <v>56</v>
      </c>
      <c r="S413" s="20">
        <v>56</v>
      </c>
      <c r="T413" s="26">
        <v>0</v>
      </c>
      <c r="U413" s="26">
        <v>0.01</v>
      </c>
      <c r="V413" s="20">
        <v>1044.07</v>
      </c>
    </row>
    <row r="414" spans="1:22" ht="16.8" x14ac:dyDescent="0.3">
      <c r="A414" s="20">
        <v>41.3</v>
      </c>
      <c r="B414" s="20">
        <v>56</v>
      </c>
      <c r="C414" s="20">
        <v>55.79</v>
      </c>
      <c r="D414" s="20">
        <v>0.21</v>
      </c>
      <c r="E414" s="20">
        <v>0.05</v>
      </c>
      <c r="F414" s="20">
        <v>1274.0999999999999</v>
      </c>
      <c r="Q414" s="20">
        <v>41.3</v>
      </c>
      <c r="R414" s="20">
        <v>56</v>
      </c>
      <c r="S414" s="26">
        <v>56</v>
      </c>
      <c r="T414" s="20">
        <v>0</v>
      </c>
      <c r="U414" s="20">
        <v>0</v>
      </c>
      <c r="V414" s="20">
        <v>1043.44</v>
      </c>
    </row>
    <row r="415" spans="1:22" ht="16.8" x14ac:dyDescent="0.3">
      <c r="A415" s="20">
        <v>41.4</v>
      </c>
      <c r="B415" s="20">
        <v>56</v>
      </c>
      <c r="C415" s="20">
        <v>55.85</v>
      </c>
      <c r="D415" s="20">
        <v>0.15</v>
      </c>
      <c r="E415" s="20">
        <v>-0.06</v>
      </c>
      <c r="F415" s="20">
        <v>1233.24</v>
      </c>
      <c r="Q415" s="20">
        <v>41.4</v>
      </c>
      <c r="R415" s="20">
        <v>56.06</v>
      </c>
      <c r="S415" s="26">
        <v>56</v>
      </c>
      <c r="T415" s="26">
        <v>-0.06</v>
      </c>
      <c r="U415" s="20">
        <v>-0.06</v>
      </c>
      <c r="V415" s="20">
        <v>1029.98</v>
      </c>
    </row>
    <row r="416" spans="1:22" ht="16.8" x14ac:dyDescent="0.3">
      <c r="A416" s="20">
        <v>41.5</v>
      </c>
      <c r="B416" s="20">
        <v>56</v>
      </c>
      <c r="C416" s="20">
        <v>55.8</v>
      </c>
      <c r="D416" s="20">
        <v>0.2</v>
      </c>
      <c r="E416" s="20">
        <v>0.05</v>
      </c>
      <c r="F416" s="20">
        <v>1268.51</v>
      </c>
      <c r="Q416" s="20">
        <v>41.5</v>
      </c>
      <c r="R416" s="20">
        <v>56.05</v>
      </c>
      <c r="S416" s="20">
        <v>56</v>
      </c>
      <c r="T416" s="20">
        <v>-0.05</v>
      </c>
      <c r="U416" s="26">
        <v>0.01</v>
      </c>
      <c r="V416" s="20">
        <v>1036.1600000000001</v>
      </c>
    </row>
    <row r="417" spans="1:22" ht="16.8" x14ac:dyDescent="0.3">
      <c r="A417" s="20">
        <v>41.6</v>
      </c>
      <c r="B417" s="20">
        <v>56</v>
      </c>
      <c r="C417" s="20">
        <v>55.84</v>
      </c>
      <c r="D417" s="20">
        <v>0.16</v>
      </c>
      <c r="E417" s="20">
        <v>-0.04</v>
      </c>
      <c r="F417" s="20">
        <v>1244.6500000000001</v>
      </c>
      <c r="Q417" s="20">
        <v>41.6</v>
      </c>
      <c r="R417" s="20">
        <v>56.02</v>
      </c>
      <c r="S417" s="20">
        <v>56</v>
      </c>
      <c r="T417" s="20">
        <v>-0.02</v>
      </c>
      <c r="U417" s="20">
        <v>0.03</v>
      </c>
      <c r="V417" s="20">
        <v>1043.0999999999999</v>
      </c>
    </row>
    <row r="418" spans="1:22" ht="16.8" x14ac:dyDescent="0.3">
      <c r="A418" s="20">
        <v>41.7</v>
      </c>
      <c r="B418" s="20">
        <v>56</v>
      </c>
      <c r="C418" s="20">
        <v>55.78</v>
      </c>
      <c r="D418" s="20">
        <v>0.22</v>
      </c>
      <c r="E418" s="20">
        <v>0.06</v>
      </c>
      <c r="F418" s="20">
        <v>1285.3900000000001</v>
      </c>
      <c r="Q418" s="20">
        <v>41.7</v>
      </c>
      <c r="R418" s="20">
        <v>55.99</v>
      </c>
      <c r="S418" s="26">
        <v>56</v>
      </c>
      <c r="T418" s="26">
        <v>0.01</v>
      </c>
      <c r="U418" s="26">
        <v>0.03</v>
      </c>
      <c r="V418" s="20">
        <v>1048.23</v>
      </c>
    </row>
    <row r="419" spans="1:22" ht="16.8" x14ac:dyDescent="0.3">
      <c r="A419" s="20">
        <v>41.8</v>
      </c>
      <c r="B419" s="20">
        <v>56</v>
      </c>
      <c r="C419" s="20">
        <v>55.82</v>
      </c>
      <c r="D419" s="20">
        <v>0.18</v>
      </c>
      <c r="E419" s="20">
        <v>-0.04</v>
      </c>
      <c r="F419" s="20">
        <v>1255.56</v>
      </c>
      <c r="Q419" s="20">
        <v>41.8</v>
      </c>
      <c r="R419" s="20">
        <v>56.01</v>
      </c>
      <c r="S419" s="26">
        <v>56</v>
      </c>
      <c r="T419" s="20">
        <v>-0.01</v>
      </c>
      <c r="U419" s="20">
        <v>-0.02</v>
      </c>
      <c r="V419" s="20">
        <v>1039.98</v>
      </c>
    </row>
    <row r="420" spans="1:22" ht="16.8" x14ac:dyDescent="0.3">
      <c r="A420" s="20">
        <v>41.9</v>
      </c>
      <c r="B420" s="20">
        <v>56</v>
      </c>
      <c r="C420" s="20">
        <v>55.74</v>
      </c>
      <c r="D420" s="20">
        <v>0.26</v>
      </c>
      <c r="E420" s="20">
        <v>0.08</v>
      </c>
      <c r="F420" s="20">
        <v>1312.99</v>
      </c>
      <c r="Q420" s="20">
        <v>41.9</v>
      </c>
      <c r="R420" s="20">
        <v>56.04</v>
      </c>
      <c r="S420" s="20">
        <v>56</v>
      </c>
      <c r="T420" s="26">
        <v>-0.04</v>
      </c>
      <c r="U420" s="26">
        <v>-0.03</v>
      </c>
      <c r="V420" s="20">
        <v>1034.1500000000001</v>
      </c>
    </row>
    <row r="421" spans="1:22" ht="16.8" x14ac:dyDescent="0.3">
      <c r="A421" s="20">
        <v>42</v>
      </c>
      <c r="B421" s="20">
        <v>56</v>
      </c>
      <c r="C421" s="20">
        <v>55.81</v>
      </c>
      <c r="D421" s="20">
        <v>0.19</v>
      </c>
      <c r="E421" s="20">
        <v>-0.08</v>
      </c>
      <c r="F421" s="20">
        <v>1260.83</v>
      </c>
      <c r="Q421" s="20">
        <v>42</v>
      </c>
      <c r="R421" s="20">
        <v>55.99</v>
      </c>
      <c r="S421" s="26">
        <v>56</v>
      </c>
      <c r="T421" s="20">
        <v>0.01</v>
      </c>
      <c r="U421" s="20">
        <v>0.05</v>
      </c>
      <c r="V421" s="20">
        <v>1048.0899999999999</v>
      </c>
    </row>
    <row r="422" spans="1:22" ht="16.8" x14ac:dyDescent="0.3">
      <c r="A422" s="20">
        <v>42.1</v>
      </c>
      <c r="B422" s="20">
        <v>56</v>
      </c>
      <c r="C422" s="20">
        <v>55.78</v>
      </c>
      <c r="D422" s="20">
        <v>0.22</v>
      </c>
      <c r="E422" s="20">
        <v>0.03</v>
      </c>
      <c r="F422" s="20">
        <v>1282.58</v>
      </c>
      <c r="Q422" s="20">
        <v>42.1</v>
      </c>
      <c r="R422" s="20">
        <v>56</v>
      </c>
      <c r="S422" s="20">
        <v>56</v>
      </c>
      <c r="T422" s="26">
        <v>0</v>
      </c>
      <c r="U422" s="20">
        <v>-0.01</v>
      </c>
      <c r="V422" s="20">
        <v>1042.4100000000001</v>
      </c>
    </row>
    <row r="423" spans="1:22" ht="16.8" x14ac:dyDescent="0.3">
      <c r="A423" s="20">
        <v>42.2</v>
      </c>
      <c r="B423" s="20">
        <v>56</v>
      </c>
      <c r="C423" s="20">
        <v>55.79</v>
      </c>
      <c r="D423" s="20">
        <v>0.21</v>
      </c>
      <c r="E423" s="20">
        <v>-0.01</v>
      </c>
      <c r="F423" s="20">
        <v>1274.0999999999999</v>
      </c>
      <c r="Q423" s="20">
        <v>42.2</v>
      </c>
      <c r="R423" s="20">
        <v>56.09</v>
      </c>
      <c r="S423" s="20">
        <v>56</v>
      </c>
      <c r="T423" s="20">
        <v>-0.09</v>
      </c>
      <c r="U423" s="26">
        <v>-0.09</v>
      </c>
      <c r="V423" s="20">
        <v>1021.89</v>
      </c>
    </row>
    <row r="424" spans="1:22" ht="16.8" x14ac:dyDescent="0.3">
      <c r="A424" s="20">
        <v>42.3</v>
      </c>
      <c r="B424" s="20">
        <v>56</v>
      </c>
      <c r="C424" s="20">
        <v>55.75</v>
      </c>
      <c r="D424" s="20">
        <v>0.25</v>
      </c>
      <c r="E424" s="20">
        <v>0.04</v>
      </c>
      <c r="F424" s="20">
        <v>1302.03</v>
      </c>
      <c r="Q424" s="20">
        <v>42.3</v>
      </c>
      <c r="R424" s="20">
        <v>56.02</v>
      </c>
      <c r="S424" s="26">
        <v>56</v>
      </c>
      <c r="T424" s="26">
        <v>-0.02</v>
      </c>
      <c r="U424" s="20">
        <v>7.0000000000000007E-2</v>
      </c>
      <c r="V424" s="20">
        <v>1045.8900000000001</v>
      </c>
    </row>
    <row r="425" spans="1:22" ht="16.8" x14ac:dyDescent="0.3">
      <c r="A425" s="20">
        <v>42.4</v>
      </c>
      <c r="B425" s="20">
        <v>56</v>
      </c>
      <c r="C425" s="20">
        <v>55.77</v>
      </c>
      <c r="D425" s="20">
        <v>0.23</v>
      </c>
      <c r="E425" s="20">
        <v>-0.02</v>
      </c>
      <c r="F425" s="20">
        <v>1290.98</v>
      </c>
      <c r="Q425" s="20">
        <v>42.4</v>
      </c>
      <c r="R425" s="20">
        <v>56.01</v>
      </c>
      <c r="S425" s="20">
        <v>56</v>
      </c>
      <c r="T425" s="20">
        <v>-0.01</v>
      </c>
      <c r="U425" s="26">
        <v>0.01</v>
      </c>
      <c r="V425" s="20">
        <v>1042.1099999999999</v>
      </c>
    </row>
    <row r="426" spans="1:22" ht="16.8" x14ac:dyDescent="0.3">
      <c r="A426" s="20">
        <v>42.5</v>
      </c>
      <c r="B426" s="20">
        <v>56</v>
      </c>
      <c r="C426" s="20">
        <v>55.74</v>
      </c>
      <c r="D426" s="20">
        <v>0.26</v>
      </c>
      <c r="E426" s="20">
        <v>0.03</v>
      </c>
      <c r="F426" s="20">
        <v>1310.26</v>
      </c>
      <c r="Q426" s="20">
        <v>42.5</v>
      </c>
      <c r="R426" s="20">
        <v>56.03</v>
      </c>
      <c r="S426" s="26">
        <v>56</v>
      </c>
      <c r="T426" s="20">
        <v>-0.03</v>
      </c>
      <c r="U426" s="20">
        <v>-0.02</v>
      </c>
      <c r="V426" s="20">
        <v>1037.6099999999999</v>
      </c>
    </row>
    <row r="427" spans="1:22" ht="16.8" x14ac:dyDescent="0.3">
      <c r="A427" s="20">
        <v>42.6</v>
      </c>
      <c r="B427" s="20">
        <v>56</v>
      </c>
      <c r="C427" s="20">
        <v>55.79</v>
      </c>
      <c r="D427" s="20">
        <v>0.21</v>
      </c>
      <c r="E427" s="20">
        <v>-0.05</v>
      </c>
      <c r="F427" s="20">
        <v>1276.93</v>
      </c>
      <c r="Q427" s="20">
        <v>42.6</v>
      </c>
      <c r="R427" s="20">
        <v>56.04</v>
      </c>
      <c r="S427" s="20">
        <v>56</v>
      </c>
      <c r="T427" s="26">
        <v>-0.04</v>
      </c>
      <c r="U427" s="26">
        <v>-0.02</v>
      </c>
      <c r="V427" s="20">
        <v>1034.96</v>
      </c>
    </row>
    <row r="428" spans="1:22" ht="16.8" x14ac:dyDescent="0.3">
      <c r="A428" s="20">
        <v>42.7</v>
      </c>
      <c r="B428" s="20">
        <v>56</v>
      </c>
      <c r="C428" s="20">
        <v>55.73</v>
      </c>
      <c r="D428" s="20">
        <v>0.27</v>
      </c>
      <c r="E428" s="20">
        <v>0.06</v>
      </c>
      <c r="F428" s="20">
        <v>1318.42</v>
      </c>
      <c r="Q428" s="20">
        <v>42.7</v>
      </c>
      <c r="R428" s="20">
        <v>56</v>
      </c>
      <c r="S428" s="26">
        <v>56</v>
      </c>
      <c r="T428" s="20">
        <v>0</v>
      </c>
      <c r="U428" s="20">
        <v>0.04</v>
      </c>
      <c r="V428" s="20">
        <v>1045.72</v>
      </c>
    </row>
    <row r="429" spans="1:22" ht="16.8" x14ac:dyDescent="0.3">
      <c r="A429" s="20">
        <v>42.8</v>
      </c>
      <c r="B429" s="20">
        <v>56</v>
      </c>
      <c r="C429" s="20">
        <v>55.78</v>
      </c>
      <c r="D429" s="20">
        <v>0.22</v>
      </c>
      <c r="E429" s="20">
        <v>-0.05</v>
      </c>
      <c r="F429" s="20">
        <v>1285.3900000000001</v>
      </c>
      <c r="Q429" s="20">
        <v>42.8</v>
      </c>
      <c r="R429" s="20">
        <v>55.99</v>
      </c>
      <c r="S429" s="26">
        <v>56</v>
      </c>
      <c r="T429" s="26">
        <v>0.01</v>
      </c>
      <c r="U429" s="26">
        <v>0.01</v>
      </c>
      <c r="V429" s="20">
        <v>1044.5</v>
      </c>
    </row>
    <row r="430" spans="1:22" ht="16.8" x14ac:dyDescent="0.3">
      <c r="A430" s="20">
        <v>42.9</v>
      </c>
      <c r="B430" s="20">
        <v>56</v>
      </c>
      <c r="C430" s="20">
        <v>55.74</v>
      </c>
      <c r="D430" s="20">
        <v>0.26</v>
      </c>
      <c r="E430" s="20">
        <v>0.04</v>
      </c>
      <c r="F430" s="20">
        <v>1310.26</v>
      </c>
      <c r="Q430" s="20">
        <v>42.9</v>
      </c>
      <c r="R430" s="20">
        <v>56.08</v>
      </c>
      <c r="S430" s="20">
        <v>56</v>
      </c>
      <c r="T430" s="20">
        <v>-0.08</v>
      </c>
      <c r="U430" s="20">
        <v>-0.08</v>
      </c>
      <c r="V430" s="20">
        <v>1024.6600000000001</v>
      </c>
    </row>
    <row r="431" spans="1:22" ht="16.8" x14ac:dyDescent="0.3">
      <c r="A431" s="20">
        <v>43</v>
      </c>
      <c r="B431" s="20">
        <v>56</v>
      </c>
      <c r="C431" s="20">
        <v>55.81</v>
      </c>
      <c r="D431" s="20">
        <v>0.19</v>
      </c>
      <c r="E431" s="20">
        <v>-0.06</v>
      </c>
      <c r="F431" s="20">
        <v>1265.98</v>
      </c>
      <c r="Q431" s="20">
        <v>43</v>
      </c>
      <c r="R431" s="20">
        <v>56.02</v>
      </c>
      <c r="S431" s="20">
        <v>56</v>
      </c>
      <c r="T431" s="26">
        <v>-0.02</v>
      </c>
      <c r="U431" s="26">
        <v>0.06</v>
      </c>
      <c r="V431" s="20">
        <v>1044.22</v>
      </c>
    </row>
    <row r="432" spans="1:22" ht="16.8" x14ac:dyDescent="0.3">
      <c r="A432" s="20">
        <v>43.1</v>
      </c>
      <c r="B432" s="20">
        <v>56</v>
      </c>
      <c r="C432" s="20">
        <v>55.73</v>
      </c>
      <c r="D432" s="20">
        <v>0.27</v>
      </c>
      <c r="E432" s="20">
        <v>7.0000000000000007E-2</v>
      </c>
      <c r="F432" s="20">
        <v>1315.71</v>
      </c>
      <c r="Q432" s="20">
        <v>43.1</v>
      </c>
      <c r="R432" s="20">
        <v>56.04</v>
      </c>
      <c r="S432" s="26">
        <v>56</v>
      </c>
      <c r="T432" s="20">
        <v>-0.04</v>
      </c>
      <c r="U432" s="20">
        <v>-0.02</v>
      </c>
      <c r="V432" s="20">
        <v>1035.93</v>
      </c>
    </row>
    <row r="433" spans="1:22" ht="16.8" x14ac:dyDescent="0.3">
      <c r="A433" s="20">
        <v>43.2</v>
      </c>
      <c r="B433" s="20">
        <v>56</v>
      </c>
      <c r="C433" s="20">
        <v>55.77</v>
      </c>
      <c r="D433" s="20">
        <v>0.23</v>
      </c>
      <c r="E433" s="20">
        <v>-0.04</v>
      </c>
      <c r="F433" s="20">
        <v>1290.98</v>
      </c>
      <c r="Q433" s="20">
        <v>43.2</v>
      </c>
      <c r="R433" s="20">
        <v>56.07</v>
      </c>
      <c r="S433" s="20">
        <v>56</v>
      </c>
      <c r="T433" s="26">
        <v>-7.0000000000000007E-2</v>
      </c>
      <c r="U433" s="26">
        <v>-0.03</v>
      </c>
      <c r="V433" s="20">
        <v>1029.42</v>
      </c>
    </row>
    <row r="434" spans="1:22" ht="16.8" x14ac:dyDescent="0.3">
      <c r="A434" s="20">
        <v>43.3</v>
      </c>
      <c r="B434" s="20">
        <v>56</v>
      </c>
      <c r="C434" s="20">
        <v>55.72</v>
      </c>
      <c r="D434" s="20">
        <v>0.28000000000000003</v>
      </c>
      <c r="E434" s="20">
        <v>0.05</v>
      </c>
      <c r="F434" s="20">
        <v>1323.84</v>
      </c>
      <c r="Q434" s="20">
        <v>43.3</v>
      </c>
      <c r="R434" s="20">
        <v>55.97</v>
      </c>
      <c r="S434" s="26">
        <v>56</v>
      </c>
      <c r="T434" s="20">
        <v>0.03</v>
      </c>
      <c r="U434" s="20">
        <v>0.1</v>
      </c>
      <c r="V434" s="20">
        <v>1054.8399999999999</v>
      </c>
    </row>
    <row r="435" spans="1:22" ht="16.8" x14ac:dyDescent="0.3">
      <c r="A435" s="20">
        <v>43.4</v>
      </c>
      <c r="B435" s="20">
        <v>56</v>
      </c>
      <c r="C435" s="20">
        <v>55.78</v>
      </c>
      <c r="D435" s="20">
        <v>0.22</v>
      </c>
      <c r="E435" s="20">
        <v>-0.06</v>
      </c>
      <c r="F435" s="20">
        <v>1282.58</v>
      </c>
      <c r="Q435" s="20">
        <v>43.4</v>
      </c>
      <c r="R435" s="20">
        <v>56.04</v>
      </c>
      <c r="S435" s="20">
        <v>56</v>
      </c>
      <c r="T435" s="26">
        <v>-0.04</v>
      </c>
      <c r="U435" s="20">
        <v>-7.0000000000000007E-2</v>
      </c>
      <c r="V435" s="20">
        <v>1030.07</v>
      </c>
    </row>
    <row r="436" spans="1:22" ht="16.8" x14ac:dyDescent="0.3">
      <c r="A436" s="20">
        <v>43.5</v>
      </c>
      <c r="B436" s="20">
        <v>56</v>
      </c>
      <c r="C436" s="20">
        <v>55.77</v>
      </c>
      <c r="D436" s="20">
        <v>0.23</v>
      </c>
      <c r="E436" s="20">
        <v>0.01</v>
      </c>
      <c r="F436" s="20">
        <v>1290.98</v>
      </c>
      <c r="Q436" s="20">
        <v>43.5</v>
      </c>
      <c r="R436" s="20">
        <v>56.02</v>
      </c>
      <c r="S436" s="26">
        <v>56</v>
      </c>
      <c r="T436" s="20">
        <v>-0.02</v>
      </c>
      <c r="U436" s="26">
        <v>0.02</v>
      </c>
      <c r="V436" s="20">
        <v>1041.3900000000001</v>
      </c>
    </row>
    <row r="437" spans="1:22" ht="16.8" x14ac:dyDescent="0.3">
      <c r="A437" s="20">
        <v>43.6</v>
      </c>
      <c r="B437" s="20">
        <v>56</v>
      </c>
      <c r="C437" s="20">
        <v>55.8</v>
      </c>
      <c r="D437" s="20">
        <v>0.2</v>
      </c>
      <c r="E437" s="20">
        <v>-0.03</v>
      </c>
      <c r="F437" s="20">
        <v>1271.25</v>
      </c>
      <c r="Q437" s="20">
        <v>43.6</v>
      </c>
      <c r="R437" s="20">
        <v>56.05</v>
      </c>
      <c r="S437" s="26">
        <v>56</v>
      </c>
      <c r="T437" s="20">
        <v>-0.05</v>
      </c>
      <c r="U437" s="20">
        <v>-0.03</v>
      </c>
      <c r="V437" s="20">
        <v>1031.77</v>
      </c>
    </row>
    <row r="438" spans="1:22" ht="16.8" x14ac:dyDescent="0.3">
      <c r="A438" s="20">
        <v>43.7</v>
      </c>
      <c r="B438" s="20">
        <v>56</v>
      </c>
      <c r="C438" s="20">
        <v>55.8</v>
      </c>
      <c r="D438" s="20">
        <v>0.2</v>
      </c>
      <c r="E438" s="20">
        <v>0</v>
      </c>
      <c r="F438" s="20">
        <v>1271.25</v>
      </c>
      <c r="Q438" s="20">
        <v>43.7</v>
      </c>
      <c r="R438" s="20">
        <v>56.07</v>
      </c>
      <c r="S438" s="20">
        <v>56</v>
      </c>
      <c r="T438" s="26">
        <v>-7.0000000000000007E-2</v>
      </c>
      <c r="U438" s="26">
        <v>-0.02</v>
      </c>
      <c r="V438" s="20">
        <v>1030.32</v>
      </c>
    </row>
    <row r="439" spans="1:22" ht="16.8" x14ac:dyDescent="0.3">
      <c r="A439" s="20">
        <v>43.8</v>
      </c>
      <c r="B439" s="20">
        <v>56</v>
      </c>
      <c r="C439" s="20">
        <v>55.77</v>
      </c>
      <c r="D439" s="20">
        <v>0.23</v>
      </c>
      <c r="E439" s="20">
        <v>0.02</v>
      </c>
      <c r="F439" s="20">
        <v>1288.18</v>
      </c>
      <c r="Q439" s="20">
        <v>43.8</v>
      </c>
      <c r="R439" s="20">
        <v>56.06</v>
      </c>
      <c r="S439" s="26">
        <v>56</v>
      </c>
      <c r="T439" s="20">
        <v>-0.06</v>
      </c>
      <c r="U439" s="20">
        <v>0.01</v>
      </c>
      <c r="V439" s="20">
        <v>1033.3399999999999</v>
      </c>
    </row>
    <row r="440" spans="1:22" ht="16.8" x14ac:dyDescent="0.3">
      <c r="A440" s="20">
        <v>43.9</v>
      </c>
      <c r="B440" s="20">
        <v>56</v>
      </c>
      <c r="C440" s="20">
        <v>55.78</v>
      </c>
      <c r="D440" s="20">
        <v>0.22</v>
      </c>
      <c r="E440" s="20">
        <v>0</v>
      </c>
      <c r="F440" s="20">
        <v>1285.3900000000001</v>
      </c>
      <c r="Q440" s="20">
        <v>43.9</v>
      </c>
      <c r="R440" s="20">
        <v>56</v>
      </c>
      <c r="S440" s="20">
        <v>56</v>
      </c>
      <c r="T440" s="26">
        <v>0</v>
      </c>
      <c r="U440" s="26">
        <v>0.06</v>
      </c>
      <c r="V440" s="20">
        <v>1046.02</v>
      </c>
    </row>
    <row r="441" spans="1:22" ht="16.8" x14ac:dyDescent="0.3">
      <c r="A441" s="20">
        <v>44</v>
      </c>
      <c r="B441" s="20">
        <v>56</v>
      </c>
      <c r="C441" s="20">
        <v>55.81</v>
      </c>
      <c r="D441" s="20">
        <v>0.19</v>
      </c>
      <c r="E441" s="20">
        <v>-0.03</v>
      </c>
      <c r="F441" s="20">
        <v>1263.43</v>
      </c>
      <c r="Q441" s="20">
        <v>44</v>
      </c>
      <c r="R441" s="20">
        <v>56.05</v>
      </c>
      <c r="S441" s="26">
        <v>56</v>
      </c>
      <c r="T441" s="20">
        <v>-0.05</v>
      </c>
      <c r="U441" s="20">
        <v>-0.05</v>
      </c>
      <c r="V441" s="20">
        <v>1030.0899999999999</v>
      </c>
    </row>
    <row r="442" spans="1:22" ht="16.8" x14ac:dyDescent="0.3">
      <c r="A442" s="20">
        <v>44.1</v>
      </c>
      <c r="B442" s="20">
        <v>56</v>
      </c>
      <c r="C442" s="20">
        <v>55.83</v>
      </c>
      <c r="D442" s="20">
        <v>0.17</v>
      </c>
      <c r="E442" s="20">
        <v>-0.02</v>
      </c>
      <c r="F442" s="20">
        <v>1247.43</v>
      </c>
      <c r="Q442" s="20">
        <v>44.1</v>
      </c>
      <c r="R442" s="20">
        <v>55.97</v>
      </c>
      <c r="S442" s="20">
        <v>56</v>
      </c>
      <c r="T442" s="26">
        <v>0.03</v>
      </c>
      <c r="U442" s="20">
        <v>0.08</v>
      </c>
      <c r="V442" s="20">
        <v>1052.96</v>
      </c>
    </row>
    <row r="443" spans="1:22" ht="16.8" x14ac:dyDescent="0.3">
      <c r="A443" s="20">
        <v>44.2</v>
      </c>
      <c r="B443" s="20">
        <v>56</v>
      </c>
      <c r="C443" s="20">
        <v>55.81</v>
      </c>
      <c r="D443" s="20">
        <v>0.19</v>
      </c>
      <c r="E443" s="20">
        <v>0.02</v>
      </c>
      <c r="F443" s="20">
        <v>1260.83</v>
      </c>
      <c r="Q443" s="20">
        <v>44.2</v>
      </c>
      <c r="R443" s="20">
        <v>56.02</v>
      </c>
      <c r="S443" s="26">
        <v>56</v>
      </c>
      <c r="T443" s="20">
        <v>-0.02</v>
      </c>
      <c r="U443" s="26">
        <v>-0.05</v>
      </c>
      <c r="V443" s="20">
        <v>1035.21</v>
      </c>
    </row>
    <row r="444" spans="1:22" ht="16.8" x14ac:dyDescent="0.3">
      <c r="A444" s="20">
        <v>44.3</v>
      </c>
      <c r="B444" s="20">
        <v>56</v>
      </c>
      <c r="C444" s="20">
        <v>55.81</v>
      </c>
      <c r="D444" s="20">
        <v>0.19</v>
      </c>
      <c r="E444" s="20">
        <v>0.01</v>
      </c>
      <c r="F444" s="20">
        <v>1265.98</v>
      </c>
      <c r="Q444" s="20">
        <v>44.3</v>
      </c>
      <c r="R444" s="20">
        <v>56.01</v>
      </c>
      <c r="S444" s="20">
        <v>56</v>
      </c>
      <c r="T444" s="26">
        <v>-0.01</v>
      </c>
      <c r="U444" s="20">
        <v>0.01</v>
      </c>
      <c r="V444" s="20">
        <v>1040.8599999999999</v>
      </c>
    </row>
    <row r="445" spans="1:22" ht="16.8" x14ac:dyDescent="0.3">
      <c r="A445" s="20">
        <v>44.4</v>
      </c>
      <c r="B445" s="20">
        <v>56</v>
      </c>
      <c r="C445" s="20">
        <v>55.81</v>
      </c>
      <c r="D445" s="20">
        <v>0.19</v>
      </c>
      <c r="E445" s="20">
        <v>-0.01</v>
      </c>
      <c r="F445" s="20">
        <v>1260.83</v>
      </c>
      <c r="Q445" s="20">
        <v>44.4</v>
      </c>
      <c r="R445" s="20">
        <v>56.05</v>
      </c>
      <c r="S445" s="26">
        <v>56</v>
      </c>
      <c r="T445" s="20">
        <v>-0.05</v>
      </c>
      <c r="U445" s="26">
        <v>-0.04</v>
      </c>
      <c r="V445" s="20">
        <v>1030.5899999999999</v>
      </c>
    </row>
    <row r="446" spans="1:22" ht="16.8" x14ac:dyDescent="0.3">
      <c r="A446" s="20">
        <v>44.5</v>
      </c>
      <c r="B446" s="20">
        <v>56</v>
      </c>
      <c r="C446" s="20">
        <v>55.81</v>
      </c>
      <c r="D446" s="20">
        <v>0.19</v>
      </c>
      <c r="E446" s="20">
        <v>0</v>
      </c>
      <c r="F446" s="20">
        <v>1260.83</v>
      </c>
      <c r="Q446" s="20">
        <v>44.5</v>
      </c>
      <c r="R446" s="20">
        <v>56.04</v>
      </c>
      <c r="S446" s="20">
        <v>56</v>
      </c>
      <c r="T446" s="26">
        <v>-0.04</v>
      </c>
      <c r="U446" s="20">
        <v>0.02</v>
      </c>
      <c r="V446" s="20">
        <v>1037.46</v>
      </c>
    </row>
    <row r="447" spans="1:22" ht="16.8" x14ac:dyDescent="0.3">
      <c r="A447" s="20">
        <v>44.6</v>
      </c>
      <c r="B447" s="20">
        <v>56</v>
      </c>
      <c r="C447" s="20">
        <v>55.85</v>
      </c>
      <c r="D447" s="20">
        <v>0.15</v>
      </c>
      <c r="E447" s="20">
        <v>-0.04</v>
      </c>
      <c r="F447" s="20">
        <v>1233.24</v>
      </c>
      <c r="Q447" s="20">
        <v>44.6</v>
      </c>
      <c r="R447" s="20">
        <v>56.01</v>
      </c>
      <c r="S447" s="26">
        <v>56</v>
      </c>
      <c r="T447" s="20">
        <v>-0.01</v>
      </c>
      <c r="U447" s="26">
        <v>0.02</v>
      </c>
      <c r="V447" s="20">
        <v>1041.8800000000001</v>
      </c>
    </row>
    <row r="448" spans="1:22" ht="16.8" x14ac:dyDescent="0.3">
      <c r="A448" s="20">
        <v>44.7</v>
      </c>
      <c r="B448" s="20">
        <v>56</v>
      </c>
      <c r="C448" s="20">
        <v>55.85</v>
      </c>
      <c r="D448" s="20">
        <v>0.15</v>
      </c>
      <c r="E448" s="20">
        <v>0.01</v>
      </c>
      <c r="F448" s="20">
        <v>1239.01</v>
      </c>
      <c r="Q448" s="20">
        <v>44.7</v>
      </c>
      <c r="R448" s="20">
        <v>56.04</v>
      </c>
      <c r="S448" s="20">
        <v>56</v>
      </c>
      <c r="T448" s="26">
        <v>-0.04</v>
      </c>
      <c r="U448" s="20">
        <v>-0.02</v>
      </c>
      <c r="V448" s="20">
        <v>1034.2</v>
      </c>
    </row>
    <row r="449" spans="1:22" ht="16.8" x14ac:dyDescent="0.3">
      <c r="A449" s="20">
        <v>44.8</v>
      </c>
      <c r="B449" s="20">
        <v>56</v>
      </c>
      <c r="C449" s="20">
        <v>55.85</v>
      </c>
      <c r="D449" s="20">
        <v>0.15</v>
      </c>
      <c r="E449" s="20">
        <v>0</v>
      </c>
      <c r="F449" s="20">
        <v>1239.01</v>
      </c>
      <c r="Q449" s="20">
        <v>44.8</v>
      </c>
      <c r="R449" s="20">
        <v>55.99</v>
      </c>
      <c r="S449" s="20">
        <v>56</v>
      </c>
      <c r="T449" s="20">
        <v>0.01</v>
      </c>
      <c r="U449" s="26">
        <v>0.05</v>
      </c>
      <c r="V449" s="20">
        <v>1047.54</v>
      </c>
    </row>
    <row r="450" spans="1:22" ht="16.8" x14ac:dyDescent="0.3">
      <c r="A450" s="20">
        <v>44.9</v>
      </c>
      <c r="B450" s="20">
        <v>56</v>
      </c>
      <c r="C450" s="20">
        <v>55.8</v>
      </c>
      <c r="D450" s="20">
        <v>0.2</v>
      </c>
      <c r="E450" s="20">
        <v>0.04</v>
      </c>
      <c r="F450" s="20">
        <v>1268.51</v>
      </c>
      <c r="Q450" s="20">
        <v>44.9</v>
      </c>
      <c r="R450" s="20">
        <v>56</v>
      </c>
      <c r="S450" s="26">
        <v>56</v>
      </c>
      <c r="T450" s="26">
        <v>0</v>
      </c>
      <c r="U450" s="20">
        <v>-0.02</v>
      </c>
      <c r="V450" s="20">
        <v>1039.95</v>
      </c>
    </row>
    <row r="451" spans="1:22" ht="16.8" x14ac:dyDescent="0.3">
      <c r="A451" s="20">
        <v>45</v>
      </c>
      <c r="B451" s="20">
        <v>56</v>
      </c>
      <c r="C451" s="20">
        <v>55.85</v>
      </c>
      <c r="D451" s="20">
        <v>0.15</v>
      </c>
      <c r="E451" s="20">
        <v>-0.04</v>
      </c>
      <c r="F451" s="20">
        <v>1239.01</v>
      </c>
      <c r="Q451" s="20">
        <v>45</v>
      </c>
      <c r="R451" s="20">
        <v>55.99</v>
      </c>
      <c r="S451" s="20">
        <v>56</v>
      </c>
      <c r="T451" s="20">
        <v>0.01</v>
      </c>
      <c r="U451" s="20">
        <v>0.02</v>
      </c>
      <c r="V451" s="20">
        <v>1045.05</v>
      </c>
    </row>
    <row r="452" spans="1:22" ht="16.8" x14ac:dyDescent="0.3">
      <c r="A452" s="20">
        <v>45.1</v>
      </c>
      <c r="B452" s="20">
        <v>56</v>
      </c>
      <c r="C452" s="20">
        <v>55.83</v>
      </c>
      <c r="D452" s="20">
        <v>0.17</v>
      </c>
      <c r="E452" s="20">
        <v>0.01</v>
      </c>
      <c r="F452" s="20">
        <v>1247.43</v>
      </c>
      <c r="Q452" s="20">
        <v>45.1</v>
      </c>
      <c r="R452" s="20">
        <v>55.99</v>
      </c>
      <c r="S452" s="26">
        <v>56</v>
      </c>
      <c r="T452" s="26">
        <v>0.01</v>
      </c>
      <c r="U452" s="26">
        <v>-0.01</v>
      </c>
      <c r="V452" s="20">
        <v>1041.9000000000001</v>
      </c>
    </row>
    <row r="453" spans="1:22" ht="16.8" x14ac:dyDescent="0.3">
      <c r="A453" s="20">
        <v>45.2</v>
      </c>
      <c r="B453" s="20">
        <v>56</v>
      </c>
      <c r="C453" s="20">
        <v>55.85</v>
      </c>
      <c r="D453" s="20">
        <v>0.15</v>
      </c>
      <c r="E453" s="20">
        <v>-0.02</v>
      </c>
      <c r="F453" s="20">
        <v>1233.24</v>
      </c>
      <c r="Q453" s="20">
        <v>45.2</v>
      </c>
      <c r="R453" s="20">
        <v>55.97</v>
      </c>
      <c r="S453" s="20">
        <v>56</v>
      </c>
      <c r="T453" s="20">
        <v>0.03</v>
      </c>
      <c r="U453" s="20">
        <v>0.02</v>
      </c>
      <c r="V453" s="20">
        <v>1048.31</v>
      </c>
    </row>
    <row r="454" spans="1:22" ht="16.8" x14ac:dyDescent="0.3">
      <c r="A454" s="20">
        <v>45.3</v>
      </c>
      <c r="B454" s="20">
        <v>56</v>
      </c>
      <c r="C454" s="20">
        <v>55.83</v>
      </c>
      <c r="D454" s="20">
        <v>0.17</v>
      </c>
      <c r="E454" s="20">
        <v>0.02</v>
      </c>
      <c r="F454" s="20">
        <v>1250.17</v>
      </c>
      <c r="Q454" s="20">
        <v>45.3</v>
      </c>
      <c r="R454" s="20">
        <v>55.98</v>
      </c>
      <c r="S454" s="26">
        <v>56</v>
      </c>
      <c r="T454" s="20">
        <v>0.02</v>
      </c>
      <c r="U454" s="26">
        <v>-0.01</v>
      </c>
      <c r="V454" s="20">
        <v>1044.57</v>
      </c>
    </row>
    <row r="455" spans="1:22" ht="16.8" x14ac:dyDescent="0.3">
      <c r="A455" s="20">
        <v>45.4</v>
      </c>
      <c r="B455" s="20">
        <v>56</v>
      </c>
      <c r="C455" s="20">
        <v>55.8</v>
      </c>
      <c r="D455" s="20">
        <v>0.2</v>
      </c>
      <c r="E455" s="20">
        <v>0.03</v>
      </c>
      <c r="F455" s="20">
        <v>1271.25</v>
      </c>
      <c r="Q455" s="20">
        <v>45.4</v>
      </c>
      <c r="R455" s="20">
        <v>56.04</v>
      </c>
      <c r="S455" s="20">
        <v>56</v>
      </c>
      <c r="T455" s="26">
        <v>-0.04</v>
      </c>
      <c r="U455" s="20">
        <v>-0.06</v>
      </c>
      <c r="V455" s="20">
        <v>1031.79</v>
      </c>
    </row>
    <row r="456" spans="1:22" ht="16.8" x14ac:dyDescent="0.3">
      <c r="A456" s="20">
        <v>45.5</v>
      </c>
      <c r="B456" s="20">
        <v>56</v>
      </c>
      <c r="C456" s="20">
        <v>55.85</v>
      </c>
      <c r="D456" s="20">
        <v>0.15</v>
      </c>
      <c r="E456" s="20">
        <v>-0.05</v>
      </c>
      <c r="F456" s="20">
        <v>1239.01</v>
      </c>
      <c r="Q456" s="20">
        <v>45.5</v>
      </c>
      <c r="R456" s="20">
        <v>56.05</v>
      </c>
      <c r="S456" s="20">
        <v>56</v>
      </c>
      <c r="T456" s="20">
        <v>-0.05</v>
      </c>
      <c r="U456" s="26">
        <v>-0.02</v>
      </c>
      <c r="V456" s="20">
        <v>1032.27</v>
      </c>
    </row>
    <row r="457" spans="1:22" ht="16.8" x14ac:dyDescent="0.3">
      <c r="A457" s="20">
        <v>45.6</v>
      </c>
      <c r="B457" s="20">
        <v>56</v>
      </c>
      <c r="C457" s="20">
        <v>55.83</v>
      </c>
      <c r="D457" s="20">
        <v>0.17</v>
      </c>
      <c r="E457" s="20">
        <v>0.02</v>
      </c>
      <c r="F457" s="20">
        <v>1252.8900000000001</v>
      </c>
      <c r="Q457" s="20">
        <v>45.6</v>
      </c>
      <c r="R457" s="20">
        <v>56.04</v>
      </c>
      <c r="S457" s="26">
        <v>56</v>
      </c>
      <c r="T457" s="26">
        <v>-0.04</v>
      </c>
      <c r="U457" s="20">
        <v>0.01</v>
      </c>
      <c r="V457" s="20">
        <v>1035.33</v>
      </c>
    </row>
    <row r="458" spans="1:22" ht="16.8" x14ac:dyDescent="0.3">
      <c r="A458" s="20">
        <v>45.7</v>
      </c>
      <c r="B458" s="20">
        <v>56</v>
      </c>
      <c r="C458" s="20">
        <v>55.84</v>
      </c>
      <c r="D458" s="20">
        <v>0.16</v>
      </c>
      <c r="E458" s="20">
        <v>-0.01</v>
      </c>
      <c r="F458" s="20">
        <v>1244.6500000000001</v>
      </c>
      <c r="Q458" s="20">
        <v>45.7</v>
      </c>
      <c r="R458" s="20">
        <v>56.01</v>
      </c>
      <c r="S458" s="20">
        <v>56</v>
      </c>
      <c r="T458" s="20">
        <v>-0.01</v>
      </c>
      <c r="U458" s="26">
        <v>0.03</v>
      </c>
      <c r="V458" s="20">
        <v>1042.28</v>
      </c>
    </row>
    <row r="459" spans="1:22" ht="16.8" x14ac:dyDescent="0.3">
      <c r="A459" s="20">
        <v>45.8</v>
      </c>
      <c r="B459" s="20">
        <v>56</v>
      </c>
      <c r="C459" s="20">
        <v>55.85</v>
      </c>
      <c r="D459" s="20">
        <v>0.15</v>
      </c>
      <c r="E459" s="20">
        <v>-0.01</v>
      </c>
      <c r="F459" s="20">
        <v>1239.01</v>
      </c>
      <c r="Q459" s="20">
        <v>45.8</v>
      </c>
      <c r="R459" s="20">
        <v>56.04</v>
      </c>
      <c r="S459" s="26">
        <v>56</v>
      </c>
      <c r="T459" s="26">
        <v>-0.04</v>
      </c>
      <c r="U459" s="20">
        <v>-0.03</v>
      </c>
      <c r="V459" s="20">
        <v>1032.05</v>
      </c>
    </row>
    <row r="460" spans="1:22" ht="16.8" x14ac:dyDescent="0.3">
      <c r="A460" s="20">
        <v>45.9</v>
      </c>
      <c r="B460" s="20">
        <v>56</v>
      </c>
      <c r="C460" s="20">
        <v>55.85</v>
      </c>
      <c r="D460" s="20">
        <v>0.15</v>
      </c>
      <c r="E460" s="20">
        <v>0</v>
      </c>
      <c r="F460" s="20">
        <v>1239.01</v>
      </c>
      <c r="Q460" s="20">
        <v>45.9</v>
      </c>
      <c r="R460" s="20">
        <v>56.03</v>
      </c>
      <c r="S460" s="20">
        <v>56</v>
      </c>
      <c r="T460" s="20">
        <v>-0.03</v>
      </c>
      <c r="U460" s="20">
        <v>0.02</v>
      </c>
      <c r="V460" s="20">
        <v>1038.31</v>
      </c>
    </row>
    <row r="461" spans="1:22" ht="16.8" x14ac:dyDescent="0.3">
      <c r="A461" s="20">
        <v>46</v>
      </c>
      <c r="B461" s="20">
        <v>56</v>
      </c>
      <c r="C461" s="20">
        <v>55.84</v>
      </c>
      <c r="D461" s="20">
        <v>0.16</v>
      </c>
      <c r="E461" s="20">
        <v>0</v>
      </c>
      <c r="F461" s="20">
        <v>1241.8499999999999</v>
      </c>
      <c r="Q461" s="20">
        <v>46</v>
      </c>
      <c r="R461" s="20">
        <v>56.02</v>
      </c>
      <c r="S461" s="26">
        <v>56</v>
      </c>
      <c r="T461" s="26">
        <v>-0.02</v>
      </c>
      <c r="U461" s="26">
        <v>0.01</v>
      </c>
      <c r="V461" s="20">
        <v>1038.9100000000001</v>
      </c>
    </row>
    <row r="462" spans="1:22" ht="16.8" x14ac:dyDescent="0.3">
      <c r="A462" s="20">
        <v>46.1</v>
      </c>
      <c r="B462" s="20">
        <v>56</v>
      </c>
      <c r="C462" s="20">
        <v>55.8</v>
      </c>
      <c r="D462" s="20">
        <v>0.2</v>
      </c>
      <c r="E462" s="20">
        <v>0.04</v>
      </c>
      <c r="F462" s="20">
        <v>1268.51</v>
      </c>
      <c r="Q462" s="20">
        <v>46.1</v>
      </c>
      <c r="R462" s="20">
        <v>56.12</v>
      </c>
      <c r="S462" s="20">
        <v>56</v>
      </c>
      <c r="T462" s="20">
        <v>-0.12</v>
      </c>
      <c r="U462" s="20">
        <v>-0.1</v>
      </c>
      <c r="V462" s="20">
        <v>1013.25</v>
      </c>
    </row>
    <row r="463" spans="1:22" ht="16.8" x14ac:dyDescent="0.3">
      <c r="A463" s="20">
        <v>46.2</v>
      </c>
      <c r="B463" s="20">
        <v>56</v>
      </c>
      <c r="C463" s="20">
        <v>55.83</v>
      </c>
      <c r="D463" s="20">
        <v>0.17</v>
      </c>
      <c r="E463" s="20">
        <v>-0.03</v>
      </c>
      <c r="F463" s="20">
        <v>1247.43</v>
      </c>
      <c r="Q463" s="20">
        <v>46.2</v>
      </c>
      <c r="R463" s="20">
        <v>56.08</v>
      </c>
      <c r="S463" s="20">
        <v>56</v>
      </c>
      <c r="T463" s="20">
        <v>-0.08</v>
      </c>
      <c r="U463" s="26">
        <v>0.04</v>
      </c>
      <c r="V463" s="20">
        <v>1030.74</v>
      </c>
    </row>
    <row r="464" spans="1:22" ht="16.8" x14ac:dyDescent="0.3">
      <c r="A464" s="20">
        <v>46.3</v>
      </c>
      <c r="B464" s="20">
        <v>56</v>
      </c>
      <c r="C464" s="20">
        <v>55.82</v>
      </c>
      <c r="D464" s="20">
        <v>0.18</v>
      </c>
      <c r="E464" s="20">
        <v>0.01</v>
      </c>
      <c r="F464" s="20">
        <v>1255.56</v>
      </c>
      <c r="Q464" s="20">
        <v>46.3</v>
      </c>
      <c r="R464" s="20">
        <v>56</v>
      </c>
      <c r="S464" s="26">
        <v>56</v>
      </c>
      <c r="T464" s="26">
        <v>0</v>
      </c>
      <c r="U464" s="20">
        <v>0.08</v>
      </c>
      <c r="V464" s="20">
        <v>1046.6199999999999</v>
      </c>
    </row>
    <row r="465" spans="1:22" ht="16.8" x14ac:dyDescent="0.3">
      <c r="A465" s="20">
        <v>46.4</v>
      </c>
      <c r="B465" s="20">
        <v>56</v>
      </c>
      <c r="C465" s="20">
        <v>55.82</v>
      </c>
      <c r="D465" s="20">
        <v>0.18</v>
      </c>
      <c r="E465" s="20">
        <v>0</v>
      </c>
      <c r="F465" s="20">
        <v>1255.56</v>
      </c>
      <c r="Q465" s="20">
        <v>46.4</v>
      </c>
      <c r="R465" s="20">
        <v>56.04</v>
      </c>
      <c r="S465" s="20">
        <v>56</v>
      </c>
      <c r="T465" s="20">
        <v>-0.04</v>
      </c>
      <c r="U465" s="26">
        <v>-0.04</v>
      </c>
      <c r="V465" s="20">
        <v>1030.72</v>
      </c>
    </row>
    <row r="466" spans="1:22" ht="16.8" x14ac:dyDescent="0.3">
      <c r="A466" s="20">
        <v>46.5</v>
      </c>
      <c r="B466" s="20">
        <v>56</v>
      </c>
      <c r="C466" s="20">
        <v>55.82</v>
      </c>
      <c r="D466" s="20">
        <v>0.18</v>
      </c>
      <c r="E466" s="20">
        <v>0</v>
      </c>
      <c r="F466" s="20">
        <v>1255.56</v>
      </c>
      <c r="Q466" s="20">
        <v>46.5</v>
      </c>
      <c r="R466" s="20">
        <v>56.12</v>
      </c>
      <c r="S466" s="26">
        <v>56</v>
      </c>
      <c r="T466" s="26">
        <v>-0.12</v>
      </c>
      <c r="U466" s="20">
        <v>-7.0000000000000007E-2</v>
      </c>
      <c r="V466" s="20">
        <v>1016.46</v>
      </c>
    </row>
    <row r="467" spans="1:22" ht="16.8" x14ac:dyDescent="0.3">
      <c r="A467" s="20">
        <v>46.6</v>
      </c>
      <c r="B467" s="20">
        <v>56</v>
      </c>
      <c r="C467" s="20">
        <v>55.79</v>
      </c>
      <c r="D467" s="20">
        <v>0.21</v>
      </c>
      <c r="E467" s="20">
        <v>0.04</v>
      </c>
      <c r="F467" s="20">
        <v>1279.77</v>
      </c>
      <c r="Q467" s="20">
        <v>46.6</v>
      </c>
      <c r="R467" s="20">
        <v>56.07</v>
      </c>
      <c r="S467" s="20">
        <v>56</v>
      </c>
      <c r="T467" s="20">
        <v>-7.0000000000000007E-2</v>
      </c>
      <c r="U467" s="26">
        <v>0.05</v>
      </c>
      <c r="V467" s="20">
        <v>1033.3800000000001</v>
      </c>
    </row>
    <row r="468" spans="1:22" ht="16.8" x14ac:dyDescent="0.3">
      <c r="A468" s="20">
        <v>46.7</v>
      </c>
      <c r="B468" s="20">
        <v>56</v>
      </c>
      <c r="C468" s="20">
        <v>55.79</v>
      </c>
      <c r="D468" s="20">
        <v>0.21</v>
      </c>
      <c r="E468" s="20">
        <v>-0.01</v>
      </c>
      <c r="F468" s="20">
        <v>1274.0999999999999</v>
      </c>
      <c r="Q468" s="20">
        <v>46.7</v>
      </c>
      <c r="R468" s="20">
        <v>56.01</v>
      </c>
      <c r="S468" s="26">
        <v>56</v>
      </c>
      <c r="T468" s="26">
        <v>-0.01</v>
      </c>
      <c r="U468" s="20">
        <v>0.06</v>
      </c>
      <c r="V468" s="20">
        <v>1042.9000000000001</v>
      </c>
    </row>
    <row r="469" spans="1:22" ht="16.8" x14ac:dyDescent="0.3">
      <c r="A469" s="20">
        <v>46.8</v>
      </c>
      <c r="B469" s="20">
        <v>56</v>
      </c>
      <c r="C469" s="20">
        <v>55.82</v>
      </c>
      <c r="D469" s="20">
        <v>0.18</v>
      </c>
      <c r="E469" s="20">
        <v>-0.03</v>
      </c>
      <c r="F469" s="20">
        <v>1255.56</v>
      </c>
      <c r="Q469" s="20">
        <v>46.8</v>
      </c>
      <c r="R469" s="20">
        <v>56.03</v>
      </c>
      <c r="S469" s="20">
        <v>56</v>
      </c>
      <c r="T469" s="20">
        <v>-0.03</v>
      </c>
      <c r="U469" s="26">
        <v>-0.02</v>
      </c>
      <c r="V469" s="20">
        <v>1034.6300000000001</v>
      </c>
    </row>
    <row r="470" spans="1:22" ht="16.8" x14ac:dyDescent="0.3">
      <c r="A470" s="20">
        <v>46.9</v>
      </c>
      <c r="B470" s="20">
        <v>56</v>
      </c>
      <c r="C470" s="20">
        <v>55.77</v>
      </c>
      <c r="D470" s="20">
        <v>0.23</v>
      </c>
      <c r="E470" s="20">
        <v>0.05</v>
      </c>
      <c r="F470" s="20">
        <v>1290.98</v>
      </c>
      <c r="Q470" s="20">
        <v>46.9</v>
      </c>
      <c r="R470" s="20">
        <v>56.11</v>
      </c>
      <c r="S470" s="20">
        <v>56</v>
      </c>
      <c r="T470" s="20">
        <v>-0.11</v>
      </c>
      <c r="U470" s="20">
        <v>-0.08</v>
      </c>
      <c r="V470" s="20">
        <v>1016.61</v>
      </c>
    </row>
    <row r="471" spans="1:22" ht="16.8" x14ac:dyDescent="0.3">
      <c r="A471" s="20">
        <v>47</v>
      </c>
      <c r="B471" s="20">
        <v>56</v>
      </c>
      <c r="C471" s="20">
        <v>55.79</v>
      </c>
      <c r="D471" s="20">
        <v>0.21</v>
      </c>
      <c r="E471" s="20">
        <v>-0.02</v>
      </c>
      <c r="F471" s="20">
        <v>1276.93</v>
      </c>
      <c r="Q471" s="20">
        <v>47</v>
      </c>
      <c r="R471" s="20">
        <v>56.08</v>
      </c>
      <c r="S471" s="26">
        <v>56</v>
      </c>
      <c r="T471" s="26">
        <v>-0.08</v>
      </c>
      <c r="U471" s="20">
        <v>0.02</v>
      </c>
      <c r="V471" s="20">
        <v>1028.4000000000001</v>
      </c>
    </row>
    <row r="472" spans="1:22" ht="16.8" x14ac:dyDescent="0.3">
      <c r="A472" s="20">
        <v>47.1</v>
      </c>
      <c r="B472" s="20">
        <v>56</v>
      </c>
      <c r="C472" s="20">
        <v>55.79</v>
      </c>
      <c r="D472" s="20">
        <v>0.21</v>
      </c>
      <c r="E472" s="20">
        <v>0</v>
      </c>
      <c r="F472" s="20">
        <v>1274.0999999999999</v>
      </c>
      <c r="Q472" s="20">
        <v>47.1</v>
      </c>
      <c r="R472" s="20">
        <v>56.04</v>
      </c>
      <c r="S472" s="20">
        <v>56</v>
      </c>
      <c r="T472" s="20">
        <v>-0.04</v>
      </c>
      <c r="U472" s="26">
        <v>0.05</v>
      </c>
      <c r="V472" s="20">
        <v>1037.8499999999999</v>
      </c>
    </row>
    <row r="473" spans="1:22" ht="16.8" x14ac:dyDescent="0.3">
      <c r="A473" s="20">
        <v>47.2</v>
      </c>
      <c r="B473" s="20">
        <v>56</v>
      </c>
      <c r="C473" s="20">
        <v>55.81</v>
      </c>
      <c r="D473" s="20">
        <v>0.19</v>
      </c>
      <c r="E473" s="20">
        <v>-0.02</v>
      </c>
      <c r="F473" s="20">
        <v>1260.83</v>
      </c>
      <c r="Q473" s="20">
        <v>47.2</v>
      </c>
      <c r="R473" s="20">
        <v>56.06</v>
      </c>
      <c r="S473" s="26">
        <v>56</v>
      </c>
      <c r="T473" s="26">
        <v>-0.06</v>
      </c>
      <c r="U473" s="20">
        <v>-0.02</v>
      </c>
      <c r="V473" s="20">
        <v>1028.23</v>
      </c>
    </row>
    <row r="474" spans="1:22" ht="16.8" x14ac:dyDescent="0.3">
      <c r="A474" s="20">
        <v>47.3</v>
      </c>
      <c r="B474" s="20">
        <v>56</v>
      </c>
      <c r="C474" s="20">
        <v>55.78</v>
      </c>
      <c r="D474" s="20">
        <v>0.22</v>
      </c>
      <c r="E474" s="20">
        <v>0.03</v>
      </c>
      <c r="F474" s="20">
        <v>1282.58</v>
      </c>
      <c r="Q474" s="20">
        <v>47.3</v>
      </c>
      <c r="R474" s="20">
        <v>56.01</v>
      </c>
      <c r="S474" s="20">
        <v>56</v>
      </c>
      <c r="T474" s="20">
        <v>-0.01</v>
      </c>
      <c r="U474" s="26">
        <v>0.05</v>
      </c>
      <c r="V474" s="20">
        <v>1041.51</v>
      </c>
    </row>
    <row r="475" spans="1:22" ht="16.8" x14ac:dyDescent="0.3">
      <c r="A475" s="20">
        <v>47.4</v>
      </c>
      <c r="B475" s="20">
        <v>56</v>
      </c>
      <c r="C475" s="20">
        <v>55.77</v>
      </c>
      <c r="D475" s="20">
        <v>0.23</v>
      </c>
      <c r="E475" s="20">
        <v>0.01</v>
      </c>
      <c r="F475" s="20">
        <v>1288.18</v>
      </c>
      <c r="Q475" s="20">
        <v>47.4</v>
      </c>
      <c r="R475" s="20">
        <v>55.97</v>
      </c>
      <c r="S475" s="26">
        <v>56</v>
      </c>
      <c r="T475" s="26">
        <v>0.03</v>
      </c>
      <c r="U475" s="20">
        <v>0.04</v>
      </c>
      <c r="V475" s="20">
        <v>1047.32</v>
      </c>
    </row>
    <row r="476" spans="1:22" ht="16.8" x14ac:dyDescent="0.3">
      <c r="A476" s="20">
        <v>47.5</v>
      </c>
      <c r="B476" s="20">
        <v>56</v>
      </c>
      <c r="C476" s="20">
        <v>55.76</v>
      </c>
      <c r="D476" s="20">
        <v>0.24</v>
      </c>
      <c r="E476" s="20">
        <v>0.01</v>
      </c>
      <c r="F476" s="20">
        <v>1296.52</v>
      </c>
      <c r="Q476" s="20">
        <v>47.5</v>
      </c>
      <c r="R476" s="20">
        <v>56.02</v>
      </c>
      <c r="S476" s="20">
        <v>56</v>
      </c>
      <c r="T476" s="20">
        <v>-0.02</v>
      </c>
      <c r="U476" s="20">
        <v>-0.05</v>
      </c>
      <c r="V476" s="20">
        <v>1032.72</v>
      </c>
    </row>
    <row r="477" spans="1:22" ht="16.8" x14ac:dyDescent="0.3">
      <c r="A477" s="20">
        <v>47.6</v>
      </c>
      <c r="B477" s="20">
        <v>56</v>
      </c>
      <c r="C477" s="20">
        <v>55.81</v>
      </c>
      <c r="D477" s="20">
        <v>0.19</v>
      </c>
      <c r="E477" s="20">
        <v>-0.05</v>
      </c>
      <c r="F477" s="20">
        <v>1260.83</v>
      </c>
      <c r="Q477" s="20">
        <v>47.6</v>
      </c>
      <c r="R477" s="20">
        <v>55.97</v>
      </c>
      <c r="S477" s="26">
        <v>56</v>
      </c>
      <c r="T477" s="26">
        <v>0.03</v>
      </c>
      <c r="U477" s="26">
        <v>0.05</v>
      </c>
      <c r="V477" s="20">
        <v>1047.97</v>
      </c>
    </row>
    <row r="478" spans="1:22" ht="16.8" x14ac:dyDescent="0.3">
      <c r="A478" s="20">
        <v>47.7</v>
      </c>
      <c r="B478" s="20">
        <v>56</v>
      </c>
      <c r="C478" s="20">
        <v>55.81</v>
      </c>
      <c r="D478" s="20">
        <v>0.19</v>
      </c>
      <c r="E478" s="20">
        <v>0</v>
      </c>
      <c r="F478" s="20">
        <v>1260.83</v>
      </c>
      <c r="Q478" s="20">
        <v>47.7</v>
      </c>
      <c r="R478" s="20">
        <v>55.99</v>
      </c>
      <c r="S478" s="20">
        <v>56</v>
      </c>
      <c r="T478" s="20">
        <v>0.01</v>
      </c>
      <c r="U478" s="20">
        <v>-0.02</v>
      </c>
      <c r="V478" s="20">
        <v>1040.43</v>
      </c>
    </row>
    <row r="479" spans="1:22" ht="16.8" x14ac:dyDescent="0.3">
      <c r="A479" s="20">
        <v>47.8</v>
      </c>
      <c r="B479" s="20">
        <v>56</v>
      </c>
      <c r="C479" s="20">
        <v>55.76</v>
      </c>
      <c r="D479" s="20">
        <v>0.24</v>
      </c>
      <c r="E479" s="20">
        <v>0.06</v>
      </c>
      <c r="F479" s="20">
        <v>1299.28</v>
      </c>
      <c r="Q479" s="20">
        <v>47.8</v>
      </c>
      <c r="R479" s="20">
        <v>55.97</v>
      </c>
      <c r="S479" s="26">
        <v>56</v>
      </c>
      <c r="T479" s="26">
        <v>0.03</v>
      </c>
      <c r="U479" s="26">
        <v>0.02</v>
      </c>
      <c r="V479" s="20">
        <v>1045.56</v>
      </c>
    </row>
    <row r="480" spans="1:22" ht="16.8" x14ac:dyDescent="0.3">
      <c r="A480" s="20">
        <v>47.9</v>
      </c>
      <c r="B480" s="20">
        <v>56</v>
      </c>
      <c r="C480" s="20">
        <v>55.81</v>
      </c>
      <c r="D480" s="20">
        <v>0.19</v>
      </c>
      <c r="E480" s="20">
        <v>-0.06</v>
      </c>
      <c r="F480" s="20">
        <v>1260.83</v>
      </c>
      <c r="Q480" s="20">
        <v>47.9</v>
      </c>
      <c r="R480" s="20">
        <v>56.01</v>
      </c>
      <c r="S480" s="20">
        <v>56</v>
      </c>
      <c r="T480" s="20">
        <v>-0.01</v>
      </c>
      <c r="U480" s="20">
        <v>-0.04</v>
      </c>
      <c r="V480" s="20">
        <v>1034.76</v>
      </c>
    </row>
    <row r="481" spans="1:22" ht="16.8" x14ac:dyDescent="0.3">
      <c r="A481" s="20">
        <v>48</v>
      </c>
      <c r="B481" s="20">
        <v>56</v>
      </c>
      <c r="C481" s="20">
        <v>55.8</v>
      </c>
      <c r="D481" s="20">
        <v>0.2</v>
      </c>
      <c r="E481" s="20">
        <v>0.01</v>
      </c>
      <c r="F481" s="20">
        <v>1268.51</v>
      </c>
      <c r="Q481" s="20">
        <v>48</v>
      </c>
      <c r="R481" s="20">
        <v>56.04</v>
      </c>
      <c r="S481" s="20">
        <v>56</v>
      </c>
      <c r="T481" s="26">
        <v>-0.04</v>
      </c>
      <c r="U481" s="26">
        <v>-0.03</v>
      </c>
      <c r="V481" s="20">
        <v>1030.19</v>
      </c>
    </row>
    <row r="482" spans="1:22" ht="16.8" x14ac:dyDescent="0.3">
      <c r="A482" s="20">
        <v>48.1</v>
      </c>
      <c r="B482" s="20">
        <v>56</v>
      </c>
      <c r="C482" s="20">
        <v>55.84</v>
      </c>
      <c r="D482" s="20">
        <v>0.16</v>
      </c>
      <c r="E482" s="20">
        <v>-0.04</v>
      </c>
      <c r="F482" s="20">
        <v>1244.6500000000001</v>
      </c>
      <c r="Q482" s="20">
        <v>48.1</v>
      </c>
      <c r="R482" s="20">
        <v>55.99</v>
      </c>
      <c r="S482" s="26">
        <v>56</v>
      </c>
      <c r="T482" s="20">
        <v>0.01</v>
      </c>
      <c r="U482" s="20">
        <v>0.05</v>
      </c>
      <c r="V482" s="20">
        <v>1044.1400000000001</v>
      </c>
    </row>
    <row r="483" spans="1:22" ht="16.8" x14ac:dyDescent="0.3">
      <c r="A483" s="20">
        <v>48.2</v>
      </c>
      <c r="B483" s="20">
        <v>56</v>
      </c>
      <c r="C483" s="20">
        <v>55.79</v>
      </c>
      <c r="D483" s="20">
        <v>0.21</v>
      </c>
      <c r="E483" s="20">
        <v>0.04</v>
      </c>
      <c r="F483" s="20">
        <v>1274.0999999999999</v>
      </c>
      <c r="Q483" s="20">
        <v>48.2</v>
      </c>
      <c r="R483" s="20">
        <v>55.99</v>
      </c>
      <c r="S483" s="20">
        <v>56</v>
      </c>
      <c r="T483" s="26">
        <v>0.01</v>
      </c>
      <c r="U483" s="26">
        <v>0</v>
      </c>
      <c r="V483" s="20">
        <v>1040.3800000000001</v>
      </c>
    </row>
    <row r="484" spans="1:22" ht="16.8" x14ac:dyDescent="0.3">
      <c r="A484" s="20">
        <v>48.3</v>
      </c>
      <c r="B484" s="20">
        <v>56</v>
      </c>
      <c r="C484" s="20">
        <v>55.87</v>
      </c>
      <c r="D484" s="20">
        <v>0.13</v>
      </c>
      <c r="E484" s="20">
        <v>-0.08</v>
      </c>
      <c r="F484" s="20">
        <v>1221.27</v>
      </c>
      <c r="Q484" s="20">
        <v>48.3</v>
      </c>
      <c r="R484" s="20">
        <v>56</v>
      </c>
      <c r="S484" s="26">
        <v>56</v>
      </c>
      <c r="T484" s="20">
        <v>0</v>
      </c>
      <c r="U484" s="20">
        <v>-0.01</v>
      </c>
      <c r="V484" s="20">
        <v>1038.47</v>
      </c>
    </row>
    <row r="485" spans="1:22" ht="16.8" x14ac:dyDescent="0.3">
      <c r="A485" s="20">
        <v>48.4</v>
      </c>
      <c r="B485" s="20">
        <v>56</v>
      </c>
      <c r="C485" s="20">
        <v>55.83</v>
      </c>
      <c r="D485" s="20">
        <v>0.17</v>
      </c>
      <c r="E485" s="20">
        <v>0.04</v>
      </c>
      <c r="F485" s="20">
        <v>1252.8900000000001</v>
      </c>
      <c r="Q485" s="20">
        <v>48.4</v>
      </c>
      <c r="R485" s="20">
        <v>56.06</v>
      </c>
      <c r="S485" s="20">
        <v>56</v>
      </c>
      <c r="T485" s="26">
        <v>-0.06</v>
      </c>
      <c r="U485" s="26">
        <v>-0.06</v>
      </c>
      <c r="V485" s="20">
        <v>1025.6300000000001</v>
      </c>
    </row>
    <row r="486" spans="1:22" ht="16.8" x14ac:dyDescent="0.3">
      <c r="A486" s="20">
        <v>48.5</v>
      </c>
      <c r="B486" s="20">
        <v>56</v>
      </c>
      <c r="C486" s="20">
        <v>55.85</v>
      </c>
      <c r="D486" s="20">
        <v>0.15</v>
      </c>
      <c r="E486" s="20">
        <v>-0.03</v>
      </c>
      <c r="F486" s="20">
        <v>1233.24</v>
      </c>
      <c r="Q486" s="20">
        <v>48.5</v>
      </c>
      <c r="R486" s="20">
        <v>55.97</v>
      </c>
      <c r="S486" s="26">
        <v>56</v>
      </c>
      <c r="T486" s="20">
        <v>0.03</v>
      </c>
      <c r="U486" s="20">
        <v>0.09</v>
      </c>
      <c r="V486" s="20">
        <v>1051.04</v>
      </c>
    </row>
    <row r="487" spans="1:22" ht="16.8" x14ac:dyDescent="0.3">
      <c r="A487" s="20">
        <v>48.6</v>
      </c>
      <c r="B487" s="20">
        <v>56</v>
      </c>
      <c r="C487" s="20">
        <v>55.79</v>
      </c>
      <c r="D487" s="20">
        <v>0.21</v>
      </c>
      <c r="E487" s="20">
        <v>0.06</v>
      </c>
      <c r="F487" s="20">
        <v>1276.93</v>
      </c>
      <c r="Q487" s="20">
        <v>48.6</v>
      </c>
      <c r="R487" s="20">
        <v>56</v>
      </c>
      <c r="S487" s="20">
        <v>56</v>
      </c>
      <c r="T487" s="20">
        <v>0</v>
      </c>
      <c r="U487" s="26">
        <v>-0.03</v>
      </c>
      <c r="V487" s="20">
        <v>1036.5</v>
      </c>
    </row>
    <row r="488" spans="1:22" ht="16.8" x14ac:dyDescent="0.3">
      <c r="A488" s="20">
        <v>48.7</v>
      </c>
      <c r="B488" s="20">
        <v>56</v>
      </c>
      <c r="C488" s="20">
        <v>55.81</v>
      </c>
      <c r="D488" s="20">
        <v>0.19</v>
      </c>
      <c r="E488" s="20">
        <v>-0.02</v>
      </c>
      <c r="F488" s="20">
        <v>1260.83</v>
      </c>
      <c r="Q488" s="20">
        <v>48.7</v>
      </c>
      <c r="R488" s="20">
        <v>56.03</v>
      </c>
      <c r="S488" s="26">
        <v>56</v>
      </c>
      <c r="T488" s="26">
        <v>-0.03</v>
      </c>
      <c r="U488" s="20">
        <v>-0.02</v>
      </c>
      <c r="V488" s="20">
        <v>1033.25</v>
      </c>
    </row>
    <row r="489" spans="1:22" ht="16.8" x14ac:dyDescent="0.3">
      <c r="A489" s="20">
        <v>48.8</v>
      </c>
      <c r="B489" s="20">
        <v>56</v>
      </c>
      <c r="C489" s="20">
        <v>55.81</v>
      </c>
      <c r="D489" s="20">
        <v>0.19</v>
      </c>
      <c r="E489" s="20">
        <v>0</v>
      </c>
      <c r="F489" s="20">
        <v>1260.83</v>
      </c>
      <c r="Q489" s="20">
        <v>48.8</v>
      </c>
      <c r="R489" s="20">
        <v>56.02</v>
      </c>
      <c r="S489" s="20">
        <v>56</v>
      </c>
      <c r="T489" s="20">
        <v>-0.02</v>
      </c>
      <c r="U489" s="26">
        <v>0.01</v>
      </c>
      <c r="V489" s="20">
        <v>1036.99</v>
      </c>
    </row>
    <row r="490" spans="1:22" ht="16.8" x14ac:dyDescent="0.3">
      <c r="A490" s="20">
        <v>48.9</v>
      </c>
      <c r="B490" s="20">
        <v>56</v>
      </c>
      <c r="C490" s="20">
        <v>55.82</v>
      </c>
      <c r="D490" s="20">
        <v>0.18</v>
      </c>
      <c r="E490" s="20">
        <v>-0.01</v>
      </c>
      <c r="F490" s="20">
        <v>1255.56</v>
      </c>
      <c r="Q490" s="20">
        <v>48.9</v>
      </c>
      <c r="R490" s="20">
        <v>56</v>
      </c>
      <c r="S490" s="26">
        <v>56</v>
      </c>
      <c r="T490" s="26">
        <v>0</v>
      </c>
      <c r="U490" s="20">
        <v>0.02</v>
      </c>
      <c r="V490" s="20">
        <v>1040.1600000000001</v>
      </c>
    </row>
    <row r="491" spans="1:22" ht="16.8" x14ac:dyDescent="0.3">
      <c r="A491" s="20">
        <v>49</v>
      </c>
      <c r="B491" s="20">
        <v>56</v>
      </c>
      <c r="C491" s="20">
        <v>55.83</v>
      </c>
      <c r="D491" s="20">
        <v>0.17</v>
      </c>
      <c r="E491" s="20">
        <v>-0.01</v>
      </c>
      <c r="F491" s="20">
        <v>1247.43</v>
      </c>
      <c r="Q491" s="20">
        <v>49</v>
      </c>
      <c r="R491" s="20">
        <v>55.97</v>
      </c>
      <c r="S491" s="20">
        <v>56</v>
      </c>
      <c r="T491" s="20">
        <v>0.03</v>
      </c>
      <c r="U491" s="20">
        <v>0.03</v>
      </c>
      <c r="V491" s="20">
        <v>1046.58</v>
      </c>
    </row>
    <row r="492" spans="1:22" ht="16.8" x14ac:dyDescent="0.3">
      <c r="A492" s="20">
        <v>49.1</v>
      </c>
      <c r="B492" s="20">
        <v>56</v>
      </c>
      <c r="C492" s="20">
        <v>55.87</v>
      </c>
      <c r="D492" s="20">
        <v>0.13</v>
      </c>
      <c r="E492" s="20">
        <v>-0.03</v>
      </c>
      <c r="F492" s="20">
        <v>1224.31</v>
      </c>
      <c r="Q492" s="20">
        <v>49.1</v>
      </c>
      <c r="R492" s="20">
        <v>56.01</v>
      </c>
      <c r="S492" s="20">
        <v>56</v>
      </c>
      <c r="T492" s="26">
        <v>-0.01</v>
      </c>
      <c r="U492" s="26">
        <v>-0.04</v>
      </c>
      <c r="V492" s="20">
        <v>1034.53</v>
      </c>
    </row>
    <row r="493" spans="1:22" ht="16.8" x14ac:dyDescent="0.3">
      <c r="A493" s="20">
        <v>49.2</v>
      </c>
      <c r="B493" s="20">
        <v>56</v>
      </c>
      <c r="C493" s="20">
        <v>55.84</v>
      </c>
      <c r="D493" s="20">
        <v>0.16</v>
      </c>
      <c r="E493" s="20">
        <v>0.03</v>
      </c>
      <c r="F493" s="20">
        <v>1244.6500000000001</v>
      </c>
      <c r="Q493" s="20">
        <v>49.2</v>
      </c>
      <c r="R493" s="20">
        <v>56.03</v>
      </c>
      <c r="S493" s="26">
        <v>56</v>
      </c>
      <c r="T493" s="20">
        <v>-0.03</v>
      </c>
      <c r="U493" s="20">
        <v>-0.02</v>
      </c>
      <c r="V493" s="20">
        <v>1033.8</v>
      </c>
    </row>
    <row r="494" spans="1:22" ht="16.8" x14ac:dyDescent="0.3">
      <c r="A494" s="20">
        <v>49.3</v>
      </c>
      <c r="B494" s="20">
        <v>56</v>
      </c>
      <c r="C494" s="20">
        <v>55.86</v>
      </c>
      <c r="D494" s="20">
        <v>0.14000000000000001</v>
      </c>
      <c r="E494" s="20">
        <v>-0.02</v>
      </c>
      <c r="F494" s="20">
        <v>1230.3</v>
      </c>
      <c r="Q494" s="20">
        <v>49.3</v>
      </c>
      <c r="R494" s="20">
        <v>56.04</v>
      </c>
      <c r="S494" s="20">
        <v>56</v>
      </c>
      <c r="T494" s="26">
        <v>-0.04</v>
      </c>
      <c r="U494" s="26">
        <v>-0.02</v>
      </c>
      <c r="V494" s="20">
        <v>1031.1500000000001</v>
      </c>
    </row>
    <row r="495" spans="1:22" ht="16.8" x14ac:dyDescent="0.3">
      <c r="A495" s="20">
        <v>49.4</v>
      </c>
      <c r="B495" s="20">
        <v>56</v>
      </c>
      <c r="C495" s="20">
        <v>55.84</v>
      </c>
      <c r="D495" s="20">
        <v>0.16</v>
      </c>
      <c r="E495" s="20">
        <v>0.02</v>
      </c>
      <c r="F495" s="20">
        <v>1241.8499999999999</v>
      </c>
      <c r="Q495" s="20">
        <v>49.4</v>
      </c>
      <c r="R495" s="20">
        <v>55.99</v>
      </c>
      <c r="S495" s="26">
        <v>56</v>
      </c>
      <c r="T495" s="20">
        <v>0.01</v>
      </c>
      <c r="U495" s="20">
        <v>0.06</v>
      </c>
      <c r="V495" s="20">
        <v>1045.76</v>
      </c>
    </row>
    <row r="496" spans="1:22" ht="16.8" x14ac:dyDescent="0.3">
      <c r="A496" s="20">
        <v>49.5</v>
      </c>
      <c r="B496" s="20">
        <v>56</v>
      </c>
      <c r="C496" s="20">
        <v>55.85</v>
      </c>
      <c r="D496" s="20">
        <v>0.15</v>
      </c>
      <c r="E496" s="20">
        <v>-0.01</v>
      </c>
      <c r="F496" s="20">
        <v>1236.1400000000001</v>
      </c>
      <c r="Q496" s="20">
        <v>49.5</v>
      </c>
      <c r="R496" s="20">
        <v>56.03</v>
      </c>
      <c r="S496" s="20">
        <v>56</v>
      </c>
      <c r="T496" s="26">
        <v>-0.03</v>
      </c>
      <c r="U496" s="26">
        <v>-0.04</v>
      </c>
      <c r="V496" s="20">
        <v>1031.78</v>
      </c>
    </row>
    <row r="497" spans="1:22" ht="16.8" x14ac:dyDescent="0.3">
      <c r="A497" s="20">
        <v>49.6</v>
      </c>
      <c r="B497" s="20">
        <v>56</v>
      </c>
      <c r="C497" s="20">
        <v>55.88</v>
      </c>
      <c r="D497" s="20">
        <v>0.12</v>
      </c>
      <c r="E497" s="20">
        <v>-0.03</v>
      </c>
      <c r="F497" s="20">
        <v>1215.07</v>
      </c>
      <c r="Q497" s="20">
        <v>49.6</v>
      </c>
      <c r="R497" s="20">
        <v>56.02</v>
      </c>
      <c r="S497" s="26">
        <v>56</v>
      </c>
      <c r="T497" s="20">
        <v>-0.02</v>
      </c>
      <c r="U497" s="20">
        <v>0.01</v>
      </c>
      <c r="V497" s="20">
        <v>1036.78</v>
      </c>
    </row>
    <row r="498" spans="1:22" ht="16.8" x14ac:dyDescent="0.3">
      <c r="A498" s="20">
        <v>49.7</v>
      </c>
      <c r="B498" s="20">
        <v>56</v>
      </c>
      <c r="C498" s="20">
        <v>55.88</v>
      </c>
      <c r="D498" s="20">
        <v>0.12</v>
      </c>
      <c r="E498" s="20">
        <v>0</v>
      </c>
      <c r="F498" s="20">
        <v>1211.9000000000001</v>
      </c>
      <c r="Q498" s="20">
        <v>49.7</v>
      </c>
      <c r="R498" s="20">
        <v>56.04</v>
      </c>
      <c r="S498" s="20">
        <v>56</v>
      </c>
      <c r="T498" s="20">
        <v>-0.04</v>
      </c>
      <c r="U498" s="26">
        <v>-0.02</v>
      </c>
      <c r="V498" s="20">
        <v>1030.3399999999999</v>
      </c>
    </row>
    <row r="499" spans="1:22" ht="16.8" x14ac:dyDescent="0.3">
      <c r="A499" s="20">
        <v>49.8</v>
      </c>
      <c r="B499" s="20">
        <v>56</v>
      </c>
      <c r="C499" s="20">
        <v>55.91</v>
      </c>
      <c r="D499" s="20">
        <v>0.09</v>
      </c>
      <c r="E499" s="20">
        <v>-0.03</v>
      </c>
      <c r="F499" s="20">
        <v>1188.72</v>
      </c>
      <c r="Q499" s="20">
        <v>49.8</v>
      </c>
      <c r="R499" s="20">
        <v>55.99</v>
      </c>
      <c r="S499" s="26">
        <v>56</v>
      </c>
      <c r="T499" s="26">
        <v>0.01</v>
      </c>
      <c r="U499" s="20">
        <v>0.06</v>
      </c>
      <c r="V499" s="20">
        <v>1045.58</v>
      </c>
    </row>
    <row r="500" spans="1:22" ht="16.8" x14ac:dyDescent="0.3">
      <c r="A500" s="20">
        <v>49.9</v>
      </c>
      <c r="B500" s="20">
        <v>56</v>
      </c>
      <c r="C500" s="20">
        <v>55.88</v>
      </c>
      <c r="D500" s="20">
        <v>0.12</v>
      </c>
      <c r="E500" s="20">
        <v>0.03</v>
      </c>
      <c r="F500" s="20">
        <v>1215.07</v>
      </c>
      <c r="Q500" s="20">
        <v>49.9</v>
      </c>
      <c r="R500" s="20">
        <v>56.03</v>
      </c>
      <c r="S500" s="20">
        <v>56</v>
      </c>
      <c r="T500" s="20">
        <v>-0.03</v>
      </c>
      <c r="U500" s="20">
        <v>-0.04</v>
      </c>
      <c r="V500" s="20">
        <v>1031.5999999999999</v>
      </c>
    </row>
    <row r="501" spans="1:22" ht="16.8" x14ac:dyDescent="0.3">
      <c r="A501" s="20">
        <v>50</v>
      </c>
      <c r="B501" s="20">
        <v>56</v>
      </c>
      <c r="C501" s="20">
        <v>55.9</v>
      </c>
      <c r="D501" s="20">
        <v>0.1</v>
      </c>
      <c r="E501" s="20">
        <v>-0.02</v>
      </c>
      <c r="F501" s="20">
        <v>1195.55</v>
      </c>
      <c r="Q501" s="20">
        <v>50</v>
      </c>
      <c r="R501" s="20">
        <v>56</v>
      </c>
      <c r="S501" s="26">
        <v>56</v>
      </c>
      <c r="T501" s="26">
        <v>0</v>
      </c>
      <c r="U501" s="26">
        <v>0.02</v>
      </c>
      <c r="V501" s="20">
        <v>1040.44</v>
      </c>
    </row>
    <row r="502" spans="1:22" ht="16.8" x14ac:dyDescent="0.3">
      <c r="A502" s="20">
        <v>50.1</v>
      </c>
      <c r="B502" s="20">
        <v>56</v>
      </c>
      <c r="C502" s="20">
        <v>55.91</v>
      </c>
      <c r="D502" s="20">
        <v>0.09</v>
      </c>
      <c r="E502" s="20">
        <v>-0.01</v>
      </c>
      <c r="F502" s="20">
        <v>1188.72</v>
      </c>
      <c r="Q502" s="20">
        <v>50.1</v>
      </c>
      <c r="R502" s="20">
        <v>56</v>
      </c>
      <c r="S502" s="20">
        <v>56</v>
      </c>
      <c r="T502" s="20">
        <v>0</v>
      </c>
      <c r="U502" s="20">
        <v>0</v>
      </c>
      <c r="V502" s="20">
        <v>1038.55</v>
      </c>
    </row>
    <row r="503" spans="1:22" ht="16.8" x14ac:dyDescent="0.3">
      <c r="A503" s="20">
        <v>50.2</v>
      </c>
      <c r="B503" s="20">
        <v>56</v>
      </c>
      <c r="C503" s="20">
        <v>55.91</v>
      </c>
      <c r="D503" s="20">
        <v>0.09</v>
      </c>
      <c r="E503" s="20">
        <v>0</v>
      </c>
      <c r="F503" s="20">
        <v>1188.72</v>
      </c>
      <c r="Q503" s="20">
        <v>50.2</v>
      </c>
      <c r="R503" s="20">
        <v>55.98</v>
      </c>
      <c r="S503" s="26">
        <v>56</v>
      </c>
      <c r="T503" s="26">
        <v>0.02</v>
      </c>
      <c r="U503" s="26">
        <v>0.02</v>
      </c>
      <c r="V503" s="20">
        <v>1044.31</v>
      </c>
    </row>
    <row r="504" spans="1:22" ht="16.8" x14ac:dyDescent="0.3">
      <c r="A504" s="20">
        <v>50.3</v>
      </c>
      <c r="B504" s="20">
        <v>56</v>
      </c>
      <c r="C504" s="20">
        <v>55.91</v>
      </c>
      <c r="D504" s="20">
        <v>0.09</v>
      </c>
      <c r="E504" s="20">
        <v>0</v>
      </c>
      <c r="F504" s="20">
        <v>1185.25</v>
      </c>
      <c r="Q504" s="20">
        <v>50.3</v>
      </c>
      <c r="R504" s="20">
        <v>55.99</v>
      </c>
      <c r="S504" s="20">
        <v>56</v>
      </c>
      <c r="T504" s="20">
        <v>0.01</v>
      </c>
      <c r="U504" s="20">
        <v>-0.01</v>
      </c>
      <c r="V504" s="20">
        <v>1040.55</v>
      </c>
    </row>
    <row r="505" spans="1:22" ht="16.8" x14ac:dyDescent="0.3">
      <c r="A505" s="20">
        <v>50.4</v>
      </c>
      <c r="B505" s="20">
        <v>56</v>
      </c>
      <c r="C505" s="20">
        <v>55.87</v>
      </c>
      <c r="D505" s="20">
        <v>0.13</v>
      </c>
      <c r="E505" s="20">
        <v>0.04</v>
      </c>
      <c r="F505" s="20">
        <v>1218.17</v>
      </c>
      <c r="Q505" s="20">
        <v>50.4</v>
      </c>
      <c r="R505" s="20">
        <v>55.97</v>
      </c>
      <c r="S505" s="20">
        <v>56</v>
      </c>
      <c r="T505" s="20">
        <v>0.03</v>
      </c>
      <c r="U505" s="20">
        <v>0.02</v>
      </c>
      <c r="V505" s="20">
        <v>1045.06</v>
      </c>
    </row>
    <row r="506" spans="1:22" ht="16.8" x14ac:dyDescent="0.3">
      <c r="A506" s="20">
        <v>50.5</v>
      </c>
      <c r="B506" s="20">
        <v>56</v>
      </c>
      <c r="C506" s="20">
        <v>55.86</v>
      </c>
      <c r="D506" s="20">
        <v>0.14000000000000001</v>
      </c>
      <c r="E506" s="20">
        <v>0.01</v>
      </c>
      <c r="F506" s="20">
        <v>1227.32</v>
      </c>
      <c r="Q506" s="20">
        <v>50.5</v>
      </c>
      <c r="R506" s="20">
        <v>56.03</v>
      </c>
      <c r="S506" s="26">
        <v>56</v>
      </c>
      <c r="T506" s="26">
        <v>-0.03</v>
      </c>
      <c r="U506" s="26">
        <v>-0.06</v>
      </c>
      <c r="V506" s="20">
        <v>1030.42</v>
      </c>
    </row>
    <row r="507" spans="1:22" ht="16.8" x14ac:dyDescent="0.3">
      <c r="A507" s="20">
        <v>50.6</v>
      </c>
      <c r="B507" s="20">
        <v>56</v>
      </c>
      <c r="C507" s="20">
        <v>55.87</v>
      </c>
      <c r="D507" s="20">
        <v>0.13</v>
      </c>
      <c r="E507" s="20">
        <v>-0.01</v>
      </c>
      <c r="F507" s="20">
        <v>1218.17</v>
      </c>
      <c r="Q507" s="20">
        <v>50.6</v>
      </c>
      <c r="R507" s="20">
        <v>56.04</v>
      </c>
      <c r="S507" s="20">
        <v>56</v>
      </c>
      <c r="T507" s="20">
        <v>-0.04</v>
      </c>
      <c r="U507" s="20">
        <v>-0.01</v>
      </c>
      <c r="V507" s="20">
        <v>1032.83</v>
      </c>
    </row>
    <row r="508" spans="1:22" ht="16.8" x14ac:dyDescent="0.3">
      <c r="A508" s="20">
        <v>50.7</v>
      </c>
      <c r="B508" s="20">
        <v>56</v>
      </c>
      <c r="C508" s="20">
        <v>55.88</v>
      </c>
      <c r="D508" s="20">
        <v>0.12</v>
      </c>
      <c r="E508" s="20">
        <v>-0.01</v>
      </c>
      <c r="F508" s="20">
        <v>1211.9000000000001</v>
      </c>
      <c r="Q508" s="20">
        <v>50.7</v>
      </c>
      <c r="R508" s="20">
        <v>56.01</v>
      </c>
      <c r="S508" s="26">
        <v>56</v>
      </c>
      <c r="T508" s="26">
        <v>-0.01</v>
      </c>
      <c r="U508" s="26">
        <v>0.02</v>
      </c>
      <c r="V508" s="20">
        <v>1039.1400000000001</v>
      </c>
    </row>
    <row r="509" spans="1:22" ht="16.8" x14ac:dyDescent="0.3">
      <c r="A509" s="20">
        <v>50.8</v>
      </c>
      <c r="B509" s="20">
        <v>56</v>
      </c>
      <c r="C509" s="20">
        <v>55.85</v>
      </c>
      <c r="D509" s="20">
        <v>0.15</v>
      </c>
      <c r="E509" s="20">
        <v>0.04</v>
      </c>
      <c r="F509" s="20">
        <v>1239.01</v>
      </c>
      <c r="Q509" s="20">
        <v>50.8</v>
      </c>
      <c r="R509" s="20">
        <v>56.04</v>
      </c>
      <c r="S509" s="20">
        <v>56</v>
      </c>
      <c r="T509" s="20">
        <v>-0.04</v>
      </c>
      <c r="U509" s="20">
        <v>-0.02</v>
      </c>
      <c r="V509" s="20">
        <v>1031.46</v>
      </c>
    </row>
    <row r="510" spans="1:22" ht="16.8" x14ac:dyDescent="0.3">
      <c r="A510" s="20">
        <v>50.9</v>
      </c>
      <c r="B510" s="20">
        <v>56</v>
      </c>
      <c r="C510" s="20">
        <v>55.84</v>
      </c>
      <c r="D510" s="20">
        <v>0.16</v>
      </c>
      <c r="E510" s="20">
        <v>0</v>
      </c>
      <c r="F510" s="20">
        <v>1241.8499999999999</v>
      </c>
      <c r="Q510" s="20">
        <v>50.9</v>
      </c>
      <c r="R510" s="20">
        <v>56.05</v>
      </c>
      <c r="S510" s="26">
        <v>56</v>
      </c>
      <c r="T510" s="26">
        <v>-0.05</v>
      </c>
      <c r="U510" s="26">
        <v>-0.02</v>
      </c>
      <c r="V510" s="20">
        <v>1029.42</v>
      </c>
    </row>
    <row r="511" spans="1:22" ht="16.8" x14ac:dyDescent="0.3">
      <c r="A511" s="20">
        <v>51</v>
      </c>
      <c r="B511" s="20">
        <v>56</v>
      </c>
      <c r="C511" s="20">
        <v>55.89</v>
      </c>
      <c r="D511" s="20">
        <v>0.11</v>
      </c>
      <c r="E511" s="20">
        <v>-0.04</v>
      </c>
      <c r="F511" s="20">
        <v>1208.73</v>
      </c>
      <c r="Q511" s="20">
        <v>51</v>
      </c>
      <c r="R511" s="20">
        <v>56.03</v>
      </c>
      <c r="S511" s="20">
        <v>56</v>
      </c>
      <c r="T511" s="20">
        <v>-0.03</v>
      </c>
      <c r="U511" s="20">
        <v>0.02</v>
      </c>
      <c r="V511" s="20">
        <v>1036.33</v>
      </c>
    </row>
    <row r="512" spans="1:22" ht="16.8" x14ac:dyDescent="0.3">
      <c r="A512" s="20">
        <v>51.1</v>
      </c>
      <c r="B512" s="20">
        <v>56</v>
      </c>
      <c r="C512" s="20">
        <v>55.82</v>
      </c>
      <c r="D512" s="20">
        <v>0.18</v>
      </c>
      <c r="E512" s="20">
        <v>0.06</v>
      </c>
      <c r="F512" s="20">
        <v>1255.56</v>
      </c>
      <c r="Q512" s="20">
        <v>51.1</v>
      </c>
      <c r="R512" s="20">
        <v>56.03</v>
      </c>
      <c r="S512" s="26">
        <v>56</v>
      </c>
      <c r="T512" s="26">
        <v>-0.03</v>
      </c>
      <c r="U512" s="26">
        <v>0</v>
      </c>
      <c r="V512" s="20">
        <v>1034.3800000000001</v>
      </c>
    </row>
    <row r="513" spans="1:22" ht="16.8" x14ac:dyDescent="0.3">
      <c r="A513" s="20">
        <v>51.2</v>
      </c>
      <c r="B513" s="20">
        <v>56</v>
      </c>
      <c r="C513" s="20">
        <v>55.83</v>
      </c>
      <c r="D513" s="20">
        <v>0.17</v>
      </c>
      <c r="E513" s="20">
        <v>-0.01</v>
      </c>
      <c r="F513" s="20">
        <v>1250.17</v>
      </c>
      <c r="Q513" s="20">
        <v>51.2</v>
      </c>
      <c r="R513" s="20">
        <v>56.03</v>
      </c>
      <c r="S513" s="20">
        <v>56</v>
      </c>
      <c r="T513" s="20">
        <v>-0.03</v>
      </c>
      <c r="U513" s="20">
        <v>0</v>
      </c>
      <c r="V513" s="20">
        <v>1034.31</v>
      </c>
    </row>
    <row r="514" spans="1:22" ht="16.8" x14ac:dyDescent="0.3">
      <c r="A514" s="20">
        <v>51.3</v>
      </c>
      <c r="B514" s="20">
        <v>56</v>
      </c>
      <c r="C514" s="20">
        <v>55.85</v>
      </c>
      <c r="D514" s="20">
        <v>0.15</v>
      </c>
      <c r="E514" s="20">
        <v>-0.02</v>
      </c>
      <c r="F514" s="20">
        <v>1239.01</v>
      </c>
      <c r="Q514" s="20">
        <v>51.3</v>
      </c>
      <c r="R514" s="20">
        <v>56.03</v>
      </c>
      <c r="S514" s="20">
        <v>56</v>
      </c>
      <c r="T514" s="26">
        <v>-0.03</v>
      </c>
      <c r="U514" s="20">
        <v>0</v>
      </c>
      <c r="V514" s="20">
        <v>1034.25</v>
      </c>
    </row>
    <row r="515" spans="1:22" ht="16.8" x14ac:dyDescent="0.3">
      <c r="A515" s="20">
        <v>51.4</v>
      </c>
      <c r="B515" s="20">
        <v>56</v>
      </c>
      <c r="C515" s="20">
        <v>55.84</v>
      </c>
      <c r="D515" s="20">
        <v>0.16</v>
      </c>
      <c r="E515" s="20">
        <v>0</v>
      </c>
      <c r="F515" s="20">
        <v>1241.8499999999999</v>
      </c>
      <c r="Q515" s="20">
        <v>51.4</v>
      </c>
      <c r="R515" s="20">
        <v>56.08</v>
      </c>
      <c r="S515" s="26">
        <v>56</v>
      </c>
      <c r="T515" s="20">
        <v>-0.08</v>
      </c>
      <c r="U515" s="26">
        <v>-0.05</v>
      </c>
      <c r="V515" s="20">
        <v>1022.65</v>
      </c>
    </row>
    <row r="516" spans="1:22" ht="16.8" x14ac:dyDescent="0.3">
      <c r="A516" s="20">
        <v>51.5</v>
      </c>
      <c r="B516" s="20">
        <v>56</v>
      </c>
      <c r="C516" s="20">
        <v>55.86</v>
      </c>
      <c r="D516" s="20">
        <v>0.14000000000000001</v>
      </c>
      <c r="E516" s="20">
        <v>-0.02</v>
      </c>
      <c r="F516" s="20">
        <v>1227.32</v>
      </c>
      <c r="Q516" s="20">
        <v>51.5</v>
      </c>
      <c r="R516" s="20">
        <v>56.03</v>
      </c>
      <c r="S516" s="20">
        <v>56</v>
      </c>
      <c r="T516" s="20">
        <v>-0.03</v>
      </c>
      <c r="U516" s="20">
        <v>0.05</v>
      </c>
      <c r="V516" s="20">
        <v>1037.78</v>
      </c>
    </row>
    <row r="517" spans="1:22" ht="16.8" x14ac:dyDescent="0.3">
      <c r="A517" s="20">
        <v>51.6</v>
      </c>
      <c r="B517" s="20">
        <v>56</v>
      </c>
      <c r="C517" s="20">
        <v>55.8</v>
      </c>
      <c r="D517" s="20">
        <v>0.2</v>
      </c>
      <c r="E517" s="20">
        <v>0.06</v>
      </c>
      <c r="F517" s="20">
        <v>1268.51</v>
      </c>
      <c r="Q517" s="20">
        <v>51.6</v>
      </c>
      <c r="R517" s="20">
        <v>56.04</v>
      </c>
      <c r="S517" s="26">
        <v>56</v>
      </c>
      <c r="T517" s="26">
        <v>-0.04</v>
      </c>
      <c r="U517" s="26">
        <v>-0.02</v>
      </c>
      <c r="V517" s="20">
        <v>1030.0999999999999</v>
      </c>
    </row>
    <row r="518" spans="1:22" ht="16.8" x14ac:dyDescent="0.3">
      <c r="A518" s="20">
        <v>51.7</v>
      </c>
      <c r="B518" s="20">
        <v>56</v>
      </c>
      <c r="C518" s="20">
        <v>55.79</v>
      </c>
      <c r="D518" s="20">
        <v>0.21</v>
      </c>
      <c r="E518" s="20">
        <v>0.01</v>
      </c>
      <c r="F518" s="20">
        <v>1276.93</v>
      </c>
      <c r="Q518" s="20">
        <v>51.7</v>
      </c>
      <c r="R518" s="20">
        <v>56.03</v>
      </c>
      <c r="S518" s="20">
        <v>56</v>
      </c>
      <c r="T518" s="20">
        <v>-0.03</v>
      </c>
      <c r="U518" s="20">
        <v>0.02</v>
      </c>
      <c r="V518" s="20">
        <v>1035.0999999999999</v>
      </c>
    </row>
    <row r="519" spans="1:22" ht="16.8" x14ac:dyDescent="0.3">
      <c r="A519" s="20">
        <v>51.8</v>
      </c>
      <c r="B519" s="20">
        <v>56</v>
      </c>
      <c r="C519" s="20">
        <v>55.84</v>
      </c>
      <c r="D519" s="20">
        <v>0.16</v>
      </c>
      <c r="E519" s="20">
        <v>-0.05</v>
      </c>
      <c r="F519" s="20">
        <v>1244.6500000000001</v>
      </c>
      <c r="Q519" s="20">
        <v>51.8</v>
      </c>
      <c r="R519" s="20">
        <v>56.14</v>
      </c>
      <c r="S519" s="26">
        <v>56</v>
      </c>
      <c r="T519" s="26">
        <v>-0.14000000000000001</v>
      </c>
      <c r="U519" s="26">
        <v>-0.11</v>
      </c>
      <c r="V519" s="20">
        <v>1006.87</v>
      </c>
    </row>
    <row r="520" spans="1:22" ht="16.8" x14ac:dyDescent="0.3">
      <c r="A520" s="20">
        <v>51.9</v>
      </c>
      <c r="B520" s="20">
        <v>56</v>
      </c>
      <c r="C520" s="20">
        <v>55.78</v>
      </c>
      <c r="D520" s="20">
        <v>0.22</v>
      </c>
      <c r="E520" s="20">
        <v>0.06</v>
      </c>
      <c r="F520" s="20">
        <v>1282.58</v>
      </c>
      <c r="Q520" s="20">
        <v>51.9</v>
      </c>
      <c r="R520" s="20">
        <v>56.15</v>
      </c>
      <c r="S520" s="20">
        <v>56</v>
      </c>
      <c r="T520" s="20">
        <v>-0.15</v>
      </c>
      <c r="U520" s="20">
        <v>-0.01</v>
      </c>
      <c r="V520" s="20">
        <v>1013.41</v>
      </c>
    </row>
    <row r="521" spans="1:22" ht="16.8" x14ac:dyDescent="0.3">
      <c r="A521" s="20">
        <v>52</v>
      </c>
      <c r="B521" s="20">
        <v>56</v>
      </c>
      <c r="C521" s="20">
        <v>55.79</v>
      </c>
      <c r="D521" s="20">
        <v>0.21</v>
      </c>
      <c r="E521" s="20">
        <v>0</v>
      </c>
      <c r="F521" s="20">
        <v>1279.77</v>
      </c>
      <c r="Q521" s="20">
        <v>52</v>
      </c>
      <c r="R521" s="20">
        <v>56.25</v>
      </c>
      <c r="S521" s="26">
        <v>56</v>
      </c>
      <c r="T521" s="26">
        <v>-0.25</v>
      </c>
      <c r="U521" s="20">
        <v>-0.1</v>
      </c>
      <c r="V521" s="20">
        <v>988.71</v>
      </c>
    </row>
    <row r="522" spans="1:22" ht="16.8" x14ac:dyDescent="0.3">
      <c r="A522" s="20">
        <v>52.1</v>
      </c>
      <c r="B522" s="20">
        <v>56</v>
      </c>
      <c r="C522" s="20">
        <v>55.77</v>
      </c>
      <c r="D522" s="20">
        <v>0.23</v>
      </c>
      <c r="E522" s="20">
        <v>0.01</v>
      </c>
      <c r="F522" s="20">
        <v>1288.18</v>
      </c>
      <c r="Q522" s="20">
        <v>52.1</v>
      </c>
      <c r="R522" s="20">
        <v>56.32</v>
      </c>
      <c r="S522" s="20">
        <v>56</v>
      </c>
      <c r="T522" s="20">
        <v>-0.32</v>
      </c>
      <c r="U522" s="26">
        <v>-0.06</v>
      </c>
      <c r="V522" s="20">
        <v>980.91</v>
      </c>
    </row>
    <row r="523" spans="1:22" ht="16.8" x14ac:dyDescent="0.3">
      <c r="A523" s="20">
        <v>52.2</v>
      </c>
      <c r="B523" s="20">
        <v>56</v>
      </c>
      <c r="C523" s="20">
        <v>55.82</v>
      </c>
      <c r="D523" s="20">
        <v>0.18</v>
      </c>
      <c r="E523" s="20">
        <v>-0.05</v>
      </c>
      <c r="F523" s="20">
        <v>1255.56</v>
      </c>
      <c r="Q523" s="20">
        <v>52.2</v>
      </c>
      <c r="R523" s="20">
        <v>56.41</v>
      </c>
      <c r="S523" s="20">
        <v>56</v>
      </c>
      <c r="T523" s="26">
        <v>-0.41</v>
      </c>
      <c r="U523" s="20">
        <v>-0.1</v>
      </c>
      <c r="V523" s="20">
        <v>962.12</v>
      </c>
    </row>
    <row r="524" spans="1:22" ht="16.8" x14ac:dyDescent="0.3">
      <c r="A524" s="20">
        <v>52.3</v>
      </c>
      <c r="B524" s="20">
        <v>56</v>
      </c>
      <c r="C524" s="20">
        <v>55.79</v>
      </c>
      <c r="D524" s="20">
        <v>0.21</v>
      </c>
      <c r="E524" s="20">
        <v>0.04</v>
      </c>
      <c r="F524" s="20">
        <v>1279.77</v>
      </c>
      <c r="Q524" s="20">
        <v>52.3</v>
      </c>
      <c r="R524" s="20">
        <v>56.51</v>
      </c>
      <c r="S524" s="26">
        <v>56</v>
      </c>
      <c r="T524" s="20">
        <v>-0.51</v>
      </c>
      <c r="U524" s="26">
        <v>-0.1</v>
      </c>
      <c r="V524" s="20">
        <v>945.63</v>
      </c>
    </row>
    <row r="525" spans="1:22" ht="16.8" x14ac:dyDescent="0.3">
      <c r="A525" s="20">
        <v>52.4</v>
      </c>
      <c r="B525" s="20">
        <v>56</v>
      </c>
      <c r="C525" s="20">
        <v>55.8</v>
      </c>
      <c r="D525" s="20">
        <v>0.2</v>
      </c>
      <c r="E525" s="20">
        <v>-0.02</v>
      </c>
      <c r="F525" s="20">
        <v>1268.51</v>
      </c>
      <c r="Q525" s="20">
        <v>52.4</v>
      </c>
      <c r="R525" s="20">
        <v>56.57</v>
      </c>
      <c r="S525" s="20">
        <v>56</v>
      </c>
      <c r="T525" s="20">
        <v>-0.56999999999999995</v>
      </c>
      <c r="U525" s="20">
        <v>-0.06</v>
      </c>
      <c r="V525" s="20">
        <v>938.51</v>
      </c>
    </row>
    <row r="526" spans="1:22" ht="16.8" x14ac:dyDescent="0.3">
      <c r="A526" s="20">
        <v>52.5</v>
      </c>
      <c r="B526" s="20">
        <v>56</v>
      </c>
      <c r="C526" s="20">
        <v>55.84</v>
      </c>
      <c r="D526" s="20">
        <v>0.16</v>
      </c>
      <c r="E526" s="20">
        <v>-0.04</v>
      </c>
      <c r="F526" s="20">
        <v>1244.6500000000001</v>
      </c>
      <c r="Q526" s="20">
        <v>52.5</v>
      </c>
      <c r="R526" s="20">
        <v>56.61</v>
      </c>
      <c r="S526" s="26">
        <v>56</v>
      </c>
      <c r="T526" s="26">
        <v>-0.61</v>
      </c>
      <c r="U526" s="26">
        <v>-0.04</v>
      </c>
      <c r="V526" s="20">
        <v>931.96</v>
      </c>
    </row>
    <row r="527" spans="1:22" ht="16.8" x14ac:dyDescent="0.3">
      <c r="A527" s="20">
        <v>52.6</v>
      </c>
      <c r="B527" s="20">
        <v>56</v>
      </c>
      <c r="C527" s="20">
        <v>55.77</v>
      </c>
      <c r="D527" s="20">
        <v>0.23</v>
      </c>
      <c r="E527" s="20">
        <v>0.06</v>
      </c>
      <c r="F527" s="20">
        <v>1288.18</v>
      </c>
      <c r="Q527" s="20">
        <v>52.6</v>
      </c>
      <c r="R527" s="20">
        <v>56.64</v>
      </c>
      <c r="S527" s="20">
        <v>56</v>
      </c>
      <c r="T527" s="20">
        <v>-0.64</v>
      </c>
      <c r="U527" s="20">
        <v>-0.03</v>
      </c>
      <c r="V527" s="20">
        <v>925.98</v>
      </c>
    </row>
    <row r="528" spans="1:22" ht="16.8" x14ac:dyDescent="0.3">
      <c r="A528" s="20">
        <v>52.7</v>
      </c>
      <c r="B528" s="20">
        <v>56</v>
      </c>
      <c r="C528" s="20">
        <v>55.82</v>
      </c>
      <c r="D528" s="20">
        <v>0.18</v>
      </c>
      <c r="E528" s="20">
        <v>-0.04</v>
      </c>
      <c r="F528" s="20">
        <v>1258.22</v>
      </c>
      <c r="Q528" s="20">
        <v>52.7</v>
      </c>
      <c r="R528" s="20">
        <v>56.64</v>
      </c>
      <c r="S528" s="26">
        <v>56</v>
      </c>
      <c r="T528" s="26">
        <v>-0.64</v>
      </c>
      <c r="U528" s="26">
        <v>0</v>
      </c>
      <c r="V528" s="20">
        <v>926.99</v>
      </c>
    </row>
    <row r="529" spans="1:22" ht="16.8" x14ac:dyDescent="0.3">
      <c r="A529" s="20">
        <v>52.8</v>
      </c>
      <c r="B529" s="20">
        <v>56</v>
      </c>
      <c r="C529" s="20">
        <v>55.83</v>
      </c>
      <c r="D529" s="20">
        <v>0.17</v>
      </c>
      <c r="E529" s="20">
        <v>-0.01</v>
      </c>
      <c r="F529" s="20">
        <v>1250.17</v>
      </c>
      <c r="Q529" s="20">
        <v>52.8</v>
      </c>
      <c r="R529" s="20">
        <v>56.62</v>
      </c>
      <c r="S529" s="20">
        <v>56</v>
      </c>
      <c r="T529" s="20">
        <v>-0.62</v>
      </c>
      <c r="U529" s="20">
        <v>0.02</v>
      </c>
      <c r="V529" s="20">
        <v>931.25</v>
      </c>
    </row>
    <row r="530" spans="1:22" ht="16.8" x14ac:dyDescent="0.3">
      <c r="A530" s="20">
        <v>52.9</v>
      </c>
      <c r="B530" s="20">
        <v>56</v>
      </c>
      <c r="C530" s="20">
        <v>55.85</v>
      </c>
      <c r="D530" s="20">
        <v>0.15</v>
      </c>
      <c r="E530" s="20">
        <v>-0.02</v>
      </c>
      <c r="F530" s="20">
        <v>1233.24</v>
      </c>
      <c r="Q530" s="20">
        <v>52.9</v>
      </c>
      <c r="R530" s="20">
        <v>56.66</v>
      </c>
      <c r="S530" s="26">
        <v>56</v>
      </c>
      <c r="T530" s="26">
        <v>-0.66</v>
      </c>
      <c r="U530" s="20">
        <v>-0.05</v>
      </c>
      <c r="V530" s="20">
        <v>916.38</v>
      </c>
    </row>
    <row r="531" spans="1:22" ht="16.8" x14ac:dyDescent="0.3">
      <c r="A531" s="20">
        <v>53</v>
      </c>
      <c r="B531" s="20">
        <v>56</v>
      </c>
      <c r="C531" s="20">
        <v>55.81</v>
      </c>
      <c r="D531" s="20">
        <v>0.19</v>
      </c>
      <c r="E531" s="20">
        <v>0.05</v>
      </c>
      <c r="F531" s="20">
        <v>1265.98</v>
      </c>
      <c r="Q531" s="20">
        <v>53</v>
      </c>
      <c r="R531" s="20">
        <v>56.68</v>
      </c>
      <c r="S531" s="20">
        <v>56</v>
      </c>
      <c r="T531" s="20">
        <v>-0.68</v>
      </c>
      <c r="U531" s="26">
        <v>-0.02</v>
      </c>
      <c r="V531" s="20">
        <v>914.73</v>
      </c>
    </row>
    <row r="532" spans="1:22" ht="16.8" x14ac:dyDescent="0.3">
      <c r="A532" s="20">
        <v>53.1</v>
      </c>
      <c r="B532" s="20">
        <v>56</v>
      </c>
      <c r="C532" s="20">
        <v>55.85</v>
      </c>
      <c r="D532" s="20">
        <v>0.15</v>
      </c>
      <c r="E532" s="20">
        <v>-0.04</v>
      </c>
      <c r="F532" s="20">
        <v>1236.1400000000001</v>
      </c>
      <c r="Q532" s="20">
        <v>53.1</v>
      </c>
      <c r="R532" s="20">
        <v>56.65</v>
      </c>
      <c r="S532" s="26">
        <v>56</v>
      </c>
      <c r="T532" s="26">
        <v>-0.65</v>
      </c>
      <c r="U532" s="20">
        <v>0.03</v>
      </c>
      <c r="V532" s="20">
        <v>922.08</v>
      </c>
    </row>
    <row r="533" spans="1:22" ht="16.8" x14ac:dyDescent="0.3">
      <c r="A533" s="20">
        <v>53.2</v>
      </c>
      <c r="B533" s="20">
        <v>56</v>
      </c>
      <c r="C533" s="20">
        <v>55.81</v>
      </c>
      <c r="D533" s="20">
        <v>0.19</v>
      </c>
      <c r="E533" s="20">
        <v>0.04</v>
      </c>
      <c r="F533" s="20">
        <v>1260.83</v>
      </c>
      <c r="Q533" s="20">
        <v>53.2</v>
      </c>
      <c r="R533" s="20">
        <v>56.62</v>
      </c>
      <c r="S533" s="20">
        <v>56</v>
      </c>
      <c r="T533" s="20">
        <v>-0.62</v>
      </c>
      <c r="U533" s="26">
        <v>0.02</v>
      </c>
      <c r="V533" s="20">
        <v>923.8</v>
      </c>
    </row>
    <row r="534" spans="1:22" ht="16.8" x14ac:dyDescent="0.3">
      <c r="A534" s="20">
        <v>53.3</v>
      </c>
      <c r="B534" s="20">
        <v>56</v>
      </c>
      <c r="C534" s="20">
        <v>55.89</v>
      </c>
      <c r="D534" s="20">
        <v>0.11</v>
      </c>
      <c r="E534" s="20">
        <v>-7.0000000000000007E-2</v>
      </c>
      <c r="F534" s="20">
        <v>1208.73</v>
      </c>
      <c r="Q534" s="20">
        <v>53.3</v>
      </c>
      <c r="R534" s="20">
        <v>56.6</v>
      </c>
      <c r="S534" s="26">
        <v>56</v>
      </c>
      <c r="T534" s="26">
        <v>-0.6</v>
      </c>
      <c r="U534" s="20">
        <v>0.02</v>
      </c>
      <c r="V534" s="20">
        <v>926.21</v>
      </c>
    </row>
    <row r="535" spans="1:22" ht="16.8" x14ac:dyDescent="0.3">
      <c r="A535" s="20">
        <v>53.4</v>
      </c>
      <c r="B535" s="20">
        <v>56</v>
      </c>
      <c r="C535" s="20">
        <v>55.89</v>
      </c>
      <c r="D535" s="20">
        <v>0.11</v>
      </c>
      <c r="E535" s="20">
        <v>0</v>
      </c>
      <c r="F535" s="20">
        <v>1208.73</v>
      </c>
      <c r="Q535" s="20">
        <v>53.4</v>
      </c>
      <c r="R535" s="20">
        <v>56.63</v>
      </c>
      <c r="S535" s="20">
        <v>56</v>
      </c>
      <c r="T535" s="20">
        <v>-0.63</v>
      </c>
      <c r="U535" s="26">
        <v>-0.03</v>
      </c>
      <c r="V535" s="20">
        <v>915.22</v>
      </c>
    </row>
    <row r="536" spans="1:22" ht="16.8" x14ac:dyDescent="0.3">
      <c r="A536" s="20">
        <v>53.5</v>
      </c>
      <c r="B536" s="20">
        <v>56</v>
      </c>
      <c r="C536" s="20">
        <v>55.9</v>
      </c>
      <c r="D536" s="20">
        <v>0.1</v>
      </c>
      <c r="E536" s="20">
        <v>-0.01</v>
      </c>
      <c r="F536" s="20">
        <v>1198.9000000000001</v>
      </c>
      <c r="Q536" s="20">
        <v>53.5</v>
      </c>
      <c r="R536" s="20">
        <v>56.58</v>
      </c>
      <c r="S536" s="20">
        <v>56</v>
      </c>
      <c r="T536" s="26">
        <v>-0.57999999999999996</v>
      </c>
      <c r="U536" s="20">
        <v>0.05</v>
      </c>
      <c r="V536" s="20">
        <v>927.78</v>
      </c>
    </row>
    <row r="537" spans="1:22" ht="16.8" x14ac:dyDescent="0.3">
      <c r="A537" s="20">
        <v>53.6</v>
      </c>
      <c r="B537" s="20">
        <v>56</v>
      </c>
      <c r="C537" s="20">
        <v>55.89</v>
      </c>
      <c r="D537" s="20">
        <v>0.11</v>
      </c>
      <c r="E537" s="20">
        <v>0.01</v>
      </c>
      <c r="F537" s="20">
        <v>1205.48</v>
      </c>
      <c r="Q537" s="20">
        <v>53.6</v>
      </c>
      <c r="R537" s="20">
        <v>56.59</v>
      </c>
      <c r="S537" s="26">
        <v>56</v>
      </c>
      <c r="T537" s="20">
        <v>-0.59</v>
      </c>
      <c r="U537" s="26">
        <v>-0.01</v>
      </c>
      <c r="V537" s="20">
        <v>920.71</v>
      </c>
    </row>
    <row r="538" spans="1:22" ht="16.8" x14ac:dyDescent="0.3">
      <c r="A538" s="20">
        <v>53.7</v>
      </c>
      <c r="B538" s="20">
        <v>56</v>
      </c>
      <c r="C538" s="20">
        <v>55.86</v>
      </c>
      <c r="D538" s="20">
        <v>0.14000000000000001</v>
      </c>
      <c r="E538" s="20">
        <v>0.03</v>
      </c>
      <c r="F538" s="20">
        <v>1230.3</v>
      </c>
      <c r="Q538" s="20">
        <v>53.7</v>
      </c>
      <c r="R538" s="20">
        <v>56.58</v>
      </c>
      <c r="S538" s="20">
        <v>56</v>
      </c>
      <c r="T538" s="26">
        <v>-0.57999999999999996</v>
      </c>
      <c r="U538" s="20">
        <v>0.01</v>
      </c>
      <c r="V538" s="20">
        <v>921.86</v>
      </c>
    </row>
    <row r="539" spans="1:22" ht="16.8" x14ac:dyDescent="0.3">
      <c r="A539" s="20">
        <v>53.8</v>
      </c>
      <c r="B539" s="20">
        <v>56</v>
      </c>
      <c r="C539" s="20">
        <v>55.91</v>
      </c>
      <c r="D539" s="20">
        <v>0.09</v>
      </c>
      <c r="E539" s="20">
        <v>-0.05</v>
      </c>
      <c r="F539" s="20">
        <v>1188.72</v>
      </c>
      <c r="Q539" s="20">
        <v>53.8</v>
      </c>
      <c r="R539" s="20">
        <v>56.58</v>
      </c>
      <c r="S539" s="26">
        <v>56</v>
      </c>
      <c r="T539" s="20">
        <v>-0.57999999999999996</v>
      </c>
      <c r="U539" s="26">
        <v>0.01</v>
      </c>
      <c r="V539" s="20">
        <v>921.78</v>
      </c>
    </row>
    <row r="540" spans="1:22" ht="16.8" x14ac:dyDescent="0.3">
      <c r="A540" s="20">
        <v>53.9</v>
      </c>
      <c r="B540" s="20">
        <v>56</v>
      </c>
      <c r="C540" s="20">
        <v>55.88</v>
      </c>
      <c r="D540" s="20">
        <v>0.12</v>
      </c>
      <c r="E540" s="20">
        <v>0.03</v>
      </c>
      <c r="F540" s="20">
        <v>1211.9000000000001</v>
      </c>
      <c r="Q540" s="20">
        <v>53.9</v>
      </c>
      <c r="R540" s="20">
        <v>56.58</v>
      </c>
      <c r="S540" s="20">
        <v>56</v>
      </c>
      <c r="T540" s="26">
        <v>-0.57999999999999996</v>
      </c>
      <c r="U540" s="20">
        <v>-0.01</v>
      </c>
      <c r="V540" s="20">
        <v>917.87</v>
      </c>
    </row>
    <row r="541" spans="1:22" ht="16.8" x14ac:dyDescent="0.3">
      <c r="A541" s="20">
        <v>54</v>
      </c>
      <c r="B541" s="20">
        <v>56</v>
      </c>
      <c r="C541" s="20">
        <v>55.86</v>
      </c>
      <c r="D541" s="20">
        <v>0.14000000000000001</v>
      </c>
      <c r="E541" s="20">
        <v>0.02</v>
      </c>
      <c r="F541" s="20">
        <v>1227.32</v>
      </c>
      <c r="Q541" s="20">
        <v>54</v>
      </c>
      <c r="R541" s="20">
        <v>56.53</v>
      </c>
      <c r="S541" s="26">
        <v>56</v>
      </c>
      <c r="T541" s="20">
        <v>-0.53</v>
      </c>
      <c r="U541" s="20">
        <v>0.05</v>
      </c>
      <c r="V541" s="20">
        <v>928.66</v>
      </c>
    </row>
    <row r="542" spans="1:22" ht="16.8" x14ac:dyDescent="0.3">
      <c r="A542" s="20">
        <v>54.1</v>
      </c>
      <c r="B542" s="20">
        <v>56</v>
      </c>
      <c r="C542" s="20">
        <v>55.83</v>
      </c>
      <c r="D542" s="20">
        <v>0.17</v>
      </c>
      <c r="E542" s="20">
        <v>0.04</v>
      </c>
      <c r="F542" s="20">
        <v>1252.8900000000001</v>
      </c>
      <c r="Q542" s="20">
        <v>54.1</v>
      </c>
      <c r="R542" s="20">
        <v>56.57</v>
      </c>
      <c r="S542" s="20">
        <v>56</v>
      </c>
      <c r="T542" s="26">
        <v>-0.56999999999999995</v>
      </c>
      <c r="U542" s="26">
        <v>-0.03</v>
      </c>
      <c r="V542" s="20">
        <v>915.93</v>
      </c>
    </row>
    <row r="543" spans="1:22" ht="16.8" x14ac:dyDescent="0.3">
      <c r="A543" s="20">
        <v>54.2</v>
      </c>
      <c r="B543" s="20">
        <v>56</v>
      </c>
      <c r="C543" s="20">
        <v>55.83</v>
      </c>
      <c r="D543" s="20">
        <v>0.17</v>
      </c>
      <c r="E543" s="20">
        <v>-0.01</v>
      </c>
      <c r="F543" s="20">
        <v>1247.43</v>
      </c>
      <c r="Q543" s="20">
        <v>54.2</v>
      </c>
      <c r="R543" s="20">
        <v>56.47</v>
      </c>
      <c r="S543" s="26">
        <v>56</v>
      </c>
      <c r="T543" s="20">
        <v>-0.47</v>
      </c>
      <c r="U543" s="20">
        <v>0.1</v>
      </c>
      <c r="V543" s="20">
        <v>940.18</v>
      </c>
    </row>
    <row r="544" spans="1:22" ht="16.8" x14ac:dyDescent="0.3">
      <c r="A544" s="20">
        <v>54.3</v>
      </c>
      <c r="B544" s="20">
        <v>56</v>
      </c>
      <c r="C544" s="20">
        <v>55.81</v>
      </c>
      <c r="D544" s="20">
        <v>0.19</v>
      </c>
      <c r="E544" s="20">
        <v>0.02</v>
      </c>
      <c r="F544" s="20">
        <v>1263.43</v>
      </c>
      <c r="Q544" s="20">
        <v>54.3</v>
      </c>
      <c r="R544" s="20">
        <v>56.51</v>
      </c>
      <c r="S544" s="20">
        <v>56</v>
      </c>
      <c r="T544" s="26">
        <v>-0.51</v>
      </c>
      <c r="U544" s="26">
        <v>-0.04</v>
      </c>
      <c r="V544" s="20">
        <v>921.91</v>
      </c>
    </row>
    <row r="545" spans="1:22" ht="16.8" x14ac:dyDescent="0.3">
      <c r="A545" s="20">
        <v>54.4</v>
      </c>
      <c r="B545" s="20">
        <v>56</v>
      </c>
      <c r="C545" s="20">
        <v>55.82</v>
      </c>
      <c r="D545" s="20">
        <v>0.18</v>
      </c>
      <c r="E545" s="20">
        <v>-0.01</v>
      </c>
      <c r="F545" s="20">
        <v>1258.22</v>
      </c>
      <c r="Q545" s="20">
        <v>54.4</v>
      </c>
      <c r="R545" s="20">
        <v>56.46</v>
      </c>
      <c r="S545" s="20">
        <v>56</v>
      </c>
      <c r="T545" s="20">
        <v>-0.46</v>
      </c>
      <c r="U545" s="20">
        <v>0.05</v>
      </c>
      <c r="V545" s="20">
        <v>935.38</v>
      </c>
    </row>
    <row r="546" spans="1:22" ht="16.8" x14ac:dyDescent="0.3">
      <c r="A546" s="20">
        <v>54.5</v>
      </c>
      <c r="B546" s="20">
        <v>56</v>
      </c>
      <c r="C546" s="20">
        <v>55.85</v>
      </c>
      <c r="D546" s="20">
        <v>0.15</v>
      </c>
      <c r="E546" s="20">
        <v>-0.03</v>
      </c>
      <c r="F546" s="20">
        <v>1236.1400000000001</v>
      </c>
      <c r="Q546" s="20">
        <v>54.5</v>
      </c>
      <c r="R546" s="20">
        <v>56.46</v>
      </c>
      <c r="S546" s="26">
        <v>56</v>
      </c>
      <c r="T546" s="26">
        <v>-0.46</v>
      </c>
      <c r="U546" s="26">
        <v>0</v>
      </c>
      <c r="V546" s="20">
        <v>930.52</v>
      </c>
    </row>
    <row r="547" spans="1:22" ht="16.8" x14ac:dyDescent="0.3">
      <c r="A547" s="20">
        <v>54.6</v>
      </c>
      <c r="B547" s="20">
        <v>56</v>
      </c>
      <c r="C547" s="20">
        <v>55.87</v>
      </c>
      <c r="D547" s="20">
        <v>0.13</v>
      </c>
      <c r="E547" s="20">
        <v>-0.02</v>
      </c>
      <c r="F547" s="20">
        <v>1224.31</v>
      </c>
      <c r="Q547" s="20">
        <v>54.6</v>
      </c>
      <c r="R547" s="20">
        <v>56.45</v>
      </c>
      <c r="S547" s="20">
        <v>56</v>
      </c>
      <c r="T547" s="20">
        <v>-0.45</v>
      </c>
      <c r="U547" s="20">
        <v>0.02</v>
      </c>
      <c r="V547" s="20">
        <v>933.27</v>
      </c>
    </row>
    <row r="548" spans="1:22" ht="16.8" x14ac:dyDescent="0.3">
      <c r="A548" s="20">
        <v>54.7</v>
      </c>
      <c r="B548" s="20">
        <v>56</v>
      </c>
      <c r="C548" s="20">
        <v>55.84</v>
      </c>
      <c r="D548" s="20">
        <v>0.16</v>
      </c>
      <c r="E548" s="20">
        <v>0.02</v>
      </c>
      <c r="F548" s="20">
        <v>1241.8499999999999</v>
      </c>
      <c r="Q548" s="20">
        <v>54.7</v>
      </c>
      <c r="R548" s="20">
        <v>56.49</v>
      </c>
      <c r="S548" s="26">
        <v>56</v>
      </c>
      <c r="T548" s="26">
        <v>-0.49</v>
      </c>
      <c r="U548" s="26">
        <v>-0.05</v>
      </c>
      <c r="V548" s="20">
        <v>919.43</v>
      </c>
    </row>
    <row r="549" spans="1:22" ht="16.8" x14ac:dyDescent="0.3">
      <c r="A549" s="20">
        <v>54.8</v>
      </c>
      <c r="B549" s="20">
        <v>56</v>
      </c>
      <c r="C549" s="20">
        <v>55.83</v>
      </c>
      <c r="D549" s="20">
        <v>0.17</v>
      </c>
      <c r="E549" s="20">
        <v>0.02</v>
      </c>
      <c r="F549" s="20">
        <v>1252.8900000000001</v>
      </c>
      <c r="Q549" s="20">
        <v>54.8</v>
      </c>
      <c r="R549" s="20">
        <v>56.46</v>
      </c>
      <c r="S549" s="20">
        <v>56</v>
      </c>
      <c r="T549" s="20">
        <v>-0.46</v>
      </c>
      <c r="U549" s="20">
        <v>0.03</v>
      </c>
      <c r="V549" s="20">
        <v>929.72</v>
      </c>
    </row>
    <row r="550" spans="1:22" ht="16.8" x14ac:dyDescent="0.3">
      <c r="A550" s="20">
        <v>54.9</v>
      </c>
      <c r="B550" s="20">
        <v>56</v>
      </c>
      <c r="C550" s="20">
        <v>55.83</v>
      </c>
      <c r="D550" s="20">
        <v>0.17</v>
      </c>
      <c r="E550" s="20">
        <v>-0.01</v>
      </c>
      <c r="F550" s="20">
        <v>1247.43</v>
      </c>
      <c r="Q550" s="20">
        <v>54.9</v>
      </c>
      <c r="R550" s="20">
        <v>56.41</v>
      </c>
      <c r="S550" s="26">
        <v>56</v>
      </c>
      <c r="T550" s="20">
        <v>-0.41</v>
      </c>
      <c r="U550" s="20">
        <v>0.06</v>
      </c>
      <c r="V550" s="20">
        <v>939.57</v>
      </c>
    </row>
    <row r="551" spans="1:22" ht="16.8" x14ac:dyDescent="0.3">
      <c r="A551" s="20">
        <v>55</v>
      </c>
      <c r="B551" s="20">
        <v>56</v>
      </c>
      <c r="C551" s="20">
        <v>55.83</v>
      </c>
      <c r="D551" s="20">
        <v>0.17</v>
      </c>
      <c r="E551" s="20">
        <v>0</v>
      </c>
      <c r="F551" s="20">
        <v>1250.17</v>
      </c>
      <c r="Q551" s="20">
        <v>55</v>
      </c>
      <c r="R551" s="20">
        <v>56.4</v>
      </c>
      <c r="S551" s="20">
        <v>56</v>
      </c>
      <c r="T551" s="26">
        <v>-0.4</v>
      </c>
      <c r="U551" s="26" t="s">
        <v>42</v>
      </c>
      <c r="V551" s="20"/>
    </row>
    <row r="552" spans="1:22" ht="16.8" x14ac:dyDescent="0.3">
      <c r="A552" s="20">
        <v>55.1</v>
      </c>
      <c r="B552" s="20">
        <v>56</v>
      </c>
      <c r="C552" s="20">
        <v>55.83</v>
      </c>
      <c r="D552" s="20">
        <v>0.17</v>
      </c>
      <c r="E552" s="20">
        <v>0</v>
      </c>
      <c r="F552" s="20">
        <v>1252.8900000000001</v>
      </c>
      <c r="Q552" s="20">
        <v>55.1</v>
      </c>
      <c r="R552" s="20">
        <v>56.37</v>
      </c>
      <c r="S552" s="26">
        <v>56</v>
      </c>
      <c r="T552" s="20">
        <v>-0.37</v>
      </c>
      <c r="U552" s="26">
        <v>0.03</v>
      </c>
      <c r="V552" s="20">
        <v>942.26</v>
      </c>
    </row>
    <row r="553" spans="1:22" ht="16.8" x14ac:dyDescent="0.3">
      <c r="A553" s="20">
        <v>55.2</v>
      </c>
      <c r="B553" s="20">
        <v>56</v>
      </c>
      <c r="C553" s="20">
        <v>55.82</v>
      </c>
      <c r="D553" s="20">
        <v>0.18</v>
      </c>
      <c r="E553" s="20">
        <v>0.01</v>
      </c>
      <c r="F553" s="20">
        <v>1258.22</v>
      </c>
      <c r="Q553" s="20">
        <v>55.2</v>
      </c>
      <c r="R553" s="20">
        <v>56.33</v>
      </c>
      <c r="S553" s="20">
        <v>56</v>
      </c>
      <c r="T553" s="26">
        <v>-0.33</v>
      </c>
      <c r="U553" s="26">
        <v>0.04</v>
      </c>
      <c r="V553" s="20">
        <v>948.49</v>
      </c>
    </row>
    <row r="554" spans="1:22" ht="16.8" x14ac:dyDescent="0.3">
      <c r="A554" s="20">
        <v>55.3</v>
      </c>
      <c r="B554" s="20">
        <v>56</v>
      </c>
      <c r="C554" s="20">
        <v>55.81</v>
      </c>
      <c r="D554" s="20">
        <v>0.19</v>
      </c>
      <c r="E554" s="20">
        <v>0</v>
      </c>
      <c r="F554" s="20">
        <v>1260.83</v>
      </c>
      <c r="Q554" s="20">
        <v>55.3</v>
      </c>
      <c r="R554" s="20">
        <v>56.26</v>
      </c>
      <c r="S554" s="26">
        <v>56</v>
      </c>
      <c r="T554" s="20">
        <v>-0.26</v>
      </c>
      <c r="U554" s="26">
        <v>0.06</v>
      </c>
      <c r="V554" s="20">
        <v>959.95</v>
      </c>
    </row>
    <row r="555" spans="1:22" ht="16.8" x14ac:dyDescent="0.3">
      <c r="A555" s="20">
        <v>55.4</v>
      </c>
      <c r="B555" s="20">
        <v>56</v>
      </c>
      <c r="C555" s="20">
        <v>55.79</v>
      </c>
      <c r="D555" s="20">
        <v>0.21</v>
      </c>
      <c r="E555" s="20">
        <v>0.02</v>
      </c>
      <c r="F555" s="20">
        <v>1274.0999999999999</v>
      </c>
      <c r="Q555" s="20">
        <v>55.4</v>
      </c>
      <c r="R555" s="20">
        <v>56.33</v>
      </c>
      <c r="S555" s="20">
        <v>56</v>
      </c>
      <c r="T555" s="26">
        <v>-0.33</v>
      </c>
      <c r="U555" s="26">
        <v>-7.0000000000000007E-2</v>
      </c>
      <c r="V555" s="20">
        <v>937.01</v>
      </c>
    </row>
    <row r="556" spans="1:22" ht="16.8" x14ac:dyDescent="0.3">
      <c r="A556" s="20">
        <v>55.5</v>
      </c>
      <c r="B556" s="20">
        <v>56</v>
      </c>
      <c r="C556" s="20">
        <v>55.83</v>
      </c>
      <c r="D556" s="20">
        <v>0.17</v>
      </c>
      <c r="E556" s="20">
        <v>-0.04</v>
      </c>
      <c r="F556" s="20">
        <v>1250.17</v>
      </c>
      <c r="Q556" s="20">
        <v>55.5</v>
      </c>
      <c r="R556" s="20">
        <v>56.34</v>
      </c>
      <c r="S556" s="26">
        <v>56</v>
      </c>
      <c r="T556" s="20">
        <v>-0.34</v>
      </c>
      <c r="U556" s="26">
        <v>-0.01</v>
      </c>
      <c r="V556" s="20">
        <v>939.96</v>
      </c>
    </row>
    <row r="557" spans="1:22" ht="16.8" x14ac:dyDescent="0.3">
      <c r="A557" s="20">
        <v>55.6</v>
      </c>
      <c r="B557" s="20">
        <v>56</v>
      </c>
      <c r="C557" s="20">
        <v>55.79</v>
      </c>
      <c r="D557" s="20">
        <v>0.21</v>
      </c>
      <c r="E557" s="20">
        <v>0.04</v>
      </c>
      <c r="F557" s="20">
        <v>1279.77</v>
      </c>
      <c r="Q557" s="20">
        <v>55.6</v>
      </c>
      <c r="R557" s="20">
        <v>56.31</v>
      </c>
      <c r="S557" s="20">
        <v>56</v>
      </c>
      <c r="T557" s="26">
        <v>-0.31</v>
      </c>
      <c r="U557" s="26">
        <v>0.03</v>
      </c>
      <c r="V557" s="20">
        <v>947.47</v>
      </c>
    </row>
    <row r="558" spans="1:22" ht="16.8" x14ac:dyDescent="0.3">
      <c r="A558" s="20">
        <v>55.7</v>
      </c>
      <c r="B558" s="20">
        <v>56</v>
      </c>
      <c r="C558" s="20">
        <v>55.84</v>
      </c>
      <c r="D558" s="20">
        <v>0.16</v>
      </c>
      <c r="E558" s="20">
        <v>-0.05</v>
      </c>
      <c r="F558" s="20">
        <v>1244.6500000000001</v>
      </c>
      <c r="Q558" s="20">
        <v>55.7</v>
      </c>
      <c r="R558" s="20">
        <v>56.24</v>
      </c>
      <c r="S558" s="26">
        <v>56</v>
      </c>
      <c r="T558" s="20">
        <v>-0.24</v>
      </c>
      <c r="U558" s="20">
        <v>7.0000000000000007E-2</v>
      </c>
      <c r="V558" s="20">
        <v>961.52</v>
      </c>
    </row>
    <row r="559" spans="1:22" ht="16.8" x14ac:dyDescent="0.3">
      <c r="A559" s="20">
        <v>55.8</v>
      </c>
      <c r="B559" s="20">
        <v>56</v>
      </c>
      <c r="C559" s="20">
        <v>55.81</v>
      </c>
      <c r="D559" s="20">
        <v>0.19</v>
      </c>
      <c r="E559" s="20">
        <v>0.02</v>
      </c>
      <c r="F559" s="20">
        <v>1260.83</v>
      </c>
      <c r="Q559" s="20">
        <v>55.8</v>
      </c>
      <c r="R559" s="20">
        <v>56.27</v>
      </c>
      <c r="S559" s="20">
        <v>56</v>
      </c>
      <c r="T559" s="26">
        <v>-0.27</v>
      </c>
      <c r="U559" s="26">
        <v>-0.03</v>
      </c>
      <c r="V559" s="20">
        <v>947.62</v>
      </c>
    </row>
    <row r="560" spans="1:22" ht="16.8" x14ac:dyDescent="0.3">
      <c r="A560" s="20">
        <v>55.9</v>
      </c>
      <c r="B560" s="20">
        <v>56</v>
      </c>
      <c r="C560" s="20">
        <v>55.81</v>
      </c>
      <c r="D560" s="20">
        <v>0.19</v>
      </c>
      <c r="E560" s="20">
        <v>0</v>
      </c>
      <c r="F560" s="20">
        <v>1260.83</v>
      </c>
      <c r="Q560" s="20">
        <v>55.9</v>
      </c>
      <c r="R560" s="20">
        <v>56.32</v>
      </c>
      <c r="S560" s="20">
        <v>56</v>
      </c>
      <c r="T560" s="20">
        <v>-0.32</v>
      </c>
      <c r="U560" s="20">
        <v>-0.05</v>
      </c>
      <c r="V560" s="20">
        <v>937.97</v>
      </c>
    </row>
    <row r="561" spans="1:22" ht="16.8" x14ac:dyDescent="0.3">
      <c r="A561" s="20">
        <v>56</v>
      </c>
      <c r="B561" s="20">
        <v>56</v>
      </c>
      <c r="C561" s="20">
        <v>55.77</v>
      </c>
      <c r="D561" s="20">
        <v>0.23</v>
      </c>
      <c r="E561" s="20">
        <v>0.04</v>
      </c>
      <c r="F561" s="20">
        <v>1288.18</v>
      </c>
      <c r="Q561" s="20">
        <v>56</v>
      </c>
      <c r="R561" s="20">
        <v>56.26</v>
      </c>
      <c r="S561" s="26">
        <v>56</v>
      </c>
      <c r="T561" s="20">
        <v>-0.26</v>
      </c>
      <c r="U561" s="26">
        <v>0.06</v>
      </c>
      <c r="V561" s="20">
        <v>954.45</v>
      </c>
    </row>
    <row r="562" spans="1:22" ht="16.8" x14ac:dyDescent="0.3">
      <c r="A562" s="20">
        <v>56.1</v>
      </c>
      <c r="B562" s="20">
        <v>56</v>
      </c>
      <c r="C562" s="20">
        <v>55.82</v>
      </c>
      <c r="D562" s="20">
        <v>0.18</v>
      </c>
      <c r="E562" s="20">
        <v>-0.04</v>
      </c>
      <c r="F562" s="20">
        <v>1258.22</v>
      </c>
      <c r="Q562" s="20">
        <v>56.1</v>
      </c>
      <c r="R562" s="20">
        <v>56.29</v>
      </c>
      <c r="S562" s="20">
        <v>56</v>
      </c>
      <c r="T562" s="26">
        <v>-0.28999999999999998</v>
      </c>
      <c r="U562" s="20">
        <v>-0.03</v>
      </c>
      <c r="V562" s="20">
        <v>941.74</v>
      </c>
    </row>
    <row r="563" spans="1:22" ht="16.8" x14ac:dyDescent="0.3">
      <c r="A563" s="20">
        <v>56.2</v>
      </c>
      <c r="B563" s="20">
        <v>56</v>
      </c>
      <c r="C563" s="20">
        <v>55.79</v>
      </c>
      <c r="D563" s="20">
        <v>0.21</v>
      </c>
      <c r="E563" s="20">
        <v>0.03</v>
      </c>
      <c r="F563" s="20">
        <v>1276.93</v>
      </c>
      <c r="Q563" s="20">
        <v>56.2</v>
      </c>
      <c r="R563" s="20">
        <v>56.27</v>
      </c>
      <c r="S563" s="26">
        <v>56</v>
      </c>
      <c r="T563" s="20">
        <v>-0.27</v>
      </c>
      <c r="U563" s="26">
        <v>0.02</v>
      </c>
      <c r="V563" s="20">
        <v>949.33</v>
      </c>
    </row>
    <row r="564" spans="1:22" ht="16.8" x14ac:dyDescent="0.3">
      <c r="A564" s="20">
        <v>56.3</v>
      </c>
      <c r="B564" s="20">
        <v>56</v>
      </c>
      <c r="C564" s="20">
        <v>55.83</v>
      </c>
      <c r="D564" s="20">
        <v>0.17</v>
      </c>
      <c r="E564" s="20">
        <v>-0.04</v>
      </c>
      <c r="F564" s="20">
        <v>1252.8900000000001</v>
      </c>
      <c r="Q564" s="20">
        <v>56.3</v>
      </c>
      <c r="R564" s="20">
        <v>56.26</v>
      </c>
      <c r="S564" s="20">
        <v>56</v>
      </c>
      <c r="T564" s="26">
        <v>-0.26</v>
      </c>
      <c r="U564" s="20">
        <v>0.01</v>
      </c>
      <c r="V564" s="20">
        <v>948.73</v>
      </c>
    </row>
    <row r="565" spans="1:22" ht="16.8" x14ac:dyDescent="0.3">
      <c r="A565" s="20">
        <v>56.4</v>
      </c>
      <c r="B565" s="20">
        <v>56</v>
      </c>
      <c r="C565" s="20">
        <v>55.8</v>
      </c>
      <c r="D565" s="20">
        <v>0.2</v>
      </c>
      <c r="E565" s="20">
        <v>0.02</v>
      </c>
      <c r="F565" s="20">
        <v>1268.51</v>
      </c>
      <c r="Q565" s="20">
        <v>56.4</v>
      </c>
      <c r="R565" s="20">
        <v>56.25</v>
      </c>
      <c r="S565" s="26">
        <v>56</v>
      </c>
      <c r="T565" s="20">
        <v>-0.25</v>
      </c>
      <c r="U565" s="26">
        <v>0.01</v>
      </c>
      <c r="V565" s="20">
        <v>949.41</v>
      </c>
    </row>
    <row r="566" spans="1:22" ht="16.8" x14ac:dyDescent="0.3">
      <c r="A566" s="20">
        <v>56.5</v>
      </c>
      <c r="B566" s="20">
        <v>56</v>
      </c>
      <c r="C566" s="20">
        <v>55.83</v>
      </c>
      <c r="D566" s="20">
        <v>0.17</v>
      </c>
      <c r="E566" s="20">
        <v>-0.02</v>
      </c>
      <c r="F566" s="20">
        <v>1252.8900000000001</v>
      </c>
      <c r="Q566" s="20">
        <v>56.5</v>
      </c>
      <c r="R566" s="20">
        <v>56.24</v>
      </c>
      <c r="S566" s="20">
        <v>56</v>
      </c>
      <c r="T566" s="26">
        <v>-0.24</v>
      </c>
      <c r="U566" s="20">
        <v>0.01</v>
      </c>
      <c r="V566" s="20">
        <v>950.11</v>
      </c>
    </row>
    <row r="567" spans="1:22" ht="16.8" x14ac:dyDescent="0.3">
      <c r="A567" s="20">
        <v>56.6</v>
      </c>
      <c r="B567" s="20">
        <v>56</v>
      </c>
      <c r="C567" s="20">
        <v>55.85</v>
      </c>
      <c r="D567" s="20">
        <v>0.15</v>
      </c>
      <c r="E567" s="20">
        <v>-0.02</v>
      </c>
      <c r="F567" s="20">
        <v>1236.1400000000001</v>
      </c>
      <c r="Q567" s="20">
        <v>56.6</v>
      </c>
      <c r="R567" s="20">
        <v>56.27</v>
      </c>
      <c r="S567" s="26">
        <v>56</v>
      </c>
      <c r="T567" s="20">
        <v>-0.27</v>
      </c>
      <c r="U567" s="26">
        <v>-0.02</v>
      </c>
      <c r="V567" s="20">
        <v>943.14</v>
      </c>
    </row>
    <row r="568" spans="1:22" ht="16.8" x14ac:dyDescent="0.3">
      <c r="A568" s="20">
        <v>56.7</v>
      </c>
      <c r="B568" s="20">
        <v>56</v>
      </c>
      <c r="C568" s="20">
        <v>55.86</v>
      </c>
      <c r="D568" s="20">
        <v>0.14000000000000001</v>
      </c>
      <c r="E568" s="20">
        <v>-0.01</v>
      </c>
      <c r="F568" s="20">
        <v>1227.32</v>
      </c>
      <c r="Q568" s="20">
        <v>56.7</v>
      </c>
      <c r="R568" s="20">
        <v>56.27</v>
      </c>
      <c r="S568" s="20">
        <v>56</v>
      </c>
      <c r="T568" s="26">
        <v>-0.27</v>
      </c>
      <c r="U568" s="20">
        <v>0</v>
      </c>
      <c r="V568" s="20">
        <v>944.39</v>
      </c>
    </row>
    <row r="569" spans="1:22" ht="16.8" x14ac:dyDescent="0.3">
      <c r="A569" s="20">
        <v>56.8</v>
      </c>
      <c r="B569" s="20">
        <v>56</v>
      </c>
      <c r="C569" s="20">
        <v>55.83</v>
      </c>
      <c r="D569" s="20">
        <v>0.17</v>
      </c>
      <c r="E569" s="20">
        <v>0.03</v>
      </c>
      <c r="F569" s="20">
        <v>1247.43</v>
      </c>
      <c r="Q569" s="20">
        <v>56.8</v>
      </c>
      <c r="R569" s="20">
        <v>56.21</v>
      </c>
      <c r="S569" s="20">
        <v>56</v>
      </c>
      <c r="T569" s="20">
        <v>-0.21</v>
      </c>
      <c r="U569" s="26">
        <v>0.06</v>
      </c>
      <c r="V569" s="20">
        <v>957.21</v>
      </c>
    </row>
    <row r="570" spans="1:22" ht="16.8" x14ac:dyDescent="0.3">
      <c r="A570" s="20">
        <v>56.9</v>
      </c>
      <c r="B570" s="20">
        <v>56</v>
      </c>
      <c r="C570" s="20">
        <v>55.81</v>
      </c>
      <c r="D570" s="20">
        <v>0.19</v>
      </c>
      <c r="E570" s="20">
        <v>0.02</v>
      </c>
      <c r="F570" s="20">
        <v>1260.83</v>
      </c>
      <c r="Q570" s="20">
        <v>56.9</v>
      </c>
      <c r="R570" s="20">
        <v>56.23</v>
      </c>
      <c r="S570" s="26">
        <v>56</v>
      </c>
      <c r="T570" s="26">
        <v>-0.23</v>
      </c>
      <c r="U570" s="20">
        <v>-0.02</v>
      </c>
      <c r="V570" s="20">
        <v>948.46</v>
      </c>
    </row>
    <row r="571" spans="1:22" ht="16.8" x14ac:dyDescent="0.3">
      <c r="A571" s="20">
        <v>57</v>
      </c>
      <c r="B571" s="20">
        <v>56</v>
      </c>
      <c r="C571" s="20">
        <v>55.82</v>
      </c>
      <c r="D571" s="20">
        <v>0.18</v>
      </c>
      <c r="E571" s="20">
        <v>-0.01</v>
      </c>
      <c r="F571" s="20">
        <v>1255.56</v>
      </c>
      <c r="Q571" s="20">
        <v>57</v>
      </c>
      <c r="R571" s="20">
        <v>56.24</v>
      </c>
      <c r="S571" s="20">
        <v>56</v>
      </c>
      <c r="T571" s="20">
        <v>-0.24</v>
      </c>
      <c r="U571" s="20">
        <v>-0.02</v>
      </c>
      <c r="V571" s="20">
        <v>945.33</v>
      </c>
    </row>
    <row r="572" spans="1:22" ht="16.8" x14ac:dyDescent="0.3">
      <c r="A572" s="20">
        <v>57.1</v>
      </c>
      <c r="B572" s="20">
        <v>56</v>
      </c>
      <c r="C572" s="20">
        <v>55.87</v>
      </c>
      <c r="D572" s="20">
        <v>0.13</v>
      </c>
      <c r="E572" s="20">
        <v>-0.05</v>
      </c>
      <c r="F572" s="20">
        <v>1218.17</v>
      </c>
      <c r="Q572" s="20">
        <v>57.1</v>
      </c>
      <c r="R572" s="20">
        <v>56.16</v>
      </c>
      <c r="S572" s="26">
        <v>56</v>
      </c>
      <c r="T572" s="20">
        <v>-0.16</v>
      </c>
      <c r="U572" s="26">
        <v>0.08</v>
      </c>
      <c r="V572" s="20">
        <v>965.23</v>
      </c>
    </row>
    <row r="573" spans="1:22" ht="16.8" x14ac:dyDescent="0.3">
      <c r="A573" s="20">
        <v>57.2</v>
      </c>
      <c r="B573" s="20">
        <v>56</v>
      </c>
      <c r="C573" s="20">
        <v>55.83</v>
      </c>
      <c r="D573" s="20">
        <v>0.17</v>
      </c>
      <c r="E573" s="20">
        <v>0.05</v>
      </c>
      <c r="F573" s="20">
        <v>1252.8900000000001</v>
      </c>
      <c r="Q573" s="20">
        <v>57.2</v>
      </c>
      <c r="R573" s="20">
        <v>56.16</v>
      </c>
      <c r="S573" s="20">
        <v>56</v>
      </c>
      <c r="T573" s="26">
        <v>-0.16</v>
      </c>
      <c r="U573" s="20">
        <v>0</v>
      </c>
      <c r="V573" s="20">
        <v>958.56</v>
      </c>
    </row>
    <row r="574" spans="1:22" ht="16.8" x14ac:dyDescent="0.3">
      <c r="A574" s="20">
        <v>57.3</v>
      </c>
      <c r="B574" s="20">
        <v>56</v>
      </c>
      <c r="C574" s="20">
        <v>55.87</v>
      </c>
      <c r="D574" s="20">
        <v>0.13</v>
      </c>
      <c r="E574" s="20">
        <v>-0.04</v>
      </c>
      <c r="F574" s="20">
        <v>1224.31</v>
      </c>
      <c r="Q574" s="20">
        <v>57.3</v>
      </c>
      <c r="R574" s="20">
        <v>56.17</v>
      </c>
      <c r="S574" s="26">
        <v>56</v>
      </c>
      <c r="T574" s="20">
        <v>-0.17</v>
      </c>
      <c r="U574" s="26">
        <v>-0.01</v>
      </c>
      <c r="V574" s="20">
        <v>956.25</v>
      </c>
    </row>
    <row r="575" spans="1:22" ht="16.8" x14ac:dyDescent="0.3">
      <c r="A575" s="20">
        <v>57.4</v>
      </c>
      <c r="B575" s="20">
        <v>56</v>
      </c>
      <c r="C575" s="20">
        <v>55.85</v>
      </c>
      <c r="D575" s="20">
        <v>0.15</v>
      </c>
      <c r="E575" s="20">
        <v>0.02</v>
      </c>
      <c r="F575" s="20">
        <v>1236.1400000000001</v>
      </c>
      <c r="Q575" s="20">
        <v>57.4</v>
      </c>
      <c r="R575" s="20">
        <v>56.14</v>
      </c>
      <c r="S575" s="20">
        <v>56</v>
      </c>
      <c r="T575" s="26">
        <v>-0.14000000000000001</v>
      </c>
      <c r="U575" s="20">
        <v>0.03</v>
      </c>
      <c r="V575" s="20">
        <v>964.16</v>
      </c>
    </row>
    <row r="576" spans="1:22" ht="16.8" x14ac:dyDescent="0.3">
      <c r="A576" s="20">
        <v>57.5</v>
      </c>
      <c r="B576" s="20">
        <v>56</v>
      </c>
      <c r="C576" s="20">
        <v>55.82</v>
      </c>
      <c r="D576" s="20">
        <v>0.18</v>
      </c>
      <c r="E576" s="20">
        <v>0.03</v>
      </c>
      <c r="F576" s="20">
        <v>1255.56</v>
      </c>
      <c r="Q576" s="20">
        <v>57.5</v>
      </c>
      <c r="R576" s="20">
        <v>56.21</v>
      </c>
      <c r="S576" s="26">
        <v>56</v>
      </c>
      <c r="T576" s="20">
        <v>-0.21</v>
      </c>
      <c r="U576" s="26">
        <v>-7.0000000000000007E-2</v>
      </c>
      <c r="V576" s="20">
        <v>944.02</v>
      </c>
    </row>
    <row r="577" spans="1:22" ht="16.8" x14ac:dyDescent="0.3">
      <c r="A577" s="20">
        <v>57.6</v>
      </c>
      <c r="B577" s="20">
        <v>56</v>
      </c>
      <c r="C577" s="20">
        <v>55.83</v>
      </c>
      <c r="D577" s="20">
        <v>0.17</v>
      </c>
      <c r="E577" s="20">
        <v>-0.01</v>
      </c>
      <c r="F577" s="20">
        <v>1250.17</v>
      </c>
      <c r="Q577" s="20">
        <v>57.6</v>
      </c>
      <c r="R577" s="20">
        <v>56.16</v>
      </c>
      <c r="S577" s="20">
        <v>56</v>
      </c>
      <c r="T577" s="26">
        <v>-0.16</v>
      </c>
      <c r="U577" s="20">
        <v>0.06</v>
      </c>
      <c r="V577" s="20">
        <v>962.63</v>
      </c>
    </row>
    <row r="578" spans="1:22" ht="16.8" x14ac:dyDescent="0.3">
      <c r="A578" s="20">
        <v>57.7</v>
      </c>
      <c r="B578" s="20">
        <v>56</v>
      </c>
      <c r="C578" s="20">
        <v>55.87</v>
      </c>
      <c r="D578" s="20">
        <v>0.13</v>
      </c>
      <c r="E578" s="20">
        <v>-0.04</v>
      </c>
      <c r="F578" s="20">
        <v>1224.31</v>
      </c>
      <c r="Q578" s="20">
        <v>57.7</v>
      </c>
      <c r="R578" s="20">
        <v>56.16</v>
      </c>
      <c r="S578" s="26">
        <v>56</v>
      </c>
      <c r="T578" s="20">
        <v>-0.16</v>
      </c>
      <c r="U578" s="26">
        <v>-0.01</v>
      </c>
      <c r="V578" s="20">
        <v>955.94</v>
      </c>
    </row>
    <row r="579" spans="1:22" ht="16.8" x14ac:dyDescent="0.3">
      <c r="A579" s="20">
        <v>57.8</v>
      </c>
      <c r="B579" s="20">
        <v>56</v>
      </c>
      <c r="C579" s="20">
        <v>55.88</v>
      </c>
      <c r="D579" s="20">
        <v>0.12</v>
      </c>
      <c r="E579" s="20">
        <v>-0.01</v>
      </c>
      <c r="F579" s="20">
        <v>1215.07</v>
      </c>
      <c r="Q579" s="20">
        <v>57.8</v>
      </c>
      <c r="R579" s="20">
        <v>56.13</v>
      </c>
      <c r="S579" s="20">
        <v>56</v>
      </c>
      <c r="T579" s="20">
        <v>-0.13</v>
      </c>
      <c r="U579" s="20">
        <v>0.03</v>
      </c>
      <c r="V579" s="20">
        <v>963.87</v>
      </c>
    </row>
    <row r="580" spans="1:22" ht="16.8" x14ac:dyDescent="0.3">
      <c r="A580" s="20">
        <v>57.9</v>
      </c>
      <c r="B580" s="20">
        <v>56</v>
      </c>
      <c r="C580" s="20">
        <v>55.87</v>
      </c>
      <c r="D580" s="20">
        <v>0.13</v>
      </c>
      <c r="E580" s="20">
        <v>0.01</v>
      </c>
      <c r="F580" s="20">
        <v>1224.31</v>
      </c>
      <c r="Q580" s="20">
        <v>57.9</v>
      </c>
      <c r="R580" s="20">
        <v>56.12</v>
      </c>
      <c r="S580" s="20">
        <v>56</v>
      </c>
      <c r="T580" s="26">
        <v>-0.12</v>
      </c>
      <c r="U580" s="26">
        <v>0.01</v>
      </c>
      <c r="V580" s="20">
        <v>962.96</v>
      </c>
    </row>
    <row r="581" spans="1:22" ht="16.8" x14ac:dyDescent="0.3">
      <c r="A581" s="20">
        <v>58</v>
      </c>
      <c r="B581" s="20">
        <v>56</v>
      </c>
      <c r="C581" s="20">
        <v>55.83</v>
      </c>
      <c r="D581" s="20">
        <v>0.17</v>
      </c>
      <c r="E581" s="20">
        <v>0.04</v>
      </c>
      <c r="F581" s="20">
        <v>1250.17</v>
      </c>
      <c r="Q581" s="20">
        <v>58</v>
      </c>
      <c r="R581" s="20">
        <v>56.15</v>
      </c>
      <c r="S581" s="26">
        <v>56</v>
      </c>
      <c r="T581" s="20">
        <v>-0.15</v>
      </c>
      <c r="U581" s="20">
        <v>-0.02</v>
      </c>
      <c r="V581" s="20">
        <v>956.28</v>
      </c>
    </row>
    <row r="582" spans="1:22" ht="16.8" x14ac:dyDescent="0.3">
      <c r="A582" s="20">
        <v>58.1</v>
      </c>
      <c r="B582" s="20">
        <v>56</v>
      </c>
      <c r="C582" s="20">
        <v>55.83</v>
      </c>
      <c r="D582" s="20">
        <v>0.17</v>
      </c>
      <c r="E582" s="20">
        <v>0</v>
      </c>
      <c r="F582" s="20">
        <v>1247.43</v>
      </c>
      <c r="Q582" s="20">
        <v>58.1</v>
      </c>
      <c r="R582" s="20">
        <v>56.1</v>
      </c>
      <c r="S582" s="20">
        <v>56</v>
      </c>
      <c r="T582" s="26">
        <v>-0.1</v>
      </c>
      <c r="U582" s="26">
        <v>0.05</v>
      </c>
      <c r="V582" s="20">
        <v>969.35</v>
      </c>
    </row>
    <row r="583" spans="1:22" ht="16.8" x14ac:dyDescent="0.3">
      <c r="A583" s="20">
        <v>58.2</v>
      </c>
      <c r="B583" s="20">
        <v>56</v>
      </c>
      <c r="C583" s="20">
        <v>55.85</v>
      </c>
      <c r="D583" s="20">
        <v>0.15</v>
      </c>
      <c r="E583" s="20">
        <v>-0.02</v>
      </c>
      <c r="F583" s="20">
        <v>1233.24</v>
      </c>
      <c r="Q583" s="20">
        <v>58.2</v>
      </c>
      <c r="R583" s="20">
        <v>56.07</v>
      </c>
      <c r="S583" s="26">
        <v>56</v>
      </c>
      <c r="T583" s="20">
        <v>-7.0000000000000007E-2</v>
      </c>
      <c r="U583" s="26">
        <v>0.03</v>
      </c>
      <c r="V583" s="20">
        <v>973.03</v>
      </c>
    </row>
    <row r="584" spans="1:22" ht="16.8" x14ac:dyDescent="0.3">
      <c r="A584" s="20">
        <v>58.3</v>
      </c>
      <c r="B584" s="20">
        <v>56</v>
      </c>
      <c r="C584" s="20">
        <v>55.87</v>
      </c>
      <c r="D584" s="20">
        <v>0.13</v>
      </c>
      <c r="E584" s="20">
        <v>-0.02</v>
      </c>
      <c r="F584" s="20">
        <v>1221.27</v>
      </c>
      <c r="Q584" s="20">
        <v>58.3</v>
      </c>
      <c r="R584" s="20">
        <v>56.08</v>
      </c>
      <c r="S584" s="20">
        <v>56</v>
      </c>
      <c r="T584" s="26">
        <v>-0.08</v>
      </c>
      <c r="U584" s="26">
        <v>-0.02</v>
      </c>
      <c r="V584" s="20">
        <v>966.51</v>
      </c>
    </row>
    <row r="585" spans="1:22" ht="16.8" x14ac:dyDescent="0.3">
      <c r="A585" s="20">
        <v>58.4</v>
      </c>
      <c r="B585" s="20">
        <v>56</v>
      </c>
      <c r="C585" s="20">
        <v>55.82</v>
      </c>
      <c r="D585" s="20">
        <v>0.18</v>
      </c>
      <c r="E585" s="20">
        <v>0.05</v>
      </c>
      <c r="F585" s="20">
        <v>1255.56</v>
      </c>
      <c r="Q585" s="20">
        <v>58.4</v>
      </c>
      <c r="R585" s="20">
        <v>56.19</v>
      </c>
      <c r="S585" s="20">
        <v>56</v>
      </c>
      <c r="T585" s="20">
        <v>-0.19</v>
      </c>
      <c r="U585" s="26">
        <v>-0.1</v>
      </c>
      <c r="V585" s="20">
        <v>942.59</v>
      </c>
    </row>
    <row r="586" spans="1:22" ht="16.8" x14ac:dyDescent="0.3">
      <c r="A586" s="20">
        <v>58.5</v>
      </c>
      <c r="B586" s="20">
        <v>56</v>
      </c>
      <c r="C586" s="20">
        <v>55.88</v>
      </c>
      <c r="D586" s="20">
        <v>0.12</v>
      </c>
      <c r="E586" s="20">
        <v>-0.06</v>
      </c>
      <c r="F586" s="20">
        <v>1211.9000000000001</v>
      </c>
      <c r="Q586" s="20">
        <v>58.5</v>
      </c>
      <c r="R586" s="20">
        <v>56.1</v>
      </c>
      <c r="S586" s="26">
        <v>56</v>
      </c>
      <c r="T586" s="26">
        <v>-0.1</v>
      </c>
      <c r="U586" s="26">
        <v>0.09</v>
      </c>
      <c r="V586" s="20">
        <v>971.45</v>
      </c>
    </row>
    <row r="587" spans="1:22" ht="16.8" x14ac:dyDescent="0.3">
      <c r="A587" s="20">
        <v>58.6</v>
      </c>
      <c r="B587" s="20">
        <v>56</v>
      </c>
      <c r="C587" s="20">
        <v>55.87</v>
      </c>
      <c r="D587" s="20">
        <v>0.13</v>
      </c>
      <c r="E587" s="20">
        <v>0.01</v>
      </c>
      <c r="F587" s="20">
        <v>1218.17</v>
      </c>
      <c r="Q587" s="20">
        <v>58.6</v>
      </c>
      <c r="R587" s="20">
        <v>56.08</v>
      </c>
      <c r="S587" s="20">
        <v>56</v>
      </c>
      <c r="T587" s="20">
        <v>-0.08</v>
      </c>
      <c r="U587" s="26">
        <v>0.02</v>
      </c>
      <c r="V587" s="20">
        <v>970.07</v>
      </c>
    </row>
    <row r="588" spans="1:22" ht="16.8" x14ac:dyDescent="0.3">
      <c r="A588" s="20">
        <v>58.7</v>
      </c>
      <c r="B588" s="20">
        <v>56</v>
      </c>
      <c r="C588" s="20">
        <v>55.84</v>
      </c>
      <c r="D588" s="20">
        <v>0.16</v>
      </c>
      <c r="E588" s="20">
        <v>0.04</v>
      </c>
      <c r="F588" s="20">
        <v>1244.6500000000001</v>
      </c>
      <c r="Q588" s="20">
        <v>58.7</v>
      </c>
      <c r="R588" s="20">
        <v>56.07</v>
      </c>
      <c r="S588" s="26">
        <v>56</v>
      </c>
      <c r="T588" s="26">
        <v>-7.0000000000000007E-2</v>
      </c>
      <c r="U588" s="20">
        <v>0.01</v>
      </c>
      <c r="V588" s="20">
        <v>969.93</v>
      </c>
    </row>
    <row r="589" spans="1:22" ht="16.8" x14ac:dyDescent="0.3">
      <c r="A589" s="20">
        <v>58.8</v>
      </c>
      <c r="B589" s="20">
        <v>56</v>
      </c>
      <c r="C589" s="20">
        <v>55.84</v>
      </c>
      <c r="D589" s="20">
        <v>0.16</v>
      </c>
      <c r="E589" s="20">
        <v>0</v>
      </c>
      <c r="F589" s="20">
        <v>1244.6500000000001</v>
      </c>
      <c r="Q589" s="20">
        <v>58.8</v>
      </c>
      <c r="R589" s="20">
        <v>56.08</v>
      </c>
      <c r="S589" s="20">
        <v>56</v>
      </c>
      <c r="T589" s="20">
        <v>-0.08</v>
      </c>
      <c r="U589" s="26">
        <v>-0.02</v>
      </c>
      <c r="V589" s="20">
        <v>965.3</v>
      </c>
    </row>
    <row r="590" spans="1:22" ht="16.8" x14ac:dyDescent="0.3">
      <c r="A590" s="20">
        <v>58.9</v>
      </c>
      <c r="B590" s="20">
        <v>56</v>
      </c>
      <c r="C590" s="20">
        <v>55.81</v>
      </c>
      <c r="D590" s="20">
        <v>0.19</v>
      </c>
      <c r="E590" s="20">
        <v>0.02</v>
      </c>
      <c r="F590" s="20">
        <v>1260.83</v>
      </c>
      <c r="Q590" s="20">
        <v>58.9</v>
      </c>
      <c r="R590" s="20">
        <v>56.07</v>
      </c>
      <c r="S590" s="26">
        <v>56</v>
      </c>
      <c r="T590" s="26">
        <v>-7.0000000000000007E-2</v>
      </c>
      <c r="U590" s="20">
        <v>0.02</v>
      </c>
      <c r="V590" s="20">
        <v>970.2</v>
      </c>
    </row>
    <row r="591" spans="1:22" ht="16.8" x14ac:dyDescent="0.3">
      <c r="A591" s="20">
        <v>59</v>
      </c>
      <c r="B591" s="20">
        <v>56</v>
      </c>
      <c r="C591" s="20">
        <v>55.82</v>
      </c>
      <c r="D591" s="20">
        <v>0.18</v>
      </c>
      <c r="E591" s="20">
        <v>0</v>
      </c>
      <c r="F591" s="20">
        <v>1258.22</v>
      </c>
      <c r="Q591" s="20">
        <v>59</v>
      </c>
      <c r="R591" s="20">
        <v>56.04</v>
      </c>
      <c r="S591" s="20">
        <v>56</v>
      </c>
      <c r="T591" s="20">
        <v>-0.04</v>
      </c>
      <c r="U591" s="26">
        <v>0.02</v>
      </c>
      <c r="V591" s="20">
        <v>974.55</v>
      </c>
    </row>
    <row r="592" spans="1:22" ht="16.8" x14ac:dyDescent="0.3">
      <c r="A592" s="20">
        <v>59.1</v>
      </c>
      <c r="B592" s="20">
        <v>56</v>
      </c>
      <c r="C592" s="20">
        <v>55.85</v>
      </c>
      <c r="D592" s="20">
        <v>0.15</v>
      </c>
      <c r="E592" s="20">
        <v>-0.04</v>
      </c>
      <c r="F592" s="20">
        <v>1233.24</v>
      </c>
      <c r="Q592" s="20">
        <v>59.1</v>
      </c>
      <c r="R592" s="20">
        <v>56.04</v>
      </c>
      <c r="S592" s="26">
        <v>56</v>
      </c>
      <c r="T592" s="20">
        <v>-0.04</v>
      </c>
      <c r="U592" s="20">
        <v>0.01</v>
      </c>
      <c r="V592" s="20">
        <v>974.48</v>
      </c>
    </row>
    <row r="593" spans="1:22" ht="16.8" x14ac:dyDescent="0.3">
      <c r="A593" s="20">
        <v>59.2</v>
      </c>
      <c r="B593" s="20">
        <v>56</v>
      </c>
      <c r="C593" s="20">
        <v>55.8</v>
      </c>
      <c r="D593" s="20">
        <v>0.2</v>
      </c>
      <c r="E593" s="20">
        <v>0.06</v>
      </c>
      <c r="F593" s="20">
        <v>1271.25</v>
      </c>
      <c r="Q593" s="20">
        <v>59.2</v>
      </c>
      <c r="R593" s="20">
        <v>56.01</v>
      </c>
      <c r="S593" s="20">
        <v>56</v>
      </c>
      <c r="T593" s="26">
        <v>-0.01</v>
      </c>
      <c r="U593" s="26">
        <v>0.02</v>
      </c>
      <c r="V593" s="20">
        <v>979.54</v>
      </c>
    </row>
    <row r="594" spans="1:22" ht="16.8" x14ac:dyDescent="0.3">
      <c r="A594" s="20">
        <v>59.3</v>
      </c>
      <c r="B594" s="20">
        <v>56</v>
      </c>
      <c r="C594" s="20">
        <v>55.82</v>
      </c>
      <c r="D594" s="20">
        <v>0.18</v>
      </c>
      <c r="E594" s="20">
        <v>-0.02</v>
      </c>
      <c r="F594" s="20">
        <v>1255.56</v>
      </c>
      <c r="Q594" s="20">
        <v>59.3</v>
      </c>
      <c r="R594" s="20">
        <v>56.04</v>
      </c>
      <c r="S594" s="26">
        <v>56</v>
      </c>
      <c r="T594" s="20">
        <v>-0.04</v>
      </c>
      <c r="U594" s="20">
        <v>-0.03</v>
      </c>
      <c r="V594" s="20">
        <v>969.94</v>
      </c>
    </row>
    <row r="595" spans="1:22" ht="16.8" x14ac:dyDescent="0.3">
      <c r="A595" s="20">
        <v>59.4</v>
      </c>
      <c r="B595" s="20">
        <v>56</v>
      </c>
      <c r="C595" s="20">
        <v>55.85</v>
      </c>
      <c r="D595" s="20">
        <v>0.15</v>
      </c>
      <c r="E595" s="20">
        <v>-0.03</v>
      </c>
      <c r="F595" s="20">
        <v>1236.1400000000001</v>
      </c>
      <c r="Q595" s="20">
        <v>59.4</v>
      </c>
      <c r="R595" s="20">
        <v>56</v>
      </c>
      <c r="S595" s="20">
        <v>56</v>
      </c>
      <c r="T595" s="26">
        <v>0</v>
      </c>
      <c r="U595" s="26">
        <v>0.04</v>
      </c>
      <c r="V595" s="20">
        <v>981.96</v>
      </c>
    </row>
    <row r="596" spans="1:22" ht="16.8" x14ac:dyDescent="0.3">
      <c r="A596" s="20">
        <v>59.5</v>
      </c>
      <c r="B596" s="20">
        <v>56</v>
      </c>
      <c r="C596" s="20">
        <v>55.81</v>
      </c>
      <c r="D596" s="20">
        <v>0.19</v>
      </c>
      <c r="E596" s="20">
        <v>0.04</v>
      </c>
      <c r="F596" s="20">
        <v>1260.83</v>
      </c>
      <c r="Q596" s="20">
        <v>59.5</v>
      </c>
      <c r="R596" s="20">
        <v>56</v>
      </c>
      <c r="S596" s="20">
        <v>56</v>
      </c>
      <c r="T596" s="20">
        <v>0</v>
      </c>
      <c r="U596" s="20">
        <v>0</v>
      </c>
      <c r="V596" s="20">
        <v>978.81</v>
      </c>
    </row>
    <row r="597" spans="1:22" ht="16.8" x14ac:dyDescent="0.3">
      <c r="A597" s="20">
        <v>59.6</v>
      </c>
      <c r="B597" s="20">
        <v>56</v>
      </c>
      <c r="C597" s="20">
        <v>55.79</v>
      </c>
      <c r="D597" s="20">
        <v>0.21</v>
      </c>
      <c r="E597" s="20">
        <v>0.02</v>
      </c>
      <c r="F597" s="20">
        <v>1274.0999999999999</v>
      </c>
      <c r="Q597" s="20">
        <v>59.6</v>
      </c>
      <c r="R597" s="20">
        <v>55.99</v>
      </c>
      <c r="S597" s="26">
        <v>56</v>
      </c>
      <c r="T597" s="26">
        <v>0.01</v>
      </c>
      <c r="U597" s="26">
        <v>0.01</v>
      </c>
      <c r="V597" s="20">
        <v>980.73</v>
      </c>
    </row>
    <row r="598" spans="1:22" ht="16.8" x14ac:dyDescent="0.3">
      <c r="A598" s="20">
        <v>59.7</v>
      </c>
      <c r="B598" s="20">
        <v>56</v>
      </c>
      <c r="C598" s="20">
        <v>55.83</v>
      </c>
      <c r="D598" s="20">
        <v>0.17</v>
      </c>
      <c r="E598" s="20">
        <v>-0.04</v>
      </c>
      <c r="F598" s="20">
        <v>1250.17</v>
      </c>
      <c r="Q598" s="20">
        <v>59.7</v>
      </c>
      <c r="R598" s="20">
        <v>55.96</v>
      </c>
      <c r="S598" s="20">
        <v>56</v>
      </c>
      <c r="T598" s="20">
        <v>0.04</v>
      </c>
      <c r="U598" s="26">
        <v>0.03</v>
      </c>
      <c r="V598" s="20">
        <v>987.8</v>
      </c>
    </row>
    <row r="599" spans="1:22" ht="16.8" x14ac:dyDescent="0.3">
      <c r="A599" s="20">
        <v>59.8</v>
      </c>
      <c r="B599" s="20">
        <v>56</v>
      </c>
      <c r="C599" s="20">
        <v>55.85</v>
      </c>
      <c r="D599" s="20">
        <v>0.15</v>
      </c>
      <c r="E599" s="20">
        <v>-0.02</v>
      </c>
      <c r="F599" s="20">
        <v>1239.01</v>
      </c>
      <c r="Q599" s="20">
        <v>59.8</v>
      </c>
      <c r="R599" s="20">
        <v>56.02</v>
      </c>
      <c r="S599" s="26">
        <v>56</v>
      </c>
      <c r="T599" s="26">
        <v>-0.02</v>
      </c>
      <c r="U599" s="20">
        <v>-0.06</v>
      </c>
      <c r="V599" s="20">
        <v>971.92</v>
      </c>
    </row>
    <row r="600" spans="1:22" ht="16.8" x14ac:dyDescent="0.3">
      <c r="A600" s="20">
        <v>59.9</v>
      </c>
      <c r="B600" s="20">
        <v>56</v>
      </c>
      <c r="C600" s="20">
        <v>55.8</v>
      </c>
      <c r="D600" s="20">
        <v>0.2</v>
      </c>
      <c r="E600" s="20">
        <v>0.05</v>
      </c>
      <c r="F600" s="20">
        <v>1271.25</v>
      </c>
      <c r="Q600" s="20">
        <v>59.9</v>
      </c>
      <c r="R600" s="20">
        <v>56.01</v>
      </c>
      <c r="S600" s="20">
        <v>56</v>
      </c>
      <c r="T600" s="20">
        <v>-0.01</v>
      </c>
      <c r="U600" s="26">
        <v>0.01</v>
      </c>
      <c r="V600" s="20">
        <v>978.2</v>
      </c>
    </row>
    <row r="601" spans="1:22" ht="16.8" x14ac:dyDescent="0.3">
      <c r="A601" s="20">
        <v>60</v>
      </c>
      <c r="B601" s="20">
        <v>56</v>
      </c>
      <c r="C601" s="20">
        <v>55.79</v>
      </c>
      <c r="D601" s="20">
        <v>0.21</v>
      </c>
      <c r="E601" s="20">
        <v>0</v>
      </c>
      <c r="F601" s="20">
        <v>1274.0999999999999</v>
      </c>
      <c r="Q601" s="20">
        <v>60</v>
      </c>
      <c r="R601" s="20">
        <v>55.99</v>
      </c>
      <c r="S601" s="26">
        <v>56</v>
      </c>
      <c r="T601" s="26">
        <v>0.01</v>
      </c>
      <c r="U601" s="20">
        <v>0.02</v>
      </c>
      <c r="V601" s="20">
        <v>983.31</v>
      </c>
    </row>
    <row r="602" spans="1:22" ht="16.8" x14ac:dyDescent="0.3">
      <c r="A602" s="24">
        <v>60.1</v>
      </c>
      <c r="B602" s="24">
        <v>56</v>
      </c>
      <c r="C602" s="24">
        <v>55.87</v>
      </c>
      <c r="D602" s="24">
        <v>0.13</v>
      </c>
      <c r="E602" s="24">
        <v>-7.0000000000000007E-2</v>
      </c>
      <c r="F602" s="24">
        <v>1224.31</v>
      </c>
      <c r="Q602" s="24">
        <v>60.1</v>
      </c>
      <c r="R602" s="24">
        <v>55.95</v>
      </c>
      <c r="S602" s="24">
        <v>56</v>
      </c>
      <c r="T602" s="24">
        <v>0.05</v>
      </c>
      <c r="U602" s="25">
        <v>0.03</v>
      </c>
      <c r="V602" s="24">
        <v>989.14</v>
      </c>
    </row>
  </sheetData>
  <mergeCells count="28">
    <mergeCell ref="X36:Y36"/>
    <mergeCell ref="X37:Y37"/>
    <mergeCell ref="X39:Y39"/>
    <mergeCell ref="X40:Y40"/>
    <mergeCell ref="X42:Z42"/>
    <mergeCell ref="X43:Z43"/>
    <mergeCell ref="G42:I42"/>
    <mergeCell ref="G43:I43"/>
    <mergeCell ref="X22:AA22"/>
    <mergeCell ref="Z23:AA23"/>
    <mergeCell ref="Z24:AA24"/>
    <mergeCell ref="X26:Z26"/>
    <mergeCell ref="X27:Z27"/>
    <mergeCell ref="X29:AA29"/>
    <mergeCell ref="Z30:AA30"/>
    <mergeCell ref="Z31:AA31"/>
    <mergeCell ref="I30:J30"/>
    <mergeCell ref="I31:J31"/>
    <mergeCell ref="G36:H36"/>
    <mergeCell ref="G37:H37"/>
    <mergeCell ref="G39:H39"/>
    <mergeCell ref="G40:H40"/>
    <mergeCell ref="G22:J22"/>
    <mergeCell ref="I23:J23"/>
    <mergeCell ref="I24:J24"/>
    <mergeCell ref="G26:I26"/>
    <mergeCell ref="G27:I27"/>
    <mergeCell ref="G29:J29"/>
  </mergeCells>
  <dataValidations count="6">
    <dataValidation allowBlank="1" showInputMessage="1" showErrorMessage="1" prompt="TBL_HST[CH6]" sqref="V2:V602 F2:F602" xr:uid="{9FB2A0D3-017F-43AA-9AFE-38FB11C4AFC3}"/>
    <dataValidation allowBlank="1" showInputMessage="1" showErrorMessage="1" prompt="TBL_HST[CH5]" sqref="U2:U602 E2:E602" xr:uid="{5867F943-AD24-4A9B-8061-D8D3F2E93ECE}"/>
    <dataValidation allowBlank="1" showInputMessage="1" showErrorMessage="1" prompt="TBL_HST[CH4]" sqref="T2:T602 D2:D602" xr:uid="{52BC6D3F-E4AF-4C50-864A-DA6B159346F0}"/>
    <dataValidation allowBlank="1" showInputMessage="1" showErrorMessage="1" prompt="TBL_HST[CH3]" sqref="S2:S602 C2:C602" xr:uid="{F86EDC5C-8A98-41E8-8740-6C44C84D1DD2}"/>
    <dataValidation allowBlank="1" showInputMessage="1" showErrorMessage="1" prompt="TBL_HST[CH2]" sqref="R2:R602 B2:B602" xr:uid="{A367376D-49EE-4EB0-821F-81843841F2CC}"/>
    <dataValidation allowBlank="1" showInputMessage="1" showErrorMessage="1" prompt="TBL_HST[CH1]" sqref="Q2:Q602 A2:A602" xr:uid="{C6D4D304-A307-45E6-9238-74CF682C99CF}"/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0AC84-69DF-4EDA-8835-F732B1E20C0A}">
  <dimension ref="A1:AA602"/>
  <sheetViews>
    <sheetView topLeftCell="A3" zoomScale="69" zoomScaleNormal="116" workbookViewId="0">
      <selection activeCell="J18" sqref="J18"/>
    </sheetView>
  </sheetViews>
  <sheetFormatPr defaultRowHeight="14.4" x14ac:dyDescent="0.3"/>
  <cols>
    <col min="1" max="1" width="9.77734375" bestFit="1" customWidth="1"/>
    <col min="6" max="6" width="13.77734375" customWidth="1"/>
    <col min="8" max="8" width="19.88671875" customWidth="1"/>
    <col min="9" max="9" width="14" customWidth="1"/>
    <col min="11" max="11" width="16" customWidth="1"/>
    <col min="22" max="22" width="13" customWidth="1"/>
    <col min="24" max="24" width="19" customWidth="1"/>
    <col min="25" max="25" width="15.77734375" customWidth="1"/>
    <col min="26" max="26" width="11.6640625" customWidth="1"/>
    <col min="27" max="27" width="13.109375" customWidth="1"/>
  </cols>
  <sheetData>
    <row r="1" spans="1:27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ht="16.8" x14ac:dyDescent="0.3">
      <c r="A2" s="20">
        <v>0.1</v>
      </c>
      <c r="B2" s="20">
        <v>59</v>
      </c>
      <c r="C2" s="20">
        <v>29.57</v>
      </c>
      <c r="D2" s="20">
        <v>29.43</v>
      </c>
      <c r="E2" s="20">
        <v>6</v>
      </c>
      <c r="F2" s="20">
        <v>2048</v>
      </c>
      <c r="Q2" s="20">
        <v>0.1</v>
      </c>
      <c r="R2" s="20">
        <v>34.43</v>
      </c>
      <c r="S2" s="26">
        <v>59</v>
      </c>
      <c r="T2" s="20">
        <v>24.57</v>
      </c>
      <c r="U2" s="26">
        <v>24.57</v>
      </c>
      <c r="V2" s="20">
        <v>4095</v>
      </c>
    </row>
    <row r="3" spans="1:27" ht="16.8" x14ac:dyDescent="0.3">
      <c r="A3" s="20">
        <v>0.2</v>
      </c>
      <c r="B3" s="20">
        <v>59</v>
      </c>
      <c r="C3" s="20">
        <v>29.54</v>
      </c>
      <c r="D3" s="20">
        <v>29.46</v>
      </c>
      <c r="E3" s="20">
        <v>0.02</v>
      </c>
      <c r="F3" s="20">
        <v>3372.33</v>
      </c>
      <c r="Q3" s="20">
        <v>0.2</v>
      </c>
      <c r="R3" s="20">
        <v>35.32</v>
      </c>
      <c r="S3" s="20">
        <v>59</v>
      </c>
      <c r="T3" s="20">
        <v>23.68</v>
      </c>
      <c r="U3" s="26">
        <v>-0.89</v>
      </c>
      <c r="V3" s="20">
        <v>3745.11</v>
      </c>
    </row>
    <row r="4" spans="1:27" ht="16.8" x14ac:dyDescent="0.3">
      <c r="A4" s="20">
        <v>0.3</v>
      </c>
      <c r="B4" s="20">
        <v>59</v>
      </c>
      <c r="C4" s="20">
        <v>29.55</v>
      </c>
      <c r="D4" s="20">
        <v>29.45</v>
      </c>
      <c r="E4" s="20">
        <v>-0.01</v>
      </c>
      <c r="F4" s="20">
        <v>3372.33</v>
      </c>
      <c r="Q4" s="20">
        <v>0.3</v>
      </c>
      <c r="R4" s="20">
        <v>35.26</v>
      </c>
      <c r="S4" s="26">
        <v>59</v>
      </c>
      <c r="T4" s="20">
        <v>23.74</v>
      </c>
      <c r="U4" s="26">
        <v>0.06</v>
      </c>
      <c r="V4" s="20">
        <v>3895.87</v>
      </c>
    </row>
    <row r="5" spans="1:27" ht="16.8" x14ac:dyDescent="0.3">
      <c r="A5" s="20">
        <v>0.4</v>
      </c>
      <c r="B5" s="20">
        <v>59</v>
      </c>
      <c r="C5" s="20">
        <v>29.55</v>
      </c>
      <c r="D5" s="20">
        <v>29.45</v>
      </c>
      <c r="E5" s="20">
        <v>0</v>
      </c>
      <c r="F5" s="20">
        <v>3372.33</v>
      </c>
      <c r="Q5" s="20">
        <v>0.4</v>
      </c>
      <c r="R5" s="20">
        <v>35.43</v>
      </c>
      <c r="S5" s="20">
        <v>59</v>
      </c>
      <c r="T5" s="26">
        <v>23.57</v>
      </c>
      <c r="U5" s="26">
        <v>-0.17</v>
      </c>
      <c r="V5" s="20">
        <v>3905.16</v>
      </c>
    </row>
    <row r="6" spans="1:27" ht="16.8" x14ac:dyDescent="0.3">
      <c r="A6" s="20">
        <v>0.5</v>
      </c>
      <c r="B6" s="20">
        <v>59</v>
      </c>
      <c r="C6" s="20">
        <v>29.6</v>
      </c>
      <c r="D6" s="20">
        <v>29.4</v>
      </c>
      <c r="E6" s="20">
        <v>-0.05</v>
      </c>
      <c r="F6" s="20">
        <v>3372.33</v>
      </c>
      <c r="Q6" s="20">
        <v>0.5</v>
      </c>
      <c r="R6" s="20">
        <v>35.5</v>
      </c>
      <c r="S6" s="20">
        <v>59</v>
      </c>
      <c r="T6" s="20">
        <v>23.5</v>
      </c>
      <c r="U6" s="26">
        <v>-7.0000000000000007E-2</v>
      </c>
      <c r="V6" s="20">
        <v>3958.67</v>
      </c>
    </row>
    <row r="7" spans="1:27" ht="16.8" x14ac:dyDescent="0.3">
      <c r="A7" s="20">
        <v>0.6</v>
      </c>
      <c r="B7" s="20">
        <v>59</v>
      </c>
      <c r="C7" s="20">
        <v>29.65</v>
      </c>
      <c r="D7" s="20">
        <v>29.35</v>
      </c>
      <c r="E7" s="20">
        <v>-0.05</v>
      </c>
      <c r="F7" s="20">
        <v>3372.33</v>
      </c>
      <c r="Q7" s="20">
        <v>0.6</v>
      </c>
      <c r="R7" s="20">
        <v>35.79</v>
      </c>
      <c r="S7" s="26">
        <v>59</v>
      </c>
      <c r="T7" s="26">
        <v>23.21</v>
      </c>
      <c r="U7" s="26">
        <v>-0.28999999999999998</v>
      </c>
      <c r="V7" s="20">
        <v>3948.58</v>
      </c>
    </row>
    <row r="8" spans="1:27" ht="16.8" x14ac:dyDescent="0.3">
      <c r="A8" s="20">
        <v>0.7</v>
      </c>
      <c r="B8" s="20">
        <v>59</v>
      </c>
      <c r="C8" s="20">
        <v>29.87</v>
      </c>
      <c r="D8" s="20">
        <v>29.13</v>
      </c>
      <c r="E8" s="20">
        <v>-0.22</v>
      </c>
      <c r="F8" s="20">
        <v>3372.33</v>
      </c>
      <c r="Q8" s="20">
        <v>0.7</v>
      </c>
      <c r="R8" s="20">
        <v>36.049999999999997</v>
      </c>
      <c r="S8" s="20">
        <v>59</v>
      </c>
      <c r="T8" s="20">
        <v>22.95</v>
      </c>
      <c r="U8" s="20">
        <v>-0.26</v>
      </c>
      <c r="V8" s="20">
        <v>3965.49</v>
      </c>
    </row>
    <row r="9" spans="1:27" ht="16.8" x14ac:dyDescent="0.3">
      <c r="A9" s="20">
        <v>0.8</v>
      </c>
      <c r="B9" s="20">
        <v>59</v>
      </c>
      <c r="C9" s="20">
        <v>30.06</v>
      </c>
      <c r="D9" s="20">
        <v>28.94</v>
      </c>
      <c r="E9" s="20">
        <v>-0.19</v>
      </c>
      <c r="F9" s="20">
        <v>3372.33</v>
      </c>
      <c r="Q9" s="20">
        <v>0.8</v>
      </c>
      <c r="R9" s="20">
        <v>36.479999999999997</v>
      </c>
      <c r="S9" s="26">
        <v>59</v>
      </c>
      <c r="T9" s="26">
        <v>22.52</v>
      </c>
      <c r="U9" s="26">
        <v>-0.44</v>
      </c>
      <c r="V9" s="20">
        <v>3934.29</v>
      </c>
    </row>
    <row r="10" spans="1:27" ht="16.8" x14ac:dyDescent="0.3">
      <c r="A10" s="20">
        <v>0.9</v>
      </c>
      <c r="B10" s="20">
        <v>59</v>
      </c>
      <c r="C10" s="20">
        <v>30.37</v>
      </c>
      <c r="D10" s="20">
        <v>28.63</v>
      </c>
      <c r="E10" s="20">
        <v>-0.31</v>
      </c>
      <c r="F10" s="20">
        <v>3372.33</v>
      </c>
      <c r="Q10" s="32">
        <v>0.9</v>
      </c>
      <c r="R10" s="32">
        <v>36.909999999999997</v>
      </c>
      <c r="S10" s="32">
        <v>59</v>
      </c>
      <c r="T10" s="32">
        <v>22.09</v>
      </c>
      <c r="U10" s="32">
        <v>-0.43</v>
      </c>
      <c r="V10" s="32">
        <v>3920.03</v>
      </c>
    </row>
    <row r="11" spans="1:27" ht="16.8" x14ac:dyDescent="0.3">
      <c r="A11" s="20">
        <v>1</v>
      </c>
      <c r="B11" s="20">
        <v>59</v>
      </c>
      <c r="C11" s="20">
        <v>30.71</v>
      </c>
      <c r="D11" s="20">
        <v>28.29</v>
      </c>
      <c r="E11" s="20">
        <v>-0.34</v>
      </c>
      <c r="F11" s="20">
        <v>3372.33</v>
      </c>
      <c r="Q11" s="32">
        <v>1</v>
      </c>
      <c r="R11" s="32">
        <v>37.369999999999997</v>
      </c>
      <c r="S11" s="34">
        <v>59</v>
      </c>
      <c r="T11" s="34">
        <v>21.63</v>
      </c>
      <c r="U11" s="34">
        <v>-0.46</v>
      </c>
      <c r="V11" s="32">
        <v>3895.91</v>
      </c>
    </row>
    <row r="12" spans="1:27" ht="16.8" x14ac:dyDescent="0.3">
      <c r="A12" s="20">
        <v>1.1000000000000001</v>
      </c>
      <c r="B12" s="20">
        <v>59</v>
      </c>
      <c r="C12" s="20">
        <v>31.1</v>
      </c>
      <c r="D12" s="20">
        <v>27.9</v>
      </c>
      <c r="E12" s="20">
        <v>-0.39</v>
      </c>
      <c r="F12" s="20">
        <v>3372.33</v>
      </c>
      <c r="Q12" s="32">
        <v>1.1000000000000001</v>
      </c>
      <c r="R12" s="32">
        <v>37.950000000000003</v>
      </c>
      <c r="S12" s="32">
        <v>59</v>
      </c>
      <c r="T12" s="32">
        <v>21.05</v>
      </c>
      <c r="U12" s="34">
        <v>-0.57999999999999996</v>
      </c>
      <c r="V12" s="32">
        <v>3843.19</v>
      </c>
    </row>
    <row r="13" spans="1:27" ht="16.8" x14ac:dyDescent="0.3">
      <c r="A13" s="20">
        <v>1.2</v>
      </c>
      <c r="B13" s="20">
        <v>59</v>
      </c>
      <c r="C13" s="20">
        <v>31.5</v>
      </c>
      <c r="D13" s="20">
        <v>27.5</v>
      </c>
      <c r="E13" s="20">
        <v>-0.4</v>
      </c>
      <c r="F13" s="20">
        <v>3372.33</v>
      </c>
      <c r="Q13" s="32">
        <v>1.2</v>
      </c>
      <c r="R13" s="32">
        <v>38.54</v>
      </c>
      <c r="S13" s="34">
        <v>59</v>
      </c>
      <c r="T13" s="34">
        <v>20.46</v>
      </c>
      <c r="U13" s="34">
        <v>-0.59</v>
      </c>
      <c r="V13" s="32">
        <v>3797.93</v>
      </c>
    </row>
    <row r="14" spans="1:27" ht="16.8" x14ac:dyDescent="0.3">
      <c r="A14" s="20">
        <v>1.3</v>
      </c>
      <c r="B14" s="20">
        <v>59</v>
      </c>
      <c r="C14" s="20">
        <v>32.01</v>
      </c>
      <c r="D14" s="20">
        <v>26.99</v>
      </c>
      <c r="E14" s="20">
        <v>-0.5</v>
      </c>
      <c r="F14" s="20">
        <v>3372.33</v>
      </c>
      <c r="Q14" s="32">
        <v>1.3</v>
      </c>
      <c r="R14" s="32">
        <v>39.22</v>
      </c>
      <c r="S14" s="32">
        <v>59</v>
      </c>
      <c r="T14" s="32">
        <v>19.78</v>
      </c>
      <c r="U14" s="34">
        <v>-0.68</v>
      </c>
      <c r="V14" s="32">
        <v>3727.67</v>
      </c>
    </row>
    <row r="15" spans="1:27" ht="16.8" x14ac:dyDescent="0.3">
      <c r="A15" s="32">
        <v>1.4</v>
      </c>
      <c r="B15" s="20">
        <v>59</v>
      </c>
      <c r="C15" s="20">
        <v>32.56</v>
      </c>
      <c r="D15" s="20">
        <v>26.44</v>
      </c>
      <c r="E15" s="20">
        <v>-0.55000000000000004</v>
      </c>
      <c r="F15" s="20">
        <v>3372.33</v>
      </c>
      <c r="H15" s="55" t="s">
        <v>46</v>
      </c>
      <c r="I15" s="56"/>
      <c r="J15" s="56"/>
      <c r="K15" s="57"/>
      <c r="Q15" s="32">
        <v>1.4</v>
      </c>
      <c r="R15" s="32">
        <v>39.78</v>
      </c>
      <c r="S15" s="34">
        <v>59</v>
      </c>
      <c r="T15" s="32">
        <v>19.22</v>
      </c>
      <c r="U15" s="34">
        <v>-0.56000000000000005</v>
      </c>
      <c r="V15" s="32">
        <v>3696.89</v>
      </c>
      <c r="X15" s="55" t="s">
        <v>46</v>
      </c>
      <c r="Y15" s="56"/>
      <c r="Z15" s="56"/>
      <c r="AA15" s="57"/>
    </row>
    <row r="16" spans="1:27" ht="16.8" x14ac:dyDescent="0.3">
      <c r="A16" s="20">
        <v>1.5</v>
      </c>
      <c r="B16" s="20">
        <v>59</v>
      </c>
      <c r="C16" s="20">
        <v>33.04</v>
      </c>
      <c r="D16" s="20">
        <v>25.96</v>
      </c>
      <c r="E16" s="20">
        <v>-0.48</v>
      </c>
      <c r="F16" s="20">
        <v>3372.33</v>
      </c>
      <c r="H16" s="30" t="s">
        <v>47</v>
      </c>
      <c r="I16" s="30" t="s">
        <v>48</v>
      </c>
      <c r="J16" s="55" t="s">
        <v>49</v>
      </c>
      <c r="K16" s="57"/>
      <c r="Q16" s="32">
        <v>1.5</v>
      </c>
      <c r="R16" s="32">
        <v>40.51</v>
      </c>
      <c r="S16" s="32">
        <v>59</v>
      </c>
      <c r="T16" s="34">
        <v>18.489999999999998</v>
      </c>
      <c r="U16" s="34">
        <v>-0.73</v>
      </c>
      <c r="V16" s="32">
        <v>3610.62</v>
      </c>
      <c r="X16" s="30" t="s">
        <v>47</v>
      </c>
      <c r="Y16" s="30" t="s">
        <v>48</v>
      </c>
      <c r="Z16" s="55" t="s">
        <v>49</v>
      </c>
      <c r="AA16" s="57"/>
    </row>
    <row r="17" spans="1:27" ht="16.8" x14ac:dyDescent="0.3">
      <c r="A17" s="20">
        <v>1.6</v>
      </c>
      <c r="B17" s="20">
        <v>59</v>
      </c>
      <c r="C17" s="20">
        <v>33.57</v>
      </c>
      <c r="D17" s="20">
        <v>25.43</v>
      </c>
      <c r="E17" s="20">
        <v>-0.54</v>
      </c>
      <c r="F17" s="20">
        <v>3372.33</v>
      </c>
      <c r="H17" s="30">
        <f>C2+0.1*(B2-C2)</f>
        <v>32.512999999999998</v>
      </c>
      <c r="I17" s="30">
        <f>C2+0.9*(B2-C2)</f>
        <v>56.057000000000002</v>
      </c>
      <c r="J17" s="55">
        <f>A63-A23</f>
        <v>4</v>
      </c>
      <c r="K17" s="57"/>
      <c r="Q17" s="32">
        <v>1.6</v>
      </c>
      <c r="R17" s="32">
        <v>41.17</v>
      </c>
      <c r="S17" s="34">
        <v>59</v>
      </c>
      <c r="T17" s="32">
        <v>17.829999999999998</v>
      </c>
      <c r="U17" s="32">
        <v>-0.66</v>
      </c>
      <c r="V17" s="32">
        <v>3554.05</v>
      </c>
      <c r="X17" s="30">
        <f>R2+0.1*(S2-R2)</f>
        <v>36.887</v>
      </c>
      <c r="Y17" s="30">
        <f>R2+0.9*(S2-R2)</f>
        <v>56.542999999999999</v>
      </c>
      <c r="Z17" s="55">
        <f>Q49-Q10</f>
        <v>3.9</v>
      </c>
      <c r="AA17" s="57"/>
    </row>
    <row r="18" spans="1:27" ht="16.8" x14ac:dyDescent="0.3">
      <c r="A18" s="20">
        <v>1.7</v>
      </c>
      <c r="B18" s="20">
        <v>59</v>
      </c>
      <c r="C18" s="20">
        <v>34.1</v>
      </c>
      <c r="D18" s="20">
        <v>24.9</v>
      </c>
      <c r="E18" s="20">
        <v>-0.52</v>
      </c>
      <c r="F18" s="20">
        <v>3372.33</v>
      </c>
      <c r="Q18" s="32">
        <v>1.7</v>
      </c>
      <c r="R18" s="32">
        <v>41.87</v>
      </c>
      <c r="S18" s="32">
        <v>59</v>
      </c>
      <c r="T18" s="34">
        <v>17.13</v>
      </c>
      <c r="U18" s="34">
        <v>-0.7</v>
      </c>
      <c r="V18" s="32">
        <v>3479.96</v>
      </c>
    </row>
    <row r="19" spans="1:27" ht="16.8" x14ac:dyDescent="0.3">
      <c r="A19" s="20">
        <v>1.8</v>
      </c>
      <c r="B19" s="20">
        <v>59</v>
      </c>
      <c r="C19" s="20">
        <v>34.64</v>
      </c>
      <c r="D19" s="20">
        <v>24.36</v>
      </c>
      <c r="E19" s="20">
        <v>-0.54</v>
      </c>
      <c r="F19" s="20">
        <v>3372.33</v>
      </c>
      <c r="H19" s="55" t="s">
        <v>50</v>
      </c>
      <c r="I19" s="56"/>
      <c r="J19" s="57"/>
      <c r="Q19" s="32">
        <v>1.8</v>
      </c>
      <c r="R19" s="32">
        <v>42.5</v>
      </c>
      <c r="S19" s="34">
        <v>59</v>
      </c>
      <c r="T19" s="32">
        <v>16.5</v>
      </c>
      <c r="U19" s="32">
        <v>-0.64</v>
      </c>
      <c r="V19" s="32">
        <v>3424.03</v>
      </c>
      <c r="X19" s="55" t="s">
        <v>50</v>
      </c>
      <c r="Y19" s="56"/>
      <c r="Z19" s="57"/>
    </row>
    <row r="20" spans="1:27" ht="16.8" x14ac:dyDescent="0.3">
      <c r="A20" s="20">
        <v>1.9</v>
      </c>
      <c r="B20" s="20">
        <v>59</v>
      </c>
      <c r="C20" s="20">
        <v>35.229999999999997</v>
      </c>
      <c r="D20" s="20">
        <v>23.77</v>
      </c>
      <c r="E20" s="20">
        <v>-0.59</v>
      </c>
      <c r="F20" s="20">
        <v>3372.33</v>
      </c>
      <c r="H20" s="58">
        <f>((MAX(C2:C111)-59)/59)*100</f>
        <v>2.5084745762711811</v>
      </c>
      <c r="I20" s="58"/>
      <c r="J20" s="58"/>
      <c r="Q20" s="32">
        <v>1.9</v>
      </c>
      <c r="R20" s="32">
        <v>43.25</v>
      </c>
      <c r="S20" s="32">
        <v>59</v>
      </c>
      <c r="T20" s="34">
        <v>15.75</v>
      </c>
      <c r="U20" s="34">
        <v>-0.75</v>
      </c>
      <c r="V20" s="32">
        <v>3332.39</v>
      </c>
      <c r="X20" s="58">
        <f>((MAX(R2:R201)-59)/59)*100</f>
        <v>2.5254237288135624</v>
      </c>
      <c r="Y20" s="58"/>
      <c r="Z20" s="58"/>
    </row>
    <row r="21" spans="1:27" ht="16.8" x14ac:dyDescent="0.3">
      <c r="A21" s="20">
        <v>2</v>
      </c>
      <c r="B21" s="20">
        <v>59</v>
      </c>
      <c r="C21" s="20">
        <v>35.799999999999997</v>
      </c>
      <c r="D21" s="20">
        <v>23.2</v>
      </c>
      <c r="E21" s="20">
        <v>-0.56999999999999995</v>
      </c>
      <c r="F21" s="20">
        <v>3372.33</v>
      </c>
      <c r="Q21" s="32">
        <v>2</v>
      </c>
      <c r="R21" s="32">
        <v>43.93</v>
      </c>
      <c r="S21" s="34">
        <v>59</v>
      </c>
      <c r="T21" s="32">
        <v>15.07</v>
      </c>
      <c r="U21" s="32">
        <v>-0.68</v>
      </c>
      <c r="V21" s="32">
        <v>3267.36</v>
      </c>
    </row>
    <row r="22" spans="1:27" ht="16.8" x14ac:dyDescent="0.3">
      <c r="A22" s="20">
        <v>2.1</v>
      </c>
      <c r="B22" s="20">
        <v>59</v>
      </c>
      <c r="C22" s="20">
        <v>36.35</v>
      </c>
      <c r="D22" s="20">
        <v>22.65</v>
      </c>
      <c r="E22" s="20">
        <v>-0.55000000000000004</v>
      </c>
      <c r="F22" s="20">
        <v>3372.33</v>
      </c>
      <c r="H22" s="54"/>
      <c r="I22" s="54"/>
      <c r="J22" s="54"/>
      <c r="K22" s="54"/>
      <c r="Q22" s="32">
        <v>2.1</v>
      </c>
      <c r="R22" s="32">
        <v>44.56</v>
      </c>
      <c r="S22" s="32">
        <v>59</v>
      </c>
      <c r="T22" s="34">
        <v>14.44</v>
      </c>
      <c r="U22" s="34">
        <v>-0.63</v>
      </c>
      <c r="V22" s="32">
        <v>3206.33</v>
      </c>
      <c r="X22" s="54"/>
      <c r="Y22" s="54"/>
      <c r="Z22" s="54"/>
      <c r="AA22" s="54"/>
    </row>
    <row r="23" spans="1:27" ht="16.8" x14ac:dyDescent="0.3">
      <c r="A23" s="45">
        <v>2.2000000000000002</v>
      </c>
      <c r="B23" s="20">
        <v>59</v>
      </c>
      <c r="C23" s="20">
        <v>36.909999999999997</v>
      </c>
      <c r="D23" s="20">
        <v>22.09</v>
      </c>
      <c r="E23" s="20">
        <v>-0.56000000000000005</v>
      </c>
      <c r="F23" s="20">
        <v>3372.33</v>
      </c>
      <c r="J23" s="54"/>
      <c r="K23" s="54"/>
      <c r="Q23" s="32">
        <v>2.2000000000000002</v>
      </c>
      <c r="R23" s="32">
        <v>45.24</v>
      </c>
      <c r="S23" s="32">
        <v>59</v>
      </c>
      <c r="T23" s="32">
        <v>13.76</v>
      </c>
      <c r="U23" s="34">
        <v>-0.68</v>
      </c>
      <c r="V23" s="32">
        <v>3125.25</v>
      </c>
      <c r="Z23" s="54"/>
      <c r="AA23" s="54"/>
    </row>
    <row r="24" spans="1:27" ht="16.8" x14ac:dyDescent="0.3">
      <c r="A24" s="20">
        <v>2.2999999999999998</v>
      </c>
      <c r="B24" s="20">
        <v>59</v>
      </c>
      <c r="C24" s="20">
        <v>37.479999999999997</v>
      </c>
      <c r="D24" s="20">
        <v>21.52</v>
      </c>
      <c r="E24" s="20">
        <v>-0.56999999999999995</v>
      </c>
      <c r="F24" s="20">
        <v>3372.33</v>
      </c>
      <c r="H24" s="31"/>
      <c r="I24" s="31"/>
      <c r="J24" s="54"/>
      <c r="K24" s="54"/>
      <c r="Q24" s="32">
        <v>2.2999999999999998</v>
      </c>
      <c r="R24" s="32">
        <v>45.93</v>
      </c>
      <c r="S24" s="34">
        <v>59</v>
      </c>
      <c r="T24" s="34">
        <v>13.07</v>
      </c>
      <c r="U24" s="34">
        <v>-0.68</v>
      </c>
      <c r="V24" s="32">
        <v>3047.61</v>
      </c>
      <c r="X24" s="31"/>
      <c r="Y24" s="31"/>
      <c r="Z24" s="54"/>
      <c r="AA24" s="54"/>
    </row>
    <row r="25" spans="1:27" ht="16.8" x14ac:dyDescent="0.3">
      <c r="A25" s="20">
        <v>2.4</v>
      </c>
      <c r="B25" s="20">
        <v>59</v>
      </c>
      <c r="C25" s="20">
        <v>38.06</v>
      </c>
      <c r="D25" s="20">
        <v>20.94</v>
      </c>
      <c r="E25" s="20">
        <v>-0.57999999999999996</v>
      </c>
      <c r="F25" s="20">
        <v>3372.33</v>
      </c>
      <c r="Q25" s="32">
        <v>2.4</v>
      </c>
      <c r="R25" s="32">
        <v>46.56</v>
      </c>
      <c r="S25" s="32">
        <v>59</v>
      </c>
      <c r="T25" s="32">
        <v>12.44</v>
      </c>
      <c r="U25" s="34">
        <v>-0.63</v>
      </c>
      <c r="V25" s="32">
        <v>2982.52</v>
      </c>
    </row>
    <row r="26" spans="1:27" ht="16.8" x14ac:dyDescent="0.3">
      <c r="A26" s="20">
        <v>2.5</v>
      </c>
      <c r="B26" s="20">
        <v>59</v>
      </c>
      <c r="C26" s="20">
        <v>38.659999999999997</v>
      </c>
      <c r="D26" s="20">
        <v>20.34</v>
      </c>
      <c r="E26" s="20">
        <v>-0.6</v>
      </c>
      <c r="F26" s="20">
        <v>3372.33</v>
      </c>
      <c r="H26" s="29" t="s">
        <v>51</v>
      </c>
      <c r="I26" s="29">
        <f>ABS(AVERAGE(C301:C602))</f>
        <v>58.984072847682043</v>
      </c>
      <c r="Q26" s="32">
        <v>2.5</v>
      </c>
      <c r="R26" s="32">
        <v>47.18</v>
      </c>
      <c r="S26" s="34">
        <v>59</v>
      </c>
      <c r="T26" s="32">
        <v>11.82</v>
      </c>
      <c r="U26" s="34">
        <v>-0.62</v>
      </c>
      <c r="V26" s="32">
        <v>2912.87</v>
      </c>
      <c r="X26" s="29" t="s">
        <v>51</v>
      </c>
      <c r="Y26" s="29">
        <f>ABS(AVERAGE(R301:R602))</f>
        <v>59.102649006622514</v>
      </c>
    </row>
    <row r="27" spans="1:27" ht="16.8" x14ac:dyDescent="0.3">
      <c r="A27" s="20">
        <v>2.6</v>
      </c>
      <c r="B27" s="20">
        <v>59</v>
      </c>
      <c r="C27" s="20">
        <v>39.17</v>
      </c>
      <c r="D27" s="20">
        <v>19.829999999999998</v>
      </c>
      <c r="E27" s="20">
        <v>-0.52</v>
      </c>
      <c r="F27" s="20">
        <v>3372.33</v>
      </c>
      <c r="H27" s="29" t="s">
        <v>52</v>
      </c>
      <c r="I27" s="29">
        <f>ABS((I26-59)/59)*100</f>
        <v>2.6995173420265996E-2</v>
      </c>
      <c r="Q27" s="32">
        <v>2.6</v>
      </c>
      <c r="R27" s="32">
        <v>47.74</v>
      </c>
      <c r="S27" s="32">
        <v>59</v>
      </c>
      <c r="T27" s="34">
        <v>11.26</v>
      </c>
      <c r="U27" s="34">
        <v>-0.56000000000000005</v>
      </c>
      <c r="V27" s="32">
        <v>2855.19</v>
      </c>
      <c r="X27" s="29" t="s">
        <v>52</v>
      </c>
      <c r="Y27" s="29">
        <f>((Y26-59)/59)*100</f>
        <v>0.17398136715680276</v>
      </c>
    </row>
    <row r="28" spans="1:27" ht="16.8" x14ac:dyDescent="0.3">
      <c r="A28" s="20">
        <v>2.7</v>
      </c>
      <c r="B28" s="20">
        <v>59</v>
      </c>
      <c r="C28" s="20">
        <v>39.72</v>
      </c>
      <c r="D28" s="20">
        <v>19.28</v>
      </c>
      <c r="E28" s="20">
        <v>-0.55000000000000004</v>
      </c>
      <c r="F28" s="20">
        <v>3372.33</v>
      </c>
      <c r="Q28" s="32">
        <v>2.7</v>
      </c>
      <c r="R28" s="32">
        <v>48.38</v>
      </c>
      <c r="S28" s="34">
        <v>59</v>
      </c>
      <c r="T28" s="32">
        <v>10.62</v>
      </c>
      <c r="U28" s="32">
        <v>-0.64</v>
      </c>
      <c r="V28" s="32">
        <v>2772.84</v>
      </c>
    </row>
    <row r="29" spans="1:27" ht="16.8" x14ac:dyDescent="0.3">
      <c r="A29" s="20">
        <v>2.8</v>
      </c>
      <c r="B29" s="20">
        <v>59</v>
      </c>
      <c r="C29" s="20">
        <v>40.28</v>
      </c>
      <c r="D29" s="20">
        <v>18.72</v>
      </c>
      <c r="E29" s="20">
        <v>-0.56000000000000005</v>
      </c>
      <c r="F29" s="20">
        <v>3372.33</v>
      </c>
      <c r="H29" s="58" t="s">
        <v>53</v>
      </c>
      <c r="I29" s="58"/>
      <c r="Q29" s="32">
        <v>2.8</v>
      </c>
      <c r="R29" s="32">
        <v>48.92</v>
      </c>
      <c r="S29" s="32">
        <v>59</v>
      </c>
      <c r="T29" s="34">
        <v>10.08</v>
      </c>
      <c r="U29" s="34">
        <v>-0.54</v>
      </c>
      <c r="V29" s="32">
        <v>2719.81</v>
      </c>
      <c r="X29" s="58" t="s">
        <v>53</v>
      </c>
      <c r="Y29" s="58"/>
    </row>
    <row r="30" spans="1:27" ht="16.8" x14ac:dyDescent="0.3">
      <c r="A30" s="20">
        <v>2.9</v>
      </c>
      <c r="B30" s="20">
        <v>59</v>
      </c>
      <c r="C30" s="20">
        <v>40.82</v>
      </c>
      <c r="D30" s="20">
        <v>18.18</v>
      </c>
      <c r="E30" s="20">
        <v>-0.54</v>
      </c>
      <c r="F30" s="20">
        <v>3372.33</v>
      </c>
      <c r="H30" s="58" cm="1">
        <f t="array" ref="H30">SUMPRODUCT(ABS(D2:D602)*0.1)</f>
        <v>111.98000000000009</v>
      </c>
      <c r="I30" s="58"/>
      <c r="Q30" s="32">
        <v>2.9</v>
      </c>
      <c r="R30" s="32">
        <v>49.49</v>
      </c>
      <c r="S30" s="34">
        <v>59</v>
      </c>
      <c r="T30" s="32">
        <v>9.51</v>
      </c>
      <c r="U30" s="32">
        <v>-0.56999999999999995</v>
      </c>
      <c r="V30" s="32">
        <v>2648.68</v>
      </c>
      <c r="X30" s="58" cm="1">
        <f t="array" ref="X30">SUMPRODUCT(ABS(T2:T602)*0.1)</f>
        <v>77.688000000000144</v>
      </c>
      <c r="Y30" s="58"/>
    </row>
    <row r="31" spans="1:27" ht="16.8" x14ac:dyDescent="0.3">
      <c r="A31" s="20">
        <v>3</v>
      </c>
      <c r="B31" s="20">
        <v>59</v>
      </c>
      <c r="C31" s="20">
        <v>41.38</v>
      </c>
      <c r="D31" s="20">
        <v>17.62</v>
      </c>
      <c r="E31" s="20">
        <v>-0.56000000000000005</v>
      </c>
      <c r="F31" s="20">
        <v>3372.33</v>
      </c>
      <c r="Q31" s="32">
        <v>3</v>
      </c>
      <c r="R31" s="32">
        <v>49.99</v>
      </c>
      <c r="S31" s="32">
        <v>59</v>
      </c>
      <c r="T31" s="34">
        <v>9.01</v>
      </c>
      <c r="U31" s="34">
        <v>-0.5</v>
      </c>
      <c r="V31" s="32">
        <v>2597.3200000000002</v>
      </c>
    </row>
    <row r="32" spans="1:27" ht="16.8" x14ac:dyDescent="0.3">
      <c r="A32" s="20">
        <v>3.1</v>
      </c>
      <c r="B32" s="20">
        <v>59</v>
      </c>
      <c r="C32" s="20">
        <v>41.94</v>
      </c>
      <c r="D32" s="20">
        <v>17.059999999999999</v>
      </c>
      <c r="E32" s="20">
        <v>-0.56000000000000005</v>
      </c>
      <c r="F32" s="20">
        <v>3372.33</v>
      </c>
      <c r="H32" s="58" t="s">
        <v>54</v>
      </c>
      <c r="I32" s="58"/>
      <c r="Q32" s="32">
        <v>3.1</v>
      </c>
      <c r="R32" s="32">
        <v>50.53</v>
      </c>
      <c r="S32" s="34">
        <v>59</v>
      </c>
      <c r="T32" s="32">
        <v>8.4700000000000006</v>
      </c>
      <c r="U32" s="32">
        <v>-0.54</v>
      </c>
      <c r="V32" s="32">
        <v>2528.1</v>
      </c>
      <c r="X32" s="58" t="s">
        <v>54</v>
      </c>
      <c r="Y32" s="58"/>
    </row>
    <row r="33" spans="1:26" ht="16.8" x14ac:dyDescent="0.3">
      <c r="A33" s="20">
        <v>3.2</v>
      </c>
      <c r="B33" s="20">
        <v>59</v>
      </c>
      <c r="C33" s="20">
        <v>42.47</v>
      </c>
      <c r="D33" s="20">
        <v>16.53</v>
      </c>
      <c r="E33" s="20">
        <v>-0.53</v>
      </c>
      <c r="F33" s="20">
        <v>3372.33</v>
      </c>
      <c r="H33" s="58" cm="1">
        <f t="array" ref="H33">SUMPRODUCT(((D2:D602)^2)*0.1)</f>
        <v>2266.4312600000126</v>
      </c>
      <c r="I33" s="58"/>
      <c r="Q33" s="32">
        <v>3.2</v>
      </c>
      <c r="R33" s="32">
        <v>51</v>
      </c>
      <c r="S33" s="32">
        <v>59</v>
      </c>
      <c r="T33" s="34">
        <v>8</v>
      </c>
      <c r="U33" s="34">
        <v>-0.47</v>
      </c>
      <c r="V33" s="32">
        <v>2479.4499999999998</v>
      </c>
      <c r="X33" s="58" cm="1">
        <f t="array" ref="X33">SUMPRODUCT(((T2:T602)^2)*0.1)</f>
        <v>1072.9872999999914</v>
      </c>
      <c r="Y33" s="58"/>
    </row>
    <row r="34" spans="1:26" ht="16.8" x14ac:dyDescent="0.3">
      <c r="A34" s="20">
        <v>3.3</v>
      </c>
      <c r="B34" s="20">
        <v>59</v>
      </c>
      <c r="C34" s="20">
        <v>43.01</v>
      </c>
      <c r="D34" s="20">
        <v>15.99</v>
      </c>
      <c r="E34" s="20">
        <v>-0.54</v>
      </c>
      <c r="F34" s="20">
        <v>3372.33</v>
      </c>
      <c r="Q34" s="32">
        <v>3.3</v>
      </c>
      <c r="R34" s="32">
        <v>51.47</v>
      </c>
      <c r="S34" s="32">
        <v>59</v>
      </c>
      <c r="T34" s="32">
        <v>7.53</v>
      </c>
      <c r="U34" s="32">
        <v>-0.47</v>
      </c>
      <c r="V34" s="32">
        <v>2423.15</v>
      </c>
    </row>
    <row r="35" spans="1:26" ht="16.8" x14ac:dyDescent="0.3">
      <c r="A35" s="20">
        <v>3.4</v>
      </c>
      <c r="B35" s="20">
        <v>59</v>
      </c>
      <c r="C35" s="20">
        <v>43.56</v>
      </c>
      <c r="D35" s="20">
        <v>15.44</v>
      </c>
      <c r="E35" s="20">
        <v>-0.56000000000000005</v>
      </c>
      <c r="F35" s="20">
        <v>3372.33</v>
      </c>
      <c r="H35" s="58" t="s">
        <v>55</v>
      </c>
      <c r="I35" s="58"/>
      <c r="J35" s="58"/>
      <c r="Q35" s="32">
        <v>3.4</v>
      </c>
      <c r="R35" s="32">
        <v>51.94</v>
      </c>
      <c r="S35" s="34">
        <v>59</v>
      </c>
      <c r="T35" s="34">
        <v>7.06</v>
      </c>
      <c r="U35" s="34">
        <v>-0.48</v>
      </c>
      <c r="V35" s="32">
        <v>2363.71</v>
      </c>
      <c r="X35" s="58" t="s">
        <v>55</v>
      </c>
      <c r="Y35" s="58"/>
      <c r="Z35" s="58"/>
    </row>
    <row r="36" spans="1:26" ht="16.8" x14ac:dyDescent="0.3">
      <c r="A36" s="20">
        <v>3.5</v>
      </c>
      <c r="B36" s="20">
        <v>59</v>
      </c>
      <c r="C36" s="20">
        <v>44.09</v>
      </c>
      <c r="D36" s="20">
        <v>14.91</v>
      </c>
      <c r="E36" s="20">
        <v>-0.52</v>
      </c>
      <c r="F36" s="20">
        <v>3372.33</v>
      </c>
      <c r="H36" s="58" cm="1">
        <f t="array" ref="H36">SUMPRODUCT(A2:A602 * ABS(D2:D602) * 0.1)</f>
        <v>362.52879999999925</v>
      </c>
      <c r="I36" s="58"/>
      <c r="J36" s="58"/>
      <c r="Q36" s="32">
        <v>3.5</v>
      </c>
      <c r="R36" s="32">
        <v>52.41</v>
      </c>
      <c r="S36" s="32">
        <v>59</v>
      </c>
      <c r="T36" s="32">
        <v>6.59</v>
      </c>
      <c r="U36" s="32">
        <v>-0.47</v>
      </c>
      <c r="V36" s="32">
        <v>2305.87</v>
      </c>
      <c r="X36" s="58" cm="1">
        <f t="array" ref="X36">SUMPRODUCT(A2:A602 * ABS(T2:T602) * 0.1)</f>
        <v>414.75780000000026</v>
      </c>
      <c r="Y36" s="58"/>
      <c r="Z36" s="58"/>
    </row>
    <row r="37" spans="1:26" ht="16.8" x14ac:dyDescent="0.3">
      <c r="A37" s="20">
        <v>3.6</v>
      </c>
      <c r="B37" s="20">
        <v>59</v>
      </c>
      <c r="C37" s="20">
        <v>44.58</v>
      </c>
      <c r="D37" s="20">
        <v>14.42</v>
      </c>
      <c r="E37" s="20">
        <v>-0.49</v>
      </c>
      <c r="F37" s="20">
        <v>3345.37</v>
      </c>
      <c r="Q37" s="32">
        <v>3.6</v>
      </c>
      <c r="R37" s="32">
        <v>52.82</v>
      </c>
      <c r="S37" s="34">
        <v>59</v>
      </c>
      <c r="T37" s="34">
        <v>6.18</v>
      </c>
      <c r="U37" s="32">
        <v>-0.41</v>
      </c>
      <c r="V37" s="32">
        <v>2260.38</v>
      </c>
    </row>
    <row r="38" spans="1:26" ht="16.8" x14ac:dyDescent="0.3">
      <c r="A38" s="20">
        <v>3.7</v>
      </c>
      <c r="B38" s="20">
        <v>59</v>
      </c>
      <c r="C38" s="20">
        <v>45.06</v>
      </c>
      <c r="D38" s="20">
        <v>13.94</v>
      </c>
      <c r="E38" s="20">
        <v>-0.49</v>
      </c>
      <c r="F38" s="20">
        <v>3345.38</v>
      </c>
      <c r="Q38" s="32">
        <v>3.7</v>
      </c>
      <c r="R38" s="32">
        <v>53.25</v>
      </c>
      <c r="S38" s="32">
        <v>59</v>
      </c>
      <c r="T38" s="32">
        <v>5.75</v>
      </c>
      <c r="U38" s="34">
        <v>-0.43</v>
      </c>
      <c r="V38" s="32">
        <v>2204.77</v>
      </c>
    </row>
    <row r="39" spans="1:26" ht="16.8" x14ac:dyDescent="0.3">
      <c r="A39" s="20">
        <v>3.8</v>
      </c>
      <c r="B39" s="20">
        <v>59</v>
      </c>
      <c r="C39" s="20">
        <v>45.61</v>
      </c>
      <c r="D39" s="20">
        <v>13.39</v>
      </c>
      <c r="E39" s="20">
        <v>-0.54</v>
      </c>
      <c r="F39" s="20">
        <v>3372.33</v>
      </c>
      <c r="Q39" s="32">
        <v>3.8</v>
      </c>
      <c r="R39" s="32">
        <v>53.6</v>
      </c>
      <c r="S39" s="34">
        <v>59</v>
      </c>
      <c r="T39" s="34">
        <v>5.4</v>
      </c>
      <c r="U39" s="32">
        <v>-0.35</v>
      </c>
      <c r="V39" s="32">
        <v>2167.83</v>
      </c>
    </row>
    <row r="40" spans="1:26" ht="16.8" x14ac:dyDescent="0.3">
      <c r="A40" s="20">
        <v>3.9</v>
      </c>
      <c r="B40" s="20">
        <v>59</v>
      </c>
      <c r="C40" s="20">
        <v>46.07</v>
      </c>
      <c r="D40" s="20">
        <v>12.93</v>
      </c>
      <c r="E40" s="20">
        <v>-0.46</v>
      </c>
      <c r="F40" s="20">
        <v>3290.14</v>
      </c>
      <c r="Q40" s="32">
        <v>3.9</v>
      </c>
      <c r="R40" s="32">
        <v>53.99</v>
      </c>
      <c r="S40" s="32">
        <v>59</v>
      </c>
      <c r="T40" s="32">
        <v>5.01</v>
      </c>
      <c r="U40" s="34">
        <v>-0.39</v>
      </c>
      <c r="V40" s="32">
        <v>2115.41</v>
      </c>
    </row>
    <row r="41" spans="1:26" ht="16.8" x14ac:dyDescent="0.3">
      <c r="A41" s="20">
        <v>4</v>
      </c>
      <c r="B41" s="20">
        <v>59</v>
      </c>
      <c r="C41" s="20">
        <v>46.61</v>
      </c>
      <c r="D41" s="20">
        <v>12.39</v>
      </c>
      <c r="E41" s="20">
        <v>-0.54</v>
      </c>
      <c r="F41" s="20">
        <v>3372.33</v>
      </c>
      <c r="Q41" s="32">
        <v>4</v>
      </c>
      <c r="R41" s="32">
        <v>54.31</v>
      </c>
      <c r="S41" s="34">
        <v>59</v>
      </c>
      <c r="T41" s="34">
        <v>4.6900000000000004</v>
      </c>
      <c r="U41" s="32">
        <v>-0.32</v>
      </c>
      <c r="V41" s="32">
        <v>2081.17</v>
      </c>
    </row>
    <row r="42" spans="1:26" ht="16.8" x14ac:dyDescent="0.3">
      <c r="A42" s="20">
        <v>4.0999999999999996</v>
      </c>
      <c r="B42" s="20">
        <v>59</v>
      </c>
      <c r="C42" s="20">
        <v>47.07</v>
      </c>
      <c r="D42" s="20">
        <v>11.93</v>
      </c>
      <c r="E42" s="20">
        <v>-0.47</v>
      </c>
      <c r="F42" s="20">
        <v>3305.14</v>
      </c>
      <c r="Q42" s="32">
        <v>4.0999999999999996</v>
      </c>
      <c r="R42" s="32">
        <v>54.67</v>
      </c>
      <c r="S42" s="32">
        <v>59</v>
      </c>
      <c r="T42" s="32">
        <v>4.33</v>
      </c>
      <c r="U42" s="34">
        <v>-0.36</v>
      </c>
      <c r="V42" s="32">
        <v>2030.22</v>
      </c>
    </row>
    <row r="43" spans="1:26" ht="16.8" x14ac:dyDescent="0.3">
      <c r="A43" s="20">
        <v>4.2</v>
      </c>
      <c r="B43" s="20">
        <v>59</v>
      </c>
      <c r="C43" s="20">
        <v>47.59</v>
      </c>
      <c r="D43" s="20">
        <v>11.41</v>
      </c>
      <c r="E43" s="20">
        <v>-0.52</v>
      </c>
      <c r="F43" s="20">
        <v>3372.33</v>
      </c>
      <c r="Q43" s="32">
        <v>4.2</v>
      </c>
      <c r="R43" s="32">
        <v>54.99</v>
      </c>
      <c r="S43" s="32">
        <v>59</v>
      </c>
      <c r="T43" s="34">
        <v>4.01</v>
      </c>
      <c r="U43" s="32">
        <v>-0.31</v>
      </c>
      <c r="V43" s="32">
        <v>1994.19</v>
      </c>
    </row>
    <row r="44" spans="1:26" ht="16.8" x14ac:dyDescent="0.3">
      <c r="A44" s="20">
        <v>4.3</v>
      </c>
      <c r="B44" s="20">
        <v>59</v>
      </c>
      <c r="C44" s="20">
        <v>48.09</v>
      </c>
      <c r="D44" s="20">
        <v>10.91</v>
      </c>
      <c r="E44" s="20">
        <v>-0.49</v>
      </c>
      <c r="F44" s="20">
        <v>3353.92</v>
      </c>
      <c r="Q44" s="32">
        <v>4.3</v>
      </c>
      <c r="R44" s="32">
        <v>55.33</v>
      </c>
      <c r="S44" s="34">
        <v>59</v>
      </c>
      <c r="T44" s="32">
        <v>3.67</v>
      </c>
      <c r="U44" s="34">
        <v>-0.35</v>
      </c>
      <c r="V44" s="32">
        <v>1944.95</v>
      </c>
    </row>
    <row r="45" spans="1:26" ht="16.8" x14ac:dyDescent="0.3">
      <c r="A45" s="20">
        <v>4.4000000000000004</v>
      </c>
      <c r="B45" s="20">
        <v>59</v>
      </c>
      <c r="C45" s="20">
        <v>48.58</v>
      </c>
      <c r="D45" s="20">
        <v>10.42</v>
      </c>
      <c r="E45" s="20">
        <v>-0.49</v>
      </c>
      <c r="F45" s="20">
        <v>3353.91</v>
      </c>
      <c r="Q45" s="32">
        <v>4.4000000000000004</v>
      </c>
      <c r="R45" s="32">
        <v>55.61</v>
      </c>
      <c r="S45" s="32">
        <v>59</v>
      </c>
      <c r="T45" s="32">
        <v>3.39</v>
      </c>
      <c r="U45" s="32">
        <v>-0.27</v>
      </c>
      <c r="V45" s="32">
        <v>1916.02</v>
      </c>
    </row>
    <row r="46" spans="1:26" ht="16.8" x14ac:dyDescent="0.3">
      <c r="A46" s="20">
        <v>4.5</v>
      </c>
      <c r="B46" s="20">
        <v>59</v>
      </c>
      <c r="C46" s="20">
        <v>49.06</v>
      </c>
      <c r="D46" s="20">
        <v>9.94</v>
      </c>
      <c r="E46" s="20">
        <v>-0.48</v>
      </c>
      <c r="F46" s="20">
        <v>3328.8</v>
      </c>
      <c r="Q46" s="32">
        <v>4.5</v>
      </c>
      <c r="R46" s="32">
        <v>55.89</v>
      </c>
      <c r="S46" s="34">
        <v>59</v>
      </c>
      <c r="T46" s="34">
        <v>3.11</v>
      </c>
      <c r="U46" s="34">
        <v>-0.28000000000000003</v>
      </c>
      <c r="V46" s="32">
        <v>1877.87</v>
      </c>
    </row>
    <row r="47" spans="1:26" ht="16.8" x14ac:dyDescent="0.3">
      <c r="A47" s="20">
        <v>4.5999999999999996</v>
      </c>
      <c r="B47" s="20">
        <v>59</v>
      </c>
      <c r="C47" s="20">
        <v>49.54</v>
      </c>
      <c r="D47" s="20">
        <v>9.4600000000000009</v>
      </c>
      <c r="E47" s="20">
        <v>-0.48</v>
      </c>
      <c r="F47" s="20">
        <v>3328.81</v>
      </c>
      <c r="Q47" s="32">
        <v>4.5999999999999996</v>
      </c>
      <c r="R47" s="32">
        <v>56.21</v>
      </c>
      <c r="S47" s="32">
        <v>59</v>
      </c>
      <c r="T47" s="32">
        <v>2.79</v>
      </c>
      <c r="U47" s="32">
        <v>-0.32</v>
      </c>
      <c r="V47" s="32">
        <v>1829.65</v>
      </c>
    </row>
    <row r="48" spans="1:26" ht="16.8" x14ac:dyDescent="0.3">
      <c r="A48" s="20">
        <v>4.7</v>
      </c>
      <c r="B48" s="20">
        <v>59</v>
      </c>
      <c r="C48" s="20">
        <v>50</v>
      </c>
      <c r="D48" s="20">
        <v>9</v>
      </c>
      <c r="E48" s="20">
        <v>-0.47</v>
      </c>
      <c r="F48" s="20">
        <v>3305.13</v>
      </c>
      <c r="Q48" s="32">
        <v>4.7</v>
      </c>
      <c r="R48" s="32">
        <v>56.44</v>
      </c>
      <c r="S48" s="34">
        <v>59</v>
      </c>
      <c r="T48" s="34">
        <v>2.56</v>
      </c>
      <c r="U48" s="32">
        <v>-0.23</v>
      </c>
      <c r="V48" s="32">
        <v>1808.59</v>
      </c>
    </row>
    <row r="49" spans="1:22" ht="16.8" x14ac:dyDescent="0.3">
      <c r="A49" s="20">
        <v>4.8</v>
      </c>
      <c r="B49" s="20">
        <v>59</v>
      </c>
      <c r="C49" s="20">
        <v>50.45</v>
      </c>
      <c r="D49" s="20">
        <v>8.5500000000000007</v>
      </c>
      <c r="E49" s="20">
        <v>-0.45</v>
      </c>
      <c r="F49" s="20">
        <v>3275.76</v>
      </c>
      <c r="Q49" s="32">
        <v>4.8</v>
      </c>
      <c r="R49" s="32">
        <v>56.69</v>
      </c>
      <c r="S49" s="32">
        <v>59</v>
      </c>
      <c r="T49" s="32">
        <v>2.31</v>
      </c>
      <c r="U49" s="34">
        <v>-0.25</v>
      </c>
      <c r="V49" s="32">
        <v>1772.22</v>
      </c>
    </row>
    <row r="50" spans="1:22" ht="16.8" x14ac:dyDescent="0.3">
      <c r="A50" s="20">
        <v>4.9000000000000004</v>
      </c>
      <c r="B50" s="20">
        <v>59</v>
      </c>
      <c r="C50" s="20">
        <v>50.86</v>
      </c>
      <c r="D50" s="20">
        <v>8.14</v>
      </c>
      <c r="E50" s="20">
        <v>-0.41</v>
      </c>
      <c r="F50" s="20">
        <v>3252.35</v>
      </c>
      <c r="Q50" s="20">
        <v>4.9000000000000004</v>
      </c>
      <c r="R50" s="20">
        <v>56.92</v>
      </c>
      <c r="S50" s="26">
        <v>59</v>
      </c>
      <c r="T50" s="26">
        <v>2.08</v>
      </c>
      <c r="U50" s="20">
        <v>-0.23</v>
      </c>
      <c r="V50" s="20">
        <v>1741.47</v>
      </c>
    </row>
    <row r="51" spans="1:22" ht="16.8" x14ac:dyDescent="0.3">
      <c r="A51" s="20">
        <v>5</v>
      </c>
      <c r="B51" s="20">
        <v>59</v>
      </c>
      <c r="C51" s="20">
        <v>51.35</v>
      </c>
      <c r="D51" s="20">
        <v>7.65</v>
      </c>
      <c r="E51" s="20">
        <v>-0.49</v>
      </c>
      <c r="F51" s="20">
        <v>3353.91</v>
      </c>
      <c r="Q51" s="20">
        <v>5</v>
      </c>
      <c r="R51" s="20">
        <v>57.16</v>
      </c>
      <c r="S51" s="20">
        <v>59</v>
      </c>
      <c r="T51" s="20">
        <v>1.84</v>
      </c>
      <c r="U51" s="26">
        <v>-0.23</v>
      </c>
      <c r="V51" s="20">
        <v>1708.71</v>
      </c>
    </row>
    <row r="52" spans="1:22" ht="16.8" x14ac:dyDescent="0.3">
      <c r="A52" s="20">
        <v>5.0999999999999996</v>
      </c>
      <c r="B52" s="20">
        <v>59</v>
      </c>
      <c r="C52" s="20">
        <v>51.84</v>
      </c>
      <c r="D52" s="20">
        <v>7.16</v>
      </c>
      <c r="E52" s="20">
        <v>-0.49</v>
      </c>
      <c r="F52" s="20">
        <v>3353.93</v>
      </c>
      <c r="Q52" s="20">
        <v>5.0999999999999996</v>
      </c>
      <c r="R52" s="20">
        <v>57.36</v>
      </c>
      <c r="S52" s="26">
        <v>59</v>
      </c>
      <c r="T52" s="26">
        <v>1.64</v>
      </c>
      <c r="U52" s="20">
        <v>-0.21</v>
      </c>
      <c r="V52" s="20">
        <v>1681.47</v>
      </c>
    </row>
    <row r="53" spans="1:22" ht="16.8" x14ac:dyDescent="0.3">
      <c r="A53" s="20">
        <v>5.2</v>
      </c>
      <c r="B53" s="20">
        <v>59</v>
      </c>
      <c r="C53" s="20">
        <v>52.26</v>
      </c>
      <c r="D53" s="20">
        <v>6.74</v>
      </c>
      <c r="E53" s="20">
        <v>-0.41</v>
      </c>
      <c r="F53" s="20">
        <v>3252.35</v>
      </c>
      <c r="Q53" s="20">
        <v>5.2</v>
      </c>
      <c r="R53" s="20">
        <v>57.57</v>
      </c>
      <c r="S53" s="20">
        <v>59</v>
      </c>
      <c r="T53" s="20">
        <v>1.43</v>
      </c>
      <c r="U53" s="26">
        <v>-0.21</v>
      </c>
      <c r="V53" s="20">
        <v>1651.55</v>
      </c>
    </row>
    <row r="54" spans="1:22" ht="16.8" x14ac:dyDescent="0.3">
      <c r="A54" s="20">
        <v>5.3</v>
      </c>
      <c r="B54" s="20">
        <v>59</v>
      </c>
      <c r="C54" s="20">
        <v>52.7</v>
      </c>
      <c r="D54" s="20">
        <v>6.3</v>
      </c>
      <c r="E54" s="20">
        <v>-0.44</v>
      </c>
      <c r="F54" s="20">
        <v>3261.87</v>
      </c>
      <c r="Q54" s="20">
        <v>5.3</v>
      </c>
      <c r="R54" s="20">
        <v>57.76</v>
      </c>
      <c r="S54" s="26">
        <v>59</v>
      </c>
      <c r="T54" s="26">
        <v>1.24</v>
      </c>
      <c r="U54" s="20">
        <v>-0.19</v>
      </c>
      <c r="V54" s="20">
        <v>1627.22</v>
      </c>
    </row>
    <row r="55" spans="1:22" ht="16.8" x14ac:dyDescent="0.3">
      <c r="A55" s="20">
        <v>5.4</v>
      </c>
      <c r="B55" s="20">
        <v>59</v>
      </c>
      <c r="C55" s="20">
        <v>53.18</v>
      </c>
      <c r="D55" s="20">
        <v>5.82</v>
      </c>
      <c r="E55" s="20">
        <v>-0.48</v>
      </c>
      <c r="F55" s="20">
        <v>3337.02</v>
      </c>
      <c r="Q55" s="20">
        <v>5.4</v>
      </c>
      <c r="R55" s="20">
        <v>57.93</v>
      </c>
      <c r="S55" s="20">
        <v>59</v>
      </c>
      <c r="T55" s="20">
        <v>1.07</v>
      </c>
      <c r="U55" s="26">
        <v>-0.17</v>
      </c>
      <c r="V55" s="20">
        <v>1604.31</v>
      </c>
    </row>
    <row r="56" spans="1:22" ht="16.8" x14ac:dyDescent="0.3">
      <c r="A56" s="20">
        <v>5.5</v>
      </c>
      <c r="B56" s="20">
        <v>59</v>
      </c>
      <c r="C56" s="20">
        <v>53.59</v>
      </c>
      <c r="D56" s="20">
        <v>5.41</v>
      </c>
      <c r="E56" s="20">
        <v>-0.4</v>
      </c>
      <c r="F56" s="20">
        <v>3252.35</v>
      </c>
      <c r="Q56" s="20">
        <v>5.5</v>
      </c>
      <c r="R56" s="20">
        <v>58.11</v>
      </c>
      <c r="S56" s="26">
        <v>59</v>
      </c>
      <c r="T56" s="26">
        <v>0.89</v>
      </c>
      <c r="U56" s="20">
        <v>-0.18</v>
      </c>
      <c r="V56" s="20">
        <v>1577.52</v>
      </c>
    </row>
    <row r="57" spans="1:22" ht="16.8" x14ac:dyDescent="0.3">
      <c r="A57" s="20">
        <v>5.6</v>
      </c>
      <c r="B57" s="20">
        <v>59</v>
      </c>
      <c r="C57" s="20">
        <v>54.04</v>
      </c>
      <c r="D57" s="20">
        <v>4.96</v>
      </c>
      <c r="E57" s="20">
        <v>-0.46</v>
      </c>
      <c r="F57" s="20">
        <v>3282.88</v>
      </c>
      <c r="Q57" s="20">
        <v>5.6</v>
      </c>
      <c r="R57" s="20">
        <v>58.33</v>
      </c>
      <c r="S57" s="20">
        <v>59</v>
      </c>
      <c r="T57" s="20">
        <v>0.67</v>
      </c>
      <c r="U57" s="20">
        <v>-0.23</v>
      </c>
      <c r="V57" s="20">
        <v>1538.87</v>
      </c>
    </row>
    <row r="58" spans="1:22" ht="16.8" x14ac:dyDescent="0.3">
      <c r="A58" s="20">
        <v>5.7</v>
      </c>
      <c r="B58" s="20">
        <v>59</v>
      </c>
      <c r="C58" s="20">
        <v>54.46</v>
      </c>
      <c r="D58" s="20">
        <v>4.54</v>
      </c>
      <c r="E58" s="20">
        <v>-0.42</v>
      </c>
      <c r="F58" s="20">
        <v>3252.35</v>
      </c>
      <c r="Q58" s="20">
        <v>5.7</v>
      </c>
      <c r="R58" s="20">
        <v>58.44</v>
      </c>
      <c r="S58" s="26">
        <v>59</v>
      </c>
      <c r="T58" s="26">
        <v>0.56000000000000005</v>
      </c>
      <c r="U58" s="26">
        <v>-0.11</v>
      </c>
      <c r="V58" s="20">
        <v>1532.41</v>
      </c>
    </row>
    <row r="59" spans="1:22" ht="16.8" x14ac:dyDescent="0.3">
      <c r="A59" s="20">
        <v>5.8</v>
      </c>
      <c r="B59" s="20">
        <v>59</v>
      </c>
      <c r="C59" s="20">
        <v>54.85</v>
      </c>
      <c r="D59" s="20">
        <v>4.1500000000000004</v>
      </c>
      <c r="E59" s="20">
        <v>-0.39</v>
      </c>
      <c r="F59" s="20">
        <v>3252.35</v>
      </c>
      <c r="Q59" s="20">
        <v>5.8</v>
      </c>
      <c r="R59" s="20">
        <v>58.61</v>
      </c>
      <c r="S59" s="20">
        <v>59</v>
      </c>
      <c r="T59" s="20">
        <v>0.39</v>
      </c>
      <c r="U59" s="20">
        <v>-0.17</v>
      </c>
      <c r="V59" s="20">
        <v>1501.33</v>
      </c>
    </row>
    <row r="60" spans="1:22" ht="16.8" x14ac:dyDescent="0.3">
      <c r="A60" s="20">
        <v>5.9</v>
      </c>
      <c r="B60" s="20">
        <v>59</v>
      </c>
      <c r="C60" s="20">
        <v>55.31</v>
      </c>
      <c r="D60" s="20">
        <v>3.69</v>
      </c>
      <c r="E60" s="20">
        <v>-0.46</v>
      </c>
      <c r="F60" s="20">
        <v>3297.57</v>
      </c>
      <c r="Q60" s="20">
        <v>5.9</v>
      </c>
      <c r="R60" s="20">
        <v>58.69</v>
      </c>
      <c r="S60" s="26">
        <v>59</v>
      </c>
      <c r="T60" s="26">
        <v>0.31</v>
      </c>
      <c r="U60" s="26">
        <v>-7.0000000000000007E-2</v>
      </c>
      <c r="V60" s="20">
        <v>1499.25</v>
      </c>
    </row>
    <row r="61" spans="1:22" ht="16.8" x14ac:dyDescent="0.3">
      <c r="A61" s="20">
        <v>6</v>
      </c>
      <c r="B61" s="20">
        <v>59</v>
      </c>
      <c r="C61" s="20">
        <v>55.7</v>
      </c>
      <c r="D61" s="20">
        <v>3.3</v>
      </c>
      <c r="E61" s="20">
        <v>-0.39</v>
      </c>
      <c r="F61" s="20">
        <v>3252.35</v>
      </c>
      <c r="Q61" s="20">
        <v>6</v>
      </c>
      <c r="R61" s="20">
        <v>58.87</v>
      </c>
      <c r="S61" s="20">
        <v>59</v>
      </c>
      <c r="T61" s="20">
        <v>0.13</v>
      </c>
      <c r="U61" s="20">
        <v>-0.19</v>
      </c>
      <c r="V61" s="20">
        <v>1459.91</v>
      </c>
    </row>
    <row r="62" spans="1:22" ht="16.8" x14ac:dyDescent="0.3">
      <c r="A62" s="20">
        <v>6.1</v>
      </c>
      <c r="B62" s="20">
        <v>59</v>
      </c>
      <c r="C62" s="20">
        <v>56.09</v>
      </c>
      <c r="D62" s="20">
        <v>2.91</v>
      </c>
      <c r="E62" s="20">
        <v>-0.39</v>
      </c>
      <c r="F62" s="20">
        <v>3148.14</v>
      </c>
      <c r="Q62" s="20">
        <v>6.1</v>
      </c>
      <c r="R62" s="20">
        <v>59</v>
      </c>
      <c r="S62" s="26">
        <v>59</v>
      </c>
      <c r="T62" s="20">
        <v>0</v>
      </c>
      <c r="U62" s="26">
        <v>-0.13</v>
      </c>
      <c r="V62" s="20">
        <v>1444.47</v>
      </c>
    </row>
    <row r="63" spans="1:22" ht="16.8" x14ac:dyDescent="0.3">
      <c r="A63" s="32">
        <v>6.2</v>
      </c>
      <c r="B63" s="20">
        <v>59</v>
      </c>
      <c r="C63" s="20">
        <v>56.52</v>
      </c>
      <c r="D63" s="20">
        <v>2.48</v>
      </c>
      <c r="E63" s="20">
        <v>-0.43</v>
      </c>
      <c r="F63" s="20">
        <v>2807.8</v>
      </c>
      <c r="Q63" s="20">
        <v>6.2</v>
      </c>
      <c r="R63" s="20">
        <v>59.1</v>
      </c>
      <c r="S63" s="20">
        <v>59</v>
      </c>
      <c r="T63" s="26">
        <v>-0.1</v>
      </c>
      <c r="U63" s="20">
        <v>-0.1</v>
      </c>
      <c r="V63" s="20">
        <v>1431.75</v>
      </c>
    </row>
    <row r="64" spans="1:22" ht="16.8" x14ac:dyDescent="0.3">
      <c r="A64" s="20">
        <v>6.3</v>
      </c>
      <c r="B64" s="20">
        <v>59</v>
      </c>
      <c r="C64" s="20">
        <v>56.93</v>
      </c>
      <c r="D64" s="20">
        <v>2.0699999999999998</v>
      </c>
      <c r="E64" s="20">
        <v>-0.41</v>
      </c>
      <c r="F64" s="20">
        <v>2788.5</v>
      </c>
      <c r="Q64" s="20">
        <v>6.3</v>
      </c>
      <c r="R64" s="20">
        <v>59.2</v>
      </c>
      <c r="S64" s="26">
        <v>59</v>
      </c>
      <c r="T64" s="20">
        <v>-0.2</v>
      </c>
      <c r="U64" s="26">
        <v>-0.1</v>
      </c>
      <c r="V64" s="20">
        <v>1413.87</v>
      </c>
    </row>
    <row r="65" spans="1:22" ht="16.8" x14ac:dyDescent="0.3">
      <c r="A65" s="20">
        <v>6.4</v>
      </c>
      <c r="B65" s="20">
        <v>59</v>
      </c>
      <c r="C65" s="20">
        <v>57.38</v>
      </c>
      <c r="D65" s="20">
        <v>1.62</v>
      </c>
      <c r="E65" s="20">
        <v>-0.44</v>
      </c>
      <c r="F65" s="20">
        <v>2282.54</v>
      </c>
      <c r="Q65" s="20">
        <v>6.4</v>
      </c>
      <c r="R65" s="20">
        <v>59.32</v>
      </c>
      <c r="S65" s="20">
        <v>59</v>
      </c>
      <c r="T65" s="26">
        <v>-0.32</v>
      </c>
      <c r="U65" s="20">
        <v>-0.11</v>
      </c>
      <c r="V65" s="20">
        <v>1394.45</v>
      </c>
    </row>
    <row r="66" spans="1:22" ht="16.8" x14ac:dyDescent="0.3">
      <c r="A66" s="20">
        <v>6.5</v>
      </c>
      <c r="B66" s="20">
        <v>59</v>
      </c>
      <c r="C66" s="20">
        <v>57.75</v>
      </c>
      <c r="D66" s="20">
        <v>1.25</v>
      </c>
      <c r="E66" s="20">
        <v>-0.37</v>
      </c>
      <c r="F66" s="20">
        <v>2013.66</v>
      </c>
      <c r="Q66" s="20">
        <v>6.5</v>
      </c>
      <c r="R66" s="20">
        <v>59.41</v>
      </c>
      <c r="S66" s="26">
        <v>59</v>
      </c>
      <c r="T66" s="20">
        <v>-0.41</v>
      </c>
      <c r="U66" s="26">
        <v>-0.1</v>
      </c>
      <c r="V66" s="20">
        <v>1379.52</v>
      </c>
    </row>
    <row r="67" spans="1:22" ht="16.8" x14ac:dyDescent="0.3">
      <c r="A67" s="20">
        <v>6.6</v>
      </c>
      <c r="B67" s="20">
        <v>59</v>
      </c>
      <c r="C67" s="20">
        <v>58.15</v>
      </c>
      <c r="D67" s="20">
        <v>0.85</v>
      </c>
      <c r="E67" s="20">
        <v>-0.4</v>
      </c>
      <c r="F67" s="20">
        <v>2013.66</v>
      </c>
      <c r="Q67" s="20">
        <v>6.6</v>
      </c>
      <c r="R67" s="20">
        <v>59.5</v>
      </c>
      <c r="S67" s="20">
        <v>59</v>
      </c>
      <c r="T67" s="26">
        <v>-0.5</v>
      </c>
      <c r="U67" s="20">
        <v>-0.09</v>
      </c>
      <c r="V67" s="20">
        <v>1364.94</v>
      </c>
    </row>
    <row r="68" spans="1:22" ht="16.8" x14ac:dyDescent="0.3">
      <c r="A68" s="20">
        <v>6.7</v>
      </c>
      <c r="B68" s="20">
        <v>59</v>
      </c>
      <c r="C68" s="20">
        <v>58.51</v>
      </c>
      <c r="D68" s="20">
        <v>0.49</v>
      </c>
      <c r="E68" s="20">
        <v>-0.35</v>
      </c>
      <c r="F68" s="20">
        <v>1673.57</v>
      </c>
      <c r="Q68" s="20">
        <v>6.7</v>
      </c>
      <c r="R68" s="20">
        <v>59.56</v>
      </c>
      <c r="S68" s="26">
        <v>59</v>
      </c>
      <c r="T68" s="20">
        <v>-0.56000000000000005</v>
      </c>
      <c r="U68" s="26">
        <v>-0.06</v>
      </c>
      <c r="V68" s="20">
        <v>1355.51</v>
      </c>
    </row>
    <row r="69" spans="1:22" ht="16.8" x14ac:dyDescent="0.3">
      <c r="A69" s="20">
        <v>6.8</v>
      </c>
      <c r="B69" s="20">
        <v>59</v>
      </c>
      <c r="C69" s="20">
        <v>58.82</v>
      </c>
      <c r="D69" s="20">
        <v>0.18</v>
      </c>
      <c r="E69" s="20">
        <v>-0.32</v>
      </c>
      <c r="F69" s="20">
        <v>1612.39</v>
      </c>
      <c r="Q69" s="20">
        <v>6.8</v>
      </c>
      <c r="R69" s="20">
        <v>59.66</v>
      </c>
      <c r="S69" s="20">
        <v>59</v>
      </c>
      <c r="T69" s="26">
        <v>-0.66</v>
      </c>
      <c r="U69" s="20">
        <v>-0.1</v>
      </c>
      <c r="V69" s="20">
        <v>1335.63</v>
      </c>
    </row>
    <row r="70" spans="1:22" ht="16.8" x14ac:dyDescent="0.3">
      <c r="A70" s="20">
        <v>6.9</v>
      </c>
      <c r="B70" s="20">
        <v>59</v>
      </c>
      <c r="C70" s="20">
        <v>59.13</v>
      </c>
      <c r="D70" s="20">
        <v>-0.13</v>
      </c>
      <c r="E70" s="20">
        <v>-0.3</v>
      </c>
      <c r="F70" s="20">
        <v>1234.52</v>
      </c>
      <c r="Q70" s="20">
        <v>6.9</v>
      </c>
      <c r="R70" s="20">
        <v>59.75</v>
      </c>
      <c r="S70" s="26">
        <v>59</v>
      </c>
      <c r="T70" s="20">
        <v>-0.75</v>
      </c>
      <c r="U70" s="20">
        <v>-0.09</v>
      </c>
      <c r="V70" s="20">
        <v>1320.46</v>
      </c>
    </row>
    <row r="71" spans="1:22" ht="16.8" x14ac:dyDescent="0.3">
      <c r="A71" s="20">
        <v>7</v>
      </c>
      <c r="B71" s="20">
        <v>59</v>
      </c>
      <c r="C71" s="20">
        <v>59.41</v>
      </c>
      <c r="D71" s="20">
        <v>-0.41</v>
      </c>
      <c r="E71" s="20">
        <v>-0.28999999999999998</v>
      </c>
      <c r="F71" s="20">
        <v>1146.72</v>
      </c>
      <c r="Q71" s="20">
        <v>7</v>
      </c>
      <c r="R71" s="20">
        <v>59.77</v>
      </c>
      <c r="S71" s="20">
        <v>59</v>
      </c>
      <c r="T71" s="26">
        <v>-0.77</v>
      </c>
      <c r="U71" s="26">
        <v>-0.02</v>
      </c>
      <c r="V71" s="20">
        <v>1320.56</v>
      </c>
    </row>
    <row r="72" spans="1:22" ht="16.8" x14ac:dyDescent="0.3">
      <c r="A72" s="20">
        <v>7.1</v>
      </c>
      <c r="B72" s="20">
        <v>59</v>
      </c>
      <c r="C72" s="20">
        <v>59.66</v>
      </c>
      <c r="D72" s="20">
        <v>-0.66</v>
      </c>
      <c r="E72" s="20">
        <v>-0.25</v>
      </c>
      <c r="F72" s="20">
        <v>1128.32</v>
      </c>
      <c r="Q72" s="20">
        <v>7.1</v>
      </c>
      <c r="R72" s="20">
        <v>59.85</v>
      </c>
      <c r="S72" s="26">
        <v>59</v>
      </c>
      <c r="T72" s="20">
        <v>-0.85</v>
      </c>
      <c r="U72" s="20">
        <v>-7.0000000000000007E-2</v>
      </c>
      <c r="V72" s="20">
        <v>1302.6300000000001</v>
      </c>
    </row>
    <row r="73" spans="1:22" ht="16.8" x14ac:dyDescent="0.3">
      <c r="A73" s="20">
        <v>7.2</v>
      </c>
      <c r="B73" s="20">
        <v>59</v>
      </c>
      <c r="C73" s="20">
        <v>59.93</v>
      </c>
      <c r="D73" s="20">
        <v>-0.93</v>
      </c>
      <c r="E73" s="20">
        <v>-0.27</v>
      </c>
      <c r="F73" s="20">
        <v>126.98</v>
      </c>
      <c r="Q73" s="20">
        <v>7.2</v>
      </c>
      <c r="R73" s="20">
        <v>59.9</v>
      </c>
      <c r="S73" s="20">
        <v>59</v>
      </c>
      <c r="T73" s="26">
        <v>-0.9</v>
      </c>
      <c r="U73" s="26">
        <v>-0.06</v>
      </c>
      <c r="V73" s="20">
        <v>1292.94</v>
      </c>
    </row>
    <row r="74" spans="1:22" ht="16.8" x14ac:dyDescent="0.3">
      <c r="A74" s="20">
        <v>7.3</v>
      </c>
      <c r="B74" s="20">
        <v>59</v>
      </c>
      <c r="C74" s="20">
        <v>60.12</v>
      </c>
      <c r="D74" s="20">
        <v>-1.1200000000000001</v>
      </c>
      <c r="E74" s="20">
        <v>-0.19</v>
      </c>
      <c r="F74" s="20">
        <v>126.98</v>
      </c>
      <c r="Q74" s="20">
        <v>7.3</v>
      </c>
      <c r="R74" s="20">
        <v>59.95</v>
      </c>
      <c r="S74" s="20">
        <v>59</v>
      </c>
      <c r="T74" s="20">
        <v>-0.95</v>
      </c>
      <c r="U74" s="20">
        <v>-0.05</v>
      </c>
      <c r="V74" s="20">
        <v>1283.69</v>
      </c>
    </row>
    <row r="75" spans="1:22" ht="16.8" x14ac:dyDescent="0.3">
      <c r="A75" s="20">
        <v>7.4</v>
      </c>
      <c r="B75" s="20">
        <v>59</v>
      </c>
      <c r="C75" s="20">
        <v>60.25</v>
      </c>
      <c r="D75" s="20">
        <v>-1.25</v>
      </c>
      <c r="E75" s="20">
        <v>-0.13</v>
      </c>
      <c r="F75" s="20">
        <v>126.98</v>
      </c>
      <c r="Q75" s="20">
        <v>7.4</v>
      </c>
      <c r="R75" s="20">
        <v>60.02</v>
      </c>
      <c r="S75" s="26">
        <v>59</v>
      </c>
      <c r="T75" s="20">
        <v>-1.02</v>
      </c>
      <c r="U75" s="26">
        <v>-7.0000000000000007E-2</v>
      </c>
      <c r="V75" s="20">
        <v>1267.52</v>
      </c>
    </row>
    <row r="76" spans="1:22" ht="16.8" x14ac:dyDescent="0.3">
      <c r="A76" s="20">
        <v>7.5</v>
      </c>
      <c r="B76" s="20">
        <v>59</v>
      </c>
      <c r="C76" s="20">
        <v>60.41</v>
      </c>
      <c r="D76" s="20">
        <v>-1.41</v>
      </c>
      <c r="E76" s="20">
        <v>-0.16</v>
      </c>
      <c r="F76" s="20">
        <v>126.98</v>
      </c>
      <c r="Q76" s="20">
        <v>7.5</v>
      </c>
      <c r="R76" s="20">
        <v>60.04</v>
      </c>
      <c r="S76" s="20">
        <v>59</v>
      </c>
      <c r="T76" s="26">
        <v>-1.04</v>
      </c>
      <c r="U76" s="20">
        <v>-0.02</v>
      </c>
      <c r="V76" s="20">
        <v>1267.54</v>
      </c>
    </row>
    <row r="77" spans="1:22" ht="16.8" x14ac:dyDescent="0.3">
      <c r="A77" s="20">
        <v>7.6</v>
      </c>
      <c r="B77" s="20">
        <v>59</v>
      </c>
      <c r="C77" s="20">
        <v>60.43</v>
      </c>
      <c r="D77" s="20">
        <v>-1.43</v>
      </c>
      <c r="E77" s="20">
        <v>-0.02</v>
      </c>
      <c r="F77" s="20">
        <v>126.98</v>
      </c>
      <c r="Q77" s="20">
        <v>7.6</v>
      </c>
      <c r="R77" s="20">
        <v>60.11</v>
      </c>
      <c r="S77" s="26">
        <v>59</v>
      </c>
      <c r="T77" s="20">
        <v>-1.1100000000000001</v>
      </c>
      <c r="U77" s="26">
        <v>-7.0000000000000007E-2</v>
      </c>
      <c r="V77" s="20">
        <v>1248.26</v>
      </c>
    </row>
    <row r="78" spans="1:22" ht="16.8" x14ac:dyDescent="0.3">
      <c r="A78" s="20">
        <v>7.7</v>
      </c>
      <c r="B78" s="20">
        <v>59</v>
      </c>
      <c r="C78" s="20">
        <v>60.47</v>
      </c>
      <c r="D78" s="20">
        <v>-1.47</v>
      </c>
      <c r="E78" s="20">
        <v>-0.04</v>
      </c>
      <c r="F78" s="20">
        <v>126.98</v>
      </c>
      <c r="Q78" s="20">
        <v>7.7</v>
      </c>
      <c r="R78" s="20">
        <v>60.16</v>
      </c>
      <c r="S78" s="20">
        <v>59</v>
      </c>
      <c r="T78" s="26">
        <v>-1.1599999999999999</v>
      </c>
      <c r="U78" s="20">
        <v>-0.05</v>
      </c>
      <c r="V78" s="20">
        <v>1239.95</v>
      </c>
    </row>
    <row r="79" spans="1:22" ht="16.8" x14ac:dyDescent="0.3">
      <c r="A79" s="20">
        <v>7.8</v>
      </c>
      <c r="B79" s="20">
        <v>59</v>
      </c>
      <c r="C79" s="20">
        <v>60.48</v>
      </c>
      <c r="D79" s="20">
        <v>-1.48</v>
      </c>
      <c r="E79" s="20">
        <v>-0.01</v>
      </c>
      <c r="F79" s="20">
        <v>126.98</v>
      </c>
      <c r="Q79" s="20">
        <v>7.8</v>
      </c>
      <c r="R79" s="20">
        <v>60.16</v>
      </c>
      <c r="S79" s="26">
        <v>59</v>
      </c>
      <c r="T79" s="20">
        <v>-1.1599999999999999</v>
      </c>
      <c r="U79" s="26">
        <v>0</v>
      </c>
      <c r="V79" s="20">
        <v>1241.52</v>
      </c>
    </row>
    <row r="80" spans="1:22" ht="16.8" x14ac:dyDescent="0.3">
      <c r="A80" s="20">
        <v>7.9</v>
      </c>
      <c r="B80" s="20">
        <v>59</v>
      </c>
      <c r="C80" s="20">
        <v>60.33</v>
      </c>
      <c r="D80" s="20">
        <v>-1.33</v>
      </c>
      <c r="E80" s="20">
        <v>0.15</v>
      </c>
      <c r="F80" s="20">
        <v>126.98</v>
      </c>
      <c r="Q80" s="20">
        <v>7.9</v>
      </c>
      <c r="R80" s="20">
        <v>60.22</v>
      </c>
      <c r="S80" s="20">
        <v>59</v>
      </c>
      <c r="T80" s="26">
        <v>-1.22</v>
      </c>
      <c r="U80" s="20">
        <v>-0.06</v>
      </c>
      <c r="V80" s="20">
        <v>1224.55</v>
      </c>
    </row>
    <row r="81" spans="1:22" ht="16.8" x14ac:dyDescent="0.3">
      <c r="A81" s="20">
        <v>8</v>
      </c>
      <c r="B81" s="20">
        <v>59</v>
      </c>
      <c r="C81" s="20">
        <v>60.27</v>
      </c>
      <c r="D81" s="20">
        <v>-1.27</v>
      </c>
      <c r="E81" s="20">
        <v>0.06</v>
      </c>
      <c r="F81" s="20">
        <v>126.98</v>
      </c>
      <c r="Q81" s="20">
        <v>8</v>
      </c>
      <c r="R81" s="20">
        <v>60.23</v>
      </c>
      <c r="S81" s="26">
        <v>59</v>
      </c>
      <c r="T81" s="20">
        <v>-1.23</v>
      </c>
      <c r="U81" s="26">
        <v>-0.01</v>
      </c>
      <c r="V81" s="20">
        <v>1224.68</v>
      </c>
    </row>
    <row r="82" spans="1:22" ht="16.8" x14ac:dyDescent="0.3">
      <c r="A82" s="20">
        <v>8.1</v>
      </c>
      <c r="B82" s="20">
        <v>59</v>
      </c>
      <c r="C82" s="20">
        <v>60.21</v>
      </c>
      <c r="D82" s="20">
        <v>-1.21</v>
      </c>
      <c r="E82" s="20">
        <v>0.06</v>
      </c>
      <c r="F82" s="20">
        <v>126.98</v>
      </c>
      <c r="Q82" s="20">
        <v>8.1</v>
      </c>
      <c r="R82" s="20">
        <v>60.31</v>
      </c>
      <c r="S82" s="20">
        <v>59</v>
      </c>
      <c r="T82" s="26">
        <v>-1.31</v>
      </c>
      <c r="U82" s="20">
        <v>-0.09</v>
      </c>
      <c r="V82" s="20">
        <v>1200.17</v>
      </c>
    </row>
    <row r="83" spans="1:22" ht="16.8" x14ac:dyDescent="0.3">
      <c r="A83" s="20">
        <v>8.1999999999999993</v>
      </c>
      <c r="B83" s="20">
        <v>59</v>
      </c>
      <c r="C83" s="20">
        <v>60</v>
      </c>
      <c r="D83" s="20">
        <v>-1</v>
      </c>
      <c r="E83" s="20">
        <v>0.22</v>
      </c>
      <c r="F83" s="20">
        <v>126.98</v>
      </c>
      <c r="Q83" s="20">
        <v>8.1999999999999993</v>
      </c>
      <c r="R83" s="20">
        <v>60.33</v>
      </c>
      <c r="S83" s="26">
        <v>59</v>
      </c>
      <c r="T83" s="20">
        <v>-1.33</v>
      </c>
      <c r="U83" s="26">
        <v>-0.02</v>
      </c>
      <c r="V83" s="20">
        <v>1200.95</v>
      </c>
    </row>
    <row r="84" spans="1:22" ht="16.8" x14ac:dyDescent="0.3">
      <c r="A84" s="20">
        <v>8.3000000000000007</v>
      </c>
      <c r="B84" s="20">
        <v>59</v>
      </c>
      <c r="C84" s="20">
        <v>59.81</v>
      </c>
      <c r="D84" s="20">
        <v>-0.81</v>
      </c>
      <c r="E84" s="20">
        <v>0.18</v>
      </c>
      <c r="F84" s="20">
        <v>126.98</v>
      </c>
      <c r="Q84" s="20">
        <v>8.3000000000000007</v>
      </c>
      <c r="R84" s="20">
        <v>60.36</v>
      </c>
      <c r="S84" s="20">
        <v>59</v>
      </c>
      <c r="T84" s="26">
        <v>-1.36</v>
      </c>
      <c r="U84" s="26">
        <v>-0.03</v>
      </c>
      <c r="V84" s="20">
        <v>1191.0999999999999</v>
      </c>
    </row>
    <row r="85" spans="1:22" ht="16.8" x14ac:dyDescent="0.3">
      <c r="A85" s="20">
        <v>8.4</v>
      </c>
      <c r="B85" s="20">
        <v>59</v>
      </c>
      <c r="C85" s="20">
        <v>59.69</v>
      </c>
      <c r="D85" s="20">
        <v>-0.69</v>
      </c>
      <c r="E85" s="20">
        <v>0.13</v>
      </c>
      <c r="F85" s="20">
        <v>1164.82</v>
      </c>
      <c r="Q85" s="20">
        <v>8.4</v>
      </c>
      <c r="R85" s="20">
        <v>60.34</v>
      </c>
      <c r="S85" s="26">
        <v>59</v>
      </c>
      <c r="T85" s="20">
        <v>-1.34</v>
      </c>
      <c r="U85" s="26">
        <v>0.02</v>
      </c>
      <c r="V85" s="20">
        <v>1196.82</v>
      </c>
    </row>
    <row r="86" spans="1:22" ht="16.8" x14ac:dyDescent="0.3">
      <c r="A86" s="20">
        <v>8.5</v>
      </c>
      <c r="B86" s="20">
        <v>59</v>
      </c>
      <c r="C86" s="20">
        <v>59.57</v>
      </c>
      <c r="D86" s="20">
        <v>-0.56999999999999995</v>
      </c>
      <c r="E86" s="20">
        <v>0.11</v>
      </c>
      <c r="F86" s="20">
        <v>1147.02</v>
      </c>
      <c r="Q86" s="20">
        <v>8.5</v>
      </c>
      <c r="R86" s="20">
        <v>60.36</v>
      </c>
      <c r="S86" s="20">
        <v>59</v>
      </c>
      <c r="T86" s="26">
        <v>-1.36</v>
      </c>
      <c r="U86" s="26">
        <v>-0.02</v>
      </c>
      <c r="V86" s="20">
        <v>1185.3499999999999</v>
      </c>
    </row>
    <row r="87" spans="1:22" ht="16.8" x14ac:dyDescent="0.3">
      <c r="A87" s="20">
        <v>8.6</v>
      </c>
      <c r="B87" s="20">
        <v>59</v>
      </c>
      <c r="C87" s="20">
        <v>59.42</v>
      </c>
      <c r="D87" s="20">
        <v>-0.42</v>
      </c>
      <c r="E87" s="20">
        <v>0.16</v>
      </c>
      <c r="F87" s="20">
        <v>1229.03</v>
      </c>
      <c r="Q87" s="20">
        <v>8.6</v>
      </c>
      <c r="R87" s="20">
        <v>60.44</v>
      </c>
      <c r="S87" s="20">
        <v>59</v>
      </c>
      <c r="T87" s="20">
        <v>-1.44</v>
      </c>
      <c r="U87" s="20">
        <v>-7.0000000000000007E-2</v>
      </c>
      <c r="V87" s="20">
        <v>1166.01</v>
      </c>
    </row>
    <row r="88" spans="1:22" ht="16.8" x14ac:dyDescent="0.3">
      <c r="A88" s="20">
        <v>8.6999999999999993</v>
      </c>
      <c r="B88" s="20">
        <v>59</v>
      </c>
      <c r="C88" s="20">
        <v>59.22</v>
      </c>
      <c r="D88" s="20">
        <v>-0.22</v>
      </c>
      <c r="E88" s="20">
        <v>0.2</v>
      </c>
      <c r="F88" s="20">
        <v>1312.31</v>
      </c>
      <c r="Q88" s="20">
        <v>8.6999999999999993</v>
      </c>
      <c r="R88" s="20">
        <v>60.44</v>
      </c>
      <c r="S88" s="26">
        <v>59</v>
      </c>
      <c r="T88" s="26">
        <v>-1.44</v>
      </c>
      <c r="U88" s="26">
        <v>0</v>
      </c>
      <c r="V88" s="20">
        <v>1169.0999999999999</v>
      </c>
    </row>
    <row r="89" spans="1:22" ht="16.8" x14ac:dyDescent="0.3">
      <c r="A89" s="20">
        <v>8.8000000000000007</v>
      </c>
      <c r="B89" s="20">
        <v>59</v>
      </c>
      <c r="C89" s="20">
        <v>59.02</v>
      </c>
      <c r="D89" s="20">
        <v>-0.02</v>
      </c>
      <c r="E89" s="20">
        <v>0.2</v>
      </c>
      <c r="F89" s="20">
        <v>1416.73</v>
      </c>
      <c r="Q89" s="20">
        <v>8.8000000000000007</v>
      </c>
      <c r="R89" s="20">
        <v>60.44</v>
      </c>
      <c r="S89" s="20">
        <v>59</v>
      </c>
      <c r="T89" s="20">
        <v>-1.44</v>
      </c>
      <c r="U89" s="20">
        <v>0</v>
      </c>
      <c r="V89" s="20">
        <v>1165.6600000000001</v>
      </c>
    </row>
    <row r="90" spans="1:22" ht="16.8" x14ac:dyDescent="0.3">
      <c r="A90" s="20">
        <v>8.9</v>
      </c>
      <c r="B90" s="20">
        <v>59</v>
      </c>
      <c r="C90" s="20">
        <v>58.89</v>
      </c>
      <c r="D90" s="20">
        <v>0.11</v>
      </c>
      <c r="E90" s="20">
        <v>0.13</v>
      </c>
      <c r="F90" s="20">
        <v>1547.46</v>
      </c>
      <c r="Q90" s="20">
        <v>8.9</v>
      </c>
      <c r="R90" s="20">
        <v>60.44</v>
      </c>
      <c r="S90" s="26">
        <v>59</v>
      </c>
      <c r="T90" s="20">
        <v>-1.44</v>
      </c>
      <c r="U90" s="26">
        <v>-0.01</v>
      </c>
      <c r="V90" s="20">
        <v>1160.19</v>
      </c>
    </row>
    <row r="91" spans="1:22" ht="16.8" x14ac:dyDescent="0.3">
      <c r="A91" s="20">
        <v>9</v>
      </c>
      <c r="B91" s="20">
        <v>59</v>
      </c>
      <c r="C91" s="20">
        <v>58.75</v>
      </c>
      <c r="D91" s="20">
        <v>0.25</v>
      </c>
      <c r="E91" s="20">
        <v>0.14000000000000001</v>
      </c>
      <c r="F91" s="20">
        <v>1643</v>
      </c>
      <c r="Q91" s="20">
        <v>9</v>
      </c>
      <c r="R91" s="20">
        <v>60.49</v>
      </c>
      <c r="S91" s="20">
        <v>59</v>
      </c>
      <c r="T91" s="26">
        <v>-1.49</v>
      </c>
      <c r="U91" s="20">
        <v>-0.05</v>
      </c>
      <c r="V91" s="20">
        <v>1145.29</v>
      </c>
    </row>
    <row r="92" spans="1:22" ht="16.8" x14ac:dyDescent="0.3">
      <c r="A92" s="20">
        <v>9.1</v>
      </c>
      <c r="B92" s="20">
        <v>59</v>
      </c>
      <c r="C92" s="20">
        <v>58.54</v>
      </c>
      <c r="D92" s="20">
        <v>0.46</v>
      </c>
      <c r="E92" s="20">
        <v>0.21</v>
      </c>
      <c r="F92" s="20">
        <v>1670.39</v>
      </c>
      <c r="Q92" s="20">
        <v>9.1</v>
      </c>
      <c r="R92" s="20">
        <v>60.47</v>
      </c>
      <c r="S92" s="26">
        <v>59</v>
      </c>
      <c r="T92" s="20">
        <v>-1.47</v>
      </c>
      <c r="U92" s="26">
        <v>0.02</v>
      </c>
      <c r="V92" s="20">
        <v>1152.1500000000001</v>
      </c>
    </row>
    <row r="93" spans="1:22" ht="16.8" x14ac:dyDescent="0.3">
      <c r="A93" s="20">
        <v>9.1999999999999993</v>
      </c>
      <c r="B93" s="20">
        <v>59</v>
      </c>
      <c r="C93" s="20">
        <v>58.48</v>
      </c>
      <c r="D93" s="20">
        <v>0.52</v>
      </c>
      <c r="E93" s="20">
        <v>0.06</v>
      </c>
      <c r="F93" s="20">
        <v>1687.52</v>
      </c>
      <c r="Q93" s="20">
        <v>9.1999999999999993</v>
      </c>
      <c r="R93" s="20">
        <v>60.46</v>
      </c>
      <c r="S93" s="20">
        <v>59</v>
      </c>
      <c r="T93" s="26">
        <v>-1.46</v>
      </c>
      <c r="U93" s="20">
        <v>0.01</v>
      </c>
      <c r="V93" s="20">
        <v>1148.48</v>
      </c>
    </row>
    <row r="94" spans="1:22" ht="16.8" x14ac:dyDescent="0.3">
      <c r="A94" s="20">
        <v>9.3000000000000007</v>
      </c>
      <c r="B94" s="20">
        <v>59</v>
      </c>
      <c r="C94" s="20">
        <v>58.37</v>
      </c>
      <c r="D94" s="20">
        <v>0.63</v>
      </c>
      <c r="E94" s="20">
        <v>0.11</v>
      </c>
      <c r="F94" s="20">
        <v>1776.92</v>
      </c>
      <c r="Q94" s="20">
        <v>9.3000000000000007</v>
      </c>
      <c r="R94" s="20">
        <v>60.45</v>
      </c>
      <c r="S94" s="26">
        <v>59</v>
      </c>
      <c r="T94" s="20">
        <v>-1.45</v>
      </c>
      <c r="U94" s="26">
        <v>0.01</v>
      </c>
      <c r="V94" s="20">
        <v>1146.28</v>
      </c>
    </row>
    <row r="95" spans="1:22" ht="16.8" x14ac:dyDescent="0.3">
      <c r="A95" s="20">
        <v>9.4</v>
      </c>
      <c r="B95" s="20">
        <v>59</v>
      </c>
      <c r="C95" s="20">
        <v>58.32</v>
      </c>
      <c r="D95" s="20">
        <v>0.68</v>
      </c>
      <c r="E95" s="20">
        <v>0.05</v>
      </c>
      <c r="F95" s="20">
        <v>1833.7</v>
      </c>
      <c r="Q95" s="20">
        <v>9.4</v>
      </c>
      <c r="R95" s="20">
        <v>60.44</v>
      </c>
      <c r="S95" s="20">
        <v>59</v>
      </c>
      <c r="T95" s="26">
        <v>-1.44</v>
      </c>
      <c r="U95" s="26">
        <v>0.01</v>
      </c>
      <c r="V95" s="20">
        <v>1144.0999999999999</v>
      </c>
    </row>
    <row r="96" spans="1:22" ht="16.8" x14ac:dyDescent="0.3">
      <c r="A96" s="20">
        <v>9.5</v>
      </c>
      <c r="B96" s="20">
        <v>59</v>
      </c>
      <c r="C96" s="20">
        <v>58.31</v>
      </c>
      <c r="D96" s="20">
        <v>0.69</v>
      </c>
      <c r="E96" s="20">
        <v>0.01</v>
      </c>
      <c r="F96" s="20">
        <v>1843.43</v>
      </c>
      <c r="Q96" s="20">
        <v>9.5</v>
      </c>
      <c r="R96" s="20">
        <v>60.42</v>
      </c>
      <c r="S96" s="26">
        <v>59</v>
      </c>
      <c r="T96" s="20">
        <v>-1.42</v>
      </c>
      <c r="U96" s="26">
        <v>0.02</v>
      </c>
      <c r="V96" s="20">
        <v>1146</v>
      </c>
    </row>
    <row r="97" spans="1:22" ht="16.8" x14ac:dyDescent="0.3">
      <c r="A97" s="20">
        <v>9.6</v>
      </c>
      <c r="B97" s="20">
        <v>59</v>
      </c>
      <c r="C97" s="20">
        <v>58.26</v>
      </c>
      <c r="D97" s="20">
        <v>0.74</v>
      </c>
      <c r="E97" s="20">
        <v>0.05</v>
      </c>
      <c r="F97" s="20">
        <v>1914.26</v>
      </c>
      <c r="Q97" s="20">
        <v>9.6</v>
      </c>
      <c r="R97" s="20">
        <v>60.48</v>
      </c>
      <c r="S97" s="20">
        <v>59</v>
      </c>
      <c r="T97" s="20">
        <v>-1.48</v>
      </c>
      <c r="U97" s="26">
        <v>-0.06</v>
      </c>
      <c r="V97" s="20">
        <v>1124.21</v>
      </c>
    </row>
    <row r="98" spans="1:22" ht="16.8" x14ac:dyDescent="0.3">
      <c r="A98" s="20">
        <v>9.6999999999999993</v>
      </c>
      <c r="B98" s="20">
        <v>59</v>
      </c>
      <c r="C98" s="20">
        <v>58.23</v>
      </c>
      <c r="D98" s="20">
        <v>0.77</v>
      </c>
      <c r="E98" s="20">
        <v>0.03</v>
      </c>
      <c r="F98" s="20">
        <v>1958.62</v>
      </c>
      <c r="Q98" s="20">
        <v>9.6999999999999993</v>
      </c>
      <c r="R98" s="20">
        <v>60.44</v>
      </c>
      <c r="S98" s="26">
        <v>59</v>
      </c>
      <c r="T98" s="26">
        <v>-1.44</v>
      </c>
      <c r="U98" s="26">
        <v>0.05</v>
      </c>
      <c r="V98" s="20">
        <v>1138.6099999999999</v>
      </c>
    </row>
    <row r="99" spans="1:22" ht="16.8" x14ac:dyDescent="0.3">
      <c r="A99" s="20">
        <v>9.8000000000000007</v>
      </c>
      <c r="B99" s="20">
        <v>59</v>
      </c>
      <c r="C99" s="20">
        <v>58.25</v>
      </c>
      <c r="D99" s="20">
        <v>0.75</v>
      </c>
      <c r="E99" s="20">
        <v>-0.02</v>
      </c>
      <c r="F99" s="20">
        <v>1926.45</v>
      </c>
      <c r="Q99" s="20">
        <v>9.8000000000000007</v>
      </c>
      <c r="R99" s="20">
        <v>60.48</v>
      </c>
      <c r="S99" s="20">
        <v>59</v>
      </c>
      <c r="T99" s="20">
        <v>-1.48</v>
      </c>
      <c r="U99" s="26">
        <v>-0.05</v>
      </c>
      <c r="V99" s="20">
        <v>1118.6600000000001</v>
      </c>
    </row>
    <row r="100" spans="1:22" ht="16.8" x14ac:dyDescent="0.3">
      <c r="A100" s="20">
        <v>9.9</v>
      </c>
      <c r="B100" s="20">
        <v>59</v>
      </c>
      <c r="C100" s="20">
        <v>58.28</v>
      </c>
      <c r="D100" s="20">
        <v>0.72</v>
      </c>
      <c r="E100" s="20">
        <v>-0.03</v>
      </c>
      <c r="F100" s="20">
        <v>1885.36</v>
      </c>
      <c r="Q100" s="20">
        <v>9.9</v>
      </c>
      <c r="R100" s="20">
        <v>60.47</v>
      </c>
      <c r="S100" s="26">
        <v>59</v>
      </c>
      <c r="T100" s="26">
        <v>-1.47</v>
      </c>
      <c r="U100" s="26">
        <v>0.02</v>
      </c>
      <c r="V100" s="20">
        <v>1123.5</v>
      </c>
    </row>
    <row r="101" spans="1:22" ht="16.8" x14ac:dyDescent="0.3">
      <c r="A101" s="20">
        <v>10</v>
      </c>
      <c r="B101" s="20">
        <v>59</v>
      </c>
      <c r="C101" s="20">
        <v>58.3</v>
      </c>
      <c r="D101" s="20">
        <v>0.7</v>
      </c>
      <c r="E101" s="20">
        <v>-0.02</v>
      </c>
      <c r="F101" s="20">
        <v>1858.59</v>
      </c>
      <c r="Q101" s="20">
        <v>10</v>
      </c>
      <c r="R101" s="20">
        <v>60.43</v>
      </c>
      <c r="S101" s="20">
        <v>59</v>
      </c>
      <c r="T101" s="20">
        <v>-1.43</v>
      </c>
      <c r="U101" s="26">
        <v>0.04</v>
      </c>
      <c r="V101" s="20">
        <v>1128.67</v>
      </c>
    </row>
    <row r="102" spans="1:22" ht="16.8" x14ac:dyDescent="0.3">
      <c r="A102" s="20">
        <v>10.1</v>
      </c>
      <c r="B102" s="20">
        <v>59</v>
      </c>
      <c r="C102" s="20">
        <v>58.35</v>
      </c>
      <c r="D102" s="20">
        <v>0.65</v>
      </c>
      <c r="E102" s="20">
        <v>-0.05</v>
      </c>
      <c r="F102" s="20">
        <v>1797.51</v>
      </c>
      <c r="Q102" s="20">
        <v>10.1</v>
      </c>
      <c r="R102" s="20">
        <v>60.45</v>
      </c>
      <c r="S102" s="20">
        <v>59</v>
      </c>
      <c r="T102" s="26">
        <v>-1.45</v>
      </c>
      <c r="U102" s="20">
        <v>-0.02</v>
      </c>
      <c r="V102" s="20">
        <v>1115.54</v>
      </c>
    </row>
    <row r="103" spans="1:22" ht="16.8" x14ac:dyDescent="0.3">
      <c r="A103" s="20">
        <v>10.199999999999999</v>
      </c>
      <c r="B103" s="20">
        <v>59</v>
      </c>
      <c r="C103" s="20">
        <v>58.4</v>
      </c>
      <c r="D103" s="20">
        <v>0.6</v>
      </c>
      <c r="E103" s="20">
        <v>-0.05</v>
      </c>
      <c r="F103" s="20">
        <v>1750.65</v>
      </c>
      <c r="Q103" s="20">
        <v>10.199999999999999</v>
      </c>
      <c r="R103" s="20">
        <v>60.45</v>
      </c>
      <c r="S103" s="26">
        <v>59</v>
      </c>
      <c r="T103" s="20">
        <v>-1.45</v>
      </c>
      <c r="U103" s="26">
        <v>0</v>
      </c>
      <c r="V103" s="20">
        <v>1114.24</v>
      </c>
    </row>
    <row r="104" spans="1:22" ht="16.8" x14ac:dyDescent="0.3">
      <c r="A104" s="20">
        <v>10.3</v>
      </c>
      <c r="B104" s="20">
        <v>59</v>
      </c>
      <c r="C104" s="20">
        <v>58.48</v>
      </c>
      <c r="D104" s="20">
        <v>0.52</v>
      </c>
      <c r="E104" s="20">
        <v>-0.08</v>
      </c>
      <c r="F104" s="20">
        <v>1687.52</v>
      </c>
      <c r="Q104" s="20">
        <v>10.3</v>
      </c>
      <c r="R104" s="20">
        <v>60.4</v>
      </c>
      <c r="S104" s="20">
        <v>59</v>
      </c>
      <c r="T104" s="26">
        <v>-1.4</v>
      </c>
      <c r="U104" s="20">
        <v>0.05</v>
      </c>
      <c r="V104" s="20">
        <v>1122.92</v>
      </c>
    </row>
    <row r="105" spans="1:22" ht="16.8" x14ac:dyDescent="0.3">
      <c r="A105" s="20">
        <v>10.4</v>
      </c>
      <c r="B105" s="20">
        <v>59</v>
      </c>
      <c r="C105" s="20">
        <v>58.55</v>
      </c>
      <c r="D105" s="20">
        <v>0.45</v>
      </c>
      <c r="E105" s="20">
        <v>-0.06</v>
      </c>
      <c r="F105" s="20">
        <v>1669.55</v>
      </c>
      <c r="Q105" s="20">
        <v>10.4</v>
      </c>
      <c r="R105" s="20">
        <v>60.42</v>
      </c>
      <c r="S105" s="26">
        <v>59</v>
      </c>
      <c r="T105" s="20">
        <v>-1.42</v>
      </c>
      <c r="U105" s="26">
        <v>-0.02</v>
      </c>
      <c r="V105" s="20">
        <v>1111.1500000000001</v>
      </c>
    </row>
    <row r="106" spans="1:22" ht="16.8" x14ac:dyDescent="0.3">
      <c r="A106" s="20">
        <v>10.5</v>
      </c>
      <c r="B106" s="20">
        <v>59</v>
      </c>
      <c r="C106" s="20">
        <v>58.69</v>
      </c>
      <c r="D106" s="20">
        <v>0.31</v>
      </c>
      <c r="E106" s="20">
        <v>-0.15</v>
      </c>
      <c r="F106" s="20">
        <v>1650.93</v>
      </c>
      <c r="Q106" s="20">
        <v>10.5</v>
      </c>
      <c r="R106" s="20">
        <v>60.43</v>
      </c>
      <c r="S106" s="20">
        <v>59</v>
      </c>
      <c r="T106" s="26">
        <v>-1.43</v>
      </c>
      <c r="U106" s="26">
        <v>-0.01</v>
      </c>
      <c r="V106" s="20">
        <v>1107.17</v>
      </c>
    </row>
    <row r="107" spans="1:22" ht="16.8" x14ac:dyDescent="0.3">
      <c r="A107" s="20">
        <v>10.6</v>
      </c>
      <c r="B107" s="20">
        <v>59</v>
      </c>
      <c r="C107" s="20">
        <v>58.7</v>
      </c>
      <c r="D107" s="20">
        <v>0.3</v>
      </c>
      <c r="E107" s="20">
        <v>-0.01</v>
      </c>
      <c r="F107" s="20">
        <v>1649.62</v>
      </c>
      <c r="Q107" s="20">
        <v>10.6</v>
      </c>
      <c r="R107" s="20">
        <v>60.41</v>
      </c>
      <c r="S107" s="26">
        <v>59</v>
      </c>
      <c r="T107" s="20">
        <v>-1.41</v>
      </c>
      <c r="U107" s="26">
        <v>0.02</v>
      </c>
      <c r="V107" s="20">
        <v>1108.53</v>
      </c>
    </row>
    <row r="108" spans="1:22" ht="16.8" x14ac:dyDescent="0.3">
      <c r="A108" s="20">
        <v>10.7</v>
      </c>
      <c r="B108" s="20">
        <v>59</v>
      </c>
      <c r="C108" s="20">
        <v>58.78</v>
      </c>
      <c r="D108" s="20">
        <v>0.22</v>
      </c>
      <c r="E108" s="20">
        <v>-0.08</v>
      </c>
      <c r="F108" s="20">
        <v>1632.98</v>
      </c>
      <c r="Q108" s="20">
        <v>10.7</v>
      </c>
      <c r="R108" s="20">
        <v>60.38</v>
      </c>
      <c r="S108" s="20">
        <v>59</v>
      </c>
      <c r="T108" s="20">
        <v>-1.38</v>
      </c>
      <c r="U108" s="26">
        <v>0.03</v>
      </c>
      <c r="V108" s="20">
        <v>1111.8</v>
      </c>
    </row>
    <row r="109" spans="1:22" ht="16.8" x14ac:dyDescent="0.3">
      <c r="A109" s="20">
        <v>10.8</v>
      </c>
      <c r="B109" s="20">
        <v>59</v>
      </c>
      <c r="C109" s="20">
        <v>58.88</v>
      </c>
      <c r="D109" s="20">
        <v>0.12</v>
      </c>
      <c r="E109" s="20">
        <v>-0.1</v>
      </c>
      <c r="F109" s="20">
        <v>1536.3</v>
      </c>
      <c r="Q109" s="20">
        <v>10.8</v>
      </c>
      <c r="R109" s="20">
        <v>60.35</v>
      </c>
      <c r="S109" s="26">
        <v>59</v>
      </c>
      <c r="T109" s="26">
        <v>-1.35</v>
      </c>
      <c r="U109" s="26">
        <v>0.03</v>
      </c>
      <c r="V109" s="20">
        <v>1113.7</v>
      </c>
    </row>
    <row r="110" spans="1:22" ht="16.8" x14ac:dyDescent="0.3">
      <c r="A110" s="20">
        <v>10.9</v>
      </c>
      <c r="B110" s="20">
        <v>59</v>
      </c>
      <c r="C110" s="20">
        <v>58.98</v>
      </c>
      <c r="D110" s="20">
        <v>0.02</v>
      </c>
      <c r="E110" s="20">
        <v>-0.1</v>
      </c>
      <c r="F110" s="20">
        <v>1355.39</v>
      </c>
      <c r="Q110" s="20">
        <v>10.9</v>
      </c>
      <c r="R110" s="20">
        <v>60.31</v>
      </c>
      <c r="S110" s="20">
        <v>59</v>
      </c>
      <c r="T110" s="20">
        <v>-1.31</v>
      </c>
      <c r="U110" s="26">
        <v>0.04</v>
      </c>
      <c r="V110" s="20">
        <v>1117.7</v>
      </c>
    </row>
    <row r="111" spans="1:22" ht="16.8" x14ac:dyDescent="0.3">
      <c r="A111" s="20">
        <v>11</v>
      </c>
      <c r="B111" s="20">
        <v>59</v>
      </c>
      <c r="C111" s="20">
        <v>59.07</v>
      </c>
      <c r="D111" s="20">
        <v>-7.0000000000000007E-2</v>
      </c>
      <c r="E111" s="20">
        <v>-0.08</v>
      </c>
      <c r="F111" s="20">
        <v>1272.31</v>
      </c>
      <c r="Q111" s="20">
        <v>11</v>
      </c>
      <c r="R111" s="20">
        <v>60.34</v>
      </c>
      <c r="S111" s="26">
        <v>59</v>
      </c>
      <c r="T111" s="26">
        <v>-1.34</v>
      </c>
      <c r="U111" s="26">
        <v>-0.03</v>
      </c>
      <c r="V111" s="20">
        <v>1102.8399999999999</v>
      </c>
    </row>
    <row r="112" spans="1:22" ht="16.8" x14ac:dyDescent="0.3">
      <c r="A112" s="20">
        <v>11.1</v>
      </c>
      <c r="B112" s="20">
        <v>59</v>
      </c>
      <c r="C112" s="20">
        <v>59.13</v>
      </c>
      <c r="D112" s="20">
        <v>-0.13</v>
      </c>
      <c r="E112" s="20">
        <v>-0.06</v>
      </c>
      <c r="F112" s="20">
        <v>1229.3699999999999</v>
      </c>
      <c r="Q112" s="20">
        <v>11.1</v>
      </c>
      <c r="R112" s="20">
        <v>60.31</v>
      </c>
      <c r="S112" s="20">
        <v>59</v>
      </c>
      <c r="T112" s="20">
        <v>-1.31</v>
      </c>
      <c r="U112" s="26">
        <v>0.03</v>
      </c>
      <c r="V112" s="20">
        <v>1110.6300000000001</v>
      </c>
    </row>
    <row r="113" spans="1:22" ht="16.8" x14ac:dyDescent="0.3">
      <c r="A113" s="20">
        <v>11.2</v>
      </c>
      <c r="B113" s="20">
        <v>59</v>
      </c>
      <c r="C113" s="20">
        <v>59.21</v>
      </c>
      <c r="D113" s="20">
        <v>-0.21</v>
      </c>
      <c r="E113" s="20">
        <v>-0.08</v>
      </c>
      <c r="F113" s="20">
        <v>1190.75</v>
      </c>
      <c r="Q113" s="20">
        <v>11.2</v>
      </c>
      <c r="R113" s="20">
        <v>60.32</v>
      </c>
      <c r="S113" s="26">
        <v>59</v>
      </c>
      <c r="T113" s="26">
        <v>-1.32</v>
      </c>
      <c r="U113" s="26">
        <v>-0.02</v>
      </c>
      <c r="V113" s="20">
        <v>1100.55</v>
      </c>
    </row>
    <row r="114" spans="1:22" ht="16.8" x14ac:dyDescent="0.3">
      <c r="A114" s="20">
        <v>11.3</v>
      </c>
      <c r="B114" s="20">
        <v>59</v>
      </c>
      <c r="C114" s="20">
        <v>59.23</v>
      </c>
      <c r="D114" s="20">
        <v>-0.23</v>
      </c>
      <c r="E114" s="20">
        <v>-0.02</v>
      </c>
      <c r="F114" s="20">
        <v>1185.8599999999999</v>
      </c>
      <c r="Q114" s="20">
        <v>11.3</v>
      </c>
      <c r="R114" s="20">
        <v>60.31</v>
      </c>
      <c r="S114" s="20">
        <v>59</v>
      </c>
      <c r="T114" s="20">
        <v>-1.31</v>
      </c>
      <c r="U114" s="20">
        <v>0.02</v>
      </c>
      <c r="V114" s="20">
        <v>1102.8800000000001</v>
      </c>
    </row>
    <row r="115" spans="1:22" ht="16.8" x14ac:dyDescent="0.3">
      <c r="A115" s="20">
        <v>11.4</v>
      </c>
      <c r="B115" s="20">
        <v>59</v>
      </c>
      <c r="C115" s="20">
        <v>59.32</v>
      </c>
      <c r="D115" s="20">
        <v>-0.32</v>
      </c>
      <c r="E115" s="20">
        <v>-0.08</v>
      </c>
      <c r="F115" s="20">
        <v>1166.53</v>
      </c>
      <c r="Q115" s="20">
        <v>11.4</v>
      </c>
      <c r="R115" s="20">
        <v>60.26</v>
      </c>
      <c r="S115" s="26">
        <v>59</v>
      </c>
      <c r="T115" s="26">
        <v>-1.26</v>
      </c>
      <c r="U115" s="26">
        <v>0.05</v>
      </c>
      <c r="V115" s="20">
        <v>1110.46</v>
      </c>
    </row>
    <row r="116" spans="1:22" ht="16.8" x14ac:dyDescent="0.3">
      <c r="A116" s="20">
        <v>11.5</v>
      </c>
      <c r="B116" s="20">
        <v>59</v>
      </c>
      <c r="C116" s="20">
        <v>59.37</v>
      </c>
      <c r="D116" s="20">
        <v>-0.37</v>
      </c>
      <c r="E116" s="20">
        <v>-0.06</v>
      </c>
      <c r="F116" s="20">
        <v>1154.69</v>
      </c>
      <c r="Q116" s="20">
        <v>11.5</v>
      </c>
      <c r="R116" s="20">
        <v>60.29</v>
      </c>
      <c r="S116" s="20">
        <v>59</v>
      </c>
      <c r="T116" s="20">
        <v>-1.29</v>
      </c>
      <c r="U116" s="20">
        <v>-0.03</v>
      </c>
      <c r="V116" s="20">
        <v>1094.98</v>
      </c>
    </row>
    <row r="117" spans="1:22" ht="16.8" x14ac:dyDescent="0.3">
      <c r="A117" s="20">
        <v>11.6</v>
      </c>
      <c r="B117" s="20">
        <v>59</v>
      </c>
      <c r="C117" s="20">
        <v>59.38</v>
      </c>
      <c r="D117" s="20">
        <v>-0.38</v>
      </c>
      <c r="E117" s="20">
        <v>0</v>
      </c>
      <c r="F117" s="20">
        <v>1153.8699999999999</v>
      </c>
      <c r="Q117" s="20">
        <v>11.6</v>
      </c>
      <c r="R117" s="20">
        <v>60.27</v>
      </c>
      <c r="S117" s="20">
        <v>59</v>
      </c>
      <c r="T117" s="26">
        <v>-1.27</v>
      </c>
      <c r="U117" s="26">
        <v>0.02</v>
      </c>
      <c r="V117" s="20">
        <v>1100.8699999999999</v>
      </c>
    </row>
    <row r="118" spans="1:22" ht="16.8" x14ac:dyDescent="0.3">
      <c r="A118" s="20">
        <v>11.7</v>
      </c>
      <c r="B118" s="20">
        <v>59</v>
      </c>
      <c r="C118" s="20">
        <v>59.39</v>
      </c>
      <c r="D118" s="20">
        <v>-0.39</v>
      </c>
      <c r="E118" s="20">
        <v>-0.01</v>
      </c>
      <c r="F118" s="20">
        <v>1151.45</v>
      </c>
      <c r="Q118" s="20">
        <v>11.7</v>
      </c>
      <c r="R118" s="20">
        <v>60.19</v>
      </c>
      <c r="S118" s="26">
        <v>59</v>
      </c>
      <c r="T118" s="20">
        <v>-1.19</v>
      </c>
      <c r="U118" s="26">
        <v>7.0000000000000007E-2</v>
      </c>
      <c r="V118" s="20">
        <v>1113.9000000000001</v>
      </c>
    </row>
    <row r="119" spans="1:22" ht="16.8" x14ac:dyDescent="0.3">
      <c r="A119" s="20">
        <v>11.8</v>
      </c>
      <c r="B119" s="20">
        <v>59</v>
      </c>
      <c r="C119" s="20">
        <v>59.38</v>
      </c>
      <c r="D119" s="20">
        <v>-0.38</v>
      </c>
      <c r="E119" s="20">
        <v>0.01</v>
      </c>
      <c r="F119" s="20">
        <v>1153.8699999999999</v>
      </c>
      <c r="Q119" s="20">
        <v>11.8</v>
      </c>
      <c r="R119" s="20">
        <v>60.19</v>
      </c>
      <c r="S119" s="20">
        <v>59</v>
      </c>
      <c r="T119" s="20">
        <v>-1.19</v>
      </c>
      <c r="U119" s="26">
        <v>0.01</v>
      </c>
      <c r="V119" s="20">
        <v>1106.54</v>
      </c>
    </row>
    <row r="120" spans="1:22" ht="16.8" x14ac:dyDescent="0.3">
      <c r="A120" s="20">
        <v>11.9</v>
      </c>
      <c r="B120" s="20">
        <v>59</v>
      </c>
      <c r="C120" s="20">
        <v>59.38</v>
      </c>
      <c r="D120" s="20">
        <v>-0.38</v>
      </c>
      <c r="E120" s="20">
        <v>-0.01</v>
      </c>
      <c r="F120" s="20">
        <v>1152.25</v>
      </c>
      <c r="Q120" s="20">
        <v>11.9</v>
      </c>
      <c r="R120" s="20">
        <v>60.19</v>
      </c>
      <c r="S120" s="26">
        <v>59</v>
      </c>
      <c r="T120" s="26">
        <v>-1.19</v>
      </c>
      <c r="U120" s="26">
        <v>0</v>
      </c>
      <c r="V120" s="20">
        <v>1102.97</v>
      </c>
    </row>
    <row r="121" spans="1:22" ht="16.8" x14ac:dyDescent="0.3">
      <c r="A121" s="20">
        <v>12</v>
      </c>
      <c r="B121" s="20">
        <v>59</v>
      </c>
      <c r="C121" s="20">
        <v>59.42</v>
      </c>
      <c r="D121" s="20">
        <v>-0.42</v>
      </c>
      <c r="E121" s="20">
        <v>-0.04</v>
      </c>
      <c r="F121" s="20">
        <v>1145.1500000000001</v>
      </c>
      <c r="Q121" s="20">
        <v>12</v>
      </c>
      <c r="R121" s="20">
        <v>60.17</v>
      </c>
      <c r="S121" s="20">
        <v>59</v>
      </c>
      <c r="T121" s="20">
        <v>-1.17</v>
      </c>
      <c r="U121" s="20">
        <v>0.02</v>
      </c>
      <c r="V121" s="20">
        <v>1104.18</v>
      </c>
    </row>
    <row r="122" spans="1:22" ht="16.8" x14ac:dyDescent="0.3">
      <c r="A122" s="20">
        <v>12.1</v>
      </c>
      <c r="B122" s="20">
        <v>59</v>
      </c>
      <c r="C122" s="20">
        <v>59.35</v>
      </c>
      <c r="D122" s="20">
        <v>-0.35</v>
      </c>
      <c r="E122" s="20">
        <v>7.0000000000000007E-2</v>
      </c>
      <c r="F122" s="20">
        <v>1158.83</v>
      </c>
      <c r="Q122" s="20">
        <v>12.1</v>
      </c>
      <c r="R122" s="20">
        <v>60.2</v>
      </c>
      <c r="S122" s="26">
        <v>59</v>
      </c>
      <c r="T122" s="26">
        <v>-1.2</v>
      </c>
      <c r="U122" s="26">
        <v>-0.03</v>
      </c>
      <c r="V122" s="20">
        <v>1091.82</v>
      </c>
    </row>
    <row r="123" spans="1:22" ht="16.8" x14ac:dyDescent="0.3">
      <c r="A123" s="20">
        <v>12.2</v>
      </c>
      <c r="B123" s="20">
        <v>59</v>
      </c>
      <c r="C123" s="20">
        <v>59.35</v>
      </c>
      <c r="D123" s="20">
        <v>-0.35</v>
      </c>
      <c r="E123" s="20">
        <v>0</v>
      </c>
      <c r="F123" s="20">
        <v>1158.83</v>
      </c>
      <c r="Q123" s="20">
        <v>12.2</v>
      </c>
      <c r="R123" s="20">
        <v>60.11</v>
      </c>
      <c r="S123" s="20">
        <v>59</v>
      </c>
      <c r="T123" s="20">
        <v>-1.1100000000000001</v>
      </c>
      <c r="U123" s="20">
        <v>0.09</v>
      </c>
      <c r="V123" s="20">
        <v>1114.1300000000001</v>
      </c>
    </row>
    <row r="124" spans="1:22" ht="16.8" x14ac:dyDescent="0.3">
      <c r="A124" s="20">
        <v>12.3</v>
      </c>
      <c r="B124" s="20">
        <v>59</v>
      </c>
      <c r="C124" s="20">
        <v>59.33</v>
      </c>
      <c r="D124" s="20">
        <v>-0.33</v>
      </c>
      <c r="E124" s="20">
        <v>0.02</v>
      </c>
      <c r="F124" s="20">
        <v>1163.93</v>
      </c>
      <c r="Q124" s="20">
        <v>12.3</v>
      </c>
      <c r="R124" s="20">
        <v>60.12</v>
      </c>
      <c r="S124" s="26">
        <v>59</v>
      </c>
      <c r="T124" s="26">
        <v>-1.1200000000000001</v>
      </c>
      <c r="U124" s="26">
        <v>-0.01</v>
      </c>
      <c r="V124" s="20">
        <v>1101.46</v>
      </c>
    </row>
    <row r="125" spans="1:22" ht="16.8" x14ac:dyDescent="0.3">
      <c r="A125" s="20">
        <v>12.4</v>
      </c>
      <c r="B125" s="20">
        <v>59</v>
      </c>
      <c r="C125" s="20">
        <v>59.32</v>
      </c>
      <c r="D125" s="20">
        <v>-0.32</v>
      </c>
      <c r="E125" s="20">
        <v>0.01</v>
      </c>
      <c r="F125" s="20">
        <v>1165.6600000000001</v>
      </c>
      <c r="Q125" s="20">
        <v>12.4</v>
      </c>
      <c r="R125" s="20">
        <v>60.12</v>
      </c>
      <c r="S125" s="20">
        <v>59</v>
      </c>
      <c r="T125" s="20">
        <v>-1.1200000000000001</v>
      </c>
      <c r="U125" s="26">
        <v>0</v>
      </c>
      <c r="V125" s="20">
        <v>1099.5</v>
      </c>
    </row>
    <row r="126" spans="1:22" ht="16.8" x14ac:dyDescent="0.3">
      <c r="A126" s="20">
        <v>12.5</v>
      </c>
      <c r="B126" s="20">
        <v>59</v>
      </c>
      <c r="C126" s="20">
        <v>59.29</v>
      </c>
      <c r="D126" s="20">
        <v>-0.28999999999999998</v>
      </c>
      <c r="E126" s="20">
        <v>0.03</v>
      </c>
      <c r="F126" s="20">
        <v>1171.8499999999999</v>
      </c>
      <c r="Q126" s="20">
        <v>12.5</v>
      </c>
      <c r="R126" s="20">
        <v>60.1</v>
      </c>
      <c r="S126" s="26">
        <v>59</v>
      </c>
      <c r="T126" s="26">
        <v>-1.1000000000000001</v>
      </c>
      <c r="U126" s="26">
        <v>0.02</v>
      </c>
      <c r="V126" s="20">
        <v>1100.8599999999999</v>
      </c>
    </row>
    <row r="127" spans="1:22" ht="16.8" x14ac:dyDescent="0.3">
      <c r="A127" s="20">
        <v>12.6</v>
      </c>
      <c r="B127" s="20">
        <v>59</v>
      </c>
      <c r="C127" s="20">
        <v>59.27</v>
      </c>
      <c r="D127" s="20">
        <v>-0.27</v>
      </c>
      <c r="E127" s="20">
        <v>0.02</v>
      </c>
      <c r="F127" s="20">
        <v>1175.49</v>
      </c>
      <c r="Q127" s="20">
        <v>12.6</v>
      </c>
      <c r="R127" s="20">
        <v>60.07</v>
      </c>
      <c r="S127" s="20">
        <v>59</v>
      </c>
      <c r="T127" s="20">
        <v>-1.07</v>
      </c>
      <c r="U127" s="26">
        <v>0.03</v>
      </c>
      <c r="V127" s="20">
        <v>1104.8699999999999</v>
      </c>
    </row>
    <row r="128" spans="1:22" ht="16.8" x14ac:dyDescent="0.3">
      <c r="A128" s="20">
        <v>12.7</v>
      </c>
      <c r="B128" s="20">
        <v>59</v>
      </c>
      <c r="C128" s="20">
        <v>59.28</v>
      </c>
      <c r="D128" s="20">
        <v>-0.28000000000000003</v>
      </c>
      <c r="E128" s="20">
        <v>-0.01</v>
      </c>
      <c r="F128" s="20">
        <v>1173.67</v>
      </c>
      <c r="Q128" s="20">
        <v>12.7</v>
      </c>
      <c r="R128" s="20">
        <v>60.03</v>
      </c>
      <c r="S128" s="26">
        <v>59</v>
      </c>
      <c r="T128" s="20">
        <v>-1.03</v>
      </c>
      <c r="U128" s="20">
        <v>0.04</v>
      </c>
      <c r="V128" s="20">
        <v>1109.53</v>
      </c>
    </row>
    <row r="129" spans="1:22" ht="16.8" x14ac:dyDescent="0.3">
      <c r="A129" s="20">
        <v>12.8</v>
      </c>
      <c r="B129" s="20">
        <v>59</v>
      </c>
      <c r="C129" s="20">
        <v>59.2</v>
      </c>
      <c r="D129" s="20">
        <v>-0.2</v>
      </c>
      <c r="E129" s="20">
        <v>0.08</v>
      </c>
      <c r="F129" s="20">
        <v>1193.75</v>
      </c>
      <c r="Q129" s="20">
        <v>12.8</v>
      </c>
      <c r="R129" s="20">
        <v>60.03</v>
      </c>
      <c r="S129" s="20">
        <v>59</v>
      </c>
      <c r="T129" s="26">
        <v>-1.03</v>
      </c>
      <c r="U129" s="26">
        <v>0</v>
      </c>
      <c r="V129" s="20">
        <v>1103.43</v>
      </c>
    </row>
    <row r="130" spans="1:22" ht="16.8" x14ac:dyDescent="0.3">
      <c r="A130" s="20">
        <v>12.9</v>
      </c>
      <c r="B130" s="20">
        <v>59</v>
      </c>
      <c r="C130" s="20">
        <v>59.13</v>
      </c>
      <c r="D130" s="20">
        <v>-0.13</v>
      </c>
      <c r="E130" s="20">
        <v>0.06</v>
      </c>
      <c r="F130" s="20">
        <v>1229.3699999999999</v>
      </c>
      <c r="Q130" s="20">
        <v>12.9</v>
      </c>
      <c r="R130" s="20">
        <v>60.02</v>
      </c>
      <c r="S130" s="26">
        <v>59</v>
      </c>
      <c r="T130" s="20">
        <v>-1.02</v>
      </c>
      <c r="U130" s="20">
        <v>0.01</v>
      </c>
      <c r="V130" s="20">
        <v>1102.98</v>
      </c>
    </row>
    <row r="131" spans="1:22" ht="16.8" x14ac:dyDescent="0.3">
      <c r="A131" s="20">
        <v>13</v>
      </c>
      <c r="B131" s="20">
        <v>59</v>
      </c>
      <c r="C131" s="20">
        <v>59.15</v>
      </c>
      <c r="D131" s="20">
        <v>-0.15</v>
      </c>
      <c r="E131" s="20">
        <v>-0.02</v>
      </c>
      <c r="F131" s="20">
        <v>1216.73</v>
      </c>
      <c r="Q131" s="20">
        <v>13</v>
      </c>
      <c r="R131" s="20">
        <v>59.99</v>
      </c>
      <c r="S131" s="20">
        <v>59</v>
      </c>
      <c r="T131" s="26">
        <v>-0.99</v>
      </c>
      <c r="U131" s="26">
        <v>0.03</v>
      </c>
      <c r="V131" s="20">
        <v>1107.9100000000001</v>
      </c>
    </row>
    <row r="132" spans="1:22" ht="16.8" x14ac:dyDescent="0.3">
      <c r="A132" s="20">
        <v>13.1</v>
      </c>
      <c r="B132" s="20">
        <v>59</v>
      </c>
      <c r="C132" s="20">
        <v>59.05</v>
      </c>
      <c r="D132" s="20">
        <v>-0.05</v>
      </c>
      <c r="E132" s="20">
        <v>0.1</v>
      </c>
      <c r="F132" s="20">
        <v>1284.8800000000001</v>
      </c>
      <c r="Q132" s="20">
        <v>13.1</v>
      </c>
      <c r="R132" s="20">
        <v>59.96</v>
      </c>
      <c r="S132" s="20">
        <v>59</v>
      </c>
      <c r="T132" s="20">
        <v>-0.96</v>
      </c>
      <c r="U132" s="20">
        <v>0.03</v>
      </c>
      <c r="V132" s="20">
        <v>1110.73</v>
      </c>
    </row>
    <row r="133" spans="1:22" ht="16.8" x14ac:dyDescent="0.3">
      <c r="A133" s="20">
        <v>13.2</v>
      </c>
      <c r="B133" s="20">
        <v>59</v>
      </c>
      <c r="C133" s="20">
        <v>59.04</v>
      </c>
      <c r="D133" s="20">
        <v>-0.04</v>
      </c>
      <c r="E133" s="20">
        <v>0.02</v>
      </c>
      <c r="F133" s="20">
        <v>1295.4000000000001</v>
      </c>
      <c r="Q133" s="20">
        <v>13.2</v>
      </c>
      <c r="R133" s="20">
        <v>59.98</v>
      </c>
      <c r="S133" s="26">
        <v>59</v>
      </c>
      <c r="T133" s="26">
        <v>-0.98</v>
      </c>
      <c r="U133" s="26">
        <v>-0.02</v>
      </c>
      <c r="V133" s="20">
        <v>1101.48</v>
      </c>
    </row>
    <row r="134" spans="1:22" ht="16.8" x14ac:dyDescent="0.3">
      <c r="A134" s="20">
        <v>13.3</v>
      </c>
      <c r="B134" s="20">
        <v>59</v>
      </c>
      <c r="C134" s="20">
        <v>59.02</v>
      </c>
      <c r="D134" s="20">
        <v>-0.02</v>
      </c>
      <c r="E134" s="20">
        <v>0.02</v>
      </c>
      <c r="F134" s="20">
        <v>1310.3800000000001</v>
      </c>
      <c r="Q134" s="20">
        <v>13.3</v>
      </c>
      <c r="R134" s="20">
        <v>59.92</v>
      </c>
      <c r="S134" s="20">
        <v>59</v>
      </c>
      <c r="T134" s="20">
        <v>-0.92</v>
      </c>
      <c r="U134" s="20">
        <v>0.06</v>
      </c>
      <c r="V134" s="20">
        <v>1114.78</v>
      </c>
    </row>
    <row r="135" spans="1:22" ht="16.8" x14ac:dyDescent="0.3">
      <c r="A135" s="20">
        <v>13.4</v>
      </c>
      <c r="B135" s="20">
        <v>59</v>
      </c>
      <c r="C135" s="20">
        <v>58.99</v>
      </c>
      <c r="D135" s="20">
        <v>0.01</v>
      </c>
      <c r="E135" s="20">
        <v>0.02</v>
      </c>
      <c r="F135" s="20">
        <v>1338.79</v>
      </c>
      <c r="Q135" s="20">
        <v>13.4</v>
      </c>
      <c r="R135" s="20">
        <v>59.91</v>
      </c>
      <c r="S135" s="26">
        <v>59</v>
      </c>
      <c r="T135" s="26">
        <v>-0.91</v>
      </c>
      <c r="U135" s="26">
        <v>0.01</v>
      </c>
      <c r="V135" s="20">
        <v>1109.52</v>
      </c>
    </row>
    <row r="136" spans="1:22" ht="16.8" x14ac:dyDescent="0.3">
      <c r="A136" s="20">
        <v>13.5</v>
      </c>
      <c r="B136" s="20">
        <v>59</v>
      </c>
      <c r="C136" s="20">
        <v>58.94</v>
      </c>
      <c r="D136" s="20">
        <v>0.06</v>
      </c>
      <c r="E136" s="20">
        <v>0.06</v>
      </c>
      <c r="F136" s="20">
        <v>1446.3</v>
      </c>
      <c r="Q136" s="20">
        <v>13.5</v>
      </c>
      <c r="R136" s="20">
        <v>59.84</v>
      </c>
      <c r="S136" s="20">
        <v>59</v>
      </c>
      <c r="T136" s="20">
        <v>-0.84</v>
      </c>
      <c r="U136" s="20">
        <v>7.0000000000000007E-2</v>
      </c>
      <c r="V136" s="20">
        <v>1124.8499999999999</v>
      </c>
    </row>
    <row r="137" spans="1:22" ht="16.8" x14ac:dyDescent="0.3">
      <c r="A137" s="20">
        <v>13.6</v>
      </c>
      <c r="B137" s="20">
        <v>59</v>
      </c>
      <c r="C137" s="20">
        <v>58.87</v>
      </c>
      <c r="D137" s="20">
        <v>0.13</v>
      </c>
      <c r="E137" s="20">
        <v>7.0000000000000007E-2</v>
      </c>
      <c r="F137" s="20">
        <v>1553.67</v>
      </c>
      <c r="Q137" s="20">
        <v>13.6</v>
      </c>
      <c r="R137" s="20">
        <v>59.9</v>
      </c>
      <c r="S137" s="26">
        <v>59</v>
      </c>
      <c r="T137" s="26">
        <v>-0.9</v>
      </c>
      <c r="U137" s="26">
        <v>-0.06</v>
      </c>
      <c r="V137" s="20">
        <v>1102.1199999999999</v>
      </c>
    </row>
    <row r="138" spans="1:22" ht="16.8" x14ac:dyDescent="0.3">
      <c r="A138" s="20">
        <v>13.7</v>
      </c>
      <c r="B138" s="20">
        <v>59</v>
      </c>
      <c r="C138" s="20">
        <v>58.89</v>
      </c>
      <c r="D138" s="20">
        <v>0.11</v>
      </c>
      <c r="E138" s="20">
        <v>-0.02</v>
      </c>
      <c r="F138" s="20">
        <v>1518.27</v>
      </c>
      <c r="Q138" s="20">
        <v>13.7</v>
      </c>
      <c r="R138" s="20">
        <v>59.62</v>
      </c>
      <c r="S138" s="20">
        <v>59</v>
      </c>
      <c r="T138" s="20">
        <v>-0.62</v>
      </c>
      <c r="U138" s="26">
        <v>0.27</v>
      </c>
      <c r="V138" s="20">
        <v>1173.96</v>
      </c>
    </row>
    <row r="139" spans="1:22" ht="16.8" x14ac:dyDescent="0.3">
      <c r="A139" s="20">
        <v>13.8</v>
      </c>
      <c r="B139" s="20">
        <v>59</v>
      </c>
      <c r="C139" s="20">
        <v>58.86</v>
      </c>
      <c r="D139" s="20">
        <v>0.14000000000000001</v>
      </c>
      <c r="E139" s="20">
        <v>0.03</v>
      </c>
      <c r="F139" s="20">
        <v>1564.91</v>
      </c>
      <c r="Q139" s="20">
        <v>13.8</v>
      </c>
      <c r="R139" s="20">
        <v>59.86</v>
      </c>
      <c r="S139" s="26">
        <v>59</v>
      </c>
      <c r="T139" s="20">
        <v>-0.86</v>
      </c>
      <c r="U139" s="26">
        <v>-0.24</v>
      </c>
      <c r="V139" s="20">
        <v>1087.01</v>
      </c>
    </row>
    <row r="140" spans="1:22" ht="16.8" x14ac:dyDescent="0.3">
      <c r="A140" s="20">
        <v>13.9</v>
      </c>
      <c r="B140" s="20">
        <v>59</v>
      </c>
      <c r="C140" s="20">
        <v>58.8</v>
      </c>
      <c r="D140" s="20">
        <v>0.2</v>
      </c>
      <c r="E140" s="20">
        <v>0.06</v>
      </c>
      <c r="F140" s="20">
        <v>1628.14</v>
      </c>
      <c r="Q140" s="20">
        <v>13.9</v>
      </c>
      <c r="R140" s="20">
        <v>59.29</v>
      </c>
      <c r="S140" s="20">
        <v>59</v>
      </c>
      <c r="T140" s="26">
        <v>-0.28999999999999998</v>
      </c>
      <c r="U140" s="20">
        <v>0.56999999999999995</v>
      </c>
      <c r="V140" s="20">
        <v>1250.5999999999999</v>
      </c>
    </row>
    <row r="141" spans="1:22" ht="16.8" x14ac:dyDescent="0.3">
      <c r="A141" s="20">
        <v>14</v>
      </c>
      <c r="B141" s="20">
        <v>59</v>
      </c>
      <c r="C141" s="20">
        <v>58.77</v>
      </c>
      <c r="D141" s="20">
        <v>0.23</v>
      </c>
      <c r="E141" s="20">
        <v>0.03</v>
      </c>
      <c r="F141" s="20">
        <v>1635.71</v>
      </c>
      <c r="Q141" s="20">
        <v>14</v>
      </c>
      <c r="R141" s="20">
        <v>59.85</v>
      </c>
      <c r="S141" s="20">
        <v>59</v>
      </c>
      <c r="T141" s="26">
        <v>-0.85</v>
      </c>
      <c r="U141" s="26">
        <v>-0.56000000000000005</v>
      </c>
      <c r="V141" s="20">
        <v>1058.56</v>
      </c>
    </row>
    <row r="142" spans="1:22" ht="16.8" x14ac:dyDescent="0.3">
      <c r="A142" s="20">
        <v>14.1</v>
      </c>
      <c r="B142" s="20">
        <v>59</v>
      </c>
      <c r="C142" s="20">
        <v>58.81</v>
      </c>
      <c r="D142" s="20">
        <v>0.19</v>
      </c>
      <c r="E142" s="20">
        <v>-0.04</v>
      </c>
      <c r="F142" s="20">
        <v>1627.13</v>
      </c>
      <c r="Q142" s="20">
        <v>14.1</v>
      </c>
      <c r="R142" s="20">
        <v>59.15</v>
      </c>
      <c r="S142" s="26">
        <v>59</v>
      </c>
      <c r="T142" s="20">
        <v>-0.15</v>
      </c>
      <c r="U142" s="20">
        <v>0.7</v>
      </c>
      <c r="V142" s="20">
        <v>1282.9000000000001</v>
      </c>
    </row>
    <row r="143" spans="1:22" ht="16.8" x14ac:dyDescent="0.3">
      <c r="A143" s="20">
        <v>14.2</v>
      </c>
      <c r="B143" s="20">
        <v>59</v>
      </c>
      <c r="C143" s="20">
        <v>58.81</v>
      </c>
      <c r="D143" s="20">
        <v>0.19</v>
      </c>
      <c r="E143" s="20">
        <v>0</v>
      </c>
      <c r="F143" s="20">
        <v>1626.09</v>
      </c>
      <c r="Q143" s="20">
        <v>14.2</v>
      </c>
      <c r="R143" s="20">
        <v>59.81</v>
      </c>
      <c r="S143" s="20">
        <v>59</v>
      </c>
      <c r="T143" s="26">
        <v>-0.81</v>
      </c>
      <c r="U143" s="26">
        <v>-0.67</v>
      </c>
      <c r="V143" s="20">
        <v>1051.24</v>
      </c>
    </row>
    <row r="144" spans="1:22" ht="16.8" x14ac:dyDescent="0.3">
      <c r="A144" s="20">
        <v>14.3</v>
      </c>
      <c r="B144" s="20">
        <v>59</v>
      </c>
      <c r="C144" s="20">
        <v>58.8</v>
      </c>
      <c r="D144" s="20">
        <v>0.2</v>
      </c>
      <c r="E144" s="20">
        <v>0.01</v>
      </c>
      <c r="F144" s="20">
        <v>1629.13</v>
      </c>
      <c r="Q144" s="20">
        <v>14.3</v>
      </c>
      <c r="R144" s="20">
        <v>59.11</v>
      </c>
      <c r="S144" s="26">
        <v>59</v>
      </c>
      <c r="T144" s="20">
        <v>-0.11</v>
      </c>
      <c r="U144" s="20">
        <v>0.71</v>
      </c>
      <c r="V144" s="20">
        <v>1287.83</v>
      </c>
    </row>
    <row r="145" spans="1:22" ht="16.8" x14ac:dyDescent="0.3">
      <c r="A145" s="20">
        <v>14.4</v>
      </c>
      <c r="B145" s="20">
        <v>59</v>
      </c>
      <c r="C145" s="20">
        <v>58.84</v>
      </c>
      <c r="D145" s="20">
        <v>0.16</v>
      </c>
      <c r="E145" s="20">
        <v>-0.04</v>
      </c>
      <c r="F145" s="20">
        <v>1586.61</v>
      </c>
      <c r="Q145" s="20">
        <v>14.4</v>
      </c>
      <c r="R145" s="20">
        <v>59.81</v>
      </c>
      <c r="S145" s="20">
        <v>59</v>
      </c>
      <c r="T145" s="20">
        <v>-0.81</v>
      </c>
      <c r="U145" s="26">
        <v>-0.7</v>
      </c>
      <c r="V145" s="20">
        <v>1047.43</v>
      </c>
    </row>
    <row r="146" spans="1:22" ht="16.8" x14ac:dyDescent="0.3">
      <c r="A146" s="20">
        <v>14.5</v>
      </c>
      <c r="B146" s="20">
        <v>59</v>
      </c>
      <c r="C146" s="20">
        <v>58.84</v>
      </c>
      <c r="D146" s="20">
        <v>0.16</v>
      </c>
      <c r="E146" s="20">
        <v>0.01</v>
      </c>
      <c r="F146" s="20">
        <v>1597.11</v>
      </c>
      <c r="Q146" s="20">
        <v>14.5</v>
      </c>
      <c r="R146" s="20">
        <v>59.07</v>
      </c>
      <c r="S146" s="26">
        <v>59</v>
      </c>
      <c r="T146" s="26">
        <v>-7.0000000000000007E-2</v>
      </c>
      <c r="U146" s="20">
        <v>0.73</v>
      </c>
      <c r="V146" s="20">
        <v>1293.03</v>
      </c>
    </row>
    <row r="147" spans="1:22" ht="16.8" x14ac:dyDescent="0.3">
      <c r="A147" s="20">
        <v>14.6</v>
      </c>
      <c r="B147" s="20">
        <v>59</v>
      </c>
      <c r="C147" s="20">
        <v>58.84</v>
      </c>
      <c r="D147" s="20">
        <v>0.16</v>
      </c>
      <c r="E147" s="20">
        <v>0</v>
      </c>
      <c r="F147" s="20">
        <v>1591.89</v>
      </c>
      <c r="Q147" s="20">
        <v>14.6</v>
      </c>
      <c r="R147" s="20">
        <v>59.78</v>
      </c>
      <c r="S147" s="20">
        <v>59</v>
      </c>
      <c r="T147" s="20">
        <v>-0.78</v>
      </c>
      <c r="U147" s="26">
        <v>-0.71</v>
      </c>
      <c r="V147" s="20">
        <v>1048.5</v>
      </c>
    </row>
    <row r="148" spans="1:22" ht="16.8" x14ac:dyDescent="0.3">
      <c r="A148" s="20">
        <v>14.7</v>
      </c>
      <c r="B148" s="20">
        <v>59</v>
      </c>
      <c r="C148" s="20">
        <v>58.88</v>
      </c>
      <c r="D148" s="20">
        <v>0.12</v>
      </c>
      <c r="E148" s="20">
        <v>-0.04</v>
      </c>
      <c r="F148" s="20">
        <v>1542.13</v>
      </c>
      <c r="Q148" s="20">
        <v>14.7</v>
      </c>
      <c r="R148" s="20">
        <v>58.99</v>
      </c>
      <c r="S148" s="26">
        <v>59</v>
      </c>
      <c r="T148" s="26">
        <v>0.01</v>
      </c>
      <c r="U148" s="20">
        <v>0.79</v>
      </c>
      <c r="V148" s="20">
        <v>1309.07</v>
      </c>
    </row>
    <row r="149" spans="1:22" ht="16.8" x14ac:dyDescent="0.3">
      <c r="A149" s="20">
        <v>14.8</v>
      </c>
      <c r="B149" s="20">
        <v>59</v>
      </c>
      <c r="C149" s="20">
        <v>58.96</v>
      </c>
      <c r="D149" s="20">
        <v>0.04</v>
      </c>
      <c r="E149" s="20">
        <v>-0.08</v>
      </c>
      <c r="F149" s="20">
        <v>1410.17</v>
      </c>
      <c r="Q149" s="20">
        <v>14.8</v>
      </c>
      <c r="R149" s="20">
        <v>59.77</v>
      </c>
      <c r="S149" s="20">
        <v>59</v>
      </c>
      <c r="T149" s="20">
        <v>-0.77</v>
      </c>
      <c r="U149" s="20">
        <v>-0.77</v>
      </c>
      <c r="V149" s="20">
        <v>1043.44</v>
      </c>
    </row>
    <row r="150" spans="1:22" ht="16.8" x14ac:dyDescent="0.3">
      <c r="A150" s="20">
        <v>14.9</v>
      </c>
      <c r="B150" s="20">
        <v>59</v>
      </c>
      <c r="C150" s="20">
        <v>58.95</v>
      </c>
      <c r="D150" s="20">
        <v>0.05</v>
      </c>
      <c r="E150" s="20">
        <v>0</v>
      </c>
      <c r="F150" s="20">
        <v>1417.56</v>
      </c>
      <c r="Q150" s="20">
        <v>14.9</v>
      </c>
      <c r="R150" s="20">
        <v>59.02</v>
      </c>
      <c r="S150" s="26">
        <v>59</v>
      </c>
      <c r="T150" s="26">
        <v>-0.02</v>
      </c>
      <c r="U150" s="26">
        <v>0.75</v>
      </c>
      <c r="V150" s="20">
        <v>1299.71</v>
      </c>
    </row>
    <row r="151" spans="1:22" ht="16.8" x14ac:dyDescent="0.3">
      <c r="A151" s="20">
        <v>15</v>
      </c>
      <c r="B151" s="20">
        <v>59</v>
      </c>
      <c r="C151" s="20">
        <v>59.02</v>
      </c>
      <c r="D151" s="20">
        <v>-0.02</v>
      </c>
      <c r="E151" s="20">
        <v>-7.0000000000000007E-2</v>
      </c>
      <c r="F151" s="20">
        <v>1307.3399999999999</v>
      </c>
      <c r="Q151" s="20">
        <v>15</v>
      </c>
      <c r="R151" s="20">
        <v>59.72</v>
      </c>
      <c r="S151" s="20">
        <v>59</v>
      </c>
      <c r="T151" s="20">
        <v>-0.72</v>
      </c>
      <c r="U151" s="20">
        <v>-0.7</v>
      </c>
      <c r="V151" s="20">
        <v>1055.9000000000001</v>
      </c>
    </row>
    <row r="152" spans="1:22" ht="16.8" x14ac:dyDescent="0.3">
      <c r="A152" s="20">
        <v>15.1</v>
      </c>
      <c r="B152" s="20">
        <v>59</v>
      </c>
      <c r="C152" s="20">
        <v>59.03</v>
      </c>
      <c r="D152" s="20">
        <v>-0.03</v>
      </c>
      <c r="E152" s="20">
        <v>-0.01</v>
      </c>
      <c r="F152" s="20">
        <v>1301.3399999999999</v>
      </c>
      <c r="Q152" s="20">
        <v>15.1</v>
      </c>
      <c r="R152" s="20">
        <v>58.94</v>
      </c>
      <c r="S152" s="26">
        <v>59</v>
      </c>
      <c r="T152" s="26">
        <v>0.06</v>
      </c>
      <c r="U152" s="26">
        <v>0.77</v>
      </c>
      <c r="V152" s="20">
        <v>1311.84</v>
      </c>
    </row>
    <row r="153" spans="1:22" ht="16.8" x14ac:dyDescent="0.3">
      <c r="A153" s="20">
        <v>15.2</v>
      </c>
      <c r="B153" s="20">
        <v>59</v>
      </c>
      <c r="C153" s="20">
        <v>59.03</v>
      </c>
      <c r="D153" s="20">
        <v>-0.03</v>
      </c>
      <c r="E153" s="20">
        <v>0</v>
      </c>
      <c r="F153" s="20">
        <v>1298.3599999999999</v>
      </c>
      <c r="Q153" s="20">
        <v>15.2</v>
      </c>
      <c r="R153" s="20">
        <v>59.76</v>
      </c>
      <c r="S153" s="20">
        <v>59</v>
      </c>
      <c r="T153" s="20">
        <v>-0.76</v>
      </c>
      <c r="U153" s="26">
        <v>-0.81</v>
      </c>
      <c r="V153" s="20">
        <v>1037.6500000000001</v>
      </c>
    </row>
    <row r="154" spans="1:22" ht="16.8" x14ac:dyDescent="0.3">
      <c r="A154" s="20">
        <v>15.3</v>
      </c>
      <c r="B154" s="20">
        <v>59</v>
      </c>
      <c r="C154" s="20">
        <v>59.16</v>
      </c>
      <c r="D154" s="20">
        <v>-0.16</v>
      </c>
      <c r="E154" s="20">
        <v>-0.13</v>
      </c>
      <c r="F154" s="20">
        <v>1211.76</v>
      </c>
      <c r="Q154" s="20">
        <v>15.3</v>
      </c>
      <c r="R154" s="20">
        <v>58.92</v>
      </c>
      <c r="S154" s="20">
        <v>59</v>
      </c>
      <c r="T154" s="26">
        <v>0.08</v>
      </c>
      <c r="U154" s="26">
        <v>0.84</v>
      </c>
      <c r="V154" s="20">
        <v>1319.86</v>
      </c>
    </row>
    <row r="155" spans="1:22" ht="16.8" x14ac:dyDescent="0.3">
      <c r="A155" s="20">
        <v>15.4</v>
      </c>
      <c r="B155" s="20">
        <v>59</v>
      </c>
      <c r="C155" s="20">
        <v>59.09</v>
      </c>
      <c r="D155" s="20">
        <v>-0.09</v>
      </c>
      <c r="E155" s="20">
        <v>7.0000000000000007E-2</v>
      </c>
      <c r="F155" s="20">
        <v>1258.49</v>
      </c>
      <c r="Q155" s="20">
        <v>15.4</v>
      </c>
      <c r="R155" s="20">
        <v>59.7</v>
      </c>
      <c r="S155" s="26">
        <v>59</v>
      </c>
      <c r="T155" s="20">
        <v>-0.7</v>
      </c>
      <c r="U155" s="26">
        <v>-0.78</v>
      </c>
      <c r="V155" s="20">
        <v>1048.03</v>
      </c>
    </row>
    <row r="156" spans="1:22" ht="16.8" x14ac:dyDescent="0.3">
      <c r="A156" s="20">
        <v>15.5</v>
      </c>
      <c r="B156" s="20">
        <v>59</v>
      </c>
      <c r="C156" s="20">
        <v>59.11</v>
      </c>
      <c r="D156" s="20">
        <v>-0.11</v>
      </c>
      <c r="E156" s="20">
        <v>-0.02</v>
      </c>
      <c r="F156" s="20">
        <v>1242.3499999999999</v>
      </c>
      <c r="Q156" s="20">
        <v>15.5</v>
      </c>
      <c r="R156" s="20">
        <v>58.93</v>
      </c>
      <c r="S156" s="20">
        <v>59</v>
      </c>
      <c r="T156" s="26">
        <v>7.0000000000000007E-2</v>
      </c>
      <c r="U156" s="26">
        <v>0.77</v>
      </c>
      <c r="V156" s="20">
        <v>1311.27</v>
      </c>
    </row>
    <row r="157" spans="1:22" ht="16.8" x14ac:dyDescent="0.3">
      <c r="A157" s="20">
        <v>15.6</v>
      </c>
      <c r="B157" s="20">
        <v>59</v>
      </c>
      <c r="C157" s="20">
        <v>59.15</v>
      </c>
      <c r="D157" s="20">
        <v>-0.15</v>
      </c>
      <c r="E157" s="20">
        <v>-0.03</v>
      </c>
      <c r="F157" s="20">
        <v>1221.75</v>
      </c>
      <c r="Q157" s="20">
        <v>15.6</v>
      </c>
      <c r="R157" s="20">
        <v>59.7</v>
      </c>
      <c r="S157" s="26">
        <v>59</v>
      </c>
      <c r="T157" s="20">
        <v>-0.7</v>
      </c>
      <c r="U157" s="26">
        <v>-0.77</v>
      </c>
      <c r="V157" s="20">
        <v>1047.25</v>
      </c>
    </row>
    <row r="158" spans="1:22" ht="16.8" x14ac:dyDescent="0.3">
      <c r="A158" s="20">
        <v>15.7</v>
      </c>
      <c r="B158" s="20">
        <v>59</v>
      </c>
      <c r="C158" s="20">
        <v>59.19</v>
      </c>
      <c r="D158" s="20">
        <v>-0.19</v>
      </c>
      <c r="E158" s="20">
        <v>-0.04</v>
      </c>
      <c r="F158" s="20">
        <v>1195.76</v>
      </c>
      <c r="Q158" s="20">
        <v>15.7</v>
      </c>
      <c r="R158" s="20">
        <v>58.93</v>
      </c>
      <c r="S158" s="20">
        <v>59</v>
      </c>
      <c r="T158" s="20">
        <v>7.0000000000000007E-2</v>
      </c>
      <c r="U158" s="26">
        <v>0.77</v>
      </c>
      <c r="V158" s="20">
        <v>1309.76</v>
      </c>
    </row>
    <row r="159" spans="1:22" ht="16.8" x14ac:dyDescent="0.3">
      <c r="A159" s="20">
        <v>15.8</v>
      </c>
      <c r="B159" s="20">
        <v>59</v>
      </c>
      <c r="C159" s="20">
        <v>59.21</v>
      </c>
      <c r="D159" s="20">
        <v>-0.21</v>
      </c>
      <c r="E159" s="20">
        <v>-0.02</v>
      </c>
      <c r="F159" s="20">
        <v>1191.75</v>
      </c>
      <c r="Q159" s="20">
        <v>15.8</v>
      </c>
      <c r="R159" s="20">
        <v>59.71</v>
      </c>
      <c r="S159" s="26">
        <v>59</v>
      </c>
      <c r="T159" s="26">
        <v>-0.71</v>
      </c>
      <c r="U159" s="20">
        <v>-0.78</v>
      </c>
      <c r="V159" s="20">
        <v>1043.71</v>
      </c>
    </row>
    <row r="160" spans="1:22" ht="16.8" x14ac:dyDescent="0.3">
      <c r="A160" s="20">
        <v>15.9</v>
      </c>
      <c r="B160" s="20">
        <v>59</v>
      </c>
      <c r="C160" s="20">
        <v>59.2</v>
      </c>
      <c r="D160" s="20">
        <v>-0.2</v>
      </c>
      <c r="E160" s="20">
        <v>0</v>
      </c>
      <c r="F160" s="20">
        <v>1192.75</v>
      </c>
      <c r="Q160" s="20">
        <v>15.9</v>
      </c>
      <c r="R160" s="20">
        <v>58.94</v>
      </c>
      <c r="S160" s="20">
        <v>59</v>
      </c>
      <c r="T160" s="20">
        <v>0.06</v>
      </c>
      <c r="U160" s="26">
        <v>0.77</v>
      </c>
      <c r="V160" s="20">
        <v>1304.9000000000001</v>
      </c>
    </row>
    <row r="161" spans="1:22" ht="16.8" x14ac:dyDescent="0.3">
      <c r="A161" s="20">
        <v>16</v>
      </c>
      <c r="B161" s="20">
        <v>59</v>
      </c>
      <c r="C161" s="20">
        <v>59.2</v>
      </c>
      <c r="D161" s="20">
        <v>-0.2</v>
      </c>
      <c r="E161" s="20">
        <v>0</v>
      </c>
      <c r="F161" s="20">
        <v>1192.75</v>
      </c>
      <c r="Q161" s="20">
        <v>16</v>
      </c>
      <c r="R161" s="20">
        <v>59.65</v>
      </c>
      <c r="S161" s="26">
        <v>59</v>
      </c>
      <c r="T161" s="26">
        <v>-0.65</v>
      </c>
      <c r="U161" s="26">
        <v>-0.71</v>
      </c>
      <c r="V161" s="20">
        <v>1057.78</v>
      </c>
    </row>
    <row r="162" spans="1:22" ht="16.8" x14ac:dyDescent="0.3">
      <c r="A162" s="20">
        <v>16.100000000000001</v>
      </c>
      <c r="B162" s="20">
        <v>59</v>
      </c>
      <c r="C162" s="20">
        <v>59.19</v>
      </c>
      <c r="D162" s="20">
        <v>-0.19</v>
      </c>
      <c r="E162" s="20">
        <v>0.01</v>
      </c>
      <c r="F162" s="20">
        <v>1194.75</v>
      </c>
      <c r="Q162" s="20">
        <v>16.100000000000001</v>
      </c>
      <c r="R162" s="20">
        <v>58.89</v>
      </c>
      <c r="S162" s="20">
        <v>59</v>
      </c>
      <c r="T162" s="20">
        <v>0.11</v>
      </c>
      <c r="U162" s="20">
        <v>0.77</v>
      </c>
      <c r="V162" s="20">
        <v>1312.58</v>
      </c>
    </row>
    <row r="163" spans="1:22" ht="16.8" x14ac:dyDescent="0.3">
      <c r="A163" s="20">
        <v>16.2</v>
      </c>
      <c r="B163" s="20">
        <v>59</v>
      </c>
      <c r="C163" s="20">
        <v>59.15</v>
      </c>
      <c r="D163" s="20">
        <v>-0.15</v>
      </c>
      <c r="E163" s="20">
        <v>0.04</v>
      </c>
      <c r="F163" s="20">
        <v>1219.23</v>
      </c>
      <c r="Q163" s="20">
        <v>16.2</v>
      </c>
      <c r="R163" s="20">
        <v>59.58</v>
      </c>
      <c r="S163" s="20">
        <v>59</v>
      </c>
      <c r="T163" s="26">
        <v>-0.57999999999999996</v>
      </c>
      <c r="U163" s="26">
        <v>-0.69</v>
      </c>
      <c r="V163" s="20">
        <v>1069.6400000000001</v>
      </c>
    </row>
    <row r="164" spans="1:22" ht="16.8" x14ac:dyDescent="0.3">
      <c r="A164" s="20">
        <v>16.3</v>
      </c>
      <c r="B164" s="20">
        <v>59</v>
      </c>
      <c r="C164" s="20">
        <v>59.14</v>
      </c>
      <c r="D164" s="20">
        <v>-0.14000000000000001</v>
      </c>
      <c r="E164" s="20">
        <v>0.01</v>
      </c>
      <c r="F164" s="20">
        <v>1226.82</v>
      </c>
      <c r="Q164" s="20">
        <v>16.3</v>
      </c>
      <c r="R164" s="20">
        <v>58.91</v>
      </c>
      <c r="S164" s="26">
        <v>59</v>
      </c>
      <c r="T164" s="20">
        <v>0.09</v>
      </c>
      <c r="U164" s="20">
        <v>0.67</v>
      </c>
      <c r="V164" s="20">
        <v>1298.8399999999999</v>
      </c>
    </row>
    <row r="165" spans="1:22" ht="16.8" x14ac:dyDescent="0.3">
      <c r="A165" s="20">
        <v>16.399999999999999</v>
      </c>
      <c r="B165" s="20">
        <v>59</v>
      </c>
      <c r="C165" s="20">
        <v>59.1</v>
      </c>
      <c r="D165" s="20">
        <v>-0.1</v>
      </c>
      <c r="E165" s="20">
        <v>0.04</v>
      </c>
      <c r="F165" s="20">
        <v>1250.3599999999999</v>
      </c>
      <c r="Q165" s="20">
        <v>16.399999999999999</v>
      </c>
      <c r="R165" s="20">
        <v>59.27</v>
      </c>
      <c r="S165" s="20">
        <v>59</v>
      </c>
      <c r="T165" s="26">
        <v>-0.27</v>
      </c>
      <c r="U165" s="26">
        <v>-0.36</v>
      </c>
      <c r="V165" s="20">
        <v>1147.6500000000001</v>
      </c>
    </row>
    <row r="166" spans="1:22" ht="16.8" x14ac:dyDescent="0.3">
      <c r="A166" s="20">
        <v>16.5</v>
      </c>
      <c r="B166" s="20">
        <v>59</v>
      </c>
      <c r="C166" s="20">
        <v>59.13</v>
      </c>
      <c r="D166" s="20">
        <v>-0.13</v>
      </c>
      <c r="E166" s="20">
        <v>-0.03</v>
      </c>
      <c r="F166" s="20">
        <v>1229.3699999999999</v>
      </c>
      <c r="Q166" s="20">
        <v>16.5</v>
      </c>
      <c r="R166" s="20">
        <v>59</v>
      </c>
      <c r="S166" s="26">
        <v>59</v>
      </c>
      <c r="T166" s="20">
        <v>0</v>
      </c>
      <c r="U166" s="20">
        <v>0.27</v>
      </c>
      <c r="V166" s="20">
        <v>1248.54</v>
      </c>
    </row>
    <row r="167" spans="1:22" ht="16.8" x14ac:dyDescent="0.3">
      <c r="A167" s="20">
        <v>16.600000000000001</v>
      </c>
      <c r="B167" s="20">
        <v>59</v>
      </c>
      <c r="C167" s="20">
        <v>59.09</v>
      </c>
      <c r="D167" s="20">
        <v>-0.09</v>
      </c>
      <c r="E167" s="20">
        <v>0.05</v>
      </c>
      <c r="F167" s="20">
        <v>1261.22</v>
      </c>
      <c r="Q167" s="20">
        <v>16.600000000000001</v>
      </c>
      <c r="R167" s="20">
        <v>59.07</v>
      </c>
      <c r="S167" s="20">
        <v>59</v>
      </c>
      <c r="T167" s="26">
        <v>-7.0000000000000007E-2</v>
      </c>
      <c r="U167" s="26">
        <v>-7.0000000000000007E-2</v>
      </c>
      <c r="V167" s="20">
        <v>1205.6400000000001</v>
      </c>
    </row>
    <row r="168" spans="1:22" ht="16.8" x14ac:dyDescent="0.3">
      <c r="A168" s="20">
        <v>16.7</v>
      </c>
      <c r="B168" s="20">
        <v>59</v>
      </c>
      <c r="C168" s="20">
        <v>59.04</v>
      </c>
      <c r="D168" s="20">
        <v>-0.04</v>
      </c>
      <c r="E168" s="20">
        <v>0.05</v>
      </c>
      <c r="F168" s="20">
        <v>1295.4000000000001</v>
      </c>
      <c r="Q168" s="20">
        <v>16.7</v>
      </c>
      <c r="R168" s="20">
        <v>59.03</v>
      </c>
      <c r="S168" s="26">
        <v>59</v>
      </c>
      <c r="T168" s="20">
        <v>-0.03</v>
      </c>
      <c r="U168" s="20">
        <v>0.04</v>
      </c>
      <c r="V168" s="20">
        <v>1222.1199999999999</v>
      </c>
    </row>
    <row r="169" spans="1:22" ht="16.8" x14ac:dyDescent="0.3">
      <c r="A169" s="20">
        <v>16.8</v>
      </c>
      <c r="B169" s="20">
        <v>59</v>
      </c>
      <c r="C169" s="20">
        <v>59.01</v>
      </c>
      <c r="D169" s="20">
        <v>-0.01</v>
      </c>
      <c r="E169" s="20">
        <v>0.02</v>
      </c>
      <c r="F169" s="20">
        <v>1313.46</v>
      </c>
      <c r="Q169" s="20">
        <v>16.8</v>
      </c>
      <c r="R169" s="20">
        <v>59.06</v>
      </c>
      <c r="S169" s="20">
        <v>59</v>
      </c>
      <c r="T169" s="26">
        <v>-0.06</v>
      </c>
      <c r="U169" s="26">
        <v>-0.02</v>
      </c>
      <c r="V169" s="20">
        <v>1212.3399999999999</v>
      </c>
    </row>
    <row r="170" spans="1:22" ht="16.8" x14ac:dyDescent="0.3">
      <c r="A170" s="20">
        <v>16.899999999999999</v>
      </c>
      <c r="B170" s="20">
        <v>59</v>
      </c>
      <c r="C170" s="20">
        <v>59</v>
      </c>
      <c r="D170" s="20">
        <v>0</v>
      </c>
      <c r="E170" s="20">
        <v>0.01</v>
      </c>
      <c r="F170" s="20">
        <v>1319.64</v>
      </c>
      <c r="Q170" s="20">
        <v>16.899999999999999</v>
      </c>
      <c r="R170" s="20">
        <v>59.02</v>
      </c>
      <c r="S170" s="26">
        <v>59</v>
      </c>
      <c r="T170" s="20">
        <v>-0.02</v>
      </c>
      <c r="U170" s="26">
        <v>0.03</v>
      </c>
      <c r="V170" s="20">
        <v>1222.48</v>
      </c>
    </row>
    <row r="171" spans="1:22" ht="16.8" x14ac:dyDescent="0.3">
      <c r="A171" s="20">
        <v>17</v>
      </c>
      <c r="B171" s="20">
        <v>59</v>
      </c>
      <c r="C171" s="20">
        <v>58.96</v>
      </c>
      <c r="D171" s="20">
        <v>0.04</v>
      </c>
      <c r="E171" s="20">
        <v>0.05</v>
      </c>
      <c r="F171" s="20">
        <v>1410.17</v>
      </c>
      <c r="Q171" s="20">
        <v>17</v>
      </c>
      <c r="R171" s="20">
        <v>59.06</v>
      </c>
      <c r="S171" s="20">
        <v>59</v>
      </c>
      <c r="T171" s="20">
        <v>-0.06</v>
      </c>
      <c r="U171" s="26">
        <v>-0.03</v>
      </c>
      <c r="V171" s="20">
        <v>1211.42</v>
      </c>
    </row>
    <row r="172" spans="1:22" ht="16.8" x14ac:dyDescent="0.3">
      <c r="A172" s="20">
        <v>17.100000000000001</v>
      </c>
      <c r="B172" s="20">
        <v>59</v>
      </c>
      <c r="C172" s="20">
        <v>58.94</v>
      </c>
      <c r="D172" s="20">
        <v>0.06</v>
      </c>
      <c r="E172" s="20">
        <v>0.02</v>
      </c>
      <c r="F172" s="20">
        <v>1439.24</v>
      </c>
      <c r="Q172" s="20">
        <v>17.100000000000001</v>
      </c>
      <c r="R172" s="20">
        <v>59.02</v>
      </c>
      <c r="S172" s="20">
        <v>59</v>
      </c>
      <c r="T172" s="26">
        <v>-0.02</v>
      </c>
      <c r="U172" s="26">
        <v>0.04</v>
      </c>
      <c r="V172" s="20">
        <v>1224.31</v>
      </c>
    </row>
    <row r="173" spans="1:22" ht="16.8" x14ac:dyDescent="0.3">
      <c r="A173" s="20">
        <v>17.2</v>
      </c>
      <c r="B173" s="20">
        <v>59</v>
      </c>
      <c r="C173" s="20">
        <v>58.88</v>
      </c>
      <c r="D173" s="20">
        <v>0.12</v>
      </c>
      <c r="E173" s="20">
        <v>0.06</v>
      </c>
      <c r="F173" s="20">
        <v>1530.34</v>
      </c>
      <c r="Q173" s="20">
        <v>17.2</v>
      </c>
      <c r="R173" s="20">
        <v>59.02</v>
      </c>
      <c r="S173" s="26">
        <v>59</v>
      </c>
      <c r="T173" s="20">
        <v>-0.02</v>
      </c>
      <c r="U173" s="26">
        <v>-0.01</v>
      </c>
      <c r="V173" s="20">
        <v>1218.6199999999999</v>
      </c>
    </row>
    <row r="174" spans="1:22" ht="16.8" x14ac:dyDescent="0.3">
      <c r="A174" s="20">
        <v>17.3</v>
      </c>
      <c r="B174" s="20">
        <v>59</v>
      </c>
      <c r="C174" s="20">
        <v>58.91</v>
      </c>
      <c r="D174" s="20">
        <v>0.09</v>
      </c>
      <c r="E174" s="20">
        <v>-0.02</v>
      </c>
      <c r="F174" s="20">
        <v>1493.23</v>
      </c>
      <c r="Q174" s="20">
        <v>17.3</v>
      </c>
      <c r="R174" s="20">
        <v>59.01</v>
      </c>
      <c r="S174" s="20">
        <v>59</v>
      </c>
      <c r="T174" s="26">
        <v>-0.01</v>
      </c>
      <c r="U174" s="26">
        <v>0.02</v>
      </c>
      <c r="V174" s="20">
        <v>1223.3399999999999</v>
      </c>
    </row>
    <row r="175" spans="1:22" ht="16.8" x14ac:dyDescent="0.3">
      <c r="A175" s="20">
        <v>17.399999999999999</v>
      </c>
      <c r="B175" s="20">
        <v>59</v>
      </c>
      <c r="C175" s="20">
        <v>58.93</v>
      </c>
      <c r="D175" s="20">
        <v>7.0000000000000007E-2</v>
      </c>
      <c r="E175" s="20">
        <v>-0.02</v>
      </c>
      <c r="F175" s="20">
        <v>1460.13</v>
      </c>
      <c r="Q175" s="20">
        <v>17.399999999999999</v>
      </c>
      <c r="R175" s="20">
        <v>59.04</v>
      </c>
      <c r="S175" s="26">
        <v>59</v>
      </c>
      <c r="T175" s="20">
        <v>-0.04</v>
      </c>
      <c r="U175" s="26">
        <v>-0.03</v>
      </c>
      <c r="V175" s="20">
        <v>1213.76</v>
      </c>
    </row>
    <row r="176" spans="1:22" ht="16.8" x14ac:dyDescent="0.3">
      <c r="A176" s="20">
        <v>17.5</v>
      </c>
      <c r="B176" s="20">
        <v>59</v>
      </c>
      <c r="C176" s="20">
        <v>58.86</v>
      </c>
      <c r="D176" s="20">
        <v>0.14000000000000001</v>
      </c>
      <c r="E176" s="20">
        <v>0.06</v>
      </c>
      <c r="F176" s="20">
        <v>1559.32</v>
      </c>
      <c r="Q176" s="20">
        <v>17.5</v>
      </c>
      <c r="R176" s="20">
        <v>59.02</v>
      </c>
      <c r="S176" s="20">
        <v>59</v>
      </c>
      <c r="T176" s="26">
        <v>-0.02</v>
      </c>
      <c r="U176" s="26">
        <v>0.02</v>
      </c>
      <c r="V176" s="20">
        <v>1222.6400000000001</v>
      </c>
    </row>
    <row r="177" spans="1:22" ht="16.8" x14ac:dyDescent="0.3">
      <c r="A177" s="20">
        <v>17.600000000000001</v>
      </c>
      <c r="B177" s="20">
        <v>59</v>
      </c>
      <c r="C177" s="20">
        <v>58.89</v>
      </c>
      <c r="D177" s="20">
        <v>0.11</v>
      </c>
      <c r="E177" s="20">
        <v>-0.03</v>
      </c>
      <c r="F177" s="20">
        <v>1518.27</v>
      </c>
      <c r="Q177" s="20">
        <v>17.600000000000001</v>
      </c>
      <c r="R177" s="20">
        <v>59.01</v>
      </c>
      <c r="S177" s="26">
        <v>59</v>
      </c>
      <c r="T177" s="20">
        <v>-0.01</v>
      </c>
      <c r="U177" s="26">
        <v>0.01</v>
      </c>
      <c r="V177" s="20">
        <v>1222.46</v>
      </c>
    </row>
    <row r="178" spans="1:22" ht="16.8" x14ac:dyDescent="0.3">
      <c r="A178" s="20">
        <v>17.7</v>
      </c>
      <c r="B178" s="20">
        <v>59</v>
      </c>
      <c r="C178" s="20">
        <v>58.81</v>
      </c>
      <c r="D178" s="20">
        <v>0.19</v>
      </c>
      <c r="E178" s="20">
        <v>0.08</v>
      </c>
      <c r="F178" s="20">
        <v>1627.13</v>
      </c>
      <c r="Q178" s="20">
        <v>17.7</v>
      </c>
      <c r="R178" s="20">
        <v>59.06</v>
      </c>
      <c r="S178" s="20">
        <v>59</v>
      </c>
      <c r="T178" s="26">
        <v>-0.06</v>
      </c>
      <c r="U178" s="26">
        <v>-0.05</v>
      </c>
      <c r="V178" s="20">
        <v>1209.55</v>
      </c>
    </row>
    <row r="179" spans="1:22" ht="16.8" x14ac:dyDescent="0.3">
      <c r="A179" s="20">
        <v>17.8</v>
      </c>
      <c r="B179" s="20">
        <v>59</v>
      </c>
      <c r="C179" s="20">
        <v>58.86</v>
      </c>
      <c r="D179" s="20">
        <v>0.14000000000000001</v>
      </c>
      <c r="E179" s="20">
        <v>-0.05</v>
      </c>
      <c r="F179" s="20">
        <v>1570.43</v>
      </c>
      <c r="Q179" s="20">
        <v>17.8</v>
      </c>
      <c r="R179" s="20">
        <v>59.02</v>
      </c>
      <c r="S179" s="26">
        <v>59</v>
      </c>
      <c r="T179" s="20">
        <v>-0.02</v>
      </c>
      <c r="U179" s="26">
        <v>0.04</v>
      </c>
      <c r="V179" s="20">
        <v>1223.9000000000001</v>
      </c>
    </row>
    <row r="180" spans="1:22" ht="16.8" x14ac:dyDescent="0.3">
      <c r="A180" s="20">
        <v>17.899999999999999</v>
      </c>
      <c r="B180" s="20">
        <v>59</v>
      </c>
      <c r="C180" s="20">
        <v>58.86</v>
      </c>
      <c r="D180" s="20">
        <v>0.14000000000000001</v>
      </c>
      <c r="E180" s="20">
        <v>0</v>
      </c>
      <c r="F180" s="20">
        <v>1564.91</v>
      </c>
      <c r="Q180" s="20">
        <v>17.899999999999999</v>
      </c>
      <c r="R180" s="20">
        <v>59.02</v>
      </c>
      <c r="S180" s="20">
        <v>59</v>
      </c>
      <c r="T180" s="20">
        <v>-0.02</v>
      </c>
      <c r="U180" s="26">
        <v>0</v>
      </c>
      <c r="V180" s="20">
        <v>1220.23</v>
      </c>
    </row>
    <row r="181" spans="1:22" ht="16.8" x14ac:dyDescent="0.3">
      <c r="A181" s="20">
        <v>18</v>
      </c>
      <c r="B181" s="20">
        <v>59</v>
      </c>
      <c r="C181" s="20">
        <v>58.83</v>
      </c>
      <c r="D181" s="20">
        <v>0.17</v>
      </c>
      <c r="E181" s="20">
        <v>0.03</v>
      </c>
      <c r="F181" s="20">
        <v>1602.25</v>
      </c>
      <c r="Q181" s="20">
        <v>18</v>
      </c>
      <c r="R181" s="20">
        <v>59.05</v>
      </c>
      <c r="S181" s="26">
        <v>59</v>
      </c>
      <c r="T181" s="26">
        <v>-0.05</v>
      </c>
      <c r="U181" s="26">
        <v>-0.03</v>
      </c>
      <c r="V181" s="20">
        <v>1212.08</v>
      </c>
    </row>
    <row r="182" spans="1:22" ht="16.8" x14ac:dyDescent="0.3">
      <c r="A182" s="20">
        <v>18.100000000000001</v>
      </c>
      <c r="B182" s="20">
        <v>59</v>
      </c>
      <c r="C182" s="20">
        <v>58.86</v>
      </c>
      <c r="D182" s="20">
        <v>0.14000000000000001</v>
      </c>
      <c r="E182" s="20">
        <v>-0.03</v>
      </c>
      <c r="F182" s="20">
        <v>1559.32</v>
      </c>
      <c r="Q182" s="20">
        <v>18.100000000000001</v>
      </c>
      <c r="R182" s="20">
        <v>59.02</v>
      </c>
      <c r="S182" s="20">
        <v>59</v>
      </c>
      <c r="T182" s="20">
        <v>-0.02</v>
      </c>
      <c r="U182" s="20">
        <v>0.03</v>
      </c>
      <c r="V182" s="20">
        <v>1222.97</v>
      </c>
    </row>
    <row r="183" spans="1:22" ht="16.8" x14ac:dyDescent="0.3">
      <c r="A183" s="20">
        <v>18.2</v>
      </c>
      <c r="B183" s="20">
        <v>59</v>
      </c>
      <c r="C183" s="20">
        <v>58.91</v>
      </c>
      <c r="D183" s="20">
        <v>0.09</v>
      </c>
      <c r="E183" s="20">
        <v>-0.04</v>
      </c>
      <c r="F183" s="20">
        <v>1493.23</v>
      </c>
      <c r="Q183" s="20">
        <v>18.2</v>
      </c>
      <c r="R183" s="20">
        <v>59.02</v>
      </c>
      <c r="S183" s="20">
        <v>59</v>
      </c>
      <c r="T183" s="26">
        <v>-0.02</v>
      </c>
      <c r="U183" s="26">
        <v>0</v>
      </c>
      <c r="V183" s="20">
        <v>1220.03</v>
      </c>
    </row>
    <row r="184" spans="1:22" ht="16.8" x14ac:dyDescent="0.3">
      <c r="A184" s="20">
        <v>18.3</v>
      </c>
      <c r="B184" s="20">
        <v>59</v>
      </c>
      <c r="C184" s="20">
        <v>58.93</v>
      </c>
      <c r="D184" s="20">
        <v>7.0000000000000007E-2</v>
      </c>
      <c r="E184" s="20">
        <v>-0.02</v>
      </c>
      <c r="F184" s="20">
        <v>1453.26</v>
      </c>
      <c r="Q184" s="20">
        <v>18.3</v>
      </c>
      <c r="R184" s="20">
        <v>59.04</v>
      </c>
      <c r="S184" s="26">
        <v>59</v>
      </c>
      <c r="T184" s="20">
        <v>-0.04</v>
      </c>
      <c r="U184" s="20">
        <v>-0.02</v>
      </c>
      <c r="V184" s="20">
        <v>1213.9100000000001</v>
      </c>
    </row>
    <row r="185" spans="1:22" ht="16.8" x14ac:dyDescent="0.3">
      <c r="A185" s="20">
        <v>18.399999999999999</v>
      </c>
      <c r="B185" s="20">
        <v>59</v>
      </c>
      <c r="C185" s="20">
        <v>58.96</v>
      </c>
      <c r="D185" s="20">
        <v>0.04</v>
      </c>
      <c r="E185" s="20">
        <v>-0.03</v>
      </c>
      <c r="F185" s="20">
        <v>1402.64</v>
      </c>
      <c r="Q185" s="20">
        <v>18.399999999999999</v>
      </c>
      <c r="R185" s="20">
        <v>59.03</v>
      </c>
      <c r="S185" s="20">
        <v>59</v>
      </c>
      <c r="T185" s="26">
        <v>-0.03</v>
      </c>
      <c r="U185" s="26">
        <v>0.01</v>
      </c>
      <c r="V185" s="20">
        <v>1218.02</v>
      </c>
    </row>
    <row r="186" spans="1:22" ht="16.8" x14ac:dyDescent="0.3">
      <c r="A186" s="20">
        <v>18.5</v>
      </c>
      <c r="B186" s="20">
        <v>59</v>
      </c>
      <c r="C186" s="20">
        <v>58.98</v>
      </c>
      <c r="D186" s="20">
        <v>0.02</v>
      </c>
      <c r="E186" s="20">
        <v>-0.02</v>
      </c>
      <c r="F186" s="20">
        <v>1355.39</v>
      </c>
      <c r="Q186" s="20">
        <v>18.5</v>
      </c>
      <c r="R186" s="20">
        <v>58.99</v>
      </c>
      <c r="S186" s="26">
        <v>59</v>
      </c>
      <c r="T186" s="20">
        <v>0.01</v>
      </c>
      <c r="U186" s="20">
        <v>0.04</v>
      </c>
      <c r="V186" s="20">
        <v>1227.3399999999999</v>
      </c>
    </row>
    <row r="187" spans="1:22" ht="16.8" x14ac:dyDescent="0.3">
      <c r="A187" s="20">
        <v>18.600000000000001</v>
      </c>
      <c r="B187" s="20">
        <v>59</v>
      </c>
      <c r="C187" s="20">
        <v>58.93</v>
      </c>
      <c r="D187" s="20">
        <v>7.0000000000000007E-2</v>
      </c>
      <c r="E187" s="20">
        <v>0.06</v>
      </c>
      <c r="F187" s="20">
        <v>1460.13</v>
      </c>
      <c r="Q187" s="20">
        <v>18.600000000000001</v>
      </c>
      <c r="R187" s="20">
        <v>59.05</v>
      </c>
      <c r="S187" s="20">
        <v>59</v>
      </c>
      <c r="T187" s="26">
        <v>-0.05</v>
      </c>
      <c r="U187" s="26">
        <v>-0.06</v>
      </c>
      <c r="V187" s="20">
        <v>1209.55</v>
      </c>
    </row>
    <row r="188" spans="1:22" ht="16.8" x14ac:dyDescent="0.3">
      <c r="A188" s="20">
        <v>18.7</v>
      </c>
      <c r="B188" s="20">
        <v>59</v>
      </c>
      <c r="C188" s="20">
        <v>59.02</v>
      </c>
      <c r="D188" s="20">
        <v>-0.02</v>
      </c>
      <c r="E188" s="20">
        <v>-0.09</v>
      </c>
      <c r="F188" s="20">
        <v>1310.3800000000001</v>
      </c>
      <c r="Q188" s="20">
        <v>18.7</v>
      </c>
      <c r="R188" s="20">
        <v>59.02</v>
      </c>
      <c r="S188" s="26">
        <v>59</v>
      </c>
      <c r="T188" s="20">
        <v>-0.02</v>
      </c>
      <c r="U188" s="20">
        <v>0.02</v>
      </c>
      <c r="V188" s="20">
        <v>1220.5899999999999</v>
      </c>
    </row>
    <row r="189" spans="1:22" ht="16.8" x14ac:dyDescent="0.3">
      <c r="A189" s="20">
        <v>18.8</v>
      </c>
      <c r="B189" s="20">
        <v>59</v>
      </c>
      <c r="C189" s="20">
        <v>59.01</v>
      </c>
      <c r="D189" s="20">
        <v>-0.01</v>
      </c>
      <c r="E189" s="20">
        <v>0.01</v>
      </c>
      <c r="F189" s="20">
        <v>1316.54</v>
      </c>
      <c r="Q189" s="20">
        <v>18.8</v>
      </c>
      <c r="R189" s="20">
        <v>59.03</v>
      </c>
      <c r="S189" s="20">
        <v>59</v>
      </c>
      <c r="T189" s="26">
        <v>-0.03</v>
      </c>
      <c r="U189" s="26">
        <v>-0.01</v>
      </c>
      <c r="V189" s="20">
        <v>1216.33</v>
      </c>
    </row>
    <row r="190" spans="1:22" ht="16.8" x14ac:dyDescent="0.3">
      <c r="A190" s="20">
        <v>18.899999999999999</v>
      </c>
      <c r="B190" s="20">
        <v>59</v>
      </c>
      <c r="C190" s="20">
        <v>59.02</v>
      </c>
      <c r="D190" s="20">
        <v>-0.02</v>
      </c>
      <c r="E190" s="20">
        <v>-0.01</v>
      </c>
      <c r="F190" s="20">
        <v>1307.3399999999999</v>
      </c>
      <c r="Q190" s="20">
        <v>18.899999999999999</v>
      </c>
      <c r="R190" s="20">
        <v>59.07</v>
      </c>
      <c r="S190" s="26">
        <v>59</v>
      </c>
      <c r="T190" s="20">
        <v>-7.0000000000000007E-2</v>
      </c>
      <c r="U190" s="20">
        <v>-0.04</v>
      </c>
      <c r="V190" s="20">
        <v>1206.8399999999999</v>
      </c>
    </row>
    <row r="191" spans="1:22" ht="16.8" x14ac:dyDescent="0.3">
      <c r="A191" s="20">
        <v>19</v>
      </c>
      <c r="B191" s="20">
        <v>59</v>
      </c>
      <c r="C191" s="20">
        <v>59.04</v>
      </c>
      <c r="D191" s="20">
        <v>-0.04</v>
      </c>
      <c r="E191" s="20">
        <v>-0.02</v>
      </c>
      <c r="F191" s="20">
        <v>1292.46</v>
      </c>
      <c r="Q191" s="20">
        <v>19</v>
      </c>
      <c r="R191" s="20">
        <v>59.07</v>
      </c>
      <c r="S191" s="20">
        <v>59</v>
      </c>
      <c r="T191" s="26">
        <v>-7.0000000000000007E-2</v>
      </c>
      <c r="U191" s="26">
        <v>0.01</v>
      </c>
      <c r="V191" s="20">
        <v>1212.32</v>
      </c>
    </row>
    <row r="192" spans="1:22" ht="16.8" x14ac:dyDescent="0.3">
      <c r="A192" s="20">
        <v>19.100000000000001</v>
      </c>
      <c r="B192" s="20">
        <v>59</v>
      </c>
      <c r="C192" s="20">
        <v>59.07</v>
      </c>
      <c r="D192" s="20">
        <v>-7.0000000000000007E-2</v>
      </c>
      <c r="E192" s="20">
        <v>-0.02</v>
      </c>
      <c r="F192" s="20">
        <v>1275.1500000000001</v>
      </c>
      <c r="Q192" s="20">
        <v>19.100000000000001</v>
      </c>
      <c r="R192" s="20">
        <v>59.04</v>
      </c>
      <c r="S192" s="20">
        <v>59</v>
      </c>
      <c r="T192" s="20">
        <v>-0.04</v>
      </c>
      <c r="U192" s="20">
        <v>0.02</v>
      </c>
      <c r="V192" s="20">
        <v>1217.51</v>
      </c>
    </row>
    <row r="193" spans="1:22" ht="16.8" x14ac:dyDescent="0.3">
      <c r="A193" s="20">
        <v>19.2</v>
      </c>
      <c r="B193" s="20">
        <v>59</v>
      </c>
      <c r="C193" s="20">
        <v>59.09</v>
      </c>
      <c r="D193" s="20">
        <v>-0.09</v>
      </c>
      <c r="E193" s="20">
        <v>-0.02</v>
      </c>
      <c r="F193" s="20">
        <v>1258.49</v>
      </c>
      <c r="Q193" s="20">
        <v>19.2</v>
      </c>
      <c r="R193" s="20">
        <v>59.05</v>
      </c>
      <c r="S193" s="26">
        <v>59</v>
      </c>
      <c r="T193" s="20">
        <v>-0.05</v>
      </c>
      <c r="U193" s="26">
        <v>-0.01</v>
      </c>
      <c r="V193" s="20">
        <v>1213.21</v>
      </c>
    </row>
    <row r="194" spans="1:22" ht="16.8" x14ac:dyDescent="0.3">
      <c r="A194" s="20">
        <v>19.3</v>
      </c>
      <c r="B194" s="20">
        <v>59</v>
      </c>
      <c r="C194" s="20">
        <v>59.14</v>
      </c>
      <c r="D194" s="20">
        <v>-0.14000000000000001</v>
      </c>
      <c r="E194" s="20">
        <v>-0.05</v>
      </c>
      <c r="F194" s="20">
        <v>1226.82</v>
      </c>
      <c r="Q194" s="20">
        <v>19.3</v>
      </c>
      <c r="R194" s="20">
        <v>59.1</v>
      </c>
      <c r="S194" s="20">
        <v>59</v>
      </c>
      <c r="T194" s="26">
        <v>-0.1</v>
      </c>
      <c r="U194" s="20">
        <v>-0.05</v>
      </c>
      <c r="V194" s="20">
        <v>1201.6600000000001</v>
      </c>
    </row>
    <row r="195" spans="1:22" ht="16.8" x14ac:dyDescent="0.3">
      <c r="A195" s="20">
        <v>19.399999999999999</v>
      </c>
      <c r="B195" s="20">
        <v>59</v>
      </c>
      <c r="C195" s="20">
        <v>59.14</v>
      </c>
      <c r="D195" s="20">
        <v>-0.14000000000000001</v>
      </c>
      <c r="E195" s="20">
        <v>0</v>
      </c>
      <c r="F195" s="20">
        <v>1226.82</v>
      </c>
      <c r="Q195" s="20">
        <v>19.399999999999999</v>
      </c>
      <c r="R195" s="20">
        <v>59.06</v>
      </c>
      <c r="S195" s="26">
        <v>59</v>
      </c>
      <c r="T195" s="20">
        <v>-0.06</v>
      </c>
      <c r="U195" s="26">
        <v>0.04</v>
      </c>
      <c r="V195" s="20">
        <v>1215.9100000000001</v>
      </c>
    </row>
    <row r="196" spans="1:22" ht="16.8" x14ac:dyDescent="0.3">
      <c r="A196" s="20">
        <v>19.5</v>
      </c>
      <c r="B196" s="20">
        <v>59</v>
      </c>
      <c r="C196" s="20">
        <v>59.11</v>
      </c>
      <c r="D196" s="20">
        <v>-0.11</v>
      </c>
      <c r="E196" s="20">
        <v>0.03</v>
      </c>
      <c r="F196" s="20">
        <v>1247.67</v>
      </c>
      <c r="Q196" s="20">
        <v>19.5</v>
      </c>
      <c r="R196" s="20">
        <v>59.08</v>
      </c>
      <c r="S196" s="20">
        <v>59</v>
      </c>
      <c r="T196" s="26">
        <v>-0.08</v>
      </c>
      <c r="U196" s="20">
        <v>-0.02</v>
      </c>
      <c r="V196" s="20">
        <v>1206.07</v>
      </c>
    </row>
    <row r="197" spans="1:22" ht="16.8" x14ac:dyDescent="0.3">
      <c r="A197" s="20">
        <v>19.600000000000001</v>
      </c>
      <c r="B197" s="20">
        <v>59</v>
      </c>
      <c r="C197" s="20">
        <v>59.11</v>
      </c>
      <c r="D197" s="20">
        <v>-0.11</v>
      </c>
      <c r="E197" s="20">
        <v>0</v>
      </c>
      <c r="F197" s="20">
        <v>1245</v>
      </c>
      <c r="Q197" s="20">
        <v>19.600000000000001</v>
      </c>
      <c r="R197" s="20">
        <v>59.14</v>
      </c>
      <c r="S197" s="26">
        <v>59</v>
      </c>
      <c r="T197" s="20">
        <v>-0.14000000000000001</v>
      </c>
      <c r="U197" s="26">
        <v>-0.06</v>
      </c>
      <c r="V197" s="20">
        <v>1193.8599999999999</v>
      </c>
    </row>
    <row r="198" spans="1:22" ht="16.8" x14ac:dyDescent="0.3">
      <c r="A198" s="20">
        <v>19.7</v>
      </c>
      <c r="B198" s="20">
        <v>59</v>
      </c>
      <c r="C198" s="20">
        <v>59.08</v>
      </c>
      <c r="D198" s="20">
        <v>-0.08</v>
      </c>
      <c r="E198" s="20">
        <v>0.03</v>
      </c>
      <c r="F198" s="20">
        <v>1266.73</v>
      </c>
      <c r="Q198" s="20">
        <v>19.7</v>
      </c>
      <c r="R198" s="20">
        <v>59.12</v>
      </c>
      <c r="S198" s="20">
        <v>59</v>
      </c>
      <c r="T198" s="26">
        <v>-0.12</v>
      </c>
      <c r="U198" s="26">
        <v>0.02</v>
      </c>
      <c r="V198" s="20">
        <v>1202.67</v>
      </c>
    </row>
    <row r="199" spans="1:22" ht="16.8" x14ac:dyDescent="0.3">
      <c r="A199" s="20">
        <v>19.8</v>
      </c>
      <c r="B199" s="20">
        <v>59</v>
      </c>
      <c r="C199" s="20">
        <v>59.08</v>
      </c>
      <c r="D199" s="20">
        <v>-0.08</v>
      </c>
      <c r="E199" s="20">
        <v>0</v>
      </c>
      <c r="F199" s="20">
        <v>1266.73</v>
      </c>
      <c r="Q199" s="20">
        <v>19.8</v>
      </c>
      <c r="R199" s="20">
        <v>59.13</v>
      </c>
      <c r="S199" s="26">
        <v>59</v>
      </c>
      <c r="T199" s="20">
        <v>-0.13</v>
      </c>
      <c r="U199" s="26">
        <v>-0.01</v>
      </c>
      <c r="V199" s="20">
        <v>1198.9000000000001</v>
      </c>
    </row>
    <row r="200" spans="1:22" ht="16.8" x14ac:dyDescent="0.3">
      <c r="A200" s="20">
        <v>19.899999999999999</v>
      </c>
      <c r="B200" s="20">
        <v>59</v>
      </c>
      <c r="C200" s="20">
        <v>59.09</v>
      </c>
      <c r="D200" s="20">
        <v>-0.09</v>
      </c>
      <c r="E200" s="20">
        <v>-0.01</v>
      </c>
      <c r="F200" s="20">
        <v>1261.22</v>
      </c>
      <c r="Q200" s="20">
        <v>19.899999999999999</v>
      </c>
      <c r="R200" s="20">
        <v>59.09</v>
      </c>
      <c r="S200" s="20">
        <v>59</v>
      </c>
      <c r="T200" s="26">
        <v>-0.09</v>
      </c>
      <c r="U200" s="26">
        <v>0.04</v>
      </c>
      <c r="V200" s="20">
        <v>1209.44</v>
      </c>
    </row>
    <row r="201" spans="1:22" ht="16.8" x14ac:dyDescent="0.3">
      <c r="A201" s="20">
        <v>20</v>
      </c>
      <c r="B201" s="20">
        <v>59</v>
      </c>
      <c r="C201" s="20">
        <v>59.09</v>
      </c>
      <c r="D201" s="20">
        <v>-0.09</v>
      </c>
      <c r="E201" s="20">
        <v>0</v>
      </c>
      <c r="F201" s="20">
        <v>1261.22</v>
      </c>
      <c r="Q201" s="20">
        <v>20</v>
      </c>
      <c r="R201" s="20">
        <v>59.11</v>
      </c>
      <c r="S201" s="26">
        <v>59</v>
      </c>
      <c r="T201" s="20">
        <v>-0.11</v>
      </c>
      <c r="U201" s="20">
        <v>-0.02</v>
      </c>
      <c r="V201" s="20">
        <v>1201.55</v>
      </c>
    </row>
    <row r="202" spans="1:22" ht="16.8" x14ac:dyDescent="0.3">
      <c r="A202" s="20">
        <v>20.100000000000001</v>
      </c>
      <c r="B202" s="20">
        <v>59</v>
      </c>
      <c r="C202" s="20">
        <v>59</v>
      </c>
      <c r="D202" s="20">
        <v>0</v>
      </c>
      <c r="E202" s="20">
        <v>0.09</v>
      </c>
      <c r="F202" s="20">
        <v>1330.33</v>
      </c>
      <c r="Q202" s="20">
        <v>20.100000000000001</v>
      </c>
      <c r="R202" s="20">
        <v>59.15</v>
      </c>
      <c r="S202" s="20">
        <v>59</v>
      </c>
      <c r="T202" s="26">
        <v>-0.15</v>
      </c>
      <c r="U202" s="26">
        <v>-0.04</v>
      </c>
      <c r="V202" s="20">
        <v>1192.6099999999999</v>
      </c>
    </row>
    <row r="203" spans="1:22" ht="16.8" x14ac:dyDescent="0.3">
      <c r="A203" s="20">
        <v>20.2</v>
      </c>
      <c r="B203" s="20">
        <v>59</v>
      </c>
      <c r="C203" s="20">
        <v>58.99</v>
      </c>
      <c r="D203" s="20">
        <v>0.01</v>
      </c>
      <c r="E203" s="20">
        <v>0.01</v>
      </c>
      <c r="F203" s="20">
        <v>1347.18</v>
      </c>
      <c r="Q203" s="20">
        <v>20.2</v>
      </c>
      <c r="R203" s="20">
        <v>59.15</v>
      </c>
      <c r="S203" s="20">
        <v>59</v>
      </c>
      <c r="T203" s="20">
        <v>-0.15</v>
      </c>
      <c r="U203" s="20">
        <v>0</v>
      </c>
      <c r="V203" s="20">
        <v>1195.8900000000001</v>
      </c>
    </row>
    <row r="204" spans="1:22" ht="16.8" x14ac:dyDescent="0.3">
      <c r="A204" s="20">
        <v>20.3</v>
      </c>
      <c r="B204" s="20">
        <v>59</v>
      </c>
      <c r="C204" s="20">
        <v>58.98</v>
      </c>
      <c r="D204" s="20">
        <v>0.02</v>
      </c>
      <c r="E204" s="20">
        <v>0</v>
      </c>
      <c r="F204" s="20">
        <v>1355.39</v>
      </c>
      <c r="Q204" s="20">
        <v>20.3</v>
      </c>
      <c r="R204" s="20">
        <v>59.11</v>
      </c>
      <c r="S204" s="26">
        <v>59</v>
      </c>
      <c r="T204" s="20">
        <v>-0.11</v>
      </c>
      <c r="U204" s="26">
        <v>0.04</v>
      </c>
      <c r="V204" s="20">
        <v>1205.67</v>
      </c>
    </row>
    <row r="205" spans="1:22" ht="16.8" x14ac:dyDescent="0.3">
      <c r="A205" s="20">
        <v>20.399999999999999</v>
      </c>
      <c r="B205" s="20">
        <v>59</v>
      </c>
      <c r="C205" s="20">
        <v>58.96</v>
      </c>
      <c r="D205" s="20">
        <v>0.04</v>
      </c>
      <c r="E205" s="20">
        <v>0.02</v>
      </c>
      <c r="F205" s="20">
        <v>1395.02</v>
      </c>
      <c r="Q205" s="20">
        <v>20.399999999999999</v>
      </c>
      <c r="R205" s="20">
        <v>59.11</v>
      </c>
      <c r="S205" s="20">
        <v>59</v>
      </c>
      <c r="T205" s="26">
        <v>-0.11</v>
      </c>
      <c r="U205" s="26">
        <v>0</v>
      </c>
      <c r="V205" s="20">
        <v>1201.79</v>
      </c>
    </row>
    <row r="206" spans="1:22" ht="16.8" x14ac:dyDescent="0.3">
      <c r="A206" s="20">
        <v>20.5</v>
      </c>
      <c r="B206" s="20">
        <v>59</v>
      </c>
      <c r="C206" s="20">
        <v>59</v>
      </c>
      <c r="D206" s="20">
        <v>0</v>
      </c>
      <c r="E206" s="20">
        <v>-0.03</v>
      </c>
      <c r="F206" s="20">
        <v>1330.33</v>
      </c>
      <c r="Q206" s="20">
        <v>20.5</v>
      </c>
      <c r="R206" s="20">
        <v>59.12</v>
      </c>
      <c r="S206" s="26">
        <v>59</v>
      </c>
      <c r="T206" s="20">
        <v>-0.12</v>
      </c>
      <c r="U206" s="26">
        <v>-0.02</v>
      </c>
      <c r="V206" s="20">
        <v>1197.49</v>
      </c>
    </row>
    <row r="207" spans="1:22" ht="16.8" x14ac:dyDescent="0.3">
      <c r="A207" s="20">
        <v>20.6</v>
      </c>
      <c r="B207" s="20">
        <v>59</v>
      </c>
      <c r="C207" s="20">
        <v>58.92</v>
      </c>
      <c r="D207" s="20">
        <v>0.08</v>
      </c>
      <c r="E207" s="20">
        <v>0.08</v>
      </c>
      <c r="F207" s="20">
        <v>1480.21</v>
      </c>
      <c r="Q207" s="20">
        <v>20.6</v>
      </c>
      <c r="R207" s="20">
        <v>59.15</v>
      </c>
      <c r="S207" s="20">
        <v>59</v>
      </c>
      <c r="T207" s="26">
        <v>-0.15</v>
      </c>
      <c r="U207" s="26">
        <v>-0.03</v>
      </c>
      <c r="V207" s="20">
        <v>1190.54</v>
      </c>
    </row>
    <row r="208" spans="1:22" ht="16.8" x14ac:dyDescent="0.3">
      <c r="A208" s="20">
        <v>20.7</v>
      </c>
      <c r="B208" s="20">
        <v>59</v>
      </c>
      <c r="C208" s="20">
        <v>58.91</v>
      </c>
      <c r="D208" s="20">
        <v>0.09</v>
      </c>
      <c r="E208" s="20">
        <v>0.01</v>
      </c>
      <c r="F208" s="20">
        <v>1493.23</v>
      </c>
      <c r="Q208" s="20">
        <v>20.7</v>
      </c>
      <c r="R208" s="20">
        <v>59.15</v>
      </c>
      <c r="S208" s="26">
        <v>59</v>
      </c>
      <c r="T208" s="20">
        <v>-0.15</v>
      </c>
      <c r="U208" s="26">
        <v>0</v>
      </c>
      <c r="V208" s="20">
        <v>1193.07</v>
      </c>
    </row>
    <row r="209" spans="1:22" ht="16.8" x14ac:dyDescent="0.3">
      <c r="A209" s="20">
        <v>20.8</v>
      </c>
      <c r="B209" s="20">
        <v>59</v>
      </c>
      <c r="C209" s="20">
        <v>58.88</v>
      </c>
      <c r="D209" s="20">
        <v>0.12</v>
      </c>
      <c r="E209" s="20">
        <v>0.02</v>
      </c>
      <c r="F209" s="20">
        <v>1530.34</v>
      </c>
      <c r="Q209" s="20">
        <v>20.8</v>
      </c>
      <c r="R209" s="20">
        <v>59.11</v>
      </c>
      <c r="S209" s="20">
        <v>59</v>
      </c>
      <c r="T209" s="26">
        <v>-0.11</v>
      </c>
      <c r="U209" s="26">
        <v>0.05</v>
      </c>
      <c r="V209" s="20">
        <v>1204.8599999999999</v>
      </c>
    </row>
    <row r="210" spans="1:22" ht="16.8" x14ac:dyDescent="0.3">
      <c r="A210" s="20">
        <v>20.9</v>
      </c>
      <c r="B210" s="20">
        <v>59</v>
      </c>
      <c r="C210" s="20">
        <v>58.89</v>
      </c>
      <c r="D210" s="20">
        <v>0.11</v>
      </c>
      <c r="E210" s="20">
        <v>-0.01</v>
      </c>
      <c r="F210" s="20">
        <v>1518.27</v>
      </c>
      <c r="Q210" s="20">
        <v>20.9</v>
      </c>
      <c r="R210" s="20">
        <v>59.18</v>
      </c>
      <c r="S210" s="26">
        <v>59</v>
      </c>
      <c r="T210" s="20">
        <v>0</v>
      </c>
      <c r="U210" s="26">
        <v>-0.18</v>
      </c>
      <c r="V210" s="20">
        <v>-7.0000000000000007E-2</v>
      </c>
    </row>
    <row r="211" spans="1:22" ht="16.8" x14ac:dyDescent="0.3">
      <c r="A211" s="20">
        <v>21</v>
      </c>
      <c r="B211" s="20">
        <v>59</v>
      </c>
      <c r="C211" s="20">
        <v>58.87</v>
      </c>
      <c r="D211" s="20">
        <v>0.13</v>
      </c>
      <c r="E211" s="20">
        <v>0.02</v>
      </c>
      <c r="F211" s="20">
        <v>1547.95</v>
      </c>
      <c r="Q211" s="20">
        <v>21</v>
      </c>
      <c r="R211" s="20">
        <v>59.15</v>
      </c>
      <c r="S211" s="20">
        <v>59</v>
      </c>
      <c r="T211" s="26">
        <v>-0.15</v>
      </c>
      <c r="U211" s="26">
        <v>0.02</v>
      </c>
      <c r="V211" s="20">
        <v>1194.2</v>
      </c>
    </row>
    <row r="212" spans="1:22" ht="16.8" x14ac:dyDescent="0.3">
      <c r="A212" s="20">
        <v>21.1</v>
      </c>
      <c r="B212" s="20">
        <v>59</v>
      </c>
      <c r="C212" s="20">
        <v>58.85</v>
      </c>
      <c r="D212" s="20">
        <v>0.15</v>
      </c>
      <c r="E212" s="20">
        <v>0.02</v>
      </c>
      <c r="F212" s="20">
        <v>1581.3</v>
      </c>
      <c r="Q212" s="20">
        <v>21.1</v>
      </c>
      <c r="R212" s="20">
        <v>59.16</v>
      </c>
      <c r="S212" s="26">
        <v>59</v>
      </c>
      <c r="T212" s="20">
        <v>-0.16</v>
      </c>
      <c r="U212" s="26">
        <v>-0.01</v>
      </c>
      <c r="V212" s="20">
        <v>1189.6300000000001</v>
      </c>
    </row>
    <row r="213" spans="1:22" ht="16.8" x14ac:dyDescent="0.3">
      <c r="A213" s="20">
        <v>21.2</v>
      </c>
      <c r="B213" s="20">
        <v>59</v>
      </c>
      <c r="C213" s="20">
        <v>58.89</v>
      </c>
      <c r="D213" s="20">
        <v>0.11</v>
      </c>
      <c r="E213" s="20">
        <v>-0.04</v>
      </c>
      <c r="F213" s="20">
        <v>1524.37</v>
      </c>
      <c r="Q213" s="20">
        <v>21.2</v>
      </c>
      <c r="R213" s="20">
        <v>59.19</v>
      </c>
      <c r="S213" s="20">
        <v>59</v>
      </c>
      <c r="T213" s="20">
        <v>-0.19</v>
      </c>
      <c r="U213" s="26">
        <v>-0.03</v>
      </c>
      <c r="V213" s="20">
        <v>1181.8599999999999</v>
      </c>
    </row>
    <row r="214" spans="1:22" ht="16.8" x14ac:dyDescent="0.3">
      <c r="A214" s="20">
        <v>21.3</v>
      </c>
      <c r="B214" s="20">
        <v>59</v>
      </c>
      <c r="C214" s="20">
        <v>58.86</v>
      </c>
      <c r="D214" s="20">
        <v>0.14000000000000001</v>
      </c>
      <c r="E214" s="20">
        <v>0.03</v>
      </c>
      <c r="F214" s="20">
        <v>1564.91</v>
      </c>
      <c r="Q214" s="20">
        <v>21.3</v>
      </c>
      <c r="R214" s="20">
        <v>59.19</v>
      </c>
      <c r="S214" s="26">
        <v>59</v>
      </c>
      <c r="T214" s="26">
        <v>-0.19</v>
      </c>
      <c r="U214" s="20">
        <v>0.01</v>
      </c>
      <c r="V214" s="20">
        <v>1186.32</v>
      </c>
    </row>
    <row r="215" spans="1:22" ht="16.8" x14ac:dyDescent="0.3">
      <c r="A215" s="20">
        <v>21.4</v>
      </c>
      <c r="B215" s="20">
        <v>59</v>
      </c>
      <c r="C215" s="20">
        <v>58.89</v>
      </c>
      <c r="D215" s="20">
        <v>0.11</v>
      </c>
      <c r="E215" s="20">
        <v>-0.03</v>
      </c>
      <c r="F215" s="20">
        <v>1524.37</v>
      </c>
      <c r="Q215" s="20">
        <v>21.4</v>
      </c>
      <c r="R215" s="20">
        <v>59.16</v>
      </c>
      <c r="S215" s="20">
        <v>59</v>
      </c>
      <c r="T215" s="20">
        <v>-0.16</v>
      </c>
      <c r="U215" s="26">
        <v>0.02</v>
      </c>
      <c r="V215" s="20">
        <v>1191.23</v>
      </c>
    </row>
    <row r="216" spans="1:22" ht="16.8" x14ac:dyDescent="0.3">
      <c r="A216" s="20">
        <v>21.5</v>
      </c>
      <c r="B216" s="20">
        <v>59</v>
      </c>
      <c r="C216" s="20">
        <v>58.91</v>
      </c>
      <c r="D216" s="20">
        <v>0.09</v>
      </c>
      <c r="E216" s="20">
        <v>-0.02</v>
      </c>
      <c r="F216" s="20">
        <v>1486.79</v>
      </c>
      <c r="Q216" s="20">
        <v>21.5</v>
      </c>
      <c r="R216" s="20">
        <v>59.18</v>
      </c>
      <c r="S216" s="26">
        <v>59</v>
      </c>
      <c r="T216" s="26">
        <v>-0.18</v>
      </c>
      <c r="U216" s="20">
        <v>-0.02</v>
      </c>
      <c r="V216" s="20">
        <v>1184.6099999999999</v>
      </c>
    </row>
    <row r="217" spans="1:22" ht="16.8" x14ac:dyDescent="0.3">
      <c r="A217" s="20">
        <v>21.6</v>
      </c>
      <c r="B217" s="20">
        <v>59</v>
      </c>
      <c r="C217" s="20">
        <v>58.86</v>
      </c>
      <c r="D217" s="20">
        <v>0.14000000000000001</v>
      </c>
      <c r="E217" s="20">
        <v>0.05</v>
      </c>
      <c r="F217" s="20">
        <v>1564.91</v>
      </c>
      <c r="Q217" s="20">
        <v>21.6</v>
      </c>
      <c r="R217" s="20">
        <v>59.15</v>
      </c>
      <c r="S217" s="20">
        <v>59</v>
      </c>
      <c r="T217" s="20">
        <v>-0.15</v>
      </c>
      <c r="U217" s="26">
        <v>0.02</v>
      </c>
      <c r="V217" s="20">
        <v>1191.71</v>
      </c>
    </row>
    <row r="218" spans="1:22" ht="16.8" x14ac:dyDescent="0.3">
      <c r="A218" s="20">
        <v>21.7</v>
      </c>
      <c r="B218" s="20">
        <v>59</v>
      </c>
      <c r="C218" s="20">
        <v>58.88</v>
      </c>
      <c r="D218" s="20">
        <v>0.12</v>
      </c>
      <c r="E218" s="20">
        <v>-0.02</v>
      </c>
      <c r="F218" s="20">
        <v>1542.13</v>
      </c>
      <c r="Q218" s="20">
        <v>21.7</v>
      </c>
      <c r="R218" s="20">
        <v>59.21</v>
      </c>
      <c r="S218" s="20">
        <v>59</v>
      </c>
      <c r="T218" s="26">
        <v>-0.21</v>
      </c>
      <c r="U218" s="26">
        <v>-0.06</v>
      </c>
      <c r="V218" s="20">
        <v>1174.98</v>
      </c>
    </row>
    <row r="219" spans="1:22" ht="16.8" x14ac:dyDescent="0.3">
      <c r="A219" s="20">
        <v>21.8</v>
      </c>
      <c r="B219" s="20">
        <v>59</v>
      </c>
      <c r="C219" s="20">
        <v>58.91</v>
      </c>
      <c r="D219" s="20">
        <v>0.09</v>
      </c>
      <c r="E219" s="20">
        <v>-0.03</v>
      </c>
      <c r="F219" s="20">
        <v>1493.23</v>
      </c>
      <c r="Q219" s="20">
        <v>21.8</v>
      </c>
      <c r="R219" s="20">
        <v>59.18</v>
      </c>
      <c r="S219" s="26">
        <v>59</v>
      </c>
      <c r="T219" s="20">
        <v>-0.18</v>
      </c>
      <c r="U219" s="26">
        <v>0.03</v>
      </c>
      <c r="V219" s="20">
        <v>1187.6600000000001</v>
      </c>
    </row>
    <row r="220" spans="1:22" ht="16.8" x14ac:dyDescent="0.3">
      <c r="A220" s="20">
        <v>21.9</v>
      </c>
      <c r="B220" s="20">
        <v>59</v>
      </c>
      <c r="C220" s="20">
        <v>58.92</v>
      </c>
      <c r="D220" s="20">
        <v>0.08</v>
      </c>
      <c r="E220" s="20">
        <v>-0.02</v>
      </c>
      <c r="F220" s="20">
        <v>1466.92</v>
      </c>
      <c r="Q220" s="20">
        <v>21.9</v>
      </c>
      <c r="R220" s="20">
        <v>59.15</v>
      </c>
      <c r="S220" s="20">
        <v>59</v>
      </c>
      <c r="T220" s="26">
        <v>-0.15</v>
      </c>
      <c r="U220" s="20">
        <v>0.03</v>
      </c>
      <c r="V220" s="20">
        <v>1192.44</v>
      </c>
    </row>
    <row r="221" spans="1:22" ht="16.8" x14ac:dyDescent="0.3">
      <c r="A221" s="20">
        <v>22</v>
      </c>
      <c r="B221" s="20">
        <v>59</v>
      </c>
      <c r="C221" s="20">
        <v>58.97</v>
      </c>
      <c r="D221" s="20">
        <v>0.03</v>
      </c>
      <c r="E221" s="20">
        <v>-0.05</v>
      </c>
      <c r="F221" s="20">
        <v>1379.5</v>
      </c>
      <c r="Q221" s="20">
        <v>22</v>
      </c>
      <c r="R221" s="20">
        <v>59.15</v>
      </c>
      <c r="S221" s="26">
        <v>59</v>
      </c>
      <c r="T221" s="20">
        <v>-0.15</v>
      </c>
      <c r="U221" s="26">
        <v>0</v>
      </c>
      <c r="V221" s="20">
        <v>1189.19</v>
      </c>
    </row>
    <row r="222" spans="1:22" ht="16.8" x14ac:dyDescent="0.3">
      <c r="A222" s="20">
        <v>22.1</v>
      </c>
      <c r="B222" s="20">
        <v>59</v>
      </c>
      <c r="C222" s="20">
        <v>58.94</v>
      </c>
      <c r="D222" s="20">
        <v>0.06</v>
      </c>
      <c r="E222" s="20">
        <v>0.03</v>
      </c>
      <c r="F222" s="20">
        <v>1432.12</v>
      </c>
      <c r="Q222" s="20">
        <v>22.1</v>
      </c>
      <c r="R222" s="20">
        <v>59.12</v>
      </c>
      <c r="S222" s="20">
        <v>59</v>
      </c>
      <c r="T222" s="26">
        <v>-0.12</v>
      </c>
      <c r="U222" s="20">
        <v>0.02</v>
      </c>
      <c r="V222" s="20">
        <v>1194.92</v>
      </c>
    </row>
    <row r="223" spans="1:22" ht="16.8" x14ac:dyDescent="0.3">
      <c r="A223" s="20">
        <v>22.2</v>
      </c>
      <c r="B223" s="20">
        <v>59</v>
      </c>
      <c r="C223" s="20">
        <v>58.99</v>
      </c>
      <c r="D223" s="20">
        <v>0.01</v>
      </c>
      <c r="E223" s="20">
        <v>-0.05</v>
      </c>
      <c r="F223" s="20">
        <v>1338.79</v>
      </c>
      <c r="Q223" s="20">
        <v>22.2</v>
      </c>
      <c r="R223" s="20">
        <v>59.15</v>
      </c>
      <c r="S223" s="26">
        <v>59</v>
      </c>
      <c r="T223" s="20">
        <v>-0.15</v>
      </c>
      <c r="U223" s="26">
        <v>-0.03</v>
      </c>
      <c r="V223" s="20">
        <v>1184.3499999999999</v>
      </c>
    </row>
    <row r="224" spans="1:22" ht="16.8" x14ac:dyDescent="0.3">
      <c r="A224" s="20">
        <v>22.3</v>
      </c>
      <c r="B224" s="20">
        <v>59</v>
      </c>
      <c r="C224" s="20">
        <v>59</v>
      </c>
      <c r="D224" s="20">
        <v>0</v>
      </c>
      <c r="E224" s="20">
        <v>0</v>
      </c>
      <c r="F224" s="20">
        <v>1330.33</v>
      </c>
      <c r="Q224" s="20">
        <v>22.3</v>
      </c>
      <c r="R224" s="20">
        <v>59.19</v>
      </c>
      <c r="S224" s="20">
        <v>59</v>
      </c>
      <c r="T224" s="20">
        <v>-0.19</v>
      </c>
      <c r="U224" s="26">
        <v>-0.03</v>
      </c>
      <c r="V224" s="20">
        <v>1178.77</v>
      </c>
    </row>
    <row r="225" spans="1:22" ht="16.8" x14ac:dyDescent="0.3">
      <c r="A225" s="20">
        <v>22.4</v>
      </c>
      <c r="B225" s="20">
        <v>59</v>
      </c>
      <c r="C225" s="20">
        <v>59.06</v>
      </c>
      <c r="D225" s="20">
        <v>-0.06</v>
      </c>
      <c r="E225" s="20">
        <v>-0.06</v>
      </c>
      <c r="F225" s="20">
        <v>1280.8599999999999</v>
      </c>
      <c r="Q225" s="20">
        <v>22.4</v>
      </c>
      <c r="R225" s="20">
        <v>59.17</v>
      </c>
      <c r="S225" s="26">
        <v>59</v>
      </c>
      <c r="T225" s="26">
        <v>-0.17</v>
      </c>
      <c r="U225" s="20">
        <v>0.02</v>
      </c>
      <c r="V225" s="20">
        <v>1185.28</v>
      </c>
    </row>
    <row r="226" spans="1:22" ht="16.8" x14ac:dyDescent="0.3">
      <c r="A226" s="20">
        <v>22.5</v>
      </c>
      <c r="B226" s="20">
        <v>59</v>
      </c>
      <c r="C226" s="20">
        <v>59.12</v>
      </c>
      <c r="D226" s="20">
        <v>-0.12</v>
      </c>
      <c r="E226" s="20">
        <v>-0.06</v>
      </c>
      <c r="F226" s="20">
        <v>1239.71</v>
      </c>
      <c r="Q226" s="20">
        <v>22.5</v>
      </c>
      <c r="R226" s="20">
        <v>59.04</v>
      </c>
      <c r="S226" s="20">
        <v>59</v>
      </c>
      <c r="T226" s="20">
        <v>-0.04</v>
      </c>
      <c r="U226" s="26">
        <v>0.13</v>
      </c>
      <c r="V226" s="20">
        <v>1215.8499999999999</v>
      </c>
    </row>
    <row r="227" spans="1:22" ht="16.8" x14ac:dyDescent="0.3">
      <c r="A227" s="20">
        <v>22.6</v>
      </c>
      <c r="B227" s="20">
        <v>59</v>
      </c>
      <c r="C227" s="20">
        <v>59.05</v>
      </c>
      <c r="D227" s="20">
        <v>-0.05</v>
      </c>
      <c r="E227" s="20">
        <v>0.06</v>
      </c>
      <c r="F227" s="20">
        <v>1283.74</v>
      </c>
      <c r="Q227" s="20">
        <v>22.6</v>
      </c>
      <c r="R227" s="20">
        <v>59.17</v>
      </c>
      <c r="S227" s="26">
        <v>59</v>
      </c>
      <c r="T227" s="26">
        <v>-0.17</v>
      </c>
      <c r="U227" s="20">
        <v>-0.13</v>
      </c>
      <c r="V227" s="20">
        <v>1171.72</v>
      </c>
    </row>
    <row r="228" spans="1:22" ht="16.8" x14ac:dyDescent="0.3">
      <c r="A228" s="20">
        <v>22.7</v>
      </c>
      <c r="B228" s="20">
        <v>59</v>
      </c>
      <c r="C228" s="20">
        <v>59.05</v>
      </c>
      <c r="D228" s="20">
        <v>-0.05</v>
      </c>
      <c r="E228" s="20">
        <v>0.01</v>
      </c>
      <c r="F228" s="20">
        <v>1289.54</v>
      </c>
      <c r="Q228" s="20">
        <v>22.7</v>
      </c>
      <c r="R228" s="20">
        <v>59.19</v>
      </c>
      <c r="S228" s="20">
        <v>59</v>
      </c>
      <c r="T228" s="20">
        <v>-0.19</v>
      </c>
      <c r="U228" s="26">
        <v>-0.02</v>
      </c>
      <c r="V228" s="20">
        <v>1178.8599999999999</v>
      </c>
    </row>
    <row r="229" spans="1:22" ht="16.8" x14ac:dyDescent="0.3">
      <c r="A229" s="20">
        <v>22.8</v>
      </c>
      <c r="B229" s="20">
        <v>59</v>
      </c>
      <c r="C229" s="20">
        <v>59.1</v>
      </c>
      <c r="D229" s="20">
        <v>-0.1</v>
      </c>
      <c r="E229" s="20">
        <v>-0.06</v>
      </c>
      <c r="F229" s="20">
        <v>1250.3599999999999</v>
      </c>
      <c r="Q229" s="20">
        <v>22.8</v>
      </c>
      <c r="R229" s="20">
        <v>59.14</v>
      </c>
      <c r="S229" s="20">
        <v>59</v>
      </c>
      <c r="T229" s="26">
        <v>-0.14000000000000001</v>
      </c>
      <c r="U229" s="20">
        <v>0.05</v>
      </c>
      <c r="V229" s="20">
        <v>1192.03</v>
      </c>
    </row>
    <row r="230" spans="1:22" ht="16.8" x14ac:dyDescent="0.3">
      <c r="A230" s="20">
        <v>22.9</v>
      </c>
      <c r="B230" s="20">
        <v>59</v>
      </c>
      <c r="C230" s="20">
        <v>59.03</v>
      </c>
      <c r="D230" s="20">
        <v>-0.03</v>
      </c>
      <c r="E230" s="20">
        <v>7.0000000000000007E-2</v>
      </c>
      <c r="F230" s="20">
        <v>1301.3399999999999</v>
      </c>
      <c r="Q230" s="20">
        <v>22.9</v>
      </c>
      <c r="R230" s="20">
        <v>59.13</v>
      </c>
      <c r="S230" s="26">
        <v>59</v>
      </c>
      <c r="T230" s="20">
        <v>-0.13</v>
      </c>
      <c r="U230" s="26">
        <v>0.01</v>
      </c>
      <c r="V230" s="20">
        <v>1189.3699999999999</v>
      </c>
    </row>
    <row r="231" spans="1:22" ht="16.8" x14ac:dyDescent="0.3">
      <c r="A231" s="20">
        <v>23</v>
      </c>
      <c r="B231" s="20">
        <v>59</v>
      </c>
      <c r="C231" s="20">
        <v>59.1</v>
      </c>
      <c r="D231" s="20">
        <v>-0.1</v>
      </c>
      <c r="E231" s="20">
        <v>-7.0000000000000007E-2</v>
      </c>
      <c r="F231" s="20">
        <v>1250.3599999999999</v>
      </c>
      <c r="Q231" s="20">
        <v>23</v>
      </c>
      <c r="R231" s="20">
        <v>59.16</v>
      </c>
      <c r="S231" s="20">
        <v>59</v>
      </c>
      <c r="T231" s="26">
        <v>-0.16</v>
      </c>
      <c r="U231" s="26">
        <v>-0.03</v>
      </c>
      <c r="V231" s="20">
        <v>1180.23</v>
      </c>
    </row>
    <row r="232" spans="1:22" ht="16.8" x14ac:dyDescent="0.3">
      <c r="A232" s="20">
        <v>23.1</v>
      </c>
      <c r="B232" s="20">
        <v>59</v>
      </c>
      <c r="C232" s="20">
        <v>58.96</v>
      </c>
      <c r="D232" s="20">
        <v>0.04</v>
      </c>
      <c r="E232" s="20">
        <v>0.14000000000000001</v>
      </c>
      <c r="F232" s="20">
        <v>1434.99</v>
      </c>
      <c r="Q232" s="20">
        <v>23.1</v>
      </c>
      <c r="R232" s="20">
        <v>59.16</v>
      </c>
      <c r="S232" s="26">
        <v>59</v>
      </c>
      <c r="T232" s="20">
        <v>-0.16</v>
      </c>
      <c r="U232" s="20">
        <v>0</v>
      </c>
      <c r="V232" s="20">
        <v>1182.74</v>
      </c>
    </row>
    <row r="233" spans="1:22" ht="16.8" x14ac:dyDescent="0.3">
      <c r="A233" s="20">
        <v>23.2</v>
      </c>
      <c r="B233" s="20">
        <v>59</v>
      </c>
      <c r="C233" s="20">
        <v>59.12</v>
      </c>
      <c r="D233" s="20">
        <v>-0.12</v>
      </c>
      <c r="E233" s="20">
        <v>-0.16</v>
      </c>
      <c r="F233" s="20">
        <v>1237.1199999999999</v>
      </c>
      <c r="Q233" s="20">
        <v>23.2</v>
      </c>
      <c r="R233" s="20">
        <v>59.14</v>
      </c>
      <c r="S233" s="20">
        <v>59</v>
      </c>
      <c r="T233" s="20">
        <v>-0.14000000000000001</v>
      </c>
      <c r="U233" s="26">
        <v>0.02</v>
      </c>
      <c r="V233" s="20">
        <v>1188.43</v>
      </c>
    </row>
    <row r="234" spans="1:22" ht="16.8" x14ac:dyDescent="0.3">
      <c r="A234" s="20">
        <v>23.3</v>
      </c>
      <c r="B234" s="20">
        <v>59</v>
      </c>
      <c r="C234" s="20">
        <v>58.96</v>
      </c>
      <c r="D234" s="20">
        <v>0.04</v>
      </c>
      <c r="E234" s="20">
        <v>0.16</v>
      </c>
      <c r="F234" s="20">
        <v>1452.99</v>
      </c>
      <c r="Q234" s="20">
        <v>23.3</v>
      </c>
      <c r="R234" s="20">
        <v>59.15</v>
      </c>
      <c r="S234" s="26">
        <v>59</v>
      </c>
      <c r="T234" s="26">
        <v>-0.15</v>
      </c>
      <c r="U234" s="20">
        <v>-0.01</v>
      </c>
      <c r="V234" s="20">
        <v>1183.9000000000001</v>
      </c>
    </row>
    <row r="235" spans="1:22" ht="16.8" x14ac:dyDescent="0.3">
      <c r="A235" s="20">
        <v>23.4</v>
      </c>
      <c r="B235" s="20">
        <v>59</v>
      </c>
      <c r="C235" s="20">
        <v>59.04</v>
      </c>
      <c r="D235" s="20">
        <v>-0.04</v>
      </c>
      <c r="E235" s="20">
        <v>-0.08</v>
      </c>
      <c r="F235" s="20">
        <v>1292.46</v>
      </c>
      <c r="Q235" s="20">
        <v>23.4</v>
      </c>
      <c r="R235" s="20">
        <v>59.11</v>
      </c>
      <c r="S235" s="20">
        <v>59</v>
      </c>
      <c r="T235" s="20">
        <v>-0.11</v>
      </c>
      <c r="U235" s="26">
        <v>0.04</v>
      </c>
      <c r="V235" s="20">
        <v>1194.4100000000001</v>
      </c>
    </row>
    <row r="236" spans="1:22" ht="16.8" x14ac:dyDescent="0.3">
      <c r="A236" s="20">
        <v>23.5</v>
      </c>
      <c r="B236" s="20">
        <v>59</v>
      </c>
      <c r="C236" s="20">
        <v>58.94</v>
      </c>
      <c r="D236" s="20">
        <v>0.06</v>
      </c>
      <c r="E236" s="20">
        <v>0.1</v>
      </c>
      <c r="F236" s="20">
        <v>1432.12</v>
      </c>
      <c r="Q236" s="20">
        <v>23.5</v>
      </c>
      <c r="R236" s="20">
        <v>59.19</v>
      </c>
      <c r="S236" s="26">
        <v>59</v>
      </c>
      <c r="T236" s="26">
        <v>-0.19</v>
      </c>
      <c r="U236" s="20">
        <v>-0.08</v>
      </c>
      <c r="V236" s="20">
        <v>1170.26</v>
      </c>
    </row>
    <row r="237" spans="1:22" ht="16.8" x14ac:dyDescent="0.3">
      <c r="A237" s="20">
        <v>23.6</v>
      </c>
      <c r="B237" s="20">
        <v>59</v>
      </c>
      <c r="C237" s="20">
        <v>59.08</v>
      </c>
      <c r="D237" s="20">
        <v>-0.08</v>
      </c>
      <c r="E237" s="20">
        <v>-0.14000000000000001</v>
      </c>
      <c r="F237" s="20">
        <v>1263.98</v>
      </c>
      <c r="Q237" s="20">
        <v>23.6</v>
      </c>
      <c r="R237" s="20">
        <v>59.07</v>
      </c>
      <c r="S237" s="20">
        <v>59</v>
      </c>
      <c r="T237" s="20">
        <v>-7.0000000000000007E-2</v>
      </c>
      <c r="U237" s="26">
        <v>0.11</v>
      </c>
      <c r="V237" s="20">
        <v>1205.45</v>
      </c>
    </row>
    <row r="238" spans="1:22" ht="16.8" x14ac:dyDescent="0.3">
      <c r="A238" s="20">
        <v>23.7</v>
      </c>
      <c r="B238" s="20">
        <v>59</v>
      </c>
      <c r="C238" s="20">
        <v>58.85</v>
      </c>
      <c r="D238" s="20">
        <v>0.15</v>
      </c>
      <c r="E238" s="20">
        <v>0.23</v>
      </c>
      <c r="F238" s="20">
        <v>1629.99</v>
      </c>
      <c r="Q238" s="20">
        <v>23.7</v>
      </c>
      <c r="R238" s="20">
        <v>59.19</v>
      </c>
      <c r="S238" s="20">
        <v>59</v>
      </c>
      <c r="T238" s="26">
        <v>-0.19</v>
      </c>
      <c r="U238" s="20">
        <v>-0.11</v>
      </c>
      <c r="V238" s="20">
        <v>1166.74</v>
      </c>
    </row>
    <row r="239" spans="1:22" ht="16.8" x14ac:dyDescent="0.3">
      <c r="A239" s="20">
        <v>23.8</v>
      </c>
      <c r="B239" s="20">
        <v>59</v>
      </c>
      <c r="C239" s="20">
        <v>59.02</v>
      </c>
      <c r="D239" s="20">
        <v>-0.02</v>
      </c>
      <c r="E239" s="20">
        <v>-0.17</v>
      </c>
      <c r="F239" s="20">
        <v>1310.3800000000001</v>
      </c>
      <c r="Q239" s="20">
        <v>23.8</v>
      </c>
      <c r="R239" s="20">
        <v>59.14</v>
      </c>
      <c r="S239" s="26">
        <v>59</v>
      </c>
      <c r="T239" s="20">
        <v>-0.14000000000000001</v>
      </c>
      <c r="U239" s="26">
        <v>0.05</v>
      </c>
      <c r="V239" s="20">
        <v>1188.6099999999999</v>
      </c>
    </row>
    <row r="240" spans="1:22" ht="16.8" x14ac:dyDescent="0.3">
      <c r="A240" s="20">
        <v>23.9</v>
      </c>
      <c r="B240" s="20">
        <v>59</v>
      </c>
      <c r="C240" s="20">
        <v>58.9</v>
      </c>
      <c r="D240" s="20">
        <v>0.1</v>
      </c>
      <c r="E240" s="20">
        <v>0.12</v>
      </c>
      <c r="F240" s="20">
        <v>1528.08</v>
      </c>
      <c r="Q240" s="20">
        <v>23.9</v>
      </c>
      <c r="R240" s="20">
        <v>59.15</v>
      </c>
      <c r="S240" s="20">
        <v>59</v>
      </c>
      <c r="T240" s="26">
        <v>-0.15</v>
      </c>
      <c r="U240" s="26">
        <v>-0.01</v>
      </c>
      <c r="V240" s="20">
        <v>1181.9000000000001</v>
      </c>
    </row>
    <row r="241" spans="1:22" ht="16.8" x14ac:dyDescent="0.3">
      <c r="A241" s="20">
        <v>24</v>
      </c>
      <c r="B241" s="20">
        <v>59</v>
      </c>
      <c r="C241" s="20">
        <v>58.99</v>
      </c>
      <c r="D241" s="20">
        <v>0.01</v>
      </c>
      <c r="E241" s="20">
        <v>-0.09</v>
      </c>
      <c r="F241" s="20">
        <v>1347.18</v>
      </c>
      <c r="Q241" s="20">
        <v>24</v>
      </c>
      <c r="R241" s="20">
        <v>59.1</v>
      </c>
      <c r="S241" s="26">
        <v>59</v>
      </c>
      <c r="T241" s="20">
        <v>-0.1</v>
      </c>
      <c r="U241" s="26">
        <v>0.05</v>
      </c>
      <c r="V241" s="20">
        <v>1194.44</v>
      </c>
    </row>
    <row r="242" spans="1:22" ht="16.8" x14ac:dyDescent="0.3">
      <c r="A242" s="20">
        <v>24.1</v>
      </c>
      <c r="B242" s="20">
        <v>59</v>
      </c>
      <c r="C242" s="20">
        <v>58.94</v>
      </c>
      <c r="D242" s="20">
        <v>0.06</v>
      </c>
      <c r="E242" s="20">
        <v>0.04</v>
      </c>
      <c r="F242" s="20">
        <v>1432.12</v>
      </c>
      <c r="Q242" s="20">
        <v>24.1</v>
      </c>
      <c r="R242" s="20">
        <v>59.14</v>
      </c>
      <c r="S242" s="20">
        <v>59</v>
      </c>
      <c r="T242" s="26">
        <v>-0.14000000000000001</v>
      </c>
      <c r="U242" s="20">
        <v>-0.04</v>
      </c>
      <c r="V242" s="20">
        <v>1179.72</v>
      </c>
    </row>
    <row r="243" spans="1:22" ht="16.8" x14ac:dyDescent="0.3">
      <c r="A243" s="20">
        <v>24.2</v>
      </c>
      <c r="B243" s="20">
        <v>59</v>
      </c>
      <c r="C243" s="20">
        <v>59</v>
      </c>
      <c r="D243" s="20">
        <v>0</v>
      </c>
      <c r="E243" s="20">
        <v>-0.06</v>
      </c>
      <c r="F243" s="20">
        <v>1319.64</v>
      </c>
      <c r="Q243" s="20">
        <v>24.2</v>
      </c>
      <c r="R243" s="20">
        <v>59.13</v>
      </c>
      <c r="S243" s="26">
        <v>59</v>
      </c>
      <c r="T243" s="20">
        <v>-0.13</v>
      </c>
      <c r="U243" s="26">
        <v>0.01</v>
      </c>
      <c r="V243" s="20">
        <v>1185.04</v>
      </c>
    </row>
    <row r="244" spans="1:22" ht="16.8" x14ac:dyDescent="0.3">
      <c r="A244" s="20">
        <v>24.3</v>
      </c>
      <c r="B244" s="20">
        <v>59</v>
      </c>
      <c r="C244" s="20">
        <v>58.84</v>
      </c>
      <c r="D244" s="20">
        <v>0.16</v>
      </c>
      <c r="E244" s="20">
        <v>0.17</v>
      </c>
      <c r="F244" s="20">
        <v>1622.2</v>
      </c>
      <c r="Q244" s="20">
        <v>24.3</v>
      </c>
      <c r="R244" s="20">
        <v>59.11</v>
      </c>
      <c r="S244" s="20">
        <v>59</v>
      </c>
      <c r="T244" s="20">
        <v>-0.11</v>
      </c>
      <c r="U244" s="20">
        <v>0.02</v>
      </c>
      <c r="V244" s="20">
        <v>1188.06</v>
      </c>
    </row>
    <row r="245" spans="1:22" ht="16.8" x14ac:dyDescent="0.3">
      <c r="A245" s="20">
        <v>24.4</v>
      </c>
      <c r="B245" s="20">
        <v>59</v>
      </c>
      <c r="C245" s="20">
        <v>59.04</v>
      </c>
      <c r="D245" s="20">
        <v>-0.04</v>
      </c>
      <c r="E245" s="20">
        <v>-0.2</v>
      </c>
      <c r="F245" s="20">
        <v>1292.46</v>
      </c>
      <c r="Q245" s="20">
        <v>24.4</v>
      </c>
      <c r="R245" s="20">
        <v>59.16</v>
      </c>
      <c r="S245" s="26">
        <v>59</v>
      </c>
      <c r="T245" s="26">
        <v>-0.16</v>
      </c>
      <c r="U245" s="26">
        <v>-0.05</v>
      </c>
      <c r="V245" s="20">
        <v>1174.17</v>
      </c>
    </row>
    <row r="246" spans="1:22" ht="16.8" x14ac:dyDescent="0.3">
      <c r="A246" s="20">
        <v>24.5</v>
      </c>
      <c r="B246" s="20">
        <v>59</v>
      </c>
      <c r="C246" s="20">
        <v>58.85</v>
      </c>
      <c r="D246" s="20">
        <v>0.15</v>
      </c>
      <c r="E246" s="20">
        <v>0.19</v>
      </c>
      <c r="F246" s="20">
        <v>1623.22</v>
      </c>
      <c r="Q246" s="20">
        <v>24.5</v>
      </c>
      <c r="R246" s="20">
        <v>59.11</v>
      </c>
      <c r="S246" s="20">
        <v>59</v>
      </c>
      <c r="T246" s="20">
        <v>-0.11</v>
      </c>
      <c r="U246" s="20">
        <v>0.06</v>
      </c>
      <c r="V246" s="20">
        <v>1192.32</v>
      </c>
    </row>
    <row r="247" spans="1:22" ht="16.8" x14ac:dyDescent="0.3">
      <c r="A247" s="20">
        <v>24.6</v>
      </c>
      <c r="B247" s="20">
        <v>59</v>
      </c>
      <c r="C247" s="20">
        <v>58.97</v>
      </c>
      <c r="D247" s="20">
        <v>0.03</v>
      </c>
      <c r="E247" s="20">
        <v>-0.12</v>
      </c>
      <c r="F247" s="20">
        <v>1387.32</v>
      </c>
      <c r="Q247" s="20">
        <v>24.6</v>
      </c>
      <c r="R247" s="20">
        <v>59.1</v>
      </c>
      <c r="S247" s="26">
        <v>59</v>
      </c>
      <c r="T247" s="26">
        <v>-0.1</v>
      </c>
      <c r="U247" s="26">
        <v>0.01</v>
      </c>
      <c r="V247" s="20">
        <v>1189.02</v>
      </c>
    </row>
    <row r="248" spans="1:22" ht="16.8" x14ac:dyDescent="0.3">
      <c r="A248" s="20">
        <v>24.7</v>
      </c>
      <c r="B248" s="20">
        <v>59</v>
      </c>
      <c r="C248" s="20">
        <v>58.9</v>
      </c>
      <c r="D248" s="20">
        <v>0.1</v>
      </c>
      <c r="E248" s="20">
        <v>0.06</v>
      </c>
      <c r="F248" s="20">
        <v>1499.6</v>
      </c>
      <c r="Q248" s="20">
        <v>24.7</v>
      </c>
      <c r="R248" s="20">
        <v>59.13</v>
      </c>
      <c r="S248" s="20">
        <v>59</v>
      </c>
      <c r="T248" s="20">
        <v>-0.13</v>
      </c>
      <c r="U248" s="26">
        <v>-0.03</v>
      </c>
      <c r="V248" s="20">
        <v>1179.96</v>
      </c>
    </row>
    <row r="249" spans="1:22" ht="16.8" x14ac:dyDescent="0.3">
      <c r="A249" s="20">
        <v>24.8</v>
      </c>
      <c r="B249" s="20">
        <v>59</v>
      </c>
      <c r="C249" s="20">
        <v>59</v>
      </c>
      <c r="D249" s="20">
        <v>0</v>
      </c>
      <c r="E249" s="20">
        <v>-0.1</v>
      </c>
      <c r="F249" s="20">
        <v>1322.75</v>
      </c>
      <c r="Q249" s="20">
        <v>24.8</v>
      </c>
      <c r="R249" s="20">
        <v>59.15</v>
      </c>
      <c r="S249" s="26">
        <v>59</v>
      </c>
      <c r="T249" s="26">
        <v>-0.15</v>
      </c>
      <c r="U249" s="20">
        <v>-0.02</v>
      </c>
      <c r="V249" s="20">
        <v>1176.46</v>
      </c>
    </row>
    <row r="250" spans="1:22" ht="16.8" x14ac:dyDescent="0.3">
      <c r="A250" s="20">
        <v>24.9</v>
      </c>
      <c r="B250" s="20">
        <v>59</v>
      </c>
      <c r="C250" s="20">
        <v>58.86</v>
      </c>
      <c r="D250" s="20">
        <v>0.14000000000000001</v>
      </c>
      <c r="E250" s="20">
        <v>0.14000000000000001</v>
      </c>
      <c r="F250" s="20">
        <v>1581.36</v>
      </c>
      <c r="Q250" s="20">
        <v>24.9</v>
      </c>
      <c r="R250" s="20">
        <v>59.13</v>
      </c>
      <c r="S250" s="20">
        <v>59</v>
      </c>
      <c r="T250" s="20">
        <v>-0.13</v>
      </c>
      <c r="U250" s="26">
        <v>0.02</v>
      </c>
      <c r="V250" s="20">
        <v>1184.3499999999999</v>
      </c>
    </row>
    <row r="251" spans="1:22" ht="16.8" x14ac:dyDescent="0.3">
      <c r="A251" s="20">
        <v>25</v>
      </c>
      <c r="B251" s="20">
        <v>59</v>
      </c>
      <c r="C251" s="20">
        <v>59.02</v>
      </c>
      <c r="D251" s="20">
        <v>-0.02</v>
      </c>
      <c r="E251" s="20">
        <v>-0.16</v>
      </c>
      <c r="F251" s="20">
        <v>1307.3399999999999</v>
      </c>
      <c r="Q251" s="20">
        <v>25</v>
      </c>
      <c r="R251" s="20">
        <v>59.18</v>
      </c>
      <c r="S251" s="20">
        <v>59</v>
      </c>
      <c r="T251" s="20">
        <v>-0.18</v>
      </c>
      <c r="U251" s="26">
        <v>-0.05</v>
      </c>
      <c r="V251" s="20">
        <v>1169.7</v>
      </c>
    </row>
    <row r="252" spans="1:22" ht="16.8" x14ac:dyDescent="0.3">
      <c r="A252" s="20">
        <v>25.1</v>
      </c>
      <c r="B252" s="20">
        <v>59</v>
      </c>
      <c r="C252" s="20">
        <v>58.89</v>
      </c>
      <c r="D252" s="20">
        <v>0.11</v>
      </c>
      <c r="E252" s="20">
        <v>0.13</v>
      </c>
      <c r="F252" s="20">
        <v>1539.29</v>
      </c>
      <c r="Q252" s="20">
        <v>25.1</v>
      </c>
      <c r="R252" s="20">
        <v>59.11</v>
      </c>
      <c r="S252" s="26">
        <v>59</v>
      </c>
      <c r="T252" s="26">
        <v>-0.11</v>
      </c>
      <c r="U252" s="26">
        <v>7.0000000000000007E-2</v>
      </c>
      <c r="V252" s="20">
        <v>1191.8699999999999</v>
      </c>
    </row>
    <row r="253" spans="1:22" ht="16.8" x14ac:dyDescent="0.3">
      <c r="A253" s="20">
        <v>25.2</v>
      </c>
      <c r="B253" s="20">
        <v>59</v>
      </c>
      <c r="C253" s="20">
        <v>59.04</v>
      </c>
      <c r="D253" s="20">
        <v>-0.04</v>
      </c>
      <c r="E253" s="20">
        <v>-0.15</v>
      </c>
      <c r="F253" s="20">
        <v>1292.46</v>
      </c>
      <c r="Q253" s="20">
        <v>25.2</v>
      </c>
      <c r="R253" s="20">
        <v>59.12</v>
      </c>
      <c r="S253" s="20">
        <v>59</v>
      </c>
      <c r="T253" s="20">
        <v>-0.12</v>
      </c>
      <c r="U253" s="26">
        <v>-0.02</v>
      </c>
      <c r="V253" s="20">
        <v>1181.04</v>
      </c>
    </row>
    <row r="254" spans="1:22" ht="16.8" x14ac:dyDescent="0.3">
      <c r="A254" s="20">
        <v>25.3</v>
      </c>
      <c r="B254" s="20">
        <v>59</v>
      </c>
      <c r="C254" s="20">
        <v>58.84</v>
      </c>
      <c r="D254" s="20">
        <v>0.16</v>
      </c>
      <c r="E254" s="20">
        <v>0.21</v>
      </c>
      <c r="F254" s="20">
        <v>1639.25</v>
      </c>
      <c r="Q254" s="20">
        <v>25.3</v>
      </c>
      <c r="R254" s="20">
        <v>59.07</v>
      </c>
      <c r="S254" s="26">
        <v>59</v>
      </c>
      <c r="T254" s="26">
        <v>-7.0000000000000007E-2</v>
      </c>
      <c r="U254" s="26">
        <v>0.06</v>
      </c>
      <c r="V254" s="20">
        <v>1196.3800000000001</v>
      </c>
    </row>
    <row r="255" spans="1:22" ht="16.8" x14ac:dyDescent="0.3">
      <c r="A255" s="20">
        <v>25.4</v>
      </c>
      <c r="B255" s="20">
        <v>59</v>
      </c>
      <c r="C255" s="20">
        <v>59.03</v>
      </c>
      <c r="D255" s="20">
        <v>-0.03</v>
      </c>
      <c r="E255" s="20">
        <v>-0.19</v>
      </c>
      <c r="F255" s="20">
        <v>1301.3399999999999</v>
      </c>
      <c r="Q255" s="20">
        <v>25.4</v>
      </c>
      <c r="R255" s="20">
        <v>59.04</v>
      </c>
      <c r="S255" s="20">
        <v>59</v>
      </c>
      <c r="T255" s="20">
        <v>-0.04</v>
      </c>
      <c r="U255" s="26">
        <v>0.02</v>
      </c>
      <c r="V255" s="20">
        <v>1197.23</v>
      </c>
    </row>
    <row r="256" spans="1:22" ht="16.8" x14ac:dyDescent="0.3">
      <c r="A256" s="20">
        <v>25.5</v>
      </c>
      <c r="B256" s="20">
        <v>59</v>
      </c>
      <c r="C256" s="20">
        <v>58.88</v>
      </c>
      <c r="D256" s="20">
        <v>0.12</v>
      </c>
      <c r="E256" s="20">
        <v>0.15</v>
      </c>
      <c r="F256" s="20">
        <v>1559.94</v>
      </c>
      <c r="Q256" s="20">
        <v>25.5</v>
      </c>
      <c r="R256" s="20">
        <v>59.07</v>
      </c>
      <c r="S256" s="26">
        <v>59</v>
      </c>
      <c r="T256" s="26">
        <v>-7.0000000000000007E-2</v>
      </c>
      <c r="U256" s="26">
        <v>-0.02</v>
      </c>
      <c r="V256" s="20">
        <v>1188.8800000000001</v>
      </c>
    </row>
    <row r="257" spans="1:22" ht="16.8" x14ac:dyDescent="0.3">
      <c r="A257" s="20">
        <v>25.6</v>
      </c>
      <c r="B257" s="20">
        <v>59</v>
      </c>
      <c r="C257" s="20">
        <v>59.02</v>
      </c>
      <c r="D257" s="20">
        <v>-0.02</v>
      </c>
      <c r="E257" s="20">
        <v>-0.14000000000000001</v>
      </c>
      <c r="F257" s="20">
        <v>1304.32</v>
      </c>
      <c r="Q257" s="20">
        <v>25.6</v>
      </c>
      <c r="R257" s="20">
        <v>59.02</v>
      </c>
      <c r="S257" s="20">
        <v>59</v>
      </c>
      <c r="T257" s="20">
        <v>-0.02</v>
      </c>
      <c r="U257" s="26">
        <v>0.05</v>
      </c>
      <c r="V257" s="20">
        <v>1203.05</v>
      </c>
    </row>
    <row r="258" spans="1:22" ht="16.8" x14ac:dyDescent="0.3">
      <c r="A258" s="20">
        <v>25.7</v>
      </c>
      <c r="B258" s="20">
        <v>59</v>
      </c>
      <c r="C258" s="20">
        <v>58.86</v>
      </c>
      <c r="D258" s="20">
        <v>0.14000000000000001</v>
      </c>
      <c r="E258" s="20">
        <v>0.16</v>
      </c>
      <c r="F258" s="20">
        <v>1593.02</v>
      </c>
      <c r="Q258" s="20">
        <v>25.7</v>
      </c>
      <c r="R258" s="20">
        <v>59.15</v>
      </c>
      <c r="S258" s="26">
        <v>59</v>
      </c>
      <c r="T258" s="26">
        <v>-0.15</v>
      </c>
      <c r="U258" s="26">
        <v>-0.14000000000000001</v>
      </c>
      <c r="V258" s="20">
        <v>1164.21</v>
      </c>
    </row>
    <row r="259" spans="1:22" ht="16.8" x14ac:dyDescent="0.3">
      <c r="A259" s="20">
        <v>25.8</v>
      </c>
      <c r="B259" s="20">
        <v>59</v>
      </c>
      <c r="C259" s="20">
        <v>59.05</v>
      </c>
      <c r="D259" s="20">
        <v>-0.05</v>
      </c>
      <c r="E259" s="20">
        <v>-0.19</v>
      </c>
      <c r="F259" s="20">
        <v>1283.74</v>
      </c>
      <c r="Q259" s="20">
        <v>25.8</v>
      </c>
      <c r="R259" s="20">
        <v>59.06</v>
      </c>
      <c r="S259" s="20">
        <v>59</v>
      </c>
      <c r="T259" s="20">
        <v>-0.06</v>
      </c>
      <c r="U259" s="20">
        <v>0.1</v>
      </c>
      <c r="V259" s="20">
        <v>1200.49</v>
      </c>
    </row>
    <row r="260" spans="1:22" ht="16.8" x14ac:dyDescent="0.3">
      <c r="A260" s="20">
        <v>25.9</v>
      </c>
      <c r="B260" s="20">
        <v>59</v>
      </c>
      <c r="C260" s="20">
        <v>58.91</v>
      </c>
      <c r="D260" s="20">
        <v>0.09</v>
      </c>
      <c r="E260" s="20">
        <v>0.15</v>
      </c>
      <c r="F260" s="20">
        <v>1527.46</v>
      </c>
      <c r="Q260" s="20">
        <v>25.9</v>
      </c>
      <c r="R260" s="20">
        <v>59.05</v>
      </c>
      <c r="S260" s="26">
        <v>59</v>
      </c>
      <c r="T260" s="26">
        <v>-0.05</v>
      </c>
      <c r="U260" s="26">
        <v>0.01</v>
      </c>
      <c r="V260" s="20">
        <v>1193.68</v>
      </c>
    </row>
    <row r="261" spans="1:22" ht="16.8" x14ac:dyDescent="0.3">
      <c r="A261" s="20">
        <v>26</v>
      </c>
      <c r="B261" s="20">
        <v>59</v>
      </c>
      <c r="C261" s="20">
        <v>59.02</v>
      </c>
      <c r="D261" s="20">
        <v>-0.02</v>
      </c>
      <c r="E261" s="20">
        <v>-0.11</v>
      </c>
      <c r="F261" s="20">
        <v>1310.3800000000001</v>
      </c>
      <c r="Q261" s="20">
        <v>26</v>
      </c>
      <c r="R261" s="20">
        <v>59.13</v>
      </c>
      <c r="S261" s="20">
        <v>59</v>
      </c>
      <c r="T261" s="20">
        <v>-0.13</v>
      </c>
      <c r="U261" s="20">
        <v>-0.08</v>
      </c>
      <c r="V261" s="20">
        <v>1172.57</v>
      </c>
    </row>
    <row r="262" spans="1:22" ht="16.8" x14ac:dyDescent="0.3">
      <c r="A262" s="20">
        <v>26.1</v>
      </c>
      <c r="B262" s="20">
        <v>59</v>
      </c>
      <c r="C262" s="20">
        <v>58.93</v>
      </c>
      <c r="D262" s="20">
        <v>7.0000000000000007E-2</v>
      </c>
      <c r="E262" s="20">
        <v>0.08</v>
      </c>
      <c r="F262" s="20">
        <v>1453.26</v>
      </c>
      <c r="Q262" s="20">
        <v>26.1</v>
      </c>
      <c r="R262" s="20">
        <v>59.06</v>
      </c>
      <c r="S262" s="26">
        <v>59</v>
      </c>
      <c r="T262" s="26">
        <v>-0.06</v>
      </c>
      <c r="U262" s="26">
        <v>7.0000000000000007E-2</v>
      </c>
      <c r="V262" s="20">
        <v>1197.75</v>
      </c>
    </row>
    <row r="263" spans="1:22" ht="16.8" x14ac:dyDescent="0.3">
      <c r="A263" s="20">
        <v>26.2</v>
      </c>
      <c r="B263" s="20">
        <v>59</v>
      </c>
      <c r="C263" s="20">
        <v>58.93</v>
      </c>
      <c r="D263" s="20">
        <v>7.0000000000000007E-2</v>
      </c>
      <c r="E263" s="20">
        <v>0</v>
      </c>
      <c r="F263" s="20">
        <v>1453.26</v>
      </c>
      <c r="Q263" s="20">
        <v>26.2</v>
      </c>
      <c r="R263" s="20">
        <v>59.07</v>
      </c>
      <c r="S263" s="20">
        <v>59</v>
      </c>
      <c r="T263" s="20">
        <v>-7.0000000000000007E-2</v>
      </c>
      <c r="U263" s="26">
        <v>-0.02</v>
      </c>
      <c r="V263" s="20">
        <v>1187.03</v>
      </c>
    </row>
    <row r="264" spans="1:22" ht="16.8" x14ac:dyDescent="0.3">
      <c r="A264" s="20">
        <v>26.3</v>
      </c>
      <c r="B264" s="20">
        <v>59</v>
      </c>
      <c r="C264" s="20">
        <v>58.9</v>
      </c>
      <c r="D264" s="20">
        <v>0.1</v>
      </c>
      <c r="E264" s="20">
        <v>0.03</v>
      </c>
      <c r="F264" s="20">
        <v>1499.6</v>
      </c>
      <c r="Q264" s="20">
        <v>26.3</v>
      </c>
      <c r="R264" s="20">
        <v>59.07</v>
      </c>
      <c r="S264" s="20">
        <v>59</v>
      </c>
      <c r="T264" s="26">
        <v>-7.0000000000000007E-2</v>
      </c>
      <c r="U264" s="26">
        <v>0</v>
      </c>
      <c r="V264" s="20">
        <v>1188.31</v>
      </c>
    </row>
    <row r="265" spans="1:22" ht="16.8" x14ac:dyDescent="0.3">
      <c r="A265" s="20">
        <v>26.4</v>
      </c>
      <c r="B265" s="20">
        <v>59</v>
      </c>
      <c r="C265" s="20">
        <v>58.97</v>
      </c>
      <c r="D265" s="20">
        <v>0.03</v>
      </c>
      <c r="E265" s="20">
        <v>-0.06</v>
      </c>
      <c r="F265" s="20">
        <v>1387.32</v>
      </c>
      <c r="Q265" s="20">
        <v>26.4</v>
      </c>
      <c r="R265" s="20">
        <v>59.1</v>
      </c>
      <c r="S265" s="26">
        <v>59</v>
      </c>
      <c r="T265" s="20">
        <v>-0.1</v>
      </c>
      <c r="U265" s="26">
        <v>-0.02</v>
      </c>
      <c r="V265" s="20">
        <v>1182.05</v>
      </c>
    </row>
    <row r="266" spans="1:22" ht="16.8" x14ac:dyDescent="0.3">
      <c r="A266" s="20">
        <v>26.5</v>
      </c>
      <c r="B266" s="20">
        <v>59</v>
      </c>
      <c r="C266" s="20">
        <v>58.91</v>
      </c>
      <c r="D266" s="20">
        <v>0.09</v>
      </c>
      <c r="E266" s="20">
        <v>0.06</v>
      </c>
      <c r="F266" s="20">
        <v>1493.23</v>
      </c>
      <c r="Q266" s="20">
        <v>26.5</v>
      </c>
      <c r="R266" s="20">
        <v>59.08</v>
      </c>
      <c r="S266" s="20">
        <v>59</v>
      </c>
      <c r="T266" s="26">
        <v>-0.08</v>
      </c>
      <c r="U266" s="26">
        <v>0.02</v>
      </c>
      <c r="V266" s="20">
        <v>1188.05</v>
      </c>
    </row>
    <row r="267" spans="1:22" ht="16.8" x14ac:dyDescent="0.3">
      <c r="A267" s="20">
        <v>26.6</v>
      </c>
      <c r="B267" s="20">
        <v>59</v>
      </c>
      <c r="C267" s="20">
        <v>59</v>
      </c>
      <c r="D267" s="20">
        <v>0</v>
      </c>
      <c r="E267" s="20">
        <v>-0.09</v>
      </c>
      <c r="F267" s="20">
        <v>1330.33</v>
      </c>
      <c r="Q267" s="20">
        <v>26.6</v>
      </c>
      <c r="R267" s="20">
        <v>59.09</v>
      </c>
      <c r="S267" s="26">
        <v>59</v>
      </c>
      <c r="T267" s="20">
        <v>-0.09</v>
      </c>
      <c r="U267" s="26">
        <v>-0.01</v>
      </c>
      <c r="V267" s="20">
        <v>1184.3800000000001</v>
      </c>
    </row>
    <row r="268" spans="1:22" ht="16.8" x14ac:dyDescent="0.3">
      <c r="A268" s="20">
        <v>26.7</v>
      </c>
      <c r="B268" s="20">
        <v>59</v>
      </c>
      <c r="C268" s="20">
        <v>58.96</v>
      </c>
      <c r="D268" s="20">
        <v>0.04</v>
      </c>
      <c r="E268" s="20">
        <v>0.03</v>
      </c>
      <c r="F268" s="20">
        <v>1395.02</v>
      </c>
      <c r="Q268" s="20">
        <v>26.7</v>
      </c>
      <c r="R268" s="20">
        <v>59.07</v>
      </c>
      <c r="S268" s="20">
        <v>59</v>
      </c>
      <c r="T268" s="26">
        <v>-7.0000000000000007E-2</v>
      </c>
      <c r="U268" s="20">
        <v>0.02</v>
      </c>
      <c r="V268" s="20">
        <v>1188.94</v>
      </c>
    </row>
    <row r="269" spans="1:22" ht="16.8" x14ac:dyDescent="0.3">
      <c r="A269" s="20">
        <v>26.8</v>
      </c>
      <c r="B269" s="20">
        <v>59</v>
      </c>
      <c r="C269" s="20">
        <v>59.01</v>
      </c>
      <c r="D269" s="20">
        <v>-0.01</v>
      </c>
      <c r="E269" s="20">
        <v>-0.05</v>
      </c>
      <c r="F269" s="20">
        <v>1313.46</v>
      </c>
      <c r="Q269" s="20">
        <v>26.8</v>
      </c>
      <c r="R269" s="20">
        <v>59.04</v>
      </c>
      <c r="S269" s="26">
        <v>59</v>
      </c>
      <c r="T269" s="20">
        <v>-0.04</v>
      </c>
      <c r="U269" s="26">
        <v>0.03</v>
      </c>
      <c r="V269" s="20">
        <v>1195.42</v>
      </c>
    </row>
    <row r="270" spans="1:22" ht="16.8" x14ac:dyDescent="0.3">
      <c r="A270" s="20">
        <v>26.9</v>
      </c>
      <c r="B270" s="20">
        <v>59</v>
      </c>
      <c r="C270" s="20">
        <v>58.99</v>
      </c>
      <c r="D270" s="20">
        <v>0.01</v>
      </c>
      <c r="E270" s="20">
        <v>0.02</v>
      </c>
      <c r="F270" s="20">
        <v>1347.18</v>
      </c>
      <c r="Q270" s="20">
        <v>26.9</v>
      </c>
      <c r="R270" s="20">
        <v>59.06</v>
      </c>
      <c r="S270" s="20">
        <v>59</v>
      </c>
      <c r="T270" s="26">
        <v>-0.06</v>
      </c>
      <c r="U270" s="20">
        <v>-0.02</v>
      </c>
      <c r="V270" s="20">
        <v>1188.3699999999999</v>
      </c>
    </row>
    <row r="271" spans="1:22" ht="16.8" x14ac:dyDescent="0.3">
      <c r="A271" s="20">
        <v>27</v>
      </c>
      <c r="B271" s="20">
        <v>59</v>
      </c>
      <c r="C271" s="20">
        <v>58.98</v>
      </c>
      <c r="D271" s="20">
        <v>0.02</v>
      </c>
      <c r="E271" s="20">
        <v>0</v>
      </c>
      <c r="F271" s="20">
        <v>1355.39</v>
      </c>
      <c r="Q271" s="20">
        <v>27</v>
      </c>
      <c r="R271" s="20">
        <v>59.07</v>
      </c>
      <c r="S271" s="26">
        <v>59</v>
      </c>
      <c r="T271" s="20">
        <v>-7.0000000000000007E-2</v>
      </c>
      <c r="U271" s="26">
        <v>-0.01</v>
      </c>
      <c r="V271" s="20">
        <v>1187.6500000000001</v>
      </c>
    </row>
    <row r="272" spans="1:22" ht="16.8" x14ac:dyDescent="0.3">
      <c r="A272" s="20">
        <v>27.1</v>
      </c>
      <c r="B272" s="20">
        <v>59</v>
      </c>
      <c r="C272" s="20">
        <v>59.01</v>
      </c>
      <c r="D272" s="20">
        <v>-0.01</v>
      </c>
      <c r="E272" s="20">
        <v>-0.03</v>
      </c>
      <c r="F272" s="20">
        <v>1313.46</v>
      </c>
      <c r="Q272" s="20">
        <v>27.1</v>
      </c>
      <c r="R272" s="20">
        <v>59.08</v>
      </c>
      <c r="S272" s="20">
        <v>59</v>
      </c>
      <c r="T272" s="20">
        <v>-0.08</v>
      </c>
      <c r="U272" s="20">
        <v>-0.02</v>
      </c>
      <c r="V272" s="20">
        <v>1184.17</v>
      </c>
    </row>
    <row r="273" spans="1:22" ht="16.8" x14ac:dyDescent="0.3">
      <c r="A273" s="20">
        <v>27.2</v>
      </c>
      <c r="B273" s="20">
        <v>59</v>
      </c>
      <c r="C273" s="20">
        <v>59.02</v>
      </c>
      <c r="D273" s="20">
        <v>-0.02</v>
      </c>
      <c r="E273" s="20">
        <v>-0.01</v>
      </c>
      <c r="F273" s="20">
        <v>1304.32</v>
      </c>
      <c r="Q273" s="20">
        <v>27.2</v>
      </c>
      <c r="R273" s="20">
        <v>59.12</v>
      </c>
      <c r="S273" s="26">
        <v>59</v>
      </c>
      <c r="T273" s="26">
        <v>-0.12</v>
      </c>
      <c r="U273" s="26">
        <v>-0.04</v>
      </c>
      <c r="V273" s="20">
        <v>1175.29</v>
      </c>
    </row>
    <row r="274" spans="1:22" ht="16.8" x14ac:dyDescent="0.3">
      <c r="A274" s="20">
        <v>27.3</v>
      </c>
      <c r="B274" s="20">
        <v>59</v>
      </c>
      <c r="C274" s="20">
        <v>59.02</v>
      </c>
      <c r="D274" s="20">
        <v>-0.02</v>
      </c>
      <c r="E274" s="20">
        <v>0.01</v>
      </c>
      <c r="F274" s="20">
        <v>1310.3800000000001</v>
      </c>
      <c r="Q274" s="20">
        <v>27.3</v>
      </c>
      <c r="R274" s="20">
        <v>59.11</v>
      </c>
      <c r="S274" s="20">
        <v>59</v>
      </c>
      <c r="T274" s="20">
        <v>-0.11</v>
      </c>
      <c r="U274" s="20">
        <v>0.02</v>
      </c>
      <c r="V274" s="20">
        <v>1182.68</v>
      </c>
    </row>
    <row r="275" spans="1:22" ht="16.8" x14ac:dyDescent="0.3">
      <c r="A275" s="20">
        <v>27.4</v>
      </c>
      <c r="B275" s="20">
        <v>59</v>
      </c>
      <c r="C275" s="20">
        <v>58.98</v>
      </c>
      <c r="D275" s="20">
        <v>0.02</v>
      </c>
      <c r="E275" s="20">
        <v>0.03</v>
      </c>
      <c r="F275" s="20">
        <v>1355.39</v>
      </c>
      <c r="Q275" s="20">
        <v>27.4</v>
      </c>
      <c r="R275" s="20">
        <v>59.01</v>
      </c>
      <c r="S275" s="20">
        <v>59</v>
      </c>
      <c r="T275" s="26">
        <v>-0.01</v>
      </c>
      <c r="U275" s="26">
        <v>0.1</v>
      </c>
      <c r="V275" s="20">
        <v>1205.3</v>
      </c>
    </row>
    <row r="276" spans="1:22" ht="16.8" x14ac:dyDescent="0.3">
      <c r="A276" s="20">
        <v>27.5</v>
      </c>
      <c r="B276" s="20">
        <v>59</v>
      </c>
      <c r="C276" s="20">
        <v>59.04</v>
      </c>
      <c r="D276" s="20">
        <v>-0.04</v>
      </c>
      <c r="E276" s="20">
        <v>-0.05</v>
      </c>
      <c r="F276" s="20">
        <v>1295.4000000000001</v>
      </c>
      <c r="Q276" s="20">
        <v>27.5</v>
      </c>
      <c r="R276" s="20">
        <v>59.02</v>
      </c>
      <c r="S276" s="26">
        <v>59</v>
      </c>
      <c r="T276" s="20">
        <v>-0.02</v>
      </c>
      <c r="U276" s="26">
        <v>-0.02</v>
      </c>
      <c r="V276" s="20">
        <v>1192.52</v>
      </c>
    </row>
    <row r="277" spans="1:22" ht="16.8" x14ac:dyDescent="0.3">
      <c r="A277" s="20">
        <v>27.6</v>
      </c>
      <c r="B277" s="20">
        <v>59</v>
      </c>
      <c r="C277" s="20">
        <v>59.01</v>
      </c>
      <c r="D277" s="20">
        <v>-0.01</v>
      </c>
      <c r="E277" s="20">
        <v>0.03</v>
      </c>
      <c r="F277" s="20">
        <v>1316.54</v>
      </c>
      <c r="Q277" s="20">
        <v>27.6</v>
      </c>
      <c r="R277" s="20">
        <v>59.08</v>
      </c>
      <c r="S277" s="20">
        <v>59</v>
      </c>
      <c r="T277" s="26">
        <v>-0.08</v>
      </c>
      <c r="U277" s="26">
        <v>-0.06</v>
      </c>
      <c r="V277" s="20">
        <v>1179.72</v>
      </c>
    </row>
    <row r="278" spans="1:22" ht="16.8" x14ac:dyDescent="0.3">
      <c r="A278" s="20">
        <v>27.7</v>
      </c>
      <c r="B278" s="20">
        <v>59</v>
      </c>
      <c r="C278" s="20">
        <v>59.03</v>
      </c>
      <c r="D278" s="20">
        <v>-0.03</v>
      </c>
      <c r="E278" s="20">
        <v>-0.02</v>
      </c>
      <c r="F278" s="20">
        <v>1298.3599999999999</v>
      </c>
      <c r="Q278" s="20">
        <v>27.7</v>
      </c>
      <c r="R278" s="20">
        <v>59.04</v>
      </c>
      <c r="S278" s="26">
        <v>59</v>
      </c>
      <c r="T278" s="20">
        <v>-0.04</v>
      </c>
      <c r="U278" s="26">
        <v>0.04</v>
      </c>
      <c r="V278" s="20">
        <v>1194.74</v>
      </c>
    </row>
    <row r="279" spans="1:22" ht="16.8" x14ac:dyDescent="0.3">
      <c r="A279" s="20">
        <v>27.8</v>
      </c>
      <c r="B279" s="20">
        <v>59</v>
      </c>
      <c r="C279" s="20">
        <v>58.97</v>
      </c>
      <c r="D279" s="20">
        <v>0.03</v>
      </c>
      <c r="E279" s="20">
        <v>0.06</v>
      </c>
      <c r="F279" s="20">
        <v>1387.32</v>
      </c>
      <c r="Q279" s="20">
        <v>27.8</v>
      </c>
      <c r="R279" s="20">
        <v>59.06</v>
      </c>
      <c r="S279" s="20">
        <v>59</v>
      </c>
      <c r="T279" s="26">
        <v>-0.06</v>
      </c>
      <c r="U279" s="20">
        <v>-0.02</v>
      </c>
      <c r="V279" s="20">
        <v>1186.96</v>
      </c>
    </row>
    <row r="280" spans="1:22" ht="16.8" x14ac:dyDescent="0.3">
      <c r="A280" s="20">
        <v>27.9</v>
      </c>
      <c r="B280" s="20">
        <v>59</v>
      </c>
      <c r="C280" s="20">
        <v>58.98</v>
      </c>
      <c r="D280" s="20">
        <v>0.02</v>
      </c>
      <c r="E280" s="20">
        <v>-0.01</v>
      </c>
      <c r="F280" s="20">
        <v>1363.56</v>
      </c>
      <c r="Q280" s="20">
        <v>27.9</v>
      </c>
      <c r="R280" s="20">
        <v>59.04</v>
      </c>
      <c r="S280" s="26">
        <v>59</v>
      </c>
      <c r="T280" s="20">
        <v>-0.04</v>
      </c>
      <c r="U280" s="26">
        <v>0.02</v>
      </c>
      <c r="V280" s="20">
        <v>1192.32</v>
      </c>
    </row>
    <row r="281" spans="1:22" ht="16.8" x14ac:dyDescent="0.3">
      <c r="A281" s="20">
        <v>28</v>
      </c>
      <c r="B281" s="20">
        <v>59</v>
      </c>
      <c r="C281" s="20">
        <v>58.95</v>
      </c>
      <c r="D281" s="20">
        <v>0.05</v>
      </c>
      <c r="E281" s="20">
        <v>0.03</v>
      </c>
      <c r="F281" s="20">
        <v>1424.89</v>
      </c>
      <c r="Q281" s="20">
        <v>28</v>
      </c>
      <c r="R281" s="20">
        <v>59.09</v>
      </c>
      <c r="S281" s="20">
        <v>59</v>
      </c>
      <c r="T281" s="20">
        <v>-0.09</v>
      </c>
      <c r="U281" s="20">
        <v>-0.05</v>
      </c>
      <c r="V281" s="20">
        <v>1178.6199999999999</v>
      </c>
    </row>
    <row r="282" spans="1:22" ht="16.8" x14ac:dyDescent="0.3">
      <c r="A282" s="20">
        <v>28.1</v>
      </c>
      <c r="B282" s="20">
        <v>59</v>
      </c>
      <c r="C282" s="20">
        <v>58.93</v>
      </c>
      <c r="D282" s="20">
        <v>7.0000000000000007E-2</v>
      </c>
      <c r="E282" s="20">
        <v>0.02</v>
      </c>
      <c r="F282" s="20">
        <v>1453.26</v>
      </c>
      <c r="Q282" s="20">
        <v>28.1</v>
      </c>
      <c r="R282" s="20">
        <v>59.08</v>
      </c>
      <c r="S282" s="26">
        <v>59</v>
      </c>
      <c r="T282" s="26">
        <v>-0.08</v>
      </c>
      <c r="U282" s="26">
        <v>0.01</v>
      </c>
      <c r="V282" s="20">
        <v>1184.78</v>
      </c>
    </row>
    <row r="283" spans="1:22" ht="16.8" x14ac:dyDescent="0.3">
      <c r="A283" s="20">
        <v>28.2</v>
      </c>
      <c r="B283" s="20">
        <v>59</v>
      </c>
      <c r="C283" s="20">
        <v>58.9</v>
      </c>
      <c r="D283" s="20">
        <v>0.1</v>
      </c>
      <c r="E283" s="20">
        <v>0.04</v>
      </c>
      <c r="F283" s="20">
        <v>1512.12</v>
      </c>
      <c r="Q283" s="20">
        <v>28.2</v>
      </c>
      <c r="R283" s="20">
        <v>59.06</v>
      </c>
      <c r="S283" s="20">
        <v>59</v>
      </c>
      <c r="T283" s="20">
        <v>-0.06</v>
      </c>
      <c r="U283" s="26">
        <v>0.02</v>
      </c>
      <c r="V283" s="20">
        <v>1189.94</v>
      </c>
    </row>
    <row r="284" spans="1:22" ht="16.8" x14ac:dyDescent="0.3">
      <c r="A284" s="20">
        <v>28.3</v>
      </c>
      <c r="B284" s="20">
        <v>59</v>
      </c>
      <c r="C284" s="20">
        <v>58.91</v>
      </c>
      <c r="D284" s="20">
        <v>0.09</v>
      </c>
      <c r="E284" s="20">
        <v>-0.02</v>
      </c>
      <c r="F284" s="20">
        <v>1486.79</v>
      </c>
      <c r="Q284" s="20">
        <v>28.3</v>
      </c>
      <c r="R284" s="20">
        <v>59.07</v>
      </c>
      <c r="S284" s="26">
        <v>59</v>
      </c>
      <c r="T284" s="26">
        <v>-7.0000000000000007E-2</v>
      </c>
      <c r="U284" s="26">
        <v>-0.02</v>
      </c>
      <c r="V284" s="20">
        <v>1183.58</v>
      </c>
    </row>
    <row r="285" spans="1:22" ht="16.8" x14ac:dyDescent="0.3">
      <c r="A285" s="20">
        <v>28.4</v>
      </c>
      <c r="B285" s="20">
        <v>59</v>
      </c>
      <c r="C285" s="20">
        <v>58.91</v>
      </c>
      <c r="D285" s="20">
        <v>0.09</v>
      </c>
      <c r="E285" s="20">
        <v>0</v>
      </c>
      <c r="F285" s="20">
        <v>1486.79</v>
      </c>
      <c r="Q285" s="20">
        <v>28.4</v>
      </c>
      <c r="R285" s="20">
        <v>59.11</v>
      </c>
      <c r="S285" s="20">
        <v>59</v>
      </c>
      <c r="T285" s="20">
        <v>-0.11</v>
      </c>
      <c r="U285" s="26">
        <v>-0.04</v>
      </c>
      <c r="V285" s="20">
        <v>1174.72</v>
      </c>
    </row>
    <row r="286" spans="1:22" ht="16.8" x14ac:dyDescent="0.3">
      <c r="A286" s="20">
        <v>28.5</v>
      </c>
      <c r="B286" s="20">
        <v>59</v>
      </c>
      <c r="C286" s="20">
        <v>58.9</v>
      </c>
      <c r="D286" s="20">
        <v>0.1</v>
      </c>
      <c r="E286" s="20">
        <v>0.01</v>
      </c>
      <c r="F286" s="20">
        <v>1505.91</v>
      </c>
      <c r="Q286" s="20">
        <v>28.5</v>
      </c>
      <c r="R286" s="20">
        <v>59.07</v>
      </c>
      <c r="S286" s="20">
        <v>59</v>
      </c>
      <c r="T286" s="26">
        <v>-7.0000000000000007E-2</v>
      </c>
      <c r="U286" s="26">
        <v>0.04</v>
      </c>
      <c r="V286" s="20">
        <v>1188.2</v>
      </c>
    </row>
    <row r="287" spans="1:22" ht="16.8" x14ac:dyDescent="0.3">
      <c r="A287" s="20">
        <v>28.6</v>
      </c>
      <c r="B287" s="20">
        <v>59</v>
      </c>
      <c r="C287" s="20">
        <v>58.91</v>
      </c>
      <c r="D287" s="20">
        <v>0.09</v>
      </c>
      <c r="E287" s="20">
        <v>-0.01</v>
      </c>
      <c r="F287" s="20">
        <v>1486.79</v>
      </c>
      <c r="Q287" s="20">
        <v>28.6</v>
      </c>
      <c r="R287" s="20">
        <v>59.1</v>
      </c>
      <c r="S287" s="26">
        <v>59</v>
      </c>
      <c r="T287" s="20">
        <v>-0.1</v>
      </c>
      <c r="U287" s="26">
        <v>-0.02</v>
      </c>
      <c r="V287" s="20">
        <v>1178.32</v>
      </c>
    </row>
    <row r="288" spans="1:22" ht="16.8" x14ac:dyDescent="0.3">
      <c r="A288" s="20">
        <v>28.7</v>
      </c>
      <c r="B288" s="20">
        <v>59</v>
      </c>
      <c r="C288" s="20">
        <v>58.89</v>
      </c>
      <c r="D288" s="20">
        <v>0.11</v>
      </c>
      <c r="E288" s="20">
        <v>0.02</v>
      </c>
      <c r="F288" s="20">
        <v>1518.27</v>
      </c>
      <c r="Q288" s="20">
        <v>28.7</v>
      </c>
      <c r="R288" s="20">
        <v>59.15</v>
      </c>
      <c r="S288" s="20">
        <v>59</v>
      </c>
      <c r="T288" s="26">
        <v>-0.15</v>
      </c>
      <c r="U288" s="26">
        <v>-0.06</v>
      </c>
      <c r="V288" s="20">
        <v>1166.08</v>
      </c>
    </row>
    <row r="289" spans="1:22" ht="16.8" x14ac:dyDescent="0.3">
      <c r="A289" s="20">
        <v>28.8</v>
      </c>
      <c r="B289" s="20">
        <v>59</v>
      </c>
      <c r="C289" s="20">
        <v>58.89</v>
      </c>
      <c r="D289" s="20">
        <v>0.11</v>
      </c>
      <c r="E289" s="20">
        <v>0</v>
      </c>
      <c r="F289" s="20">
        <v>1518.27</v>
      </c>
      <c r="Q289" s="20">
        <v>28.8</v>
      </c>
      <c r="R289" s="20">
        <v>59.09</v>
      </c>
      <c r="S289" s="26">
        <v>59</v>
      </c>
      <c r="T289" s="20">
        <v>-0.09</v>
      </c>
      <c r="U289" s="20">
        <v>0.06</v>
      </c>
      <c r="V289" s="20">
        <v>1187</v>
      </c>
    </row>
    <row r="290" spans="1:22" ht="16.8" x14ac:dyDescent="0.3">
      <c r="A290" s="20">
        <v>28.9</v>
      </c>
      <c r="B290" s="20">
        <v>59</v>
      </c>
      <c r="C290" s="20">
        <v>58.9</v>
      </c>
      <c r="D290" s="20">
        <v>0.1</v>
      </c>
      <c r="E290" s="20">
        <v>-0.01</v>
      </c>
      <c r="F290" s="20">
        <v>1505.91</v>
      </c>
      <c r="Q290" s="20">
        <v>28.9</v>
      </c>
      <c r="R290" s="20">
        <v>59.1</v>
      </c>
      <c r="S290" s="20">
        <v>59</v>
      </c>
      <c r="T290" s="26">
        <v>-0.1</v>
      </c>
      <c r="U290" s="26">
        <v>-0.01</v>
      </c>
      <c r="V290" s="20">
        <v>1178.95</v>
      </c>
    </row>
    <row r="291" spans="1:22" ht="16.8" x14ac:dyDescent="0.3">
      <c r="A291" s="20">
        <v>29</v>
      </c>
      <c r="B291" s="20">
        <v>59</v>
      </c>
      <c r="C291" s="20">
        <v>58.89</v>
      </c>
      <c r="D291" s="20">
        <v>0.11</v>
      </c>
      <c r="E291" s="20">
        <v>0.01</v>
      </c>
      <c r="F291" s="20">
        <v>1524.37</v>
      </c>
      <c r="Q291" s="20">
        <v>29</v>
      </c>
      <c r="R291" s="20">
        <v>59.06</v>
      </c>
      <c r="S291" s="26">
        <v>59</v>
      </c>
      <c r="T291" s="20">
        <v>-0.06</v>
      </c>
      <c r="U291" s="20">
        <v>0.04</v>
      </c>
      <c r="V291" s="20">
        <v>1189.58</v>
      </c>
    </row>
    <row r="292" spans="1:22" ht="16.8" x14ac:dyDescent="0.3">
      <c r="A292" s="20">
        <v>29.1</v>
      </c>
      <c r="B292" s="20">
        <v>59</v>
      </c>
      <c r="C292" s="20">
        <v>58.95</v>
      </c>
      <c r="D292" s="20">
        <v>0.05</v>
      </c>
      <c r="E292" s="20">
        <v>-0.06</v>
      </c>
      <c r="F292" s="20">
        <v>1424.89</v>
      </c>
      <c r="Q292" s="20">
        <v>29.1</v>
      </c>
      <c r="R292" s="20">
        <v>59.1</v>
      </c>
      <c r="S292" s="20">
        <v>59</v>
      </c>
      <c r="T292" s="20">
        <v>-0.1</v>
      </c>
      <c r="U292" s="26">
        <v>-0.04</v>
      </c>
      <c r="V292" s="20">
        <v>1175.68</v>
      </c>
    </row>
    <row r="293" spans="1:22" ht="16.8" x14ac:dyDescent="0.3">
      <c r="A293" s="20">
        <v>29.2</v>
      </c>
      <c r="B293" s="20">
        <v>59</v>
      </c>
      <c r="C293" s="20">
        <v>58.92</v>
      </c>
      <c r="D293" s="20">
        <v>0.08</v>
      </c>
      <c r="E293" s="20">
        <v>0.02</v>
      </c>
      <c r="F293" s="20">
        <v>1466.92</v>
      </c>
      <c r="Q293" s="20">
        <v>29.2</v>
      </c>
      <c r="R293" s="20">
        <v>59.06</v>
      </c>
      <c r="S293" s="26">
        <v>59</v>
      </c>
      <c r="T293" s="26">
        <v>-0.06</v>
      </c>
      <c r="U293" s="26">
        <v>0.04</v>
      </c>
      <c r="V293" s="20">
        <v>1189.21</v>
      </c>
    </row>
    <row r="294" spans="1:22" ht="16.8" x14ac:dyDescent="0.3">
      <c r="A294" s="20">
        <v>29.3</v>
      </c>
      <c r="B294" s="20">
        <v>59</v>
      </c>
      <c r="C294" s="20">
        <v>58.98</v>
      </c>
      <c r="D294" s="20">
        <v>0.02</v>
      </c>
      <c r="E294" s="20">
        <v>-0.06</v>
      </c>
      <c r="F294" s="20">
        <v>1363.56</v>
      </c>
      <c r="Q294" s="20">
        <v>29.3</v>
      </c>
      <c r="R294" s="20">
        <v>59.1</v>
      </c>
      <c r="S294" s="20">
        <v>59</v>
      </c>
      <c r="T294" s="20">
        <v>-0.1</v>
      </c>
      <c r="U294" s="26">
        <v>-0.04</v>
      </c>
      <c r="V294" s="20">
        <v>1175.31</v>
      </c>
    </row>
    <row r="295" spans="1:22" ht="16.8" x14ac:dyDescent="0.3">
      <c r="A295" s="20">
        <v>29.4</v>
      </c>
      <c r="B295" s="20">
        <v>59</v>
      </c>
      <c r="C295" s="20">
        <v>58.98</v>
      </c>
      <c r="D295" s="20">
        <v>0.02</v>
      </c>
      <c r="E295" s="20">
        <v>-0.06</v>
      </c>
      <c r="F295" s="20">
        <v>1363.56</v>
      </c>
      <c r="Q295" s="20">
        <v>29.4</v>
      </c>
      <c r="R295" s="20">
        <v>59.07</v>
      </c>
      <c r="S295" s="20">
        <v>59</v>
      </c>
      <c r="T295" s="26">
        <v>-7.0000000000000007E-2</v>
      </c>
      <c r="U295" s="26">
        <v>0.02</v>
      </c>
      <c r="V295" s="20">
        <v>1184.79</v>
      </c>
    </row>
    <row r="296" spans="1:22" ht="16.8" x14ac:dyDescent="0.3">
      <c r="A296" s="20">
        <v>29.5</v>
      </c>
      <c r="B296" s="20">
        <v>59</v>
      </c>
      <c r="C296" s="20">
        <v>58.97</v>
      </c>
      <c r="D296" s="20">
        <v>0.03</v>
      </c>
      <c r="E296" s="20">
        <v>0.01</v>
      </c>
      <c r="F296" s="20">
        <v>1379.5</v>
      </c>
      <c r="Q296" s="20">
        <v>29.5</v>
      </c>
      <c r="R296" s="20">
        <v>59.05</v>
      </c>
      <c r="S296" s="26">
        <v>59</v>
      </c>
      <c r="T296" s="20">
        <v>-0.05</v>
      </c>
      <c r="U296" s="26">
        <v>0.02</v>
      </c>
      <c r="V296" s="20">
        <v>1188.51</v>
      </c>
    </row>
    <row r="297" spans="1:22" ht="16.8" x14ac:dyDescent="0.3">
      <c r="A297" s="20">
        <v>29.6</v>
      </c>
      <c r="B297" s="20">
        <v>59</v>
      </c>
      <c r="C297" s="20">
        <v>59.02</v>
      </c>
      <c r="D297" s="20">
        <v>-0.02</v>
      </c>
      <c r="E297" s="20">
        <v>-0.05</v>
      </c>
      <c r="F297" s="20">
        <v>1307.3399999999999</v>
      </c>
      <c r="Q297" s="20">
        <v>29.6</v>
      </c>
      <c r="R297" s="20">
        <v>59.14</v>
      </c>
      <c r="S297" s="20">
        <v>59</v>
      </c>
      <c r="T297" s="26">
        <v>-0.14000000000000001</v>
      </c>
      <c r="U297" s="26">
        <v>-0.09</v>
      </c>
      <c r="V297" s="20">
        <v>1163.92</v>
      </c>
    </row>
    <row r="298" spans="1:22" ht="16.8" x14ac:dyDescent="0.3">
      <c r="A298" s="20">
        <v>29.7</v>
      </c>
      <c r="B298" s="20">
        <v>59</v>
      </c>
      <c r="C298" s="20">
        <v>58.98</v>
      </c>
      <c r="D298" s="20">
        <v>0.02</v>
      </c>
      <c r="E298" s="20">
        <v>0.04</v>
      </c>
      <c r="F298" s="20">
        <v>1363.56</v>
      </c>
      <c r="Q298" s="20">
        <v>29.7</v>
      </c>
      <c r="R298" s="20">
        <v>59.06</v>
      </c>
      <c r="S298" s="26">
        <v>59</v>
      </c>
      <c r="T298" s="20">
        <v>-0.06</v>
      </c>
      <c r="U298" s="26">
        <v>0.08</v>
      </c>
      <c r="V298" s="20">
        <v>1191.8399999999999</v>
      </c>
    </row>
    <row r="299" spans="1:22" ht="16.8" x14ac:dyDescent="0.3">
      <c r="A299" s="20">
        <v>29.8</v>
      </c>
      <c r="B299" s="20">
        <v>59</v>
      </c>
      <c r="C299" s="20">
        <v>58.98</v>
      </c>
      <c r="D299" s="20">
        <v>0.02</v>
      </c>
      <c r="E299" s="20">
        <v>0</v>
      </c>
      <c r="F299" s="20">
        <v>1363.56</v>
      </c>
      <c r="Q299" s="20">
        <v>29.8</v>
      </c>
      <c r="R299" s="20">
        <v>59.09</v>
      </c>
      <c r="S299" s="20">
        <v>59</v>
      </c>
      <c r="T299" s="26">
        <v>-0.09</v>
      </c>
      <c r="U299" s="26">
        <v>-0.03</v>
      </c>
      <c r="V299" s="20">
        <v>1176.3499999999999</v>
      </c>
    </row>
    <row r="300" spans="1:22" ht="16.8" x14ac:dyDescent="0.3">
      <c r="A300" s="20">
        <v>29.9</v>
      </c>
      <c r="B300" s="20">
        <v>59</v>
      </c>
      <c r="C300" s="20">
        <v>59.01</v>
      </c>
      <c r="D300" s="20">
        <v>-0.01</v>
      </c>
      <c r="E300" s="20">
        <v>-0.03</v>
      </c>
      <c r="F300" s="20">
        <v>1316.54</v>
      </c>
      <c r="Q300" s="20">
        <v>29.9</v>
      </c>
      <c r="R300" s="20">
        <v>59.11</v>
      </c>
      <c r="S300" s="26">
        <v>59</v>
      </c>
      <c r="T300" s="20">
        <v>-0.11</v>
      </c>
      <c r="U300" s="20">
        <v>-0.02</v>
      </c>
      <c r="V300" s="20">
        <v>1172.95</v>
      </c>
    </row>
    <row r="301" spans="1:22" ht="16.8" x14ac:dyDescent="0.3">
      <c r="A301" s="20">
        <v>30</v>
      </c>
      <c r="B301" s="20">
        <v>59</v>
      </c>
      <c r="C301" s="20">
        <v>58.99</v>
      </c>
      <c r="D301" s="20">
        <v>0.01</v>
      </c>
      <c r="E301" s="20">
        <v>0.02</v>
      </c>
      <c r="F301" s="20">
        <v>1347.18</v>
      </c>
      <c r="Q301" s="20">
        <v>30</v>
      </c>
      <c r="R301" s="20">
        <v>59.11</v>
      </c>
      <c r="S301" s="20">
        <v>59</v>
      </c>
      <c r="T301" s="26">
        <v>-0.11</v>
      </c>
      <c r="U301" s="26">
        <v>0</v>
      </c>
      <c r="V301" s="20">
        <v>1174.8599999999999</v>
      </c>
    </row>
    <row r="302" spans="1:22" ht="16.8" x14ac:dyDescent="0.3">
      <c r="A302" s="20">
        <v>30.1</v>
      </c>
      <c r="B302" s="20">
        <v>59</v>
      </c>
      <c r="C302" s="20">
        <v>59</v>
      </c>
      <c r="D302" s="20">
        <v>0</v>
      </c>
      <c r="E302" s="20">
        <v>-0.01</v>
      </c>
      <c r="F302" s="20">
        <v>1322.75</v>
      </c>
      <c r="Q302" s="20">
        <v>30.1</v>
      </c>
      <c r="R302" s="20">
        <v>59.08</v>
      </c>
      <c r="S302" s="20">
        <v>59</v>
      </c>
      <c r="T302" s="20">
        <v>-0.08</v>
      </c>
      <c r="U302" s="20">
        <v>0.03</v>
      </c>
      <c r="V302" s="20">
        <v>1182.69</v>
      </c>
    </row>
    <row r="303" spans="1:22" ht="16.8" x14ac:dyDescent="0.3">
      <c r="A303" s="20">
        <v>30.2</v>
      </c>
      <c r="B303" s="20">
        <v>59</v>
      </c>
      <c r="C303" s="20">
        <v>59.06</v>
      </c>
      <c r="D303" s="20">
        <v>-0.06</v>
      </c>
      <c r="E303" s="20">
        <v>-0.06</v>
      </c>
      <c r="F303" s="20">
        <v>1277.99</v>
      </c>
      <c r="Q303" s="20">
        <v>30.2</v>
      </c>
      <c r="R303" s="20">
        <v>59.11</v>
      </c>
      <c r="S303" s="26">
        <v>59</v>
      </c>
      <c r="T303" s="20">
        <v>-0.11</v>
      </c>
      <c r="U303" s="26">
        <v>-0.02</v>
      </c>
      <c r="V303" s="20">
        <v>1173.51</v>
      </c>
    </row>
    <row r="304" spans="1:22" ht="16.8" x14ac:dyDescent="0.3">
      <c r="A304" s="20">
        <v>30.3</v>
      </c>
      <c r="B304" s="20">
        <v>59</v>
      </c>
      <c r="C304" s="20">
        <v>59.05</v>
      </c>
      <c r="D304" s="20">
        <v>-0.05</v>
      </c>
      <c r="E304" s="20">
        <v>0.02</v>
      </c>
      <c r="F304" s="20">
        <v>1289.54</v>
      </c>
      <c r="Q304" s="20">
        <v>30.3</v>
      </c>
      <c r="R304" s="20">
        <v>59.05</v>
      </c>
      <c r="S304" s="20">
        <v>59</v>
      </c>
      <c r="T304" s="26">
        <v>-0.05</v>
      </c>
      <c r="U304" s="20">
        <v>0.06</v>
      </c>
      <c r="V304" s="20">
        <v>1189.6199999999999</v>
      </c>
    </row>
    <row r="305" spans="1:22" ht="16.8" x14ac:dyDescent="0.3">
      <c r="A305" s="20">
        <v>30.4</v>
      </c>
      <c r="B305" s="20">
        <v>59</v>
      </c>
      <c r="C305" s="20">
        <v>59</v>
      </c>
      <c r="D305" s="20">
        <v>0</v>
      </c>
      <c r="E305" s="20">
        <v>0.04</v>
      </c>
      <c r="F305" s="20">
        <v>1322.75</v>
      </c>
      <c r="Q305" s="20">
        <v>30.4</v>
      </c>
      <c r="R305" s="20">
        <v>59.07</v>
      </c>
      <c r="S305" s="20">
        <v>59</v>
      </c>
      <c r="T305" s="20">
        <v>-7.0000000000000007E-2</v>
      </c>
      <c r="U305" s="26">
        <v>-0.02</v>
      </c>
      <c r="V305" s="20">
        <v>1180.3800000000001</v>
      </c>
    </row>
    <row r="306" spans="1:22" ht="16.8" x14ac:dyDescent="0.3">
      <c r="A306" s="20">
        <v>30.5</v>
      </c>
      <c r="B306" s="20">
        <v>59</v>
      </c>
      <c r="C306" s="20">
        <v>59.07</v>
      </c>
      <c r="D306" s="20">
        <v>-7.0000000000000007E-2</v>
      </c>
      <c r="E306" s="20">
        <v>-7.0000000000000007E-2</v>
      </c>
      <c r="F306" s="20">
        <v>1272.31</v>
      </c>
      <c r="Q306" s="20">
        <v>30.5</v>
      </c>
      <c r="R306" s="20">
        <v>59.05</v>
      </c>
      <c r="S306" s="26">
        <v>59</v>
      </c>
      <c r="T306" s="26">
        <v>-0.05</v>
      </c>
      <c r="U306" s="26">
        <v>0.02</v>
      </c>
      <c r="V306" s="20">
        <v>1185.72</v>
      </c>
    </row>
    <row r="307" spans="1:22" ht="16.8" x14ac:dyDescent="0.3">
      <c r="A307" s="20">
        <v>30.6</v>
      </c>
      <c r="B307" s="20">
        <v>59</v>
      </c>
      <c r="C307" s="20">
        <v>59.01</v>
      </c>
      <c r="D307" s="20">
        <v>-0.01</v>
      </c>
      <c r="E307" s="20">
        <v>0.06</v>
      </c>
      <c r="F307" s="20">
        <v>1316.54</v>
      </c>
      <c r="Q307" s="20">
        <v>30.6</v>
      </c>
      <c r="R307" s="20">
        <v>59.1</v>
      </c>
      <c r="S307" s="20">
        <v>59</v>
      </c>
      <c r="T307" s="20">
        <v>-0.1</v>
      </c>
      <c r="U307" s="26">
        <v>-0.05</v>
      </c>
      <c r="V307" s="20">
        <v>1171.99</v>
      </c>
    </row>
    <row r="308" spans="1:22" ht="16.8" x14ac:dyDescent="0.3">
      <c r="A308" s="20">
        <v>30.7</v>
      </c>
      <c r="B308" s="20">
        <v>59</v>
      </c>
      <c r="C308" s="20">
        <v>59.05</v>
      </c>
      <c r="D308" s="20">
        <v>-0.05</v>
      </c>
      <c r="E308" s="20">
        <v>-0.04</v>
      </c>
      <c r="F308" s="20">
        <v>1283.74</v>
      </c>
      <c r="Q308" s="20">
        <v>30.7</v>
      </c>
      <c r="R308" s="20">
        <v>59.07</v>
      </c>
      <c r="S308" s="26">
        <v>59</v>
      </c>
      <c r="T308" s="26">
        <v>-7.0000000000000007E-2</v>
      </c>
      <c r="U308" s="26">
        <v>0.03</v>
      </c>
      <c r="V308" s="20">
        <v>1184.22</v>
      </c>
    </row>
    <row r="309" spans="1:22" ht="16.8" x14ac:dyDescent="0.3">
      <c r="A309" s="20">
        <v>30.8</v>
      </c>
      <c r="B309" s="20">
        <v>59</v>
      </c>
      <c r="C309" s="20">
        <v>58.98</v>
      </c>
      <c r="D309" s="20">
        <v>0.02</v>
      </c>
      <c r="E309" s="20">
        <v>7.0000000000000007E-2</v>
      </c>
      <c r="F309" s="20">
        <v>1363.56</v>
      </c>
      <c r="Q309" s="20">
        <v>30.8</v>
      </c>
      <c r="R309" s="20">
        <v>59.08</v>
      </c>
      <c r="S309" s="20">
        <v>59</v>
      </c>
      <c r="T309" s="20">
        <v>-0.08</v>
      </c>
      <c r="U309" s="26">
        <v>-0.02</v>
      </c>
      <c r="V309" s="20">
        <v>1177.1099999999999</v>
      </c>
    </row>
    <row r="310" spans="1:22" ht="16.8" x14ac:dyDescent="0.3">
      <c r="A310" s="20">
        <v>30.9</v>
      </c>
      <c r="B310" s="20">
        <v>59</v>
      </c>
      <c r="C310" s="20">
        <v>59.02</v>
      </c>
      <c r="D310" s="20">
        <v>-0.02</v>
      </c>
      <c r="E310" s="20">
        <v>-0.04</v>
      </c>
      <c r="F310" s="20">
        <v>1304.32</v>
      </c>
      <c r="Q310" s="20">
        <v>30.9</v>
      </c>
      <c r="R310" s="20">
        <v>59.02</v>
      </c>
      <c r="S310" s="26">
        <v>59</v>
      </c>
      <c r="T310" s="26">
        <v>-0.02</v>
      </c>
      <c r="U310" s="26">
        <v>0.06</v>
      </c>
      <c r="V310" s="20">
        <v>1192.55</v>
      </c>
    </row>
    <row r="311" spans="1:22" ht="16.8" x14ac:dyDescent="0.3">
      <c r="A311" s="20">
        <v>31</v>
      </c>
      <c r="B311" s="20">
        <v>59</v>
      </c>
      <c r="C311" s="20">
        <v>58.97</v>
      </c>
      <c r="D311" s="20">
        <v>0.03</v>
      </c>
      <c r="E311" s="20">
        <v>0.06</v>
      </c>
      <c r="F311" s="20">
        <v>1387.32</v>
      </c>
      <c r="Q311" s="20">
        <v>31</v>
      </c>
      <c r="R311" s="20">
        <v>59.07</v>
      </c>
      <c r="S311" s="20">
        <v>59</v>
      </c>
      <c r="T311" s="20">
        <v>-7.0000000000000007E-2</v>
      </c>
      <c r="U311" s="20">
        <v>-0.04</v>
      </c>
      <c r="V311" s="20">
        <v>1177.28</v>
      </c>
    </row>
    <row r="312" spans="1:22" ht="16.8" x14ac:dyDescent="0.3">
      <c r="A312" s="20">
        <v>31.1</v>
      </c>
      <c r="B312" s="20">
        <v>59</v>
      </c>
      <c r="C312" s="20">
        <v>59</v>
      </c>
      <c r="D312" s="20">
        <v>0</v>
      </c>
      <c r="E312" s="20">
        <v>-0.04</v>
      </c>
      <c r="F312" s="20">
        <v>1319.64</v>
      </c>
      <c r="Q312" s="20">
        <v>31.1</v>
      </c>
      <c r="R312" s="20">
        <v>59.05</v>
      </c>
      <c r="S312" s="26">
        <v>59</v>
      </c>
      <c r="T312" s="20">
        <v>-0.05</v>
      </c>
      <c r="U312" s="26">
        <v>0.02</v>
      </c>
      <c r="V312" s="20">
        <v>1184.8</v>
      </c>
    </row>
    <row r="313" spans="1:22" ht="16.8" x14ac:dyDescent="0.3">
      <c r="A313" s="20">
        <v>31.2</v>
      </c>
      <c r="B313" s="20">
        <v>59</v>
      </c>
      <c r="C313" s="20">
        <v>58.98</v>
      </c>
      <c r="D313" s="20">
        <v>0.02</v>
      </c>
      <c r="E313" s="20">
        <v>0.02</v>
      </c>
      <c r="F313" s="20">
        <v>1363.56</v>
      </c>
      <c r="Q313" s="20">
        <v>31.2</v>
      </c>
      <c r="R313" s="20">
        <v>59.15</v>
      </c>
      <c r="S313" s="20">
        <v>59</v>
      </c>
      <c r="T313" s="26">
        <v>-0.15</v>
      </c>
      <c r="U313" s="20">
        <v>-0.1</v>
      </c>
      <c r="V313" s="20">
        <v>1158.9100000000001</v>
      </c>
    </row>
    <row r="314" spans="1:22" ht="16.8" x14ac:dyDescent="0.3">
      <c r="A314" s="20">
        <v>31.3</v>
      </c>
      <c r="B314" s="20">
        <v>59</v>
      </c>
      <c r="C314" s="20">
        <v>58.94</v>
      </c>
      <c r="D314" s="20">
        <v>0.06</v>
      </c>
      <c r="E314" s="20">
        <v>0.04</v>
      </c>
      <c r="F314" s="20">
        <v>1446.3</v>
      </c>
      <c r="Q314" s="20">
        <v>31.3</v>
      </c>
      <c r="R314" s="20">
        <v>59.05</v>
      </c>
      <c r="S314" s="26">
        <v>59</v>
      </c>
      <c r="T314" s="20">
        <v>-0.05</v>
      </c>
      <c r="U314" s="26">
        <v>0.1</v>
      </c>
      <c r="V314" s="20">
        <v>1191.5899999999999</v>
      </c>
    </row>
    <row r="315" spans="1:22" ht="16.8" x14ac:dyDescent="0.3">
      <c r="A315" s="20">
        <v>31.4</v>
      </c>
      <c r="B315" s="20">
        <v>59</v>
      </c>
      <c r="C315" s="20">
        <v>58.94</v>
      </c>
      <c r="D315" s="20">
        <v>0.06</v>
      </c>
      <c r="E315" s="20">
        <v>-0.01</v>
      </c>
      <c r="F315" s="20">
        <v>1432.12</v>
      </c>
      <c r="Q315" s="20">
        <v>31.4</v>
      </c>
      <c r="R315" s="20">
        <v>59.07</v>
      </c>
      <c r="S315" s="20">
        <v>59</v>
      </c>
      <c r="T315" s="26">
        <v>-7.0000000000000007E-2</v>
      </c>
      <c r="U315" s="26">
        <v>-0.02</v>
      </c>
      <c r="V315" s="20">
        <v>1178.72</v>
      </c>
    </row>
    <row r="316" spans="1:22" ht="16.8" x14ac:dyDescent="0.3">
      <c r="A316" s="20">
        <v>31.5</v>
      </c>
      <c r="B316" s="20">
        <v>59</v>
      </c>
      <c r="C316" s="20">
        <v>58.93</v>
      </c>
      <c r="D316" s="20">
        <v>7.0000000000000007E-2</v>
      </c>
      <c r="E316" s="20">
        <v>0.01</v>
      </c>
      <c r="F316" s="20">
        <v>1453.26</v>
      </c>
      <c r="Q316" s="20">
        <v>31.5</v>
      </c>
      <c r="R316" s="20">
        <v>59.07</v>
      </c>
      <c r="S316" s="26">
        <v>59</v>
      </c>
      <c r="T316" s="20">
        <v>-7.0000000000000007E-2</v>
      </c>
      <c r="U316" s="26">
        <v>0</v>
      </c>
      <c r="V316" s="20">
        <v>1180.01</v>
      </c>
    </row>
    <row r="317" spans="1:22" ht="16.8" x14ac:dyDescent="0.3">
      <c r="A317" s="20">
        <v>31.6</v>
      </c>
      <c r="B317" s="20">
        <v>59</v>
      </c>
      <c r="C317" s="20">
        <v>58.91</v>
      </c>
      <c r="D317" s="20">
        <v>0.09</v>
      </c>
      <c r="E317" s="20">
        <v>0.02</v>
      </c>
      <c r="F317" s="20">
        <v>1493.23</v>
      </c>
      <c r="Q317" s="20">
        <v>31.6</v>
      </c>
      <c r="R317" s="20">
        <v>59.06</v>
      </c>
      <c r="S317" s="20">
        <v>59</v>
      </c>
      <c r="T317" s="26">
        <v>-0.06</v>
      </c>
      <c r="U317" s="26">
        <v>0.01</v>
      </c>
      <c r="V317" s="20">
        <v>1181.8800000000001</v>
      </c>
    </row>
    <row r="318" spans="1:22" ht="16.8" x14ac:dyDescent="0.3">
      <c r="A318" s="20">
        <v>31.7</v>
      </c>
      <c r="B318" s="20">
        <v>59</v>
      </c>
      <c r="C318" s="20">
        <v>58.97</v>
      </c>
      <c r="D318" s="20">
        <v>0.03</v>
      </c>
      <c r="E318" s="20">
        <v>-0.06</v>
      </c>
      <c r="F318" s="20">
        <v>1379.5</v>
      </c>
      <c r="Q318" s="20">
        <v>31.7</v>
      </c>
      <c r="R318" s="20">
        <v>59.02</v>
      </c>
      <c r="S318" s="20">
        <v>59</v>
      </c>
      <c r="T318" s="20">
        <v>-0.02</v>
      </c>
      <c r="U318" s="26">
        <v>0.04</v>
      </c>
      <c r="V318" s="20">
        <v>1191.1500000000001</v>
      </c>
    </row>
    <row r="319" spans="1:22" ht="16.8" x14ac:dyDescent="0.3">
      <c r="A319" s="20">
        <v>31.8</v>
      </c>
      <c r="B319" s="20">
        <v>59</v>
      </c>
      <c r="C319" s="20">
        <v>58.87</v>
      </c>
      <c r="D319" s="20">
        <v>0.13</v>
      </c>
      <c r="E319" s="20">
        <v>0.1</v>
      </c>
      <c r="F319" s="20">
        <v>1548.48</v>
      </c>
      <c r="Q319" s="20">
        <v>31.8</v>
      </c>
      <c r="R319" s="20">
        <v>59.04</v>
      </c>
      <c r="S319" s="26">
        <v>59</v>
      </c>
      <c r="T319" s="26">
        <v>-0.04</v>
      </c>
      <c r="U319" s="26">
        <v>-0.02</v>
      </c>
      <c r="V319" s="20">
        <v>1181.4000000000001</v>
      </c>
    </row>
    <row r="320" spans="1:22" ht="16.8" x14ac:dyDescent="0.3">
      <c r="A320" s="20">
        <v>31.9</v>
      </c>
      <c r="B320" s="20">
        <v>59</v>
      </c>
      <c r="C320" s="20">
        <v>58.92</v>
      </c>
      <c r="D320" s="20">
        <v>0.08</v>
      </c>
      <c r="E320" s="20">
        <v>-0.04</v>
      </c>
      <c r="F320" s="20">
        <v>1480.21</v>
      </c>
      <c r="Q320" s="20">
        <v>31.9</v>
      </c>
      <c r="R320" s="20">
        <v>59.05</v>
      </c>
      <c r="S320" s="20">
        <v>59</v>
      </c>
      <c r="T320" s="20">
        <v>-0.05</v>
      </c>
      <c r="U320" s="26">
        <v>-0.01</v>
      </c>
      <c r="V320" s="20">
        <v>1181.46</v>
      </c>
    </row>
    <row r="321" spans="1:22" ht="16.8" x14ac:dyDescent="0.3">
      <c r="A321" s="20">
        <v>32</v>
      </c>
      <c r="B321" s="20">
        <v>59</v>
      </c>
      <c r="C321" s="20">
        <v>58.88</v>
      </c>
      <c r="D321" s="20">
        <v>0.12</v>
      </c>
      <c r="E321" s="20">
        <v>0.04</v>
      </c>
      <c r="F321" s="20">
        <v>1542.13</v>
      </c>
      <c r="Q321" s="20">
        <v>32</v>
      </c>
      <c r="R321" s="20">
        <v>59.11</v>
      </c>
      <c r="S321" s="20">
        <v>59</v>
      </c>
      <c r="T321" s="26">
        <v>-0.11</v>
      </c>
      <c r="U321" s="26">
        <v>-0.06</v>
      </c>
      <c r="V321" s="20">
        <v>1167.8800000000001</v>
      </c>
    </row>
    <row r="322" spans="1:22" ht="16.8" x14ac:dyDescent="0.3">
      <c r="A322" s="20">
        <v>32.1</v>
      </c>
      <c r="B322" s="20">
        <v>59</v>
      </c>
      <c r="C322" s="20">
        <v>58.93</v>
      </c>
      <c r="D322" s="20">
        <v>7.0000000000000007E-2</v>
      </c>
      <c r="E322" s="20">
        <v>-0.06</v>
      </c>
      <c r="F322" s="20">
        <v>1453.26</v>
      </c>
      <c r="Q322" s="20">
        <v>32.1</v>
      </c>
      <c r="R322" s="20">
        <v>59.05</v>
      </c>
      <c r="S322" s="26">
        <v>59</v>
      </c>
      <c r="T322" s="20">
        <v>-0.05</v>
      </c>
      <c r="U322" s="26">
        <v>0.06</v>
      </c>
      <c r="V322" s="20">
        <v>1186.8900000000001</v>
      </c>
    </row>
    <row r="323" spans="1:22" ht="16.8" x14ac:dyDescent="0.3">
      <c r="A323" s="20">
        <v>32.200000000000003</v>
      </c>
      <c r="B323" s="20">
        <v>59</v>
      </c>
      <c r="C323" s="20">
        <v>58.94</v>
      </c>
      <c r="D323" s="20">
        <v>0.06</v>
      </c>
      <c r="E323" s="20">
        <v>-0.01</v>
      </c>
      <c r="F323" s="20">
        <v>1439.24</v>
      </c>
      <c r="Q323" s="20">
        <v>32.200000000000003</v>
      </c>
      <c r="R323" s="20">
        <v>59.06</v>
      </c>
      <c r="S323" s="20">
        <v>59</v>
      </c>
      <c r="T323" s="20">
        <v>-0.06</v>
      </c>
      <c r="U323" s="26">
        <v>-0.01</v>
      </c>
      <c r="V323" s="20">
        <v>1179.67</v>
      </c>
    </row>
    <row r="324" spans="1:22" ht="16.8" x14ac:dyDescent="0.3">
      <c r="A324" s="20">
        <v>32.299999999999997</v>
      </c>
      <c r="B324" s="20">
        <v>59</v>
      </c>
      <c r="C324" s="20">
        <v>58.93</v>
      </c>
      <c r="D324" s="20">
        <v>7.0000000000000007E-2</v>
      </c>
      <c r="E324" s="20">
        <v>0.01</v>
      </c>
      <c r="F324" s="20">
        <v>1453.26</v>
      </c>
      <c r="Q324" s="20">
        <v>32.299999999999997</v>
      </c>
      <c r="R324" s="20">
        <v>59.09</v>
      </c>
      <c r="S324" s="26">
        <v>59</v>
      </c>
      <c r="T324" s="26">
        <v>-0.09</v>
      </c>
      <c r="U324" s="20">
        <v>-0.03</v>
      </c>
      <c r="V324" s="20">
        <v>1172.1500000000001</v>
      </c>
    </row>
    <row r="325" spans="1:22" ht="16.8" x14ac:dyDescent="0.3">
      <c r="A325" s="20">
        <v>32.4</v>
      </c>
      <c r="B325" s="20">
        <v>59</v>
      </c>
      <c r="C325" s="20">
        <v>58.91</v>
      </c>
      <c r="D325" s="20">
        <v>0.09</v>
      </c>
      <c r="E325" s="20">
        <v>0.02</v>
      </c>
      <c r="F325" s="20">
        <v>1493.23</v>
      </c>
      <c r="Q325" s="20">
        <v>32.4</v>
      </c>
      <c r="R325" s="20">
        <v>59.07</v>
      </c>
      <c r="S325" s="20">
        <v>59</v>
      </c>
      <c r="T325" s="20">
        <v>-7.0000000000000007E-2</v>
      </c>
      <c r="U325" s="26">
        <v>0.02</v>
      </c>
      <c r="V325" s="20">
        <v>1178.8900000000001</v>
      </c>
    </row>
    <row r="326" spans="1:22" ht="16.8" x14ac:dyDescent="0.3">
      <c r="A326" s="20">
        <v>32.5</v>
      </c>
      <c r="B326" s="20">
        <v>59</v>
      </c>
      <c r="C326" s="20">
        <v>58.92</v>
      </c>
      <c r="D326" s="20">
        <v>0.08</v>
      </c>
      <c r="E326" s="20">
        <v>-0.01</v>
      </c>
      <c r="F326" s="20">
        <v>1480.21</v>
      </c>
      <c r="Q326" s="20">
        <v>32.5</v>
      </c>
      <c r="R326" s="20">
        <v>59.05</v>
      </c>
      <c r="S326" s="20">
        <v>59</v>
      </c>
      <c r="T326" s="26">
        <v>-0.05</v>
      </c>
      <c r="U326" s="20">
        <v>0.02</v>
      </c>
      <c r="V326" s="20">
        <v>1183.3399999999999</v>
      </c>
    </row>
    <row r="327" spans="1:22" ht="16.8" x14ac:dyDescent="0.3">
      <c r="A327" s="20">
        <v>32.6</v>
      </c>
      <c r="B327" s="20">
        <v>59</v>
      </c>
      <c r="C327" s="20">
        <v>58.98</v>
      </c>
      <c r="D327" s="20">
        <v>0.02</v>
      </c>
      <c r="E327" s="20">
        <v>-7.0000000000000007E-2</v>
      </c>
      <c r="F327" s="20">
        <v>1355.39</v>
      </c>
      <c r="Q327" s="20">
        <v>32.6</v>
      </c>
      <c r="R327" s="20">
        <v>59.12</v>
      </c>
      <c r="S327" s="20">
        <v>59</v>
      </c>
      <c r="T327" s="20">
        <v>-0.12</v>
      </c>
      <c r="U327" s="26">
        <v>-7.0000000000000007E-2</v>
      </c>
      <c r="V327" s="20">
        <v>1162.81</v>
      </c>
    </row>
    <row r="328" spans="1:22" ht="16.8" x14ac:dyDescent="0.3">
      <c r="A328" s="20">
        <v>32.700000000000003</v>
      </c>
      <c r="B328" s="20">
        <v>59</v>
      </c>
      <c r="C328" s="20">
        <v>59.01</v>
      </c>
      <c r="D328" s="20">
        <v>-0.01</v>
      </c>
      <c r="E328" s="20">
        <v>-0.02</v>
      </c>
      <c r="F328" s="20">
        <v>1316.54</v>
      </c>
      <c r="Q328" s="20">
        <v>32.700000000000003</v>
      </c>
      <c r="R328" s="20">
        <v>59.09</v>
      </c>
      <c r="S328" s="20">
        <v>59</v>
      </c>
      <c r="T328" s="26">
        <v>-0.09</v>
      </c>
      <c r="U328" s="26">
        <v>0.03</v>
      </c>
      <c r="V328" s="20">
        <v>1177.1500000000001</v>
      </c>
    </row>
    <row r="329" spans="1:22" ht="16.8" x14ac:dyDescent="0.3">
      <c r="A329" s="20">
        <v>32.799999999999997</v>
      </c>
      <c r="B329" s="20">
        <v>59</v>
      </c>
      <c r="C329" s="20">
        <v>58.97</v>
      </c>
      <c r="D329" s="20">
        <v>0.03</v>
      </c>
      <c r="E329" s="20">
        <v>0.04</v>
      </c>
      <c r="F329" s="20">
        <v>1387.32</v>
      </c>
      <c r="Q329" s="20">
        <v>32.799999999999997</v>
      </c>
      <c r="R329" s="20">
        <v>58.99</v>
      </c>
      <c r="S329" s="20">
        <v>59</v>
      </c>
      <c r="T329" s="20">
        <v>0.01</v>
      </c>
      <c r="U329" s="26">
        <v>0.1</v>
      </c>
      <c r="V329" s="20">
        <v>1198.3499999999999</v>
      </c>
    </row>
    <row r="330" spans="1:22" ht="16.8" x14ac:dyDescent="0.3">
      <c r="A330" s="20">
        <v>32.9</v>
      </c>
      <c r="B330" s="20">
        <v>59</v>
      </c>
      <c r="C330" s="20">
        <v>58.96</v>
      </c>
      <c r="D330" s="20">
        <v>0.04</v>
      </c>
      <c r="E330" s="20">
        <v>0.01</v>
      </c>
      <c r="F330" s="20">
        <v>1410.17</v>
      </c>
      <c r="Q330" s="20">
        <v>32.9</v>
      </c>
      <c r="R330" s="20">
        <v>59.09</v>
      </c>
      <c r="S330" s="20">
        <v>59</v>
      </c>
      <c r="T330" s="26">
        <v>-0.09</v>
      </c>
      <c r="U330" s="26">
        <v>-0.1</v>
      </c>
      <c r="V330" s="20">
        <v>1165.3499999999999</v>
      </c>
    </row>
    <row r="331" spans="1:22" ht="16.8" x14ac:dyDescent="0.3">
      <c r="A331" s="20">
        <v>33</v>
      </c>
      <c r="B331" s="20">
        <v>59</v>
      </c>
      <c r="C331" s="20">
        <v>58.98</v>
      </c>
      <c r="D331" s="20">
        <v>0.02</v>
      </c>
      <c r="E331" s="20">
        <v>-0.02</v>
      </c>
      <c r="F331" s="20">
        <v>1363.56</v>
      </c>
      <c r="Q331" s="20">
        <v>33</v>
      </c>
      <c r="R331" s="20">
        <v>59.07</v>
      </c>
      <c r="S331" s="20">
        <v>59</v>
      </c>
      <c r="T331" s="20">
        <v>-7.0000000000000007E-2</v>
      </c>
      <c r="U331" s="26">
        <v>0.02</v>
      </c>
      <c r="V331" s="20">
        <v>1177.8900000000001</v>
      </c>
    </row>
    <row r="332" spans="1:22" ht="16.8" x14ac:dyDescent="0.3">
      <c r="A332" s="20">
        <v>33.1</v>
      </c>
      <c r="B332" s="20">
        <v>59</v>
      </c>
      <c r="C332" s="20">
        <v>59.02</v>
      </c>
      <c r="D332" s="20">
        <v>-0.02</v>
      </c>
      <c r="E332" s="20">
        <v>-0.04</v>
      </c>
      <c r="F332" s="20">
        <v>1304.32</v>
      </c>
      <c r="Q332" s="20">
        <v>33.1</v>
      </c>
      <c r="R332" s="20">
        <v>59.02</v>
      </c>
      <c r="S332" s="20">
        <v>59</v>
      </c>
      <c r="T332" s="26">
        <v>-0.02</v>
      </c>
      <c r="U332" s="26">
        <v>0.05</v>
      </c>
      <c r="V332" s="20">
        <v>1188.42</v>
      </c>
    </row>
    <row r="333" spans="1:22" ht="16.8" x14ac:dyDescent="0.3">
      <c r="A333" s="20">
        <v>33.200000000000003</v>
      </c>
      <c r="B333" s="20">
        <v>59</v>
      </c>
      <c r="C333" s="20">
        <v>59.04</v>
      </c>
      <c r="D333" s="20">
        <v>-0.04</v>
      </c>
      <c r="E333" s="20">
        <v>-0.01</v>
      </c>
      <c r="F333" s="20">
        <v>1295.4000000000001</v>
      </c>
      <c r="Q333" s="20">
        <v>33.200000000000003</v>
      </c>
      <c r="R333" s="20">
        <v>59.01</v>
      </c>
      <c r="S333" s="20">
        <v>59</v>
      </c>
      <c r="T333" s="20">
        <v>-0.01</v>
      </c>
      <c r="U333" s="20">
        <v>0.02</v>
      </c>
      <c r="V333" s="20">
        <v>1188.07</v>
      </c>
    </row>
    <row r="334" spans="1:22" ht="16.8" x14ac:dyDescent="0.3">
      <c r="A334" s="20">
        <v>33.299999999999997</v>
      </c>
      <c r="B334" s="20">
        <v>59</v>
      </c>
      <c r="C334" s="20">
        <v>59</v>
      </c>
      <c r="D334" s="20">
        <v>0</v>
      </c>
      <c r="E334" s="20">
        <v>0.03</v>
      </c>
      <c r="F334" s="20">
        <v>1319.64</v>
      </c>
      <c r="Q334" s="20">
        <v>33.299999999999997</v>
      </c>
      <c r="R334" s="20">
        <v>59.02</v>
      </c>
      <c r="S334" s="26">
        <v>59</v>
      </c>
      <c r="T334" s="20">
        <v>-0.02</v>
      </c>
      <c r="U334" s="26">
        <v>-0.02</v>
      </c>
      <c r="V334" s="20">
        <v>1182.54</v>
      </c>
    </row>
    <row r="335" spans="1:22" ht="16.8" x14ac:dyDescent="0.3">
      <c r="A335" s="20">
        <v>33.4</v>
      </c>
      <c r="B335" s="20">
        <v>59</v>
      </c>
      <c r="C335" s="20">
        <v>59.04</v>
      </c>
      <c r="D335" s="20">
        <v>-0.04</v>
      </c>
      <c r="E335" s="20">
        <v>-0.03</v>
      </c>
      <c r="F335" s="20">
        <v>1295.4000000000001</v>
      </c>
      <c r="Q335" s="20">
        <v>33.4</v>
      </c>
      <c r="R335" s="20">
        <v>59.11</v>
      </c>
      <c r="S335" s="20">
        <v>59</v>
      </c>
      <c r="T335" s="26">
        <v>-0.11</v>
      </c>
      <c r="U335" s="20">
        <v>-0.09</v>
      </c>
      <c r="V335" s="20">
        <v>1161.6400000000001</v>
      </c>
    </row>
    <row r="336" spans="1:22" ht="16.8" x14ac:dyDescent="0.3">
      <c r="A336" s="20">
        <v>33.5</v>
      </c>
      <c r="B336" s="20">
        <v>59</v>
      </c>
      <c r="C336" s="20">
        <v>59.03</v>
      </c>
      <c r="D336" s="20">
        <v>-0.03</v>
      </c>
      <c r="E336" s="20">
        <v>0</v>
      </c>
      <c r="F336" s="20">
        <v>1298.3599999999999</v>
      </c>
      <c r="Q336" s="20">
        <v>33.5</v>
      </c>
      <c r="R336" s="20">
        <v>59.11</v>
      </c>
      <c r="S336" s="26">
        <v>59</v>
      </c>
      <c r="T336" s="20">
        <v>-0.11</v>
      </c>
      <c r="U336" s="26">
        <v>0.01</v>
      </c>
      <c r="V336" s="20">
        <v>1171.3699999999999</v>
      </c>
    </row>
    <row r="337" spans="1:22" ht="16.8" x14ac:dyDescent="0.3">
      <c r="A337" s="20">
        <v>33.6</v>
      </c>
      <c r="B337" s="20">
        <v>59</v>
      </c>
      <c r="C337" s="20">
        <v>59</v>
      </c>
      <c r="D337" s="20">
        <v>0</v>
      </c>
      <c r="E337" s="20">
        <v>0.03</v>
      </c>
      <c r="F337" s="20">
        <v>1319.64</v>
      </c>
      <c r="Q337" s="20">
        <v>33.6</v>
      </c>
      <c r="R337" s="20">
        <v>59.12</v>
      </c>
      <c r="S337" s="20">
        <v>59</v>
      </c>
      <c r="T337" s="26">
        <v>-0.12</v>
      </c>
      <c r="U337" s="20">
        <v>-0.02</v>
      </c>
      <c r="V337" s="20">
        <v>1166.3399999999999</v>
      </c>
    </row>
    <row r="338" spans="1:22" ht="16.8" x14ac:dyDescent="0.3">
      <c r="A338" s="20">
        <v>33.700000000000003</v>
      </c>
      <c r="B338" s="20">
        <v>59</v>
      </c>
      <c r="C338" s="20">
        <v>59.04</v>
      </c>
      <c r="D338" s="20">
        <v>-0.04</v>
      </c>
      <c r="E338" s="20">
        <v>-0.04</v>
      </c>
      <c r="F338" s="20">
        <v>1292.46</v>
      </c>
      <c r="Q338" s="20">
        <v>33.700000000000003</v>
      </c>
      <c r="R338" s="20">
        <v>59.07</v>
      </c>
      <c r="S338" s="26">
        <v>59</v>
      </c>
      <c r="T338" s="20">
        <v>-7.0000000000000007E-2</v>
      </c>
      <c r="U338" s="26">
        <v>0.06</v>
      </c>
      <c r="V338" s="20">
        <v>1181.69</v>
      </c>
    </row>
    <row r="339" spans="1:22" ht="16.8" x14ac:dyDescent="0.3">
      <c r="A339" s="20">
        <v>33.799999999999997</v>
      </c>
      <c r="B339" s="20">
        <v>59</v>
      </c>
      <c r="C339" s="20">
        <v>59.04</v>
      </c>
      <c r="D339" s="20">
        <v>-0.04</v>
      </c>
      <c r="E339" s="20">
        <v>0</v>
      </c>
      <c r="F339" s="20">
        <v>1295.4000000000001</v>
      </c>
      <c r="Q339" s="20">
        <v>33.799999999999997</v>
      </c>
      <c r="R339" s="20">
        <v>59.02</v>
      </c>
      <c r="S339" s="20">
        <v>59</v>
      </c>
      <c r="T339" s="26">
        <v>-0.02</v>
      </c>
      <c r="U339" s="20">
        <v>0.04</v>
      </c>
      <c r="V339" s="20">
        <v>1186.58</v>
      </c>
    </row>
    <row r="340" spans="1:22" ht="16.8" x14ac:dyDescent="0.3">
      <c r="A340" s="20">
        <v>33.9</v>
      </c>
      <c r="B340" s="20">
        <v>59</v>
      </c>
      <c r="C340" s="20">
        <v>58.98</v>
      </c>
      <c r="D340" s="20">
        <v>0.02</v>
      </c>
      <c r="E340" s="20">
        <v>0.06</v>
      </c>
      <c r="F340" s="20">
        <v>1363.56</v>
      </c>
      <c r="Q340" s="20">
        <v>33.9</v>
      </c>
      <c r="R340" s="20">
        <v>59.05</v>
      </c>
      <c r="S340" s="20">
        <v>59</v>
      </c>
      <c r="T340" s="20">
        <v>-0.05</v>
      </c>
      <c r="U340" s="26">
        <v>-0.02</v>
      </c>
      <c r="V340" s="20">
        <v>1176.82</v>
      </c>
    </row>
    <row r="341" spans="1:22" ht="16.8" x14ac:dyDescent="0.3">
      <c r="A341" s="20">
        <v>34</v>
      </c>
      <c r="B341" s="20">
        <v>59</v>
      </c>
      <c r="C341" s="20">
        <v>58.99</v>
      </c>
      <c r="D341" s="20">
        <v>0.01</v>
      </c>
      <c r="E341" s="20">
        <v>-0.01</v>
      </c>
      <c r="F341" s="20">
        <v>1347.18</v>
      </c>
      <c r="Q341" s="20">
        <v>34</v>
      </c>
      <c r="R341" s="20">
        <v>59.07</v>
      </c>
      <c r="S341" s="26">
        <v>59</v>
      </c>
      <c r="T341" s="26">
        <v>-7.0000000000000007E-2</v>
      </c>
      <c r="U341" s="20">
        <v>-0.02</v>
      </c>
      <c r="V341" s="20">
        <v>1172.8</v>
      </c>
    </row>
    <row r="342" spans="1:22" ht="16.8" x14ac:dyDescent="0.3">
      <c r="A342" s="20">
        <v>34.1</v>
      </c>
      <c r="B342" s="20">
        <v>59</v>
      </c>
      <c r="C342" s="20">
        <v>59.02</v>
      </c>
      <c r="D342" s="20">
        <v>-0.02</v>
      </c>
      <c r="E342" s="20">
        <v>-0.03</v>
      </c>
      <c r="F342" s="20">
        <v>1307.3399999999999</v>
      </c>
      <c r="Q342" s="20">
        <v>34.1</v>
      </c>
      <c r="R342" s="20">
        <v>59.07</v>
      </c>
      <c r="S342" s="26">
        <v>59</v>
      </c>
      <c r="T342" s="20">
        <v>-7.0000000000000007E-2</v>
      </c>
      <c r="U342" s="20">
        <v>0</v>
      </c>
      <c r="V342" s="20">
        <v>1174.8</v>
      </c>
    </row>
    <row r="343" spans="1:22" ht="16.8" x14ac:dyDescent="0.3">
      <c r="A343" s="20">
        <v>34.200000000000003</v>
      </c>
      <c r="B343" s="20">
        <v>59</v>
      </c>
      <c r="C343" s="20">
        <v>59</v>
      </c>
      <c r="D343" s="20">
        <v>0</v>
      </c>
      <c r="E343" s="20">
        <v>0.02</v>
      </c>
      <c r="F343" s="20">
        <v>1330.33</v>
      </c>
      <c r="Q343" s="20">
        <v>34.200000000000003</v>
      </c>
      <c r="R343" s="20">
        <v>59.09</v>
      </c>
      <c r="S343" s="20">
        <v>59</v>
      </c>
      <c r="T343" s="20">
        <v>-0.09</v>
      </c>
      <c r="U343" s="26">
        <v>-0.02</v>
      </c>
      <c r="V343" s="20">
        <v>1170.57</v>
      </c>
    </row>
    <row r="344" spans="1:22" ht="16.8" x14ac:dyDescent="0.3">
      <c r="A344" s="20">
        <v>34.299999999999997</v>
      </c>
      <c r="B344" s="20">
        <v>59</v>
      </c>
      <c r="C344" s="20">
        <v>58.97</v>
      </c>
      <c r="D344" s="20">
        <v>0.03</v>
      </c>
      <c r="E344" s="20">
        <v>0.03</v>
      </c>
      <c r="F344" s="20">
        <v>1387.32</v>
      </c>
      <c r="Q344" s="20">
        <v>34.299999999999997</v>
      </c>
      <c r="R344" s="20">
        <v>59.12</v>
      </c>
      <c r="S344" s="26">
        <v>59</v>
      </c>
      <c r="T344" s="26">
        <v>-0.12</v>
      </c>
      <c r="U344" s="20">
        <v>-0.03</v>
      </c>
      <c r="V344" s="20">
        <v>1163.7</v>
      </c>
    </row>
    <row r="345" spans="1:22" ht="16.8" x14ac:dyDescent="0.3">
      <c r="A345" s="20">
        <v>34.4</v>
      </c>
      <c r="B345" s="20">
        <v>59</v>
      </c>
      <c r="C345" s="20">
        <v>58.99</v>
      </c>
      <c r="D345" s="20">
        <v>0.01</v>
      </c>
      <c r="E345" s="20">
        <v>-0.02</v>
      </c>
      <c r="F345" s="20">
        <v>1338.79</v>
      </c>
      <c r="Q345" s="20">
        <v>34.4</v>
      </c>
      <c r="R345" s="20">
        <v>59.1</v>
      </c>
      <c r="S345" s="20">
        <v>59</v>
      </c>
      <c r="T345" s="20">
        <v>-0.1</v>
      </c>
      <c r="U345" s="26">
        <v>0.02</v>
      </c>
      <c r="V345" s="20">
        <v>1172.3900000000001</v>
      </c>
    </row>
    <row r="346" spans="1:22" ht="16.8" x14ac:dyDescent="0.3">
      <c r="A346" s="20">
        <v>34.5</v>
      </c>
      <c r="B346" s="20">
        <v>59</v>
      </c>
      <c r="C346" s="20">
        <v>58.93</v>
      </c>
      <c r="D346" s="20">
        <v>7.0000000000000007E-2</v>
      </c>
      <c r="E346" s="20">
        <v>0.06</v>
      </c>
      <c r="F346" s="20">
        <v>1460.13</v>
      </c>
      <c r="Q346" s="20">
        <v>34.5</v>
      </c>
      <c r="R346" s="20">
        <v>59.07</v>
      </c>
      <c r="S346" s="26">
        <v>59</v>
      </c>
      <c r="T346" s="26">
        <v>-7.0000000000000007E-2</v>
      </c>
      <c r="U346" s="20">
        <v>0.03</v>
      </c>
      <c r="V346" s="20">
        <v>1178.0899999999999</v>
      </c>
    </row>
    <row r="347" spans="1:22" ht="16.8" x14ac:dyDescent="0.3">
      <c r="A347" s="20">
        <v>34.6</v>
      </c>
      <c r="B347" s="20">
        <v>59</v>
      </c>
      <c r="C347" s="20">
        <v>58.98</v>
      </c>
      <c r="D347" s="20">
        <v>0.02</v>
      </c>
      <c r="E347" s="20">
        <v>-0.05</v>
      </c>
      <c r="F347" s="20">
        <v>1371.56</v>
      </c>
      <c r="Q347" s="20">
        <v>34.6</v>
      </c>
      <c r="R347" s="20">
        <v>59.02</v>
      </c>
      <c r="S347" s="20">
        <v>59</v>
      </c>
      <c r="T347" s="20">
        <v>-0.02</v>
      </c>
      <c r="U347" s="26">
        <v>0.04</v>
      </c>
      <c r="V347" s="20">
        <v>1185.1600000000001</v>
      </c>
    </row>
    <row r="348" spans="1:22" ht="16.8" x14ac:dyDescent="0.3">
      <c r="A348" s="20">
        <v>34.700000000000003</v>
      </c>
      <c r="B348" s="20">
        <v>59</v>
      </c>
      <c r="C348" s="20">
        <v>58.93</v>
      </c>
      <c r="D348" s="20">
        <v>7.0000000000000007E-2</v>
      </c>
      <c r="E348" s="20">
        <v>0.05</v>
      </c>
      <c r="F348" s="20">
        <v>1460.13</v>
      </c>
      <c r="Q348" s="20">
        <v>34.700000000000003</v>
      </c>
      <c r="R348" s="20">
        <v>59.03</v>
      </c>
      <c r="S348" s="26">
        <v>59</v>
      </c>
      <c r="T348" s="26">
        <v>-0.03</v>
      </c>
      <c r="U348" s="20">
        <v>-0.01</v>
      </c>
      <c r="V348" s="20">
        <v>1179.45</v>
      </c>
    </row>
    <row r="349" spans="1:22" ht="16.8" x14ac:dyDescent="0.3">
      <c r="A349" s="20">
        <v>34.799999999999997</v>
      </c>
      <c r="B349" s="20">
        <v>59</v>
      </c>
      <c r="C349" s="20">
        <v>58.92</v>
      </c>
      <c r="D349" s="20">
        <v>0.08</v>
      </c>
      <c r="E349" s="20">
        <v>0</v>
      </c>
      <c r="F349" s="20">
        <v>1466.92</v>
      </c>
      <c r="Q349" s="20">
        <v>34.799999999999997</v>
      </c>
      <c r="R349" s="20">
        <v>59.08</v>
      </c>
      <c r="S349" s="20">
        <v>59</v>
      </c>
      <c r="T349" s="20">
        <v>-0.08</v>
      </c>
      <c r="U349" s="26">
        <v>-0.05</v>
      </c>
      <c r="V349" s="20">
        <v>1167.94</v>
      </c>
    </row>
    <row r="350" spans="1:22" ht="16.8" x14ac:dyDescent="0.3">
      <c r="A350" s="20">
        <v>34.9</v>
      </c>
      <c r="B350" s="20">
        <v>59</v>
      </c>
      <c r="C350" s="20">
        <v>58.94</v>
      </c>
      <c r="D350" s="20">
        <v>0.06</v>
      </c>
      <c r="E350" s="20">
        <v>-0.02</v>
      </c>
      <c r="F350" s="20">
        <v>1432.12</v>
      </c>
      <c r="Q350" s="20">
        <v>34.9</v>
      </c>
      <c r="R350" s="20">
        <v>59.07</v>
      </c>
      <c r="S350" s="26">
        <v>59</v>
      </c>
      <c r="T350" s="26">
        <v>-7.0000000000000007E-2</v>
      </c>
      <c r="U350" s="20">
        <v>0.02</v>
      </c>
      <c r="V350" s="20">
        <v>1176.1400000000001</v>
      </c>
    </row>
    <row r="351" spans="1:22" ht="16.8" x14ac:dyDescent="0.3">
      <c r="A351" s="20">
        <v>35</v>
      </c>
      <c r="B351" s="20">
        <v>59</v>
      </c>
      <c r="C351" s="20">
        <v>58.88</v>
      </c>
      <c r="D351" s="20">
        <v>0.12</v>
      </c>
      <c r="E351" s="20">
        <v>0.06</v>
      </c>
      <c r="F351" s="20">
        <v>1536.3</v>
      </c>
      <c r="Q351" s="20">
        <v>35</v>
      </c>
      <c r="R351" s="20">
        <v>59.05</v>
      </c>
      <c r="S351" s="20">
        <v>59</v>
      </c>
      <c r="T351" s="20">
        <v>-0.05</v>
      </c>
      <c r="U351" s="26">
        <v>0.02</v>
      </c>
      <c r="V351" s="20">
        <v>1178.5899999999999</v>
      </c>
    </row>
    <row r="352" spans="1:22" ht="16.8" x14ac:dyDescent="0.3">
      <c r="A352" s="20">
        <v>35.1</v>
      </c>
      <c r="B352" s="20">
        <v>59</v>
      </c>
      <c r="C352" s="20">
        <v>58.87</v>
      </c>
      <c r="D352" s="20">
        <v>0.13</v>
      </c>
      <c r="E352" s="20">
        <v>0.01</v>
      </c>
      <c r="F352" s="20">
        <v>1547.95</v>
      </c>
      <c r="Q352" s="20">
        <v>35.1</v>
      </c>
      <c r="R352" s="20">
        <v>59.08</v>
      </c>
      <c r="S352" s="26">
        <v>59</v>
      </c>
      <c r="T352" s="20">
        <v>-0.08</v>
      </c>
      <c r="U352" s="20">
        <v>-0.03</v>
      </c>
      <c r="V352" s="20">
        <v>1168.92</v>
      </c>
    </row>
    <row r="353" spans="1:22" ht="16.8" x14ac:dyDescent="0.3">
      <c r="A353" s="20">
        <v>35.200000000000003</v>
      </c>
      <c r="B353" s="20">
        <v>59</v>
      </c>
      <c r="C353" s="20">
        <v>58.88</v>
      </c>
      <c r="D353" s="20">
        <v>0.12</v>
      </c>
      <c r="E353" s="20">
        <v>-0.01</v>
      </c>
      <c r="F353" s="20">
        <v>1530.34</v>
      </c>
      <c r="Q353" s="20">
        <v>35.200000000000003</v>
      </c>
      <c r="R353" s="20">
        <v>59.09</v>
      </c>
      <c r="S353" s="20">
        <v>59</v>
      </c>
      <c r="T353" s="26">
        <v>-0.09</v>
      </c>
      <c r="U353" s="26">
        <v>-0.01</v>
      </c>
      <c r="V353" s="20">
        <v>1169.5999999999999</v>
      </c>
    </row>
    <row r="354" spans="1:22" ht="16.8" x14ac:dyDescent="0.3">
      <c r="A354" s="20">
        <v>35.299999999999997</v>
      </c>
      <c r="B354" s="20">
        <v>59</v>
      </c>
      <c r="C354" s="20">
        <v>58.86</v>
      </c>
      <c r="D354" s="20">
        <v>0.14000000000000001</v>
      </c>
      <c r="E354" s="20">
        <v>0.02</v>
      </c>
      <c r="F354" s="20">
        <v>1559.32</v>
      </c>
      <c r="Q354" s="20">
        <v>35.299999999999997</v>
      </c>
      <c r="R354" s="20">
        <v>59.08</v>
      </c>
      <c r="S354" s="26">
        <v>59</v>
      </c>
      <c r="T354" s="20">
        <v>-0.08</v>
      </c>
      <c r="U354" s="20">
        <v>0.01</v>
      </c>
      <c r="V354" s="20">
        <v>1172.1300000000001</v>
      </c>
    </row>
    <row r="355" spans="1:22" ht="16.8" x14ac:dyDescent="0.3">
      <c r="A355" s="20">
        <v>35.4</v>
      </c>
      <c r="B355" s="20">
        <v>59</v>
      </c>
      <c r="C355" s="20">
        <v>58.92</v>
      </c>
      <c r="D355" s="20">
        <v>0.08</v>
      </c>
      <c r="E355" s="20">
        <v>-0.05</v>
      </c>
      <c r="F355" s="20">
        <v>1480.21</v>
      </c>
      <c r="Q355" s="20">
        <v>35.4</v>
      </c>
      <c r="R355" s="20">
        <v>59.04</v>
      </c>
      <c r="S355" s="20">
        <v>59</v>
      </c>
      <c r="T355" s="26">
        <v>-0.04</v>
      </c>
      <c r="U355" s="26">
        <v>0.04</v>
      </c>
      <c r="V355" s="20">
        <v>1181.3499999999999</v>
      </c>
    </row>
    <row r="356" spans="1:22" ht="16.8" x14ac:dyDescent="0.3">
      <c r="A356" s="20">
        <v>35.5</v>
      </c>
      <c r="B356" s="20">
        <v>59</v>
      </c>
      <c r="C356" s="20">
        <v>58.85</v>
      </c>
      <c r="D356" s="20">
        <v>0.15</v>
      </c>
      <c r="E356" s="20">
        <v>0.06</v>
      </c>
      <c r="F356" s="20">
        <v>1575.89</v>
      </c>
      <c r="Q356" s="20">
        <v>35.5</v>
      </c>
      <c r="R356" s="20">
        <v>59.09</v>
      </c>
      <c r="S356" s="26">
        <v>59</v>
      </c>
      <c r="T356" s="20">
        <v>-0.09</v>
      </c>
      <c r="U356" s="26">
        <v>-0.05</v>
      </c>
      <c r="V356" s="20">
        <v>1165.46</v>
      </c>
    </row>
    <row r="357" spans="1:22" ht="16.8" x14ac:dyDescent="0.3">
      <c r="A357" s="20">
        <v>35.6</v>
      </c>
      <c r="B357" s="20">
        <v>59</v>
      </c>
      <c r="C357" s="20">
        <v>58.92</v>
      </c>
      <c r="D357" s="20">
        <v>0.08</v>
      </c>
      <c r="E357" s="20">
        <v>-7.0000000000000007E-2</v>
      </c>
      <c r="F357" s="20">
        <v>1473.62</v>
      </c>
      <c r="Q357" s="20">
        <v>35.6</v>
      </c>
      <c r="R357" s="20">
        <v>59.06</v>
      </c>
      <c r="S357" s="20">
        <v>59</v>
      </c>
      <c r="T357" s="26">
        <v>-0.06</v>
      </c>
      <c r="U357" s="20">
        <v>0.03</v>
      </c>
      <c r="V357" s="20">
        <v>1177.71</v>
      </c>
    </row>
    <row r="358" spans="1:22" ht="16.8" x14ac:dyDescent="0.3">
      <c r="A358" s="20">
        <v>35.700000000000003</v>
      </c>
      <c r="B358" s="20">
        <v>59</v>
      </c>
      <c r="C358" s="20">
        <v>58.86</v>
      </c>
      <c r="D358" s="20">
        <v>0.14000000000000001</v>
      </c>
      <c r="E358" s="20">
        <v>0.06</v>
      </c>
      <c r="F358" s="20">
        <v>1559.32</v>
      </c>
      <c r="Q358" s="20">
        <v>35.700000000000003</v>
      </c>
      <c r="R358" s="20">
        <v>59.02</v>
      </c>
      <c r="S358" s="26">
        <v>59</v>
      </c>
      <c r="T358" s="20">
        <v>-0.02</v>
      </c>
      <c r="U358" s="26">
        <v>0.03</v>
      </c>
      <c r="V358" s="20">
        <v>1182.77</v>
      </c>
    </row>
    <row r="359" spans="1:22" ht="16.8" x14ac:dyDescent="0.3">
      <c r="A359" s="20">
        <v>35.799999999999997</v>
      </c>
      <c r="B359" s="20">
        <v>59</v>
      </c>
      <c r="C359" s="20">
        <v>58.93</v>
      </c>
      <c r="D359" s="20">
        <v>7.0000000000000007E-2</v>
      </c>
      <c r="E359" s="20">
        <v>-7.0000000000000007E-2</v>
      </c>
      <c r="F359" s="20">
        <v>1453.26</v>
      </c>
      <c r="Q359" s="20">
        <v>35.799999999999997</v>
      </c>
      <c r="R359" s="20">
        <v>59.01</v>
      </c>
      <c r="S359" s="20">
        <v>59</v>
      </c>
      <c r="T359" s="26">
        <v>-0.01</v>
      </c>
      <c r="U359" s="20">
        <v>0.02</v>
      </c>
      <c r="V359" s="20">
        <v>1183.8699999999999</v>
      </c>
    </row>
    <row r="360" spans="1:22" ht="16.8" x14ac:dyDescent="0.3">
      <c r="A360" s="20">
        <v>35.9</v>
      </c>
      <c r="B360" s="20">
        <v>59</v>
      </c>
      <c r="C360" s="20">
        <v>58.94</v>
      </c>
      <c r="D360" s="20">
        <v>0.06</v>
      </c>
      <c r="E360" s="20">
        <v>-0.01</v>
      </c>
      <c r="F360" s="20">
        <v>1439.24</v>
      </c>
      <c r="Q360" s="20">
        <v>35.9</v>
      </c>
      <c r="R360" s="20">
        <v>59.08</v>
      </c>
      <c r="S360" s="26">
        <v>59</v>
      </c>
      <c r="T360" s="20">
        <v>-0.08</v>
      </c>
      <c r="U360" s="26">
        <v>-7.0000000000000007E-2</v>
      </c>
      <c r="V360" s="20">
        <v>1164.1600000000001</v>
      </c>
    </row>
    <row r="361" spans="1:22" ht="16.8" x14ac:dyDescent="0.3">
      <c r="A361" s="20">
        <v>36</v>
      </c>
      <c r="B361" s="20">
        <v>59</v>
      </c>
      <c r="C361" s="20">
        <v>58.97</v>
      </c>
      <c r="D361" s="20">
        <v>0.03</v>
      </c>
      <c r="E361" s="20">
        <v>-0.03</v>
      </c>
      <c r="F361" s="20">
        <v>1387.32</v>
      </c>
      <c r="Q361" s="20">
        <v>36</v>
      </c>
      <c r="R361" s="20">
        <v>59.05</v>
      </c>
      <c r="S361" s="20">
        <v>59</v>
      </c>
      <c r="T361" s="20">
        <v>-0.05</v>
      </c>
      <c r="U361" s="20">
        <v>0.03</v>
      </c>
      <c r="V361" s="20">
        <v>1178.5899999999999</v>
      </c>
    </row>
    <row r="362" spans="1:22" ht="16.8" x14ac:dyDescent="0.3">
      <c r="A362" s="20">
        <v>36.1</v>
      </c>
      <c r="B362" s="20">
        <v>59</v>
      </c>
      <c r="C362" s="20">
        <v>58.96</v>
      </c>
      <c r="D362" s="20">
        <v>0.04</v>
      </c>
      <c r="E362" s="20">
        <v>0.01</v>
      </c>
      <c r="F362" s="20">
        <v>1402.64</v>
      </c>
      <c r="Q362" s="20">
        <v>36.1</v>
      </c>
      <c r="R362" s="20">
        <v>58.98</v>
      </c>
      <c r="S362" s="26">
        <v>59</v>
      </c>
      <c r="T362" s="26">
        <v>0.02</v>
      </c>
      <c r="U362" s="26">
        <v>0.06</v>
      </c>
      <c r="V362" s="20">
        <v>1191.79</v>
      </c>
    </row>
    <row r="363" spans="1:22" ht="16.8" x14ac:dyDescent="0.3">
      <c r="A363" s="20">
        <v>36.200000000000003</v>
      </c>
      <c r="B363" s="20">
        <v>59</v>
      </c>
      <c r="C363" s="20">
        <v>59.01</v>
      </c>
      <c r="D363" s="20">
        <v>-0.01</v>
      </c>
      <c r="E363" s="20">
        <v>-0.05</v>
      </c>
      <c r="F363" s="20">
        <v>1313.46</v>
      </c>
      <c r="Q363" s="20">
        <v>36.200000000000003</v>
      </c>
      <c r="R363" s="20">
        <v>59.05</v>
      </c>
      <c r="S363" s="20">
        <v>59</v>
      </c>
      <c r="T363" s="20">
        <v>-0.05</v>
      </c>
      <c r="U363" s="20">
        <v>-0.06</v>
      </c>
      <c r="V363" s="20">
        <v>1169.81</v>
      </c>
    </row>
    <row r="364" spans="1:22" ht="16.8" x14ac:dyDescent="0.3">
      <c r="A364" s="20">
        <v>36.299999999999997</v>
      </c>
      <c r="B364" s="20">
        <v>59</v>
      </c>
      <c r="C364" s="20">
        <v>58.99</v>
      </c>
      <c r="D364" s="20">
        <v>0.01</v>
      </c>
      <c r="E364" s="20">
        <v>0.02</v>
      </c>
      <c r="F364" s="20">
        <v>1347.18</v>
      </c>
      <c r="Q364" s="20">
        <v>36.299999999999997</v>
      </c>
      <c r="R364" s="20">
        <v>59.08</v>
      </c>
      <c r="S364" s="26">
        <v>59</v>
      </c>
      <c r="T364" s="26">
        <v>-0.08</v>
      </c>
      <c r="U364" s="26">
        <v>-0.03</v>
      </c>
      <c r="V364" s="20">
        <v>1167.3900000000001</v>
      </c>
    </row>
    <row r="365" spans="1:22" ht="16.8" x14ac:dyDescent="0.3">
      <c r="A365" s="20">
        <v>36.4</v>
      </c>
      <c r="B365" s="20">
        <v>59</v>
      </c>
      <c r="C365" s="20">
        <v>59.06</v>
      </c>
      <c r="D365" s="20">
        <v>-0.06</v>
      </c>
      <c r="E365" s="20">
        <v>-7.0000000000000007E-2</v>
      </c>
      <c r="F365" s="20">
        <v>1280.8599999999999</v>
      </c>
      <c r="Q365" s="20">
        <v>36.4</v>
      </c>
      <c r="R365" s="20">
        <v>59.02</v>
      </c>
      <c r="S365" s="20">
        <v>59</v>
      </c>
      <c r="T365" s="20">
        <v>-0.02</v>
      </c>
      <c r="U365" s="26">
        <v>0.06</v>
      </c>
      <c r="V365" s="20">
        <v>1184.28</v>
      </c>
    </row>
    <row r="366" spans="1:22" ht="16.8" x14ac:dyDescent="0.3">
      <c r="A366" s="20">
        <v>36.5</v>
      </c>
      <c r="B366" s="20">
        <v>59</v>
      </c>
      <c r="C366" s="20">
        <v>59.03</v>
      </c>
      <c r="D366" s="20">
        <v>-0.03</v>
      </c>
      <c r="E366" s="20">
        <v>0.02</v>
      </c>
      <c r="F366" s="20">
        <v>1298.3599999999999</v>
      </c>
      <c r="Q366" s="20">
        <v>36.5</v>
      </c>
      <c r="R366" s="20">
        <v>59.03</v>
      </c>
      <c r="S366" s="26">
        <v>59</v>
      </c>
      <c r="T366" s="26">
        <v>-0.03</v>
      </c>
      <c r="U366" s="26">
        <v>-0.01</v>
      </c>
      <c r="V366" s="20">
        <v>1177.1199999999999</v>
      </c>
    </row>
    <row r="367" spans="1:22" ht="16.8" x14ac:dyDescent="0.3">
      <c r="A367" s="20">
        <v>36.6</v>
      </c>
      <c r="B367" s="20">
        <v>59</v>
      </c>
      <c r="C367" s="20">
        <v>59.05</v>
      </c>
      <c r="D367" s="20">
        <v>-0.05</v>
      </c>
      <c r="E367" s="20">
        <v>-0.02</v>
      </c>
      <c r="F367" s="20">
        <v>1286.6300000000001</v>
      </c>
      <c r="Q367" s="20">
        <v>36.6</v>
      </c>
      <c r="R367" s="20">
        <v>59.06</v>
      </c>
      <c r="S367" s="20">
        <v>59</v>
      </c>
      <c r="T367" s="20">
        <v>-0.06</v>
      </c>
      <c r="U367" s="26">
        <v>-0.02</v>
      </c>
      <c r="V367" s="20">
        <v>1171.68</v>
      </c>
    </row>
    <row r="368" spans="1:22" ht="16.8" x14ac:dyDescent="0.3">
      <c r="A368" s="20">
        <v>36.700000000000003</v>
      </c>
      <c r="B368" s="20">
        <v>59</v>
      </c>
      <c r="C368" s="20">
        <v>59.1</v>
      </c>
      <c r="D368" s="20">
        <v>-0.1</v>
      </c>
      <c r="E368" s="20">
        <v>-0.05</v>
      </c>
      <c r="F368" s="20">
        <v>1253.05</v>
      </c>
      <c r="Q368" s="20">
        <v>36.700000000000003</v>
      </c>
      <c r="R368" s="20">
        <v>59.05</v>
      </c>
      <c r="S368" s="26">
        <v>59</v>
      </c>
      <c r="T368" s="26">
        <v>-0.05</v>
      </c>
      <c r="U368" s="20">
        <v>0.01</v>
      </c>
      <c r="V368" s="20">
        <v>1175.75</v>
      </c>
    </row>
    <row r="369" spans="1:22" ht="16.8" x14ac:dyDescent="0.3">
      <c r="A369" s="20">
        <v>36.799999999999997</v>
      </c>
      <c r="B369" s="20">
        <v>59</v>
      </c>
      <c r="C369" s="20">
        <v>59.11</v>
      </c>
      <c r="D369" s="20">
        <v>-0.11</v>
      </c>
      <c r="E369" s="20">
        <v>-0.01</v>
      </c>
      <c r="F369" s="20">
        <v>1245</v>
      </c>
      <c r="Q369" s="20">
        <v>36.799999999999997</v>
      </c>
      <c r="R369" s="20">
        <v>59.07</v>
      </c>
      <c r="S369" s="20">
        <v>59</v>
      </c>
      <c r="T369" s="20">
        <v>-7.0000000000000007E-2</v>
      </c>
      <c r="U369" s="26">
        <v>-0.02</v>
      </c>
      <c r="V369" s="20">
        <v>1170.8499999999999</v>
      </c>
    </row>
    <row r="370" spans="1:22" ht="16.8" x14ac:dyDescent="0.3">
      <c r="A370" s="20">
        <v>36.9</v>
      </c>
      <c r="B370" s="20">
        <v>59</v>
      </c>
      <c r="C370" s="20">
        <v>59.08</v>
      </c>
      <c r="D370" s="20">
        <v>-0.08</v>
      </c>
      <c r="E370" s="20">
        <v>0.03</v>
      </c>
      <c r="F370" s="20">
        <v>1263.98</v>
      </c>
      <c r="Q370" s="20">
        <v>36.9</v>
      </c>
      <c r="R370" s="20">
        <v>59.06</v>
      </c>
      <c r="S370" s="26">
        <v>59</v>
      </c>
      <c r="T370" s="26">
        <v>-0.06</v>
      </c>
      <c r="U370" s="20">
        <v>0.01</v>
      </c>
      <c r="V370" s="20">
        <v>1174.17</v>
      </c>
    </row>
    <row r="371" spans="1:22" ht="16.8" x14ac:dyDescent="0.3">
      <c r="A371" s="20">
        <v>37</v>
      </c>
      <c r="B371" s="20">
        <v>59</v>
      </c>
      <c r="C371" s="20">
        <v>59.1</v>
      </c>
      <c r="D371" s="20">
        <v>-0.1</v>
      </c>
      <c r="E371" s="20">
        <v>-0.02</v>
      </c>
      <c r="F371" s="20">
        <v>1250.3599999999999</v>
      </c>
      <c r="Q371" s="20">
        <v>37</v>
      </c>
      <c r="R371" s="20">
        <v>59.07</v>
      </c>
      <c r="S371" s="20">
        <v>59</v>
      </c>
      <c r="T371" s="20">
        <v>-7.0000000000000007E-2</v>
      </c>
      <c r="U371" s="26">
        <v>-0.01</v>
      </c>
      <c r="V371" s="20">
        <v>1171.29</v>
      </c>
    </row>
    <row r="372" spans="1:22" ht="16.8" x14ac:dyDescent="0.3">
      <c r="A372" s="20">
        <v>37.1</v>
      </c>
      <c r="B372" s="20">
        <v>59</v>
      </c>
      <c r="C372" s="20">
        <v>59.04</v>
      </c>
      <c r="D372" s="20">
        <v>-0.04</v>
      </c>
      <c r="E372" s="20">
        <v>0.06</v>
      </c>
      <c r="F372" s="20">
        <v>1295.4000000000001</v>
      </c>
      <c r="Q372" s="20">
        <v>37.1</v>
      </c>
      <c r="R372" s="20">
        <v>59.05</v>
      </c>
      <c r="S372" s="26">
        <v>59</v>
      </c>
      <c r="T372" s="20">
        <v>-0.05</v>
      </c>
      <c r="U372" s="20">
        <v>0.02</v>
      </c>
      <c r="V372" s="20">
        <v>1175.9100000000001</v>
      </c>
    </row>
    <row r="373" spans="1:22" ht="16.8" x14ac:dyDescent="0.3">
      <c r="A373" s="20">
        <v>37.200000000000003</v>
      </c>
      <c r="B373" s="20">
        <v>59</v>
      </c>
      <c r="C373" s="20">
        <v>59.05</v>
      </c>
      <c r="D373" s="20">
        <v>-0.05</v>
      </c>
      <c r="E373" s="20">
        <v>-0.01</v>
      </c>
      <c r="F373" s="20">
        <v>1286.6300000000001</v>
      </c>
      <c r="Q373" s="20">
        <v>37.200000000000003</v>
      </c>
      <c r="R373" s="20">
        <v>59.07</v>
      </c>
      <c r="S373" s="20">
        <v>59</v>
      </c>
      <c r="T373" s="26">
        <v>-7.0000000000000007E-2</v>
      </c>
      <c r="U373" s="26">
        <v>-0.02</v>
      </c>
      <c r="V373" s="20">
        <v>1168.26</v>
      </c>
    </row>
    <row r="374" spans="1:22" ht="16.8" x14ac:dyDescent="0.3">
      <c r="A374" s="20">
        <v>37.299999999999997</v>
      </c>
      <c r="B374" s="20">
        <v>59</v>
      </c>
      <c r="C374" s="20">
        <v>59.09</v>
      </c>
      <c r="D374" s="20">
        <v>-0.09</v>
      </c>
      <c r="E374" s="20">
        <v>-0.04</v>
      </c>
      <c r="F374" s="20">
        <v>1261.22</v>
      </c>
      <c r="Q374" s="20">
        <v>37.299999999999997</v>
      </c>
      <c r="R374" s="20">
        <v>59.07</v>
      </c>
      <c r="S374" s="26">
        <v>59</v>
      </c>
      <c r="T374" s="20">
        <v>-7.0000000000000007E-2</v>
      </c>
      <c r="U374" s="20">
        <v>0</v>
      </c>
      <c r="V374" s="20">
        <v>1170.26</v>
      </c>
    </row>
    <row r="375" spans="1:22" ht="16.8" x14ac:dyDescent="0.3">
      <c r="A375" s="20">
        <v>37.4</v>
      </c>
      <c r="B375" s="20">
        <v>59</v>
      </c>
      <c r="C375" s="20">
        <v>59.05</v>
      </c>
      <c r="D375" s="20">
        <v>-0.05</v>
      </c>
      <c r="E375" s="20">
        <v>0.04</v>
      </c>
      <c r="F375" s="20">
        <v>1286.6300000000001</v>
      </c>
      <c r="Q375" s="20">
        <v>37.4</v>
      </c>
      <c r="R375" s="20">
        <v>59.02</v>
      </c>
      <c r="S375" s="20">
        <v>59</v>
      </c>
      <c r="T375" s="26">
        <v>-0.02</v>
      </c>
      <c r="U375" s="26">
        <v>0.05</v>
      </c>
      <c r="V375" s="20">
        <v>1182.24</v>
      </c>
    </row>
    <row r="376" spans="1:22" ht="16.8" x14ac:dyDescent="0.3">
      <c r="A376" s="20">
        <v>37.5</v>
      </c>
      <c r="B376" s="20">
        <v>59</v>
      </c>
      <c r="C376" s="20">
        <v>59.02</v>
      </c>
      <c r="D376" s="20">
        <v>-0.02</v>
      </c>
      <c r="E376" s="20">
        <v>0.03</v>
      </c>
      <c r="F376" s="20">
        <v>1310.3800000000001</v>
      </c>
      <c r="Q376" s="20">
        <v>37.5</v>
      </c>
      <c r="R376" s="20">
        <v>59.03</v>
      </c>
      <c r="S376" s="26">
        <v>59</v>
      </c>
      <c r="T376" s="20">
        <v>-0.03</v>
      </c>
      <c r="U376" s="20">
        <v>-0.01</v>
      </c>
      <c r="V376" s="20">
        <v>1175.81</v>
      </c>
    </row>
    <row r="377" spans="1:22" ht="16.8" x14ac:dyDescent="0.3">
      <c r="A377" s="20">
        <v>37.6</v>
      </c>
      <c r="B377" s="20">
        <v>59</v>
      </c>
      <c r="C377" s="20">
        <v>59.04</v>
      </c>
      <c r="D377" s="20">
        <v>-0.04</v>
      </c>
      <c r="E377" s="20">
        <v>-0.02</v>
      </c>
      <c r="F377" s="20">
        <v>1292.46</v>
      </c>
      <c r="Q377" s="20">
        <v>37.6</v>
      </c>
      <c r="R377" s="20">
        <v>59.08</v>
      </c>
      <c r="S377" s="20">
        <v>59</v>
      </c>
      <c r="T377" s="26">
        <v>-0.08</v>
      </c>
      <c r="U377" s="26">
        <v>-0.05</v>
      </c>
      <c r="V377" s="20">
        <v>1164.29</v>
      </c>
    </row>
    <row r="378" spans="1:22" ht="16.8" x14ac:dyDescent="0.3">
      <c r="A378" s="20">
        <v>37.700000000000003</v>
      </c>
      <c r="B378" s="20">
        <v>59</v>
      </c>
      <c r="C378" s="20">
        <v>59.02</v>
      </c>
      <c r="D378" s="20">
        <v>-0.02</v>
      </c>
      <c r="E378" s="20">
        <v>0.02</v>
      </c>
      <c r="F378" s="20">
        <v>1304.32</v>
      </c>
      <c r="Q378" s="20">
        <v>37.700000000000003</v>
      </c>
      <c r="R378" s="20">
        <v>59.07</v>
      </c>
      <c r="S378" s="26">
        <v>59</v>
      </c>
      <c r="T378" s="20">
        <v>-7.0000000000000007E-2</v>
      </c>
      <c r="U378" s="26">
        <v>0.02</v>
      </c>
      <c r="V378" s="20">
        <v>1172.5</v>
      </c>
    </row>
    <row r="379" spans="1:22" ht="16.8" x14ac:dyDescent="0.3">
      <c r="A379" s="20">
        <v>37.799999999999997</v>
      </c>
      <c r="B379" s="20">
        <v>59</v>
      </c>
      <c r="C379" s="20">
        <v>58.97</v>
      </c>
      <c r="D379" s="20">
        <v>0.03</v>
      </c>
      <c r="E379" s="20">
        <v>0.05</v>
      </c>
      <c r="F379" s="20">
        <v>1379.5</v>
      </c>
      <c r="Q379" s="20">
        <v>37.799999999999997</v>
      </c>
      <c r="R379" s="20">
        <v>59.07</v>
      </c>
      <c r="S379" s="20">
        <v>59</v>
      </c>
      <c r="T379" s="26">
        <v>-7.0000000000000007E-2</v>
      </c>
      <c r="U379" s="20">
        <v>-0.01</v>
      </c>
      <c r="V379" s="20">
        <v>1168.8699999999999</v>
      </c>
    </row>
    <row r="380" spans="1:22" ht="16.8" x14ac:dyDescent="0.3">
      <c r="A380" s="20">
        <v>37.9</v>
      </c>
      <c r="B380" s="20">
        <v>59</v>
      </c>
      <c r="C380" s="20">
        <v>59</v>
      </c>
      <c r="D380" s="20">
        <v>0</v>
      </c>
      <c r="E380" s="20">
        <v>-0.03</v>
      </c>
      <c r="F380" s="20">
        <v>1322.75</v>
      </c>
      <c r="Q380" s="20">
        <v>37.9</v>
      </c>
      <c r="R380" s="20">
        <v>59.07</v>
      </c>
      <c r="S380" s="26">
        <v>59</v>
      </c>
      <c r="T380" s="20">
        <v>-7.0000000000000007E-2</v>
      </c>
      <c r="U380" s="26">
        <v>0.01</v>
      </c>
      <c r="V380" s="20">
        <v>1171.45</v>
      </c>
    </row>
    <row r="381" spans="1:22" ht="16.8" x14ac:dyDescent="0.3">
      <c r="A381" s="20">
        <v>38</v>
      </c>
      <c r="B381" s="20">
        <v>59</v>
      </c>
      <c r="C381" s="20">
        <v>58.96</v>
      </c>
      <c r="D381" s="20">
        <v>0.04</v>
      </c>
      <c r="E381" s="20">
        <v>0.04</v>
      </c>
      <c r="F381" s="20">
        <v>1402.64</v>
      </c>
      <c r="Q381" s="20">
        <v>38</v>
      </c>
      <c r="R381" s="20">
        <v>59.02</v>
      </c>
      <c r="S381" s="26">
        <v>59</v>
      </c>
      <c r="T381" s="20">
        <v>-0.02</v>
      </c>
      <c r="U381" s="20">
        <v>0.04</v>
      </c>
      <c r="V381" s="20">
        <v>1180.7</v>
      </c>
    </row>
    <row r="382" spans="1:22" ht="16.8" x14ac:dyDescent="0.3">
      <c r="A382" s="20">
        <v>38.1</v>
      </c>
      <c r="B382" s="20">
        <v>59</v>
      </c>
      <c r="C382" s="20">
        <v>58.94</v>
      </c>
      <c r="D382" s="20">
        <v>0.06</v>
      </c>
      <c r="E382" s="20">
        <v>0.02</v>
      </c>
      <c r="F382" s="20">
        <v>1439.24</v>
      </c>
      <c r="Q382" s="20">
        <v>38.1</v>
      </c>
      <c r="R382" s="20">
        <v>59.07</v>
      </c>
      <c r="S382" s="20">
        <v>59</v>
      </c>
      <c r="T382" s="26">
        <v>-7.0000000000000007E-2</v>
      </c>
      <c r="U382" s="26">
        <v>-0.04</v>
      </c>
      <c r="V382" s="20">
        <v>1166.8800000000001</v>
      </c>
    </row>
    <row r="383" spans="1:22" ht="16.8" x14ac:dyDescent="0.3">
      <c r="A383" s="20">
        <v>38.200000000000003</v>
      </c>
      <c r="B383" s="20">
        <v>59</v>
      </c>
      <c r="C383" s="20">
        <v>58.94</v>
      </c>
      <c r="D383" s="20">
        <v>0.06</v>
      </c>
      <c r="E383" s="20">
        <v>0</v>
      </c>
      <c r="F383" s="20">
        <v>1446.3</v>
      </c>
      <c r="Q383" s="20">
        <v>38.200000000000003</v>
      </c>
      <c r="R383" s="20">
        <v>58.99</v>
      </c>
      <c r="S383" s="26">
        <v>59</v>
      </c>
      <c r="T383" s="20">
        <v>0.01</v>
      </c>
      <c r="U383" s="20">
        <v>7.0000000000000007E-2</v>
      </c>
      <c r="V383" s="20">
        <v>1188.5899999999999</v>
      </c>
    </row>
    <row r="384" spans="1:22" ht="16.8" x14ac:dyDescent="0.3">
      <c r="A384" s="20">
        <v>38.299999999999997</v>
      </c>
      <c r="B384" s="20">
        <v>59</v>
      </c>
      <c r="C384" s="20">
        <v>58.91</v>
      </c>
      <c r="D384" s="20">
        <v>0.09</v>
      </c>
      <c r="E384" s="20">
        <v>0.03</v>
      </c>
      <c r="F384" s="20">
        <v>1493.23</v>
      </c>
      <c r="Q384" s="20">
        <v>38.299999999999997</v>
      </c>
      <c r="R384" s="20">
        <v>59.01</v>
      </c>
      <c r="S384" s="20">
        <v>59</v>
      </c>
      <c r="T384" s="26">
        <v>-0.01</v>
      </c>
      <c r="U384" s="26">
        <v>-0.02</v>
      </c>
      <c r="V384" s="20">
        <v>1178.03</v>
      </c>
    </row>
    <row r="385" spans="1:22" ht="16.8" x14ac:dyDescent="0.3">
      <c r="A385" s="20">
        <v>38.4</v>
      </c>
      <c r="B385" s="20">
        <v>59</v>
      </c>
      <c r="C385" s="20">
        <v>58.89</v>
      </c>
      <c r="D385" s="20">
        <v>0.11</v>
      </c>
      <c r="E385" s="20">
        <v>0.02</v>
      </c>
      <c r="F385" s="20">
        <v>1518.27</v>
      </c>
      <c r="Q385" s="20">
        <v>38.4</v>
      </c>
      <c r="R385" s="20">
        <v>59.04</v>
      </c>
      <c r="S385" s="26">
        <v>59</v>
      </c>
      <c r="T385" s="20">
        <v>-0.04</v>
      </c>
      <c r="U385" s="20">
        <v>-0.03</v>
      </c>
      <c r="V385" s="20">
        <v>1171.3499999999999</v>
      </c>
    </row>
    <row r="386" spans="1:22" ht="16.8" x14ac:dyDescent="0.3">
      <c r="A386" s="20">
        <v>38.5</v>
      </c>
      <c r="B386" s="20">
        <v>59</v>
      </c>
      <c r="C386" s="20">
        <v>58.9</v>
      </c>
      <c r="D386" s="20">
        <v>0.1</v>
      </c>
      <c r="E386" s="20">
        <v>0</v>
      </c>
      <c r="F386" s="20">
        <v>1512.12</v>
      </c>
      <c r="Q386" s="20">
        <v>38.5</v>
      </c>
      <c r="R386" s="20">
        <v>59.05</v>
      </c>
      <c r="S386" s="20">
        <v>59</v>
      </c>
      <c r="T386" s="26">
        <v>-0.05</v>
      </c>
      <c r="U386" s="26">
        <v>-0.01</v>
      </c>
      <c r="V386" s="20">
        <v>1172.1199999999999</v>
      </c>
    </row>
    <row r="387" spans="1:22" ht="16.8" x14ac:dyDescent="0.3">
      <c r="A387" s="20">
        <v>38.6</v>
      </c>
      <c r="B387" s="20">
        <v>59</v>
      </c>
      <c r="C387" s="20">
        <v>58.87</v>
      </c>
      <c r="D387" s="20">
        <v>0.13</v>
      </c>
      <c r="E387" s="20">
        <v>0.03</v>
      </c>
      <c r="F387" s="20">
        <v>1553.67</v>
      </c>
      <c r="Q387" s="20">
        <v>38.6</v>
      </c>
      <c r="R387" s="20">
        <v>59.06</v>
      </c>
      <c r="S387" s="26">
        <v>59</v>
      </c>
      <c r="T387" s="20">
        <v>-0.06</v>
      </c>
      <c r="U387" s="20">
        <v>-0.01</v>
      </c>
      <c r="V387" s="20">
        <v>1170.7</v>
      </c>
    </row>
    <row r="388" spans="1:22" ht="16.8" x14ac:dyDescent="0.3">
      <c r="A388" s="20">
        <v>38.700000000000003</v>
      </c>
      <c r="B388" s="20">
        <v>59</v>
      </c>
      <c r="C388" s="20">
        <v>58.86</v>
      </c>
      <c r="D388" s="20">
        <v>0.14000000000000001</v>
      </c>
      <c r="E388" s="20">
        <v>0.01</v>
      </c>
      <c r="F388" s="20">
        <v>1564.91</v>
      </c>
      <c r="Q388" s="20">
        <v>38.700000000000003</v>
      </c>
      <c r="R388" s="20">
        <v>59.04</v>
      </c>
      <c r="S388" s="20">
        <v>59</v>
      </c>
      <c r="T388" s="26">
        <v>-0.04</v>
      </c>
      <c r="U388" s="26">
        <v>0.02</v>
      </c>
      <c r="V388" s="20">
        <v>1175.3399999999999</v>
      </c>
    </row>
    <row r="389" spans="1:22" ht="16.8" x14ac:dyDescent="0.3">
      <c r="A389" s="20">
        <v>38.799999999999997</v>
      </c>
      <c r="B389" s="20">
        <v>59</v>
      </c>
      <c r="C389" s="20">
        <v>58.89</v>
      </c>
      <c r="D389" s="20">
        <v>0.11</v>
      </c>
      <c r="E389" s="20">
        <v>-0.03</v>
      </c>
      <c r="F389" s="20">
        <v>1518.27</v>
      </c>
      <c r="Q389" s="20">
        <v>38.799999999999997</v>
      </c>
      <c r="R389" s="20">
        <v>59</v>
      </c>
      <c r="S389" s="26">
        <v>59</v>
      </c>
      <c r="T389" s="20">
        <v>0</v>
      </c>
      <c r="U389" s="26">
        <v>0.04</v>
      </c>
      <c r="V389" s="20">
        <v>1183.93</v>
      </c>
    </row>
    <row r="390" spans="1:22" ht="16.8" x14ac:dyDescent="0.3">
      <c r="A390" s="20">
        <v>38.9</v>
      </c>
      <c r="B390" s="20">
        <v>59</v>
      </c>
      <c r="C390" s="20">
        <v>58.9</v>
      </c>
      <c r="D390" s="20">
        <v>0.1</v>
      </c>
      <c r="E390" s="20">
        <v>0</v>
      </c>
      <c r="F390" s="20">
        <v>1512.12</v>
      </c>
      <c r="Q390" s="20">
        <v>38.9</v>
      </c>
      <c r="R390" s="20">
        <v>59.02</v>
      </c>
      <c r="S390" s="20">
        <v>59</v>
      </c>
      <c r="T390" s="26">
        <v>-0.02</v>
      </c>
      <c r="U390" s="26">
        <v>-0.02</v>
      </c>
      <c r="V390" s="20">
        <v>1174.22</v>
      </c>
    </row>
    <row r="391" spans="1:22" ht="16.8" x14ac:dyDescent="0.3">
      <c r="A391" s="20">
        <v>39</v>
      </c>
      <c r="B391" s="20">
        <v>59</v>
      </c>
      <c r="C391" s="20">
        <v>58.86</v>
      </c>
      <c r="D391" s="20">
        <v>0.14000000000000001</v>
      </c>
      <c r="E391" s="20">
        <v>0.04</v>
      </c>
      <c r="F391" s="20">
        <v>1570.43</v>
      </c>
      <c r="Q391" s="20">
        <v>39</v>
      </c>
      <c r="R391" s="20">
        <v>59.02</v>
      </c>
      <c r="S391" s="26">
        <v>59</v>
      </c>
      <c r="T391" s="20">
        <v>-0.02</v>
      </c>
      <c r="U391" s="26">
        <v>0</v>
      </c>
      <c r="V391" s="20">
        <v>1176.3399999999999</v>
      </c>
    </row>
    <row r="392" spans="1:22" ht="16.8" x14ac:dyDescent="0.3">
      <c r="A392" s="20">
        <v>39.1</v>
      </c>
      <c r="B392" s="20">
        <v>59</v>
      </c>
      <c r="C392" s="20">
        <v>58.9</v>
      </c>
      <c r="D392" s="20">
        <v>0.1</v>
      </c>
      <c r="E392" s="20">
        <v>-0.04</v>
      </c>
      <c r="F392" s="20">
        <v>1505.91</v>
      </c>
      <c r="Q392" s="20">
        <v>39.1</v>
      </c>
      <c r="R392" s="20">
        <v>59.07</v>
      </c>
      <c r="S392" s="20">
        <v>59</v>
      </c>
      <c r="T392" s="26">
        <v>-7.0000000000000007E-2</v>
      </c>
      <c r="U392" s="20">
        <v>-0.05</v>
      </c>
      <c r="V392" s="20">
        <v>1164.1199999999999</v>
      </c>
    </row>
    <row r="393" spans="1:22" ht="16.8" x14ac:dyDescent="0.3">
      <c r="A393" s="20">
        <v>39.200000000000003</v>
      </c>
      <c r="B393" s="20">
        <v>59</v>
      </c>
      <c r="C393" s="20">
        <v>58.96</v>
      </c>
      <c r="D393" s="20">
        <v>0.04</v>
      </c>
      <c r="E393" s="20">
        <v>-0.06</v>
      </c>
      <c r="F393" s="20">
        <v>1410.17</v>
      </c>
      <c r="Q393" s="20">
        <v>39.200000000000003</v>
      </c>
      <c r="R393" s="20">
        <v>59.06</v>
      </c>
      <c r="S393" s="26">
        <v>59</v>
      </c>
      <c r="T393" s="20">
        <v>-0.06</v>
      </c>
      <c r="U393" s="26">
        <v>0.02</v>
      </c>
      <c r="V393" s="20">
        <v>1172.3499999999999</v>
      </c>
    </row>
    <row r="394" spans="1:22" ht="16.8" x14ac:dyDescent="0.3">
      <c r="A394" s="20">
        <v>39.299999999999997</v>
      </c>
      <c r="B394" s="20">
        <v>59</v>
      </c>
      <c r="C394" s="20">
        <v>58.97</v>
      </c>
      <c r="D394" s="20">
        <v>0.03</v>
      </c>
      <c r="E394" s="20">
        <v>-0.01</v>
      </c>
      <c r="F394" s="20">
        <v>1387.32</v>
      </c>
      <c r="Q394" s="20">
        <v>39.299999999999997</v>
      </c>
      <c r="R394" s="20">
        <v>59.08</v>
      </c>
      <c r="S394" s="20">
        <v>59</v>
      </c>
      <c r="T394" s="20">
        <v>-0.08</v>
      </c>
      <c r="U394" s="20">
        <v>-0.02</v>
      </c>
      <c r="V394" s="20">
        <v>1164.68</v>
      </c>
    </row>
    <row r="395" spans="1:22" ht="16.8" x14ac:dyDescent="0.3">
      <c r="A395" s="20">
        <v>39.4</v>
      </c>
      <c r="B395" s="20">
        <v>59</v>
      </c>
      <c r="C395" s="20">
        <v>58.97</v>
      </c>
      <c r="D395" s="20">
        <v>0.03</v>
      </c>
      <c r="E395" s="20">
        <v>0</v>
      </c>
      <c r="F395" s="20">
        <v>1387.32</v>
      </c>
      <c r="Q395" s="20">
        <v>39.4</v>
      </c>
      <c r="R395" s="20">
        <v>59.07</v>
      </c>
      <c r="S395" s="20">
        <v>59</v>
      </c>
      <c r="T395" s="26">
        <v>-7.0000000000000007E-2</v>
      </c>
      <c r="U395" s="26">
        <v>0.02</v>
      </c>
      <c r="V395" s="20">
        <v>1170.71</v>
      </c>
    </row>
    <row r="396" spans="1:22" ht="16.8" x14ac:dyDescent="0.3">
      <c r="A396" s="20">
        <v>39.5</v>
      </c>
      <c r="B396" s="20">
        <v>59</v>
      </c>
      <c r="C396" s="20">
        <v>58.98</v>
      </c>
      <c r="D396" s="20">
        <v>0.02</v>
      </c>
      <c r="E396" s="20">
        <v>-0.02</v>
      </c>
      <c r="F396" s="20">
        <v>1355.39</v>
      </c>
      <c r="Q396" s="20">
        <v>39.5</v>
      </c>
      <c r="R396" s="20">
        <v>59.04</v>
      </c>
      <c r="S396" s="26">
        <v>59</v>
      </c>
      <c r="T396" s="20">
        <v>-0.04</v>
      </c>
      <c r="U396" s="20">
        <v>0.02</v>
      </c>
      <c r="V396" s="20">
        <v>1175.19</v>
      </c>
    </row>
    <row r="397" spans="1:22" ht="16.8" x14ac:dyDescent="0.3">
      <c r="A397" s="20">
        <v>39.6</v>
      </c>
      <c r="B397" s="20">
        <v>59</v>
      </c>
      <c r="C397" s="20">
        <v>59.01</v>
      </c>
      <c r="D397" s="20">
        <v>-0.01</v>
      </c>
      <c r="E397" s="20">
        <v>-0.03</v>
      </c>
      <c r="F397" s="20">
        <v>1313.46</v>
      </c>
      <c r="Q397" s="20">
        <v>39.6</v>
      </c>
      <c r="R397" s="20">
        <v>59.07</v>
      </c>
      <c r="S397" s="20">
        <v>59</v>
      </c>
      <c r="T397" s="26">
        <v>-7.0000000000000007E-2</v>
      </c>
      <c r="U397" s="26">
        <v>-0.02</v>
      </c>
      <c r="V397" s="20">
        <v>1166.83</v>
      </c>
    </row>
    <row r="398" spans="1:22" ht="16.8" x14ac:dyDescent="0.3">
      <c r="A398" s="20">
        <v>39.700000000000003</v>
      </c>
      <c r="B398" s="20">
        <v>59</v>
      </c>
      <c r="C398" s="20">
        <v>59.04</v>
      </c>
      <c r="D398" s="20">
        <v>-0.04</v>
      </c>
      <c r="E398" s="20">
        <v>-0.02</v>
      </c>
      <c r="F398" s="20">
        <v>1295.4000000000001</v>
      </c>
      <c r="Q398" s="20">
        <v>39.700000000000003</v>
      </c>
      <c r="R398" s="20">
        <v>59.05</v>
      </c>
      <c r="S398" s="26">
        <v>59</v>
      </c>
      <c r="T398" s="20">
        <v>-0.05</v>
      </c>
      <c r="U398" s="20">
        <v>0.02</v>
      </c>
      <c r="V398" s="20">
        <v>1172.9100000000001</v>
      </c>
    </row>
    <row r="399" spans="1:22" ht="16.8" x14ac:dyDescent="0.3">
      <c r="A399" s="20">
        <v>39.799999999999997</v>
      </c>
      <c r="B399" s="20">
        <v>59</v>
      </c>
      <c r="C399" s="20">
        <v>59.06</v>
      </c>
      <c r="D399" s="20">
        <v>-0.06</v>
      </c>
      <c r="E399" s="20">
        <v>-0.02</v>
      </c>
      <c r="F399" s="20">
        <v>1280.8599999999999</v>
      </c>
      <c r="Q399" s="20">
        <v>39.799999999999997</v>
      </c>
      <c r="R399" s="20">
        <v>58.98</v>
      </c>
      <c r="S399" s="26">
        <v>59</v>
      </c>
      <c r="T399" s="20">
        <v>0.02</v>
      </c>
      <c r="U399" s="26">
        <v>0.06</v>
      </c>
      <c r="V399" s="20">
        <v>1187.55</v>
      </c>
    </row>
    <row r="400" spans="1:22" ht="16.8" x14ac:dyDescent="0.3">
      <c r="A400" s="20">
        <v>39.9</v>
      </c>
      <c r="B400" s="20">
        <v>59</v>
      </c>
      <c r="C400" s="20">
        <v>59.06</v>
      </c>
      <c r="D400" s="20">
        <v>-0.06</v>
      </c>
      <c r="E400" s="20">
        <v>0</v>
      </c>
      <c r="F400" s="20">
        <v>1280.8599999999999</v>
      </c>
      <c r="Q400" s="20">
        <v>39.9</v>
      </c>
      <c r="R400" s="20">
        <v>59.09</v>
      </c>
      <c r="S400" s="20">
        <v>59</v>
      </c>
      <c r="T400" s="26">
        <v>-0.09</v>
      </c>
      <c r="U400" s="26">
        <v>-0.1</v>
      </c>
      <c r="V400" s="20">
        <v>1155.44</v>
      </c>
    </row>
    <row r="401" spans="1:22" ht="16.8" x14ac:dyDescent="0.3">
      <c r="A401" s="20">
        <v>40</v>
      </c>
      <c r="B401" s="20">
        <v>59</v>
      </c>
      <c r="C401" s="20">
        <v>59.05</v>
      </c>
      <c r="D401" s="20">
        <v>-0.05</v>
      </c>
      <c r="E401" s="20">
        <v>0.01</v>
      </c>
      <c r="F401" s="20">
        <v>1286.6300000000001</v>
      </c>
      <c r="Q401" s="20">
        <v>40</v>
      </c>
      <c r="R401" s="20">
        <v>59.07</v>
      </c>
      <c r="S401" s="20">
        <v>59</v>
      </c>
      <c r="T401" s="20">
        <v>-7.0000000000000007E-2</v>
      </c>
      <c r="U401" s="26">
        <v>0.02</v>
      </c>
      <c r="V401" s="20">
        <v>1168.71</v>
      </c>
    </row>
    <row r="402" spans="1:22" ht="16.8" x14ac:dyDescent="0.3">
      <c r="A402" s="20">
        <v>40.1</v>
      </c>
      <c r="B402" s="20">
        <v>59</v>
      </c>
      <c r="C402" s="20">
        <v>59.08</v>
      </c>
      <c r="D402" s="20">
        <v>-0.08</v>
      </c>
      <c r="E402" s="20">
        <v>-0.03</v>
      </c>
      <c r="F402" s="20">
        <v>1266.73</v>
      </c>
      <c r="Q402" s="20">
        <v>40.1</v>
      </c>
      <c r="R402" s="20">
        <v>59.05</v>
      </c>
      <c r="S402" s="26">
        <v>59</v>
      </c>
      <c r="T402" s="26">
        <v>-0.05</v>
      </c>
      <c r="U402" s="26">
        <v>0.02</v>
      </c>
      <c r="V402" s="20">
        <v>1173.1600000000001</v>
      </c>
    </row>
    <row r="403" spans="1:22" ht="16.8" x14ac:dyDescent="0.3">
      <c r="A403" s="20">
        <v>40.200000000000003</v>
      </c>
      <c r="B403" s="20">
        <v>59</v>
      </c>
      <c r="C403" s="20">
        <v>59.02</v>
      </c>
      <c r="D403" s="20">
        <v>-0.02</v>
      </c>
      <c r="E403" s="20">
        <v>0.06</v>
      </c>
      <c r="F403" s="20">
        <v>1307.3399999999999</v>
      </c>
      <c r="Q403" s="20">
        <v>40.200000000000003</v>
      </c>
      <c r="R403" s="20">
        <v>59.02</v>
      </c>
      <c r="S403" s="20">
        <v>59</v>
      </c>
      <c r="T403" s="20">
        <v>-0.02</v>
      </c>
      <c r="U403" s="26">
        <v>0.02</v>
      </c>
      <c r="V403" s="20">
        <v>1176.95</v>
      </c>
    </row>
    <row r="404" spans="1:22" ht="16.8" x14ac:dyDescent="0.3">
      <c r="A404" s="20">
        <v>40.299999999999997</v>
      </c>
      <c r="B404" s="20">
        <v>59</v>
      </c>
      <c r="C404" s="20">
        <v>59.02</v>
      </c>
      <c r="D404" s="20">
        <v>-0.02</v>
      </c>
      <c r="E404" s="20">
        <v>0</v>
      </c>
      <c r="F404" s="20">
        <v>1304.32</v>
      </c>
      <c r="Q404" s="20">
        <v>40.299999999999997</v>
      </c>
      <c r="R404" s="20">
        <v>59.04</v>
      </c>
      <c r="S404" s="26">
        <v>59</v>
      </c>
      <c r="T404" s="26">
        <v>-0.04</v>
      </c>
      <c r="U404" s="20">
        <v>-0.02</v>
      </c>
      <c r="V404" s="20">
        <v>1170.6600000000001</v>
      </c>
    </row>
    <row r="405" spans="1:22" ht="16.8" x14ac:dyDescent="0.3">
      <c r="A405" s="20">
        <v>40.4</v>
      </c>
      <c r="B405" s="20">
        <v>59</v>
      </c>
      <c r="C405" s="20">
        <v>59.03</v>
      </c>
      <c r="D405" s="20">
        <v>-0.03</v>
      </c>
      <c r="E405" s="20">
        <v>0</v>
      </c>
      <c r="F405" s="20">
        <v>1301.3399999999999</v>
      </c>
      <c r="Q405" s="20">
        <v>40.4</v>
      </c>
      <c r="R405" s="20">
        <v>59.07</v>
      </c>
      <c r="S405" s="26">
        <v>59</v>
      </c>
      <c r="T405" s="20">
        <v>-7.0000000000000007E-2</v>
      </c>
      <c r="U405" s="26">
        <v>-0.02</v>
      </c>
      <c r="V405" s="20">
        <v>1165.93</v>
      </c>
    </row>
    <row r="406" spans="1:22" ht="16.8" x14ac:dyDescent="0.3">
      <c r="A406" s="20">
        <v>40.5</v>
      </c>
      <c r="B406" s="20">
        <v>59</v>
      </c>
      <c r="C406" s="20">
        <v>59.07</v>
      </c>
      <c r="D406" s="20">
        <v>-7.0000000000000007E-2</v>
      </c>
      <c r="E406" s="20">
        <v>-0.04</v>
      </c>
      <c r="F406" s="20">
        <v>1269.52</v>
      </c>
      <c r="Q406" s="20">
        <v>40.5</v>
      </c>
      <c r="R406" s="20">
        <v>59.06</v>
      </c>
      <c r="S406" s="20">
        <v>59</v>
      </c>
      <c r="T406" s="26">
        <v>-0.06</v>
      </c>
      <c r="U406" s="20">
        <v>0.01</v>
      </c>
      <c r="V406" s="20">
        <v>1169.98</v>
      </c>
    </row>
    <row r="407" spans="1:22" ht="16.8" x14ac:dyDescent="0.3">
      <c r="A407" s="20">
        <v>40.6</v>
      </c>
      <c r="B407" s="20">
        <v>59</v>
      </c>
      <c r="C407" s="20">
        <v>59.07</v>
      </c>
      <c r="D407" s="20">
        <v>-7.0000000000000007E-2</v>
      </c>
      <c r="E407" s="20">
        <v>0</v>
      </c>
      <c r="F407" s="20">
        <v>1269.52</v>
      </c>
      <c r="Q407" s="20">
        <v>40.6</v>
      </c>
      <c r="R407" s="20">
        <v>59.02</v>
      </c>
      <c r="S407" s="26">
        <v>59</v>
      </c>
      <c r="T407" s="20">
        <v>-0.02</v>
      </c>
      <c r="U407" s="26">
        <v>0.04</v>
      </c>
      <c r="V407" s="20">
        <v>1179.25</v>
      </c>
    </row>
    <row r="408" spans="1:22" ht="16.8" x14ac:dyDescent="0.3">
      <c r="A408" s="20">
        <v>40.700000000000003</v>
      </c>
      <c r="B408" s="20">
        <v>59</v>
      </c>
      <c r="C408" s="20">
        <v>59.08</v>
      </c>
      <c r="D408" s="20">
        <v>-0.08</v>
      </c>
      <c r="E408" s="20">
        <v>0</v>
      </c>
      <c r="F408" s="20">
        <v>1266.73</v>
      </c>
      <c r="Q408" s="20">
        <v>40.700000000000003</v>
      </c>
      <c r="R408" s="20">
        <v>59.05</v>
      </c>
      <c r="S408" s="20">
        <v>59</v>
      </c>
      <c r="T408" s="20">
        <v>-0.05</v>
      </c>
      <c r="U408" s="26">
        <v>-0.03</v>
      </c>
      <c r="V408" s="20">
        <v>1167.47</v>
      </c>
    </row>
    <row r="409" spans="1:22" ht="16.8" x14ac:dyDescent="0.3">
      <c r="A409" s="20">
        <v>40.799999999999997</v>
      </c>
      <c r="B409" s="20">
        <v>59</v>
      </c>
      <c r="C409" s="20">
        <v>59.06</v>
      </c>
      <c r="D409" s="20">
        <v>-0.06</v>
      </c>
      <c r="E409" s="20">
        <v>0.02</v>
      </c>
      <c r="F409" s="20">
        <v>1280.8599999999999</v>
      </c>
      <c r="Q409" s="20">
        <v>40.799999999999997</v>
      </c>
      <c r="R409" s="20">
        <v>59.04</v>
      </c>
      <c r="S409" s="26">
        <v>59</v>
      </c>
      <c r="T409" s="26">
        <v>-0.04</v>
      </c>
      <c r="U409" s="26">
        <v>0.01</v>
      </c>
      <c r="V409" s="20">
        <v>1172.28</v>
      </c>
    </row>
    <row r="410" spans="1:22" ht="16.8" x14ac:dyDescent="0.3">
      <c r="A410" s="20">
        <v>40.9</v>
      </c>
      <c r="B410" s="20">
        <v>59</v>
      </c>
      <c r="C410" s="20">
        <v>59.06</v>
      </c>
      <c r="D410" s="20">
        <v>-0.06</v>
      </c>
      <c r="E410" s="20">
        <v>0</v>
      </c>
      <c r="F410" s="20">
        <v>1280.8599999999999</v>
      </c>
      <c r="Q410" s="20">
        <v>40.9</v>
      </c>
      <c r="R410" s="20">
        <v>59.04</v>
      </c>
      <c r="S410" s="20">
        <v>59</v>
      </c>
      <c r="T410" s="20">
        <v>-0.04</v>
      </c>
      <c r="U410" s="26">
        <v>0</v>
      </c>
      <c r="V410" s="20">
        <v>1171.46</v>
      </c>
    </row>
    <row r="411" spans="1:22" ht="16.8" x14ac:dyDescent="0.3">
      <c r="A411" s="20">
        <v>41</v>
      </c>
      <c r="B411" s="20">
        <v>59</v>
      </c>
      <c r="C411" s="20">
        <v>58.97</v>
      </c>
      <c r="D411" s="20">
        <v>0.03</v>
      </c>
      <c r="E411" s="20">
        <v>0.08</v>
      </c>
      <c r="F411" s="20">
        <v>1379.5</v>
      </c>
      <c r="Q411" s="20">
        <v>41</v>
      </c>
      <c r="R411" s="20">
        <v>59.03</v>
      </c>
      <c r="S411" s="20">
        <v>59</v>
      </c>
      <c r="T411" s="26">
        <v>-0.03</v>
      </c>
      <c r="U411" s="26">
        <v>0.01</v>
      </c>
      <c r="V411" s="20">
        <v>1173.3900000000001</v>
      </c>
    </row>
    <row r="412" spans="1:22" ht="16.8" x14ac:dyDescent="0.3">
      <c r="A412" s="20">
        <v>41.1</v>
      </c>
      <c r="B412" s="20">
        <v>59</v>
      </c>
      <c r="C412" s="20">
        <v>59.03</v>
      </c>
      <c r="D412" s="20">
        <v>-0.03</v>
      </c>
      <c r="E412" s="20">
        <v>-0.06</v>
      </c>
      <c r="F412" s="20">
        <v>1301.3399999999999</v>
      </c>
      <c r="Q412" s="20">
        <v>41.1</v>
      </c>
      <c r="R412" s="20">
        <v>59.12</v>
      </c>
      <c r="S412" s="26">
        <v>59</v>
      </c>
      <c r="T412" s="20">
        <v>-0.12</v>
      </c>
      <c r="U412" s="26">
        <v>-0.09</v>
      </c>
      <c r="V412" s="20">
        <v>1150.29</v>
      </c>
    </row>
    <row r="413" spans="1:22" ht="16.8" x14ac:dyDescent="0.3">
      <c r="A413" s="20">
        <v>41.2</v>
      </c>
      <c r="B413" s="20">
        <v>59</v>
      </c>
      <c r="C413" s="20">
        <v>59</v>
      </c>
      <c r="D413" s="20">
        <v>0</v>
      </c>
      <c r="E413" s="20">
        <v>0.02</v>
      </c>
      <c r="F413" s="20">
        <v>1319.64</v>
      </c>
      <c r="Q413" s="20">
        <v>41.2</v>
      </c>
      <c r="R413" s="20">
        <v>59.03</v>
      </c>
      <c r="S413" s="20">
        <v>59</v>
      </c>
      <c r="T413" s="26">
        <v>-0.03</v>
      </c>
      <c r="U413" s="26">
        <v>0.09</v>
      </c>
      <c r="V413" s="20">
        <v>1180.27</v>
      </c>
    </row>
    <row r="414" spans="1:22" ht="16.8" x14ac:dyDescent="0.3">
      <c r="A414" s="20">
        <v>41.3</v>
      </c>
      <c r="B414" s="20">
        <v>59</v>
      </c>
      <c r="C414" s="20">
        <v>58.94</v>
      </c>
      <c r="D414" s="20">
        <v>0.06</v>
      </c>
      <c r="E414" s="20">
        <v>0.06</v>
      </c>
      <c r="F414" s="20">
        <v>1432.12</v>
      </c>
      <c r="Q414" s="20">
        <v>41.3</v>
      </c>
      <c r="R414" s="20">
        <v>59.03</v>
      </c>
      <c r="S414" s="26">
        <v>59</v>
      </c>
      <c r="T414" s="20">
        <v>-0.03</v>
      </c>
      <c r="U414" s="26">
        <v>0</v>
      </c>
      <c r="V414" s="20">
        <v>1172.21</v>
      </c>
    </row>
    <row r="415" spans="1:22" ht="16.8" x14ac:dyDescent="0.3">
      <c r="A415" s="20">
        <v>41.4</v>
      </c>
      <c r="B415" s="20">
        <v>59</v>
      </c>
      <c r="C415" s="20">
        <v>58.93</v>
      </c>
      <c r="D415" s="20">
        <v>7.0000000000000007E-2</v>
      </c>
      <c r="E415" s="20">
        <v>0.01</v>
      </c>
      <c r="F415" s="20">
        <v>1453.26</v>
      </c>
      <c r="Q415" s="20">
        <v>41.4</v>
      </c>
      <c r="R415" s="20">
        <v>59.02</v>
      </c>
      <c r="S415" s="26">
        <v>59</v>
      </c>
      <c r="T415" s="26">
        <v>-0.02</v>
      </c>
      <c r="U415" s="20">
        <v>0.02</v>
      </c>
      <c r="V415" s="20">
        <v>1176.19</v>
      </c>
    </row>
    <row r="416" spans="1:22" ht="16.8" x14ac:dyDescent="0.3">
      <c r="A416" s="20">
        <v>41.5</v>
      </c>
      <c r="B416" s="20">
        <v>59</v>
      </c>
      <c r="C416" s="20">
        <v>58.92</v>
      </c>
      <c r="D416" s="20">
        <v>0.08</v>
      </c>
      <c r="E416" s="20">
        <v>0.01</v>
      </c>
      <c r="F416" s="20">
        <v>1473.62</v>
      </c>
      <c r="Q416" s="20">
        <v>41.5</v>
      </c>
      <c r="R416" s="20">
        <v>59.03</v>
      </c>
      <c r="S416" s="20">
        <v>59</v>
      </c>
      <c r="T416" s="20">
        <v>-0.03</v>
      </c>
      <c r="U416" s="26">
        <v>-0.02</v>
      </c>
      <c r="V416" s="20">
        <v>1170.6400000000001</v>
      </c>
    </row>
    <row r="417" spans="1:22" ht="16.8" x14ac:dyDescent="0.3">
      <c r="A417" s="20">
        <v>41.6</v>
      </c>
      <c r="B417" s="20">
        <v>59</v>
      </c>
      <c r="C417" s="20">
        <v>58.91</v>
      </c>
      <c r="D417" s="20">
        <v>0.09</v>
      </c>
      <c r="E417" s="20">
        <v>0.01</v>
      </c>
      <c r="F417" s="20">
        <v>1493.23</v>
      </c>
      <c r="Q417" s="20">
        <v>41.6</v>
      </c>
      <c r="R417" s="20">
        <v>58.96</v>
      </c>
      <c r="S417" s="20">
        <v>59</v>
      </c>
      <c r="T417" s="20">
        <v>0.04</v>
      </c>
      <c r="U417" s="20">
        <v>7.0000000000000007E-2</v>
      </c>
      <c r="V417" s="20">
        <v>1190.26</v>
      </c>
    </row>
    <row r="418" spans="1:22" ht="16.8" x14ac:dyDescent="0.3">
      <c r="A418" s="20">
        <v>41.7</v>
      </c>
      <c r="B418" s="20">
        <v>59</v>
      </c>
      <c r="C418" s="20">
        <v>58.88</v>
      </c>
      <c r="D418" s="20">
        <v>0.12</v>
      </c>
      <c r="E418" s="20">
        <v>0.02</v>
      </c>
      <c r="F418" s="20">
        <v>1530.34</v>
      </c>
      <c r="Q418" s="20">
        <v>41.7</v>
      </c>
      <c r="R418" s="20">
        <v>59.02</v>
      </c>
      <c r="S418" s="26">
        <v>59</v>
      </c>
      <c r="T418" s="26">
        <v>-0.02</v>
      </c>
      <c r="U418" s="26">
        <v>-0.06</v>
      </c>
      <c r="V418" s="20">
        <v>1167.6099999999999</v>
      </c>
    </row>
    <row r="419" spans="1:22" ht="16.8" x14ac:dyDescent="0.3">
      <c r="A419" s="20">
        <v>41.8</v>
      </c>
      <c r="B419" s="20">
        <v>59</v>
      </c>
      <c r="C419" s="20">
        <v>58.92</v>
      </c>
      <c r="D419" s="20">
        <v>0.08</v>
      </c>
      <c r="E419" s="20">
        <v>-0.04</v>
      </c>
      <c r="F419" s="20">
        <v>1466.92</v>
      </c>
      <c r="Q419" s="20">
        <v>41.8</v>
      </c>
      <c r="R419" s="20">
        <v>59.03</v>
      </c>
      <c r="S419" s="26">
        <v>59</v>
      </c>
      <c r="T419" s="20">
        <v>-0.03</v>
      </c>
      <c r="U419" s="26">
        <v>-0.01</v>
      </c>
      <c r="V419" s="20">
        <v>1171.33</v>
      </c>
    </row>
    <row r="420" spans="1:22" ht="16.8" x14ac:dyDescent="0.3">
      <c r="A420" s="20">
        <v>41.9</v>
      </c>
      <c r="B420" s="20">
        <v>59</v>
      </c>
      <c r="C420" s="20">
        <v>58.92</v>
      </c>
      <c r="D420" s="20">
        <v>0.08</v>
      </c>
      <c r="E420" s="20">
        <v>0</v>
      </c>
      <c r="F420" s="20">
        <v>1473.62</v>
      </c>
      <c r="Q420" s="20">
        <v>41.9</v>
      </c>
      <c r="R420" s="20">
        <v>59.04</v>
      </c>
      <c r="S420" s="20">
        <v>59</v>
      </c>
      <c r="T420" s="26">
        <v>-0.04</v>
      </c>
      <c r="U420" s="26">
        <v>-0.01</v>
      </c>
      <c r="V420" s="20">
        <v>1169.94</v>
      </c>
    </row>
    <row r="421" spans="1:22" ht="16.8" x14ac:dyDescent="0.3">
      <c r="A421" s="20">
        <v>42</v>
      </c>
      <c r="B421" s="20">
        <v>59</v>
      </c>
      <c r="C421" s="20">
        <v>58.92</v>
      </c>
      <c r="D421" s="20">
        <v>0.08</v>
      </c>
      <c r="E421" s="20">
        <v>0</v>
      </c>
      <c r="F421" s="20">
        <v>1473.62</v>
      </c>
      <c r="Q421" s="20">
        <v>42</v>
      </c>
      <c r="R421" s="20">
        <v>59.04</v>
      </c>
      <c r="S421" s="26">
        <v>59</v>
      </c>
      <c r="T421" s="20">
        <v>-0.04</v>
      </c>
      <c r="U421" s="26">
        <v>0</v>
      </c>
      <c r="V421" s="20">
        <v>1170.57</v>
      </c>
    </row>
    <row r="422" spans="1:22" ht="16.8" x14ac:dyDescent="0.3">
      <c r="A422" s="20">
        <v>42.1</v>
      </c>
      <c r="B422" s="20">
        <v>59</v>
      </c>
      <c r="C422" s="20">
        <v>58.92</v>
      </c>
      <c r="D422" s="20">
        <v>0.08</v>
      </c>
      <c r="E422" s="20">
        <v>0</v>
      </c>
      <c r="F422" s="20">
        <v>1466.92</v>
      </c>
      <c r="Q422" s="20">
        <v>42.1</v>
      </c>
      <c r="R422" s="20">
        <v>59.03</v>
      </c>
      <c r="S422" s="20">
        <v>59</v>
      </c>
      <c r="T422" s="26">
        <v>-0.03</v>
      </c>
      <c r="U422" s="20">
        <v>0.01</v>
      </c>
      <c r="V422" s="20">
        <v>1172.5</v>
      </c>
    </row>
    <row r="423" spans="1:22" ht="16.8" x14ac:dyDescent="0.3">
      <c r="A423" s="20">
        <v>42.2</v>
      </c>
      <c r="B423" s="20">
        <v>59</v>
      </c>
      <c r="C423" s="20">
        <v>58.92</v>
      </c>
      <c r="D423" s="20">
        <v>0.08</v>
      </c>
      <c r="E423" s="20">
        <v>0</v>
      </c>
      <c r="F423" s="20">
        <v>1473.62</v>
      </c>
      <c r="Q423" s="20">
        <v>42.2</v>
      </c>
      <c r="R423" s="20">
        <v>59.06</v>
      </c>
      <c r="S423" s="20">
        <v>59</v>
      </c>
      <c r="T423" s="20">
        <v>-0.06</v>
      </c>
      <c r="U423" s="26">
        <v>-0.02</v>
      </c>
      <c r="V423" s="20">
        <v>1165.6199999999999</v>
      </c>
    </row>
    <row r="424" spans="1:22" ht="16.8" x14ac:dyDescent="0.3">
      <c r="A424" s="20">
        <v>42.3</v>
      </c>
      <c r="B424" s="20">
        <v>59</v>
      </c>
      <c r="C424" s="20">
        <v>58.94</v>
      </c>
      <c r="D424" s="20">
        <v>0.06</v>
      </c>
      <c r="E424" s="20">
        <v>-0.02</v>
      </c>
      <c r="F424" s="20">
        <v>1439.24</v>
      </c>
      <c r="Q424" s="20">
        <v>42.3</v>
      </c>
      <c r="R424" s="20">
        <v>59.02</v>
      </c>
      <c r="S424" s="26">
        <v>59</v>
      </c>
      <c r="T424" s="26">
        <v>-0.02</v>
      </c>
      <c r="U424" s="20">
        <v>0.03</v>
      </c>
      <c r="V424" s="20">
        <v>1175.76</v>
      </c>
    </row>
    <row r="425" spans="1:22" ht="16.8" x14ac:dyDescent="0.3">
      <c r="A425" s="20">
        <v>42.4</v>
      </c>
      <c r="B425" s="20">
        <v>59</v>
      </c>
      <c r="C425" s="20">
        <v>58.94</v>
      </c>
      <c r="D425" s="20">
        <v>0.06</v>
      </c>
      <c r="E425" s="20">
        <v>0</v>
      </c>
      <c r="F425" s="20">
        <v>1432.12</v>
      </c>
      <c r="Q425" s="20">
        <v>42.4</v>
      </c>
      <c r="R425" s="20">
        <v>59.02</v>
      </c>
      <c r="S425" s="20">
        <v>59</v>
      </c>
      <c r="T425" s="20">
        <v>-0.02</v>
      </c>
      <c r="U425" s="26">
        <v>0.01</v>
      </c>
      <c r="V425" s="20">
        <v>1174.83</v>
      </c>
    </row>
    <row r="426" spans="1:22" ht="16.8" x14ac:dyDescent="0.3">
      <c r="A426" s="20">
        <v>42.5</v>
      </c>
      <c r="B426" s="20">
        <v>59</v>
      </c>
      <c r="C426" s="20">
        <v>58.96</v>
      </c>
      <c r="D426" s="20">
        <v>0.04</v>
      </c>
      <c r="E426" s="20">
        <v>-0.01</v>
      </c>
      <c r="F426" s="20">
        <v>1410.17</v>
      </c>
      <c r="Q426" s="20">
        <v>42.5</v>
      </c>
      <c r="R426" s="20">
        <v>59.01</v>
      </c>
      <c r="S426" s="26">
        <v>59</v>
      </c>
      <c r="T426" s="20">
        <v>-0.01</v>
      </c>
      <c r="U426" s="20">
        <v>0.01</v>
      </c>
      <c r="V426" s="20">
        <v>1176.0899999999999</v>
      </c>
    </row>
    <row r="427" spans="1:22" ht="16.8" x14ac:dyDescent="0.3">
      <c r="A427" s="20">
        <v>42.6</v>
      </c>
      <c r="B427" s="20">
        <v>59</v>
      </c>
      <c r="C427" s="20">
        <v>58.95</v>
      </c>
      <c r="D427" s="20">
        <v>0.05</v>
      </c>
      <c r="E427" s="20">
        <v>0</v>
      </c>
      <c r="F427" s="20">
        <v>1417.56</v>
      </c>
      <c r="Q427" s="20">
        <v>42.6</v>
      </c>
      <c r="R427" s="20">
        <v>59.03</v>
      </c>
      <c r="S427" s="20">
        <v>59</v>
      </c>
      <c r="T427" s="26">
        <v>-0.03</v>
      </c>
      <c r="U427" s="26">
        <v>-0.02</v>
      </c>
      <c r="V427" s="20">
        <v>1169.26</v>
      </c>
    </row>
    <row r="428" spans="1:22" ht="16.8" x14ac:dyDescent="0.3">
      <c r="A428" s="20">
        <v>42.7</v>
      </c>
      <c r="B428" s="20">
        <v>59</v>
      </c>
      <c r="C428" s="20">
        <v>58.97</v>
      </c>
      <c r="D428" s="20">
        <v>0.03</v>
      </c>
      <c r="E428" s="20">
        <v>-0.02</v>
      </c>
      <c r="F428" s="20">
        <v>1379.5</v>
      </c>
      <c r="Q428" s="20">
        <v>42.7</v>
      </c>
      <c r="R428" s="20">
        <v>59.02</v>
      </c>
      <c r="S428" s="26">
        <v>59</v>
      </c>
      <c r="T428" s="20">
        <v>-0.02</v>
      </c>
      <c r="U428" s="20">
        <v>0.02</v>
      </c>
      <c r="V428" s="20">
        <v>1175.4100000000001</v>
      </c>
    </row>
    <row r="429" spans="1:22" ht="16.8" x14ac:dyDescent="0.3">
      <c r="A429" s="20">
        <v>42.8</v>
      </c>
      <c r="B429" s="20">
        <v>59</v>
      </c>
      <c r="C429" s="20">
        <v>58.97</v>
      </c>
      <c r="D429" s="20">
        <v>0.03</v>
      </c>
      <c r="E429" s="20">
        <v>0</v>
      </c>
      <c r="F429" s="20">
        <v>1387.32</v>
      </c>
      <c r="Q429" s="20">
        <v>42.8</v>
      </c>
      <c r="R429" s="20">
        <v>59.01</v>
      </c>
      <c r="S429" s="26">
        <v>59</v>
      </c>
      <c r="T429" s="26">
        <v>-0.01</v>
      </c>
      <c r="U429" s="26">
        <v>0.01</v>
      </c>
      <c r="V429" s="20">
        <v>1175.95</v>
      </c>
    </row>
    <row r="430" spans="1:22" ht="16.8" x14ac:dyDescent="0.3">
      <c r="A430" s="20">
        <v>42.9</v>
      </c>
      <c r="B430" s="20">
        <v>59</v>
      </c>
      <c r="C430" s="20">
        <v>58.99</v>
      </c>
      <c r="D430" s="20">
        <v>0.01</v>
      </c>
      <c r="E430" s="20">
        <v>-0.02</v>
      </c>
      <c r="F430" s="20">
        <v>1347.18</v>
      </c>
      <c r="Q430" s="20">
        <v>42.9</v>
      </c>
      <c r="R430" s="20">
        <v>59.02</v>
      </c>
      <c r="S430" s="20">
        <v>59</v>
      </c>
      <c r="T430" s="20">
        <v>-0.02</v>
      </c>
      <c r="U430" s="20">
        <v>-0.02</v>
      </c>
      <c r="V430" s="20">
        <v>1171.1500000000001</v>
      </c>
    </row>
    <row r="431" spans="1:22" ht="16.8" x14ac:dyDescent="0.3">
      <c r="A431" s="20">
        <v>43</v>
      </c>
      <c r="B431" s="20">
        <v>59</v>
      </c>
      <c r="C431" s="20">
        <v>59</v>
      </c>
      <c r="D431" s="20">
        <v>0</v>
      </c>
      <c r="E431" s="20">
        <v>-0.01</v>
      </c>
      <c r="F431" s="20">
        <v>1330.33</v>
      </c>
      <c r="Q431" s="20">
        <v>43</v>
      </c>
      <c r="R431" s="20">
        <v>59</v>
      </c>
      <c r="S431" s="20">
        <v>59</v>
      </c>
      <c r="T431" s="26">
        <v>0</v>
      </c>
      <c r="U431" s="26">
        <v>0.02</v>
      </c>
      <c r="V431" s="20">
        <v>1178.6199999999999</v>
      </c>
    </row>
    <row r="432" spans="1:22" ht="16.8" x14ac:dyDescent="0.3">
      <c r="A432" s="20">
        <v>43.1</v>
      </c>
      <c r="B432" s="20">
        <v>59</v>
      </c>
      <c r="C432" s="20">
        <v>58.99</v>
      </c>
      <c r="D432" s="20">
        <v>0.01</v>
      </c>
      <c r="E432" s="20">
        <v>0</v>
      </c>
      <c r="F432" s="20">
        <v>1338.79</v>
      </c>
      <c r="Q432" s="20">
        <v>43.1</v>
      </c>
      <c r="R432" s="20">
        <v>58.94</v>
      </c>
      <c r="S432" s="26">
        <v>59</v>
      </c>
      <c r="T432" s="20">
        <v>0.06</v>
      </c>
      <c r="U432" s="26">
        <v>0.06</v>
      </c>
      <c r="V432" s="20">
        <v>1190.6300000000001</v>
      </c>
    </row>
    <row r="433" spans="1:22" ht="16.8" x14ac:dyDescent="0.3">
      <c r="A433" s="20">
        <v>43.2</v>
      </c>
      <c r="B433" s="20">
        <v>59</v>
      </c>
      <c r="C433" s="20">
        <v>58.98</v>
      </c>
      <c r="D433" s="20">
        <v>0.02</v>
      </c>
      <c r="E433" s="20">
        <v>0.01</v>
      </c>
      <c r="F433" s="20">
        <v>1355.39</v>
      </c>
      <c r="Q433" s="20">
        <v>43.2</v>
      </c>
      <c r="R433" s="20">
        <v>59.08</v>
      </c>
      <c r="S433" s="20">
        <v>59</v>
      </c>
      <c r="T433" s="26">
        <v>-0.08</v>
      </c>
      <c r="U433" s="26">
        <v>-0.14000000000000001</v>
      </c>
      <c r="V433" s="20">
        <v>1151.23</v>
      </c>
    </row>
    <row r="434" spans="1:22" ht="16.8" x14ac:dyDescent="0.3">
      <c r="A434" s="20">
        <v>43.3</v>
      </c>
      <c r="B434" s="20">
        <v>59</v>
      </c>
      <c r="C434" s="20">
        <v>59.03</v>
      </c>
      <c r="D434" s="20">
        <v>-0.03</v>
      </c>
      <c r="E434" s="20">
        <v>-0.04</v>
      </c>
      <c r="F434" s="20">
        <v>1301.3399999999999</v>
      </c>
      <c r="Q434" s="20">
        <v>43.3</v>
      </c>
      <c r="R434" s="20">
        <v>59.05</v>
      </c>
      <c r="S434" s="26">
        <v>59</v>
      </c>
      <c r="T434" s="20">
        <v>-0.05</v>
      </c>
      <c r="U434" s="26">
        <v>0.03</v>
      </c>
      <c r="V434" s="20">
        <v>1171.47</v>
      </c>
    </row>
    <row r="435" spans="1:22" ht="16.8" x14ac:dyDescent="0.3">
      <c r="A435" s="20">
        <v>43.4</v>
      </c>
      <c r="B435" s="20">
        <v>59</v>
      </c>
      <c r="C435" s="20">
        <v>58.99</v>
      </c>
      <c r="D435" s="20">
        <v>0.01</v>
      </c>
      <c r="E435" s="20">
        <v>0.04</v>
      </c>
      <c r="F435" s="20">
        <v>1347.18</v>
      </c>
      <c r="Q435" s="20">
        <v>43.4</v>
      </c>
      <c r="R435" s="20">
        <v>59.06</v>
      </c>
      <c r="S435" s="20">
        <v>59</v>
      </c>
      <c r="T435" s="26">
        <v>-0.06</v>
      </c>
      <c r="U435" s="20">
        <v>-0.01</v>
      </c>
      <c r="V435" s="20">
        <v>1166.43</v>
      </c>
    </row>
    <row r="436" spans="1:22" ht="16.8" x14ac:dyDescent="0.3">
      <c r="A436" s="20">
        <v>43.5</v>
      </c>
      <c r="B436" s="20">
        <v>59</v>
      </c>
      <c r="C436" s="20">
        <v>59.04</v>
      </c>
      <c r="D436" s="20">
        <v>-0.04</v>
      </c>
      <c r="E436" s="20">
        <v>-0.05</v>
      </c>
      <c r="F436" s="20">
        <v>1292.46</v>
      </c>
      <c r="Q436" s="20">
        <v>43.5</v>
      </c>
      <c r="R436" s="20">
        <v>59.1</v>
      </c>
      <c r="S436" s="26">
        <v>59</v>
      </c>
      <c r="T436" s="20">
        <v>-0.1</v>
      </c>
      <c r="U436" s="26">
        <v>-0.04</v>
      </c>
      <c r="V436" s="20">
        <v>1156.8800000000001</v>
      </c>
    </row>
    <row r="437" spans="1:22" ht="16.8" x14ac:dyDescent="0.3">
      <c r="A437" s="20">
        <v>43.6</v>
      </c>
      <c r="B437" s="20">
        <v>59</v>
      </c>
      <c r="C437" s="20">
        <v>59.03</v>
      </c>
      <c r="D437" s="20">
        <v>-0.03</v>
      </c>
      <c r="E437" s="20">
        <v>0.01</v>
      </c>
      <c r="F437" s="20">
        <v>1298.3599999999999</v>
      </c>
      <c r="Q437" s="20">
        <v>43.6</v>
      </c>
      <c r="R437" s="20">
        <v>58.95</v>
      </c>
      <c r="S437" s="26">
        <v>59</v>
      </c>
      <c r="T437" s="20">
        <v>0.05</v>
      </c>
      <c r="U437" s="20">
        <v>0.15</v>
      </c>
      <c r="V437" s="20">
        <v>1196.76</v>
      </c>
    </row>
    <row r="438" spans="1:22" ht="16.8" x14ac:dyDescent="0.3">
      <c r="A438" s="20">
        <v>43.7</v>
      </c>
      <c r="B438" s="20">
        <v>59</v>
      </c>
      <c r="C438" s="20">
        <v>59</v>
      </c>
      <c r="D438" s="20">
        <v>0</v>
      </c>
      <c r="E438" s="20">
        <v>0.03</v>
      </c>
      <c r="F438" s="20">
        <v>1322.75</v>
      </c>
      <c r="Q438" s="20">
        <v>43.7</v>
      </c>
      <c r="R438" s="20">
        <v>58.98</v>
      </c>
      <c r="S438" s="20">
        <v>59</v>
      </c>
      <c r="T438" s="26">
        <v>0.02</v>
      </c>
      <c r="U438" s="26">
        <v>-0.02</v>
      </c>
      <c r="V438" s="20">
        <v>1177.73</v>
      </c>
    </row>
    <row r="439" spans="1:22" ht="16.8" x14ac:dyDescent="0.3">
      <c r="A439" s="20">
        <v>43.8</v>
      </c>
      <c r="B439" s="20">
        <v>59</v>
      </c>
      <c r="C439" s="20">
        <v>59.07</v>
      </c>
      <c r="D439" s="20">
        <v>-7.0000000000000007E-2</v>
      </c>
      <c r="E439" s="20">
        <v>-0.06</v>
      </c>
      <c r="F439" s="20">
        <v>1275.1500000000001</v>
      </c>
      <c r="Q439" s="20">
        <v>43.8</v>
      </c>
      <c r="R439" s="20">
        <v>59.06</v>
      </c>
      <c r="S439" s="26">
        <v>59</v>
      </c>
      <c r="T439" s="20">
        <v>-0.06</v>
      </c>
      <c r="U439" s="20">
        <v>-0.08</v>
      </c>
      <c r="V439" s="20">
        <v>1159.7</v>
      </c>
    </row>
    <row r="440" spans="1:22" ht="16.8" x14ac:dyDescent="0.3">
      <c r="A440" s="20">
        <v>43.9</v>
      </c>
      <c r="B440" s="20">
        <v>59</v>
      </c>
      <c r="C440" s="20">
        <v>59.01</v>
      </c>
      <c r="D440" s="20">
        <v>-0.01</v>
      </c>
      <c r="E440" s="20">
        <v>0.06</v>
      </c>
      <c r="F440" s="20">
        <v>1316.54</v>
      </c>
      <c r="Q440" s="20">
        <v>43.9</v>
      </c>
      <c r="R440" s="20">
        <v>59.11</v>
      </c>
      <c r="S440" s="20">
        <v>59</v>
      </c>
      <c r="T440" s="26">
        <v>-0.11</v>
      </c>
      <c r="U440" s="26">
        <v>-0.05</v>
      </c>
      <c r="V440" s="20">
        <v>1154.6600000000001</v>
      </c>
    </row>
    <row r="441" spans="1:22" ht="16.8" x14ac:dyDescent="0.3">
      <c r="A441" s="20">
        <v>44</v>
      </c>
      <c r="B441" s="20">
        <v>59</v>
      </c>
      <c r="C441" s="20">
        <v>59.05</v>
      </c>
      <c r="D441" s="20">
        <v>-0.05</v>
      </c>
      <c r="E441" s="20">
        <v>-0.04</v>
      </c>
      <c r="F441" s="20">
        <v>1289.54</v>
      </c>
      <c r="Q441" s="20">
        <v>44</v>
      </c>
      <c r="R441" s="20">
        <v>59.04</v>
      </c>
      <c r="S441" s="26">
        <v>59</v>
      </c>
      <c r="T441" s="20">
        <v>-0.04</v>
      </c>
      <c r="U441" s="20">
        <v>0.06</v>
      </c>
      <c r="V441" s="20">
        <v>1174.97</v>
      </c>
    </row>
    <row r="442" spans="1:22" ht="16.8" x14ac:dyDescent="0.3">
      <c r="A442" s="20">
        <v>44.1</v>
      </c>
      <c r="B442" s="20">
        <v>59</v>
      </c>
      <c r="C442" s="20">
        <v>59.02</v>
      </c>
      <c r="D442" s="20">
        <v>-0.02</v>
      </c>
      <c r="E442" s="20">
        <v>0.03</v>
      </c>
      <c r="F442" s="20">
        <v>1310.3800000000001</v>
      </c>
      <c r="Q442" s="20">
        <v>44.1</v>
      </c>
      <c r="R442" s="20">
        <v>59.05</v>
      </c>
      <c r="S442" s="20">
        <v>59</v>
      </c>
      <c r="T442" s="26">
        <v>-0.05</v>
      </c>
      <c r="U442" s="20">
        <v>-0.01</v>
      </c>
      <c r="V442" s="20">
        <v>1167.04</v>
      </c>
    </row>
    <row r="443" spans="1:22" ht="16.8" x14ac:dyDescent="0.3">
      <c r="A443" s="20">
        <v>44.2</v>
      </c>
      <c r="B443" s="20">
        <v>59</v>
      </c>
      <c r="C443" s="20">
        <v>58.98</v>
      </c>
      <c r="D443" s="20">
        <v>0.02</v>
      </c>
      <c r="E443" s="20">
        <v>0.04</v>
      </c>
      <c r="F443" s="20">
        <v>1363.56</v>
      </c>
      <c r="Q443" s="20">
        <v>44.2</v>
      </c>
      <c r="R443" s="20">
        <v>59.05</v>
      </c>
      <c r="S443" s="26">
        <v>59</v>
      </c>
      <c r="T443" s="20">
        <v>-0.05</v>
      </c>
      <c r="U443" s="26">
        <v>0</v>
      </c>
      <c r="V443" s="20">
        <v>1167.6500000000001</v>
      </c>
    </row>
    <row r="444" spans="1:22" ht="16.8" x14ac:dyDescent="0.3">
      <c r="A444" s="20">
        <v>44.3</v>
      </c>
      <c r="B444" s="20">
        <v>59</v>
      </c>
      <c r="C444" s="20">
        <v>58.98</v>
      </c>
      <c r="D444" s="20">
        <v>0.02</v>
      </c>
      <c r="E444" s="20">
        <v>0</v>
      </c>
      <c r="F444" s="20">
        <v>1371.56</v>
      </c>
      <c r="Q444" s="20">
        <v>44.3</v>
      </c>
      <c r="R444" s="20">
        <v>59.03</v>
      </c>
      <c r="S444" s="20">
        <v>59</v>
      </c>
      <c r="T444" s="26">
        <v>-0.03</v>
      </c>
      <c r="U444" s="20">
        <v>0.02</v>
      </c>
      <c r="V444" s="20">
        <v>1171.58</v>
      </c>
    </row>
    <row r="445" spans="1:22" ht="16.8" x14ac:dyDescent="0.3">
      <c r="A445" s="20">
        <v>44.4</v>
      </c>
      <c r="B445" s="20">
        <v>59</v>
      </c>
      <c r="C445" s="20">
        <v>58.99</v>
      </c>
      <c r="D445" s="20">
        <v>0.01</v>
      </c>
      <c r="E445" s="20">
        <v>-0.02</v>
      </c>
      <c r="F445" s="20">
        <v>1338.79</v>
      </c>
      <c r="Q445" s="20">
        <v>44.4</v>
      </c>
      <c r="R445" s="20">
        <v>59.1</v>
      </c>
      <c r="S445" s="26">
        <v>59</v>
      </c>
      <c r="T445" s="20">
        <v>-0.1</v>
      </c>
      <c r="U445" s="26">
        <v>-0.06</v>
      </c>
      <c r="V445" s="20">
        <v>1153.8399999999999</v>
      </c>
    </row>
    <row r="446" spans="1:22" ht="16.8" x14ac:dyDescent="0.3">
      <c r="A446" s="20">
        <v>44.5</v>
      </c>
      <c r="B446" s="20">
        <v>59</v>
      </c>
      <c r="C446" s="20">
        <v>58.96</v>
      </c>
      <c r="D446" s="20">
        <v>0.04</v>
      </c>
      <c r="E446" s="20">
        <v>0.04</v>
      </c>
      <c r="F446" s="20">
        <v>1410.17</v>
      </c>
      <c r="Q446" s="20">
        <v>44.5</v>
      </c>
      <c r="R446" s="20">
        <v>59.05</v>
      </c>
      <c r="S446" s="20">
        <v>59</v>
      </c>
      <c r="T446" s="26">
        <v>-0.05</v>
      </c>
      <c r="U446" s="20">
        <v>0.05</v>
      </c>
      <c r="V446" s="20">
        <v>1171.57</v>
      </c>
    </row>
    <row r="447" spans="1:22" ht="16.8" x14ac:dyDescent="0.3">
      <c r="A447" s="20">
        <v>44.6</v>
      </c>
      <c r="B447" s="20">
        <v>59</v>
      </c>
      <c r="C447" s="20">
        <v>58.99</v>
      </c>
      <c r="D447" s="20">
        <v>0.01</v>
      </c>
      <c r="E447" s="20">
        <v>-0.04</v>
      </c>
      <c r="F447" s="20">
        <v>1338.79</v>
      </c>
      <c r="Q447" s="20">
        <v>44.6</v>
      </c>
      <c r="R447" s="20">
        <v>59.03</v>
      </c>
      <c r="S447" s="26">
        <v>59</v>
      </c>
      <c r="T447" s="20">
        <v>-0.03</v>
      </c>
      <c r="U447" s="26">
        <v>0.02</v>
      </c>
      <c r="V447" s="20">
        <v>1171.1500000000001</v>
      </c>
    </row>
    <row r="448" spans="1:22" ht="16.8" x14ac:dyDescent="0.3">
      <c r="A448" s="20">
        <v>44.7</v>
      </c>
      <c r="B448" s="20">
        <v>59</v>
      </c>
      <c r="C448" s="20">
        <v>58.93</v>
      </c>
      <c r="D448" s="20">
        <v>7.0000000000000007E-2</v>
      </c>
      <c r="E448" s="20">
        <v>0.06</v>
      </c>
      <c r="F448" s="20">
        <v>1453.26</v>
      </c>
      <c r="Q448" s="20">
        <v>44.7</v>
      </c>
      <c r="R448" s="20">
        <v>59.07</v>
      </c>
      <c r="S448" s="20">
        <v>59</v>
      </c>
      <c r="T448" s="26">
        <v>-7.0000000000000007E-2</v>
      </c>
      <c r="U448" s="20">
        <v>-0.03</v>
      </c>
      <c r="V448" s="20">
        <v>1161.52</v>
      </c>
    </row>
    <row r="449" spans="1:22" ht="16.8" x14ac:dyDescent="0.3">
      <c r="A449" s="20">
        <v>44.8</v>
      </c>
      <c r="B449" s="20">
        <v>59</v>
      </c>
      <c r="C449" s="20">
        <v>58.93</v>
      </c>
      <c r="D449" s="20">
        <v>7.0000000000000007E-2</v>
      </c>
      <c r="E449" s="20">
        <v>0</v>
      </c>
      <c r="F449" s="20">
        <v>1453.26</v>
      </c>
      <c r="Q449" s="20">
        <v>44.8</v>
      </c>
      <c r="R449" s="20">
        <v>59.02</v>
      </c>
      <c r="S449" s="20">
        <v>59</v>
      </c>
      <c r="T449" s="20">
        <v>-0.02</v>
      </c>
      <c r="U449" s="26">
        <v>0.05</v>
      </c>
      <c r="V449" s="20">
        <v>1176.42</v>
      </c>
    </row>
    <row r="450" spans="1:22" ht="16.8" x14ac:dyDescent="0.3">
      <c r="A450" s="20">
        <v>44.9</v>
      </c>
      <c r="B450" s="20">
        <v>59</v>
      </c>
      <c r="C450" s="20">
        <v>58.95</v>
      </c>
      <c r="D450" s="20">
        <v>0.05</v>
      </c>
      <c r="E450" s="20">
        <v>-0.02</v>
      </c>
      <c r="F450" s="20">
        <v>1417.56</v>
      </c>
      <c r="Q450" s="20">
        <v>44.9</v>
      </c>
      <c r="R450" s="20">
        <v>59.06</v>
      </c>
      <c r="S450" s="26">
        <v>59</v>
      </c>
      <c r="T450" s="26">
        <v>-0.06</v>
      </c>
      <c r="U450" s="20">
        <v>-0.04</v>
      </c>
      <c r="V450" s="20">
        <v>1161.9000000000001</v>
      </c>
    </row>
    <row r="451" spans="1:22" ht="16.8" x14ac:dyDescent="0.3">
      <c r="A451" s="20">
        <v>45</v>
      </c>
      <c r="B451" s="20">
        <v>59</v>
      </c>
      <c r="C451" s="20">
        <v>58.96</v>
      </c>
      <c r="D451" s="20">
        <v>0.04</v>
      </c>
      <c r="E451" s="20">
        <v>-0.01</v>
      </c>
      <c r="F451" s="20">
        <v>1402.64</v>
      </c>
      <c r="Q451" s="20">
        <v>45</v>
      </c>
      <c r="R451" s="20">
        <v>59.09</v>
      </c>
      <c r="S451" s="20">
        <v>59</v>
      </c>
      <c r="T451" s="20">
        <v>-0.09</v>
      </c>
      <c r="U451" s="26">
        <v>-0.03</v>
      </c>
      <c r="V451" s="20">
        <v>1157.28</v>
      </c>
    </row>
    <row r="452" spans="1:22" ht="16.8" x14ac:dyDescent="0.3">
      <c r="A452" s="20">
        <v>45.1</v>
      </c>
      <c r="B452" s="20">
        <v>59</v>
      </c>
      <c r="C452" s="20">
        <v>58.92</v>
      </c>
      <c r="D452" s="20">
        <v>0.08</v>
      </c>
      <c r="E452" s="20">
        <v>0.04</v>
      </c>
      <c r="F452" s="20">
        <v>1466.92</v>
      </c>
      <c r="Q452" s="20">
        <v>45.1</v>
      </c>
      <c r="R452" s="20">
        <v>59.05</v>
      </c>
      <c r="S452" s="26">
        <v>59</v>
      </c>
      <c r="T452" s="26">
        <v>-0.05</v>
      </c>
      <c r="U452" s="26">
        <v>0.04</v>
      </c>
      <c r="V452" s="20">
        <v>1170.0999999999999</v>
      </c>
    </row>
    <row r="453" spans="1:22" ht="16.8" x14ac:dyDescent="0.3">
      <c r="A453" s="20">
        <v>45.2</v>
      </c>
      <c r="B453" s="20">
        <v>59</v>
      </c>
      <c r="C453" s="20">
        <v>58.97</v>
      </c>
      <c r="D453" s="20">
        <v>0.03</v>
      </c>
      <c r="E453" s="20">
        <v>-0.04</v>
      </c>
      <c r="F453" s="20">
        <v>1387.32</v>
      </c>
      <c r="Q453" s="20">
        <v>45.2</v>
      </c>
      <c r="R453" s="20">
        <v>59.02</v>
      </c>
      <c r="S453" s="20">
        <v>59</v>
      </c>
      <c r="T453" s="20">
        <v>-0.02</v>
      </c>
      <c r="U453" s="26">
        <v>0.03</v>
      </c>
      <c r="V453" s="20">
        <v>1174.46</v>
      </c>
    </row>
    <row r="454" spans="1:22" ht="16.8" x14ac:dyDescent="0.3">
      <c r="A454" s="20">
        <v>45.3</v>
      </c>
      <c r="B454" s="20">
        <v>59</v>
      </c>
      <c r="C454" s="20">
        <v>58.98</v>
      </c>
      <c r="D454" s="20">
        <v>0.02</v>
      </c>
      <c r="E454" s="20">
        <v>-0.01</v>
      </c>
      <c r="F454" s="20">
        <v>1371.56</v>
      </c>
      <c r="Q454" s="20">
        <v>45.3</v>
      </c>
      <c r="R454" s="20">
        <v>59.02</v>
      </c>
      <c r="S454" s="26">
        <v>59</v>
      </c>
      <c r="T454" s="20">
        <v>-0.02</v>
      </c>
      <c r="U454" s="26">
        <v>-0.01</v>
      </c>
      <c r="V454" s="20">
        <v>1169.49</v>
      </c>
    </row>
    <row r="455" spans="1:22" ht="16.8" x14ac:dyDescent="0.3">
      <c r="A455" s="20">
        <v>45.4</v>
      </c>
      <c r="B455" s="20">
        <v>59</v>
      </c>
      <c r="C455" s="20">
        <v>58.92</v>
      </c>
      <c r="D455" s="20">
        <v>0.08</v>
      </c>
      <c r="E455" s="20">
        <v>0.06</v>
      </c>
      <c r="F455" s="20">
        <v>1473.62</v>
      </c>
      <c r="Q455" s="20">
        <v>45.4</v>
      </c>
      <c r="R455" s="20">
        <v>59.09</v>
      </c>
      <c r="S455" s="20">
        <v>59</v>
      </c>
      <c r="T455" s="26">
        <v>-0.09</v>
      </c>
      <c r="U455" s="26">
        <v>-0.06</v>
      </c>
      <c r="V455" s="20">
        <v>1153.95</v>
      </c>
    </row>
    <row r="456" spans="1:22" ht="16.8" x14ac:dyDescent="0.3">
      <c r="A456" s="20">
        <v>45.5</v>
      </c>
      <c r="B456" s="20">
        <v>59</v>
      </c>
      <c r="C456" s="20">
        <v>58.94</v>
      </c>
      <c r="D456" s="20">
        <v>0.06</v>
      </c>
      <c r="E456" s="20">
        <v>-0.02</v>
      </c>
      <c r="F456" s="20">
        <v>1439.24</v>
      </c>
      <c r="Q456" s="20">
        <v>45.5</v>
      </c>
      <c r="R456" s="20">
        <v>59.07</v>
      </c>
      <c r="S456" s="20">
        <v>59</v>
      </c>
      <c r="T456" s="20">
        <v>-7.0000000000000007E-2</v>
      </c>
      <c r="U456" s="26">
        <v>0.02</v>
      </c>
      <c r="V456" s="20">
        <v>1165.6099999999999</v>
      </c>
    </row>
    <row r="457" spans="1:22" ht="16.8" x14ac:dyDescent="0.3">
      <c r="A457" s="20">
        <v>45.6</v>
      </c>
      <c r="B457" s="20">
        <v>59</v>
      </c>
      <c r="C457" s="20">
        <v>58.99</v>
      </c>
      <c r="D457" s="20">
        <v>0.01</v>
      </c>
      <c r="E457" s="20">
        <v>-0.05</v>
      </c>
      <c r="F457" s="20">
        <v>1347.18</v>
      </c>
      <c r="Q457" s="20">
        <v>45.6</v>
      </c>
      <c r="R457" s="20">
        <v>59.09</v>
      </c>
      <c r="S457" s="26">
        <v>59</v>
      </c>
      <c r="T457" s="26">
        <v>-0.09</v>
      </c>
      <c r="U457" s="20">
        <v>-0.02</v>
      </c>
      <c r="V457" s="20">
        <v>1157.2</v>
      </c>
    </row>
    <row r="458" spans="1:22" ht="16.8" x14ac:dyDescent="0.3">
      <c r="A458" s="20">
        <v>45.7</v>
      </c>
      <c r="B458" s="20">
        <v>59</v>
      </c>
      <c r="C458" s="20">
        <v>58.99</v>
      </c>
      <c r="D458" s="20">
        <v>0.01</v>
      </c>
      <c r="E458" s="20">
        <v>0</v>
      </c>
      <c r="F458" s="20">
        <v>1347.18</v>
      </c>
      <c r="Q458" s="20">
        <v>45.7</v>
      </c>
      <c r="R458" s="20">
        <v>59.04</v>
      </c>
      <c r="S458" s="20">
        <v>59</v>
      </c>
      <c r="T458" s="20">
        <v>-0.04</v>
      </c>
      <c r="U458" s="26">
        <v>0.05</v>
      </c>
      <c r="V458" s="20">
        <v>1171.32</v>
      </c>
    </row>
    <row r="459" spans="1:22" ht="16.8" x14ac:dyDescent="0.3">
      <c r="A459" s="20">
        <v>45.8</v>
      </c>
      <c r="B459" s="20">
        <v>59</v>
      </c>
      <c r="C459" s="20">
        <v>59</v>
      </c>
      <c r="D459" s="20">
        <v>0</v>
      </c>
      <c r="E459" s="20">
        <v>-0.01</v>
      </c>
      <c r="F459" s="20">
        <v>1330.33</v>
      </c>
      <c r="Q459" s="20">
        <v>45.8</v>
      </c>
      <c r="R459" s="20">
        <v>59.06</v>
      </c>
      <c r="S459" s="26">
        <v>59</v>
      </c>
      <c r="T459" s="26">
        <v>-0.06</v>
      </c>
      <c r="U459" s="20">
        <v>-0.02</v>
      </c>
      <c r="V459" s="20">
        <v>1162.82</v>
      </c>
    </row>
    <row r="460" spans="1:22" ht="16.8" x14ac:dyDescent="0.3">
      <c r="A460" s="20">
        <v>45.9</v>
      </c>
      <c r="B460" s="20">
        <v>59</v>
      </c>
      <c r="C460" s="20">
        <v>58.98</v>
      </c>
      <c r="D460" s="20">
        <v>0.02</v>
      </c>
      <c r="E460" s="20">
        <v>0.02</v>
      </c>
      <c r="F460" s="20">
        <v>1371.56</v>
      </c>
      <c r="Q460" s="20">
        <v>45.9</v>
      </c>
      <c r="R460" s="20">
        <v>59</v>
      </c>
      <c r="S460" s="20">
        <v>59</v>
      </c>
      <c r="T460" s="20">
        <v>0</v>
      </c>
      <c r="U460" s="26">
        <v>0.06</v>
      </c>
      <c r="V460" s="20">
        <v>1178.32</v>
      </c>
    </row>
    <row r="461" spans="1:22" ht="16.8" x14ac:dyDescent="0.3">
      <c r="A461" s="20">
        <v>46</v>
      </c>
      <c r="B461" s="20">
        <v>59</v>
      </c>
      <c r="C461" s="20">
        <v>59.01</v>
      </c>
      <c r="D461" s="20">
        <v>-0.01</v>
      </c>
      <c r="E461" s="20">
        <v>-0.04</v>
      </c>
      <c r="F461" s="20">
        <v>1313.46</v>
      </c>
      <c r="Q461" s="20">
        <v>46</v>
      </c>
      <c r="R461" s="20">
        <v>59.03</v>
      </c>
      <c r="S461" s="26">
        <v>59</v>
      </c>
      <c r="T461" s="26">
        <v>-0.03</v>
      </c>
      <c r="U461" s="26">
        <v>-0.03</v>
      </c>
      <c r="V461" s="20">
        <v>1165.1300000000001</v>
      </c>
    </row>
    <row r="462" spans="1:22" ht="16.8" x14ac:dyDescent="0.3">
      <c r="A462" s="20">
        <v>46.1</v>
      </c>
      <c r="B462" s="20">
        <v>59</v>
      </c>
      <c r="C462" s="20">
        <v>59</v>
      </c>
      <c r="D462" s="20">
        <v>0</v>
      </c>
      <c r="E462" s="20">
        <v>0.01</v>
      </c>
      <c r="F462" s="20">
        <v>1322.75</v>
      </c>
      <c r="Q462" s="20">
        <v>46.1</v>
      </c>
      <c r="R462" s="20">
        <v>59</v>
      </c>
      <c r="S462" s="20">
        <v>59</v>
      </c>
      <c r="T462" s="20">
        <v>0</v>
      </c>
      <c r="U462" s="26">
        <v>0.03</v>
      </c>
      <c r="V462" s="20">
        <v>1176.06</v>
      </c>
    </row>
    <row r="463" spans="1:22" ht="16.8" x14ac:dyDescent="0.3">
      <c r="A463" s="20">
        <v>46.2</v>
      </c>
      <c r="B463" s="20">
        <v>59</v>
      </c>
      <c r="C463" s="20">
        <v>59.03</v>
      </c>
      <c r="D463" s="20">
        <v>-0.03</v>
      </c>
      <c r="E463" s="20">
        <v>-0.03</v>
      </c>
      <c r="F463" s="20">
        <v>1301.3399999999999</v>
      </c>
      <c r="Q463" s="20">
        <v>46.2</v>
      </c>
      <c r="R463" s="20">
        <v>59.03</v>
      </c>
      <c r="S463" s="20">
        <v>59</v>
      </c>
      <c r="T463" s="20">
        <v>-0.03</v>
      </c>
      <c r="U463" s="26">
        <v>-0.03</v>
      </c>
      <c r="V463" s="20">
        <v>1165.05</v>
      </c>
    </row>
    <row r="464" spans="1:22" ht="16.8" x14ac:dyDescent="0.3">
      <c r="A464" s="20">
        <v>46.3</v>
      </c>
      <c r="B464" s="20">
        <v>59</v>
      </c>
      <c r="C464" s="20">
        <v>59.03</v>
      </c>
      <c r="D464" s="20">
        <v>-0.03</v>
      </c>
      <c r="E464" s="20">
        <v>0</v>
      </c>
      <c r="F464" s="20">
        <v>1298.3599999999999</v>
      </c>
      <c r="Q464" s="20">
        <v>46.3</v>
      </c>
      <c r="R464" s="20">
        <v>59.02</v>
      </c>
      <c r="S464" s="26">
        <v>59</v>
      </c>
      <c r="T464" s="26">
        <v>-0.02</v>
      </c>
      <c r="U464" s="26">
        <v>0.01</v>
      </c>
      <c r="V464" s="20">
        <v>1169.9000000000001</v>
      </c>
    </row>
    <row r="465" spans="1:22" ht="16.8" x14ac:dyDescent="0.3">
      <c r="A465" s="20">
        <v>46.4</v>
      </c>
      <c r="B465" s="20">
        <v>59</v>
      </c>
      <c r="C465" s="20">
        <v>59</v>
      </c>
      <c r="D465" s="20">
        <v>0</v>
      </c>
      <c r="E465" s="20">
        <v>0.04</v>
      </c>
      <c r="F465" s="20">
        <v>1330.33</v>
      </c>
      <c r="Q465" s="20">
        <v>46.4</v>
      </c>
      <c r="R465" s="20">
        <v>59.02</v>
      </c>
      <c r="S465" s="20">
        <v>59</v>
      </c>
      <c r="T465" s="20">
        <v>-0.02</v>
      </c>
      <c r="U465" s="26">
        <v>0</v>
      </c>
      <c r="V465" s="20">
        <v>1169.1199999999999</v>
      </c>
    </row>
    <row r="466" spans="1:22" ht="16.8" x14ac:dyDescent="0.3">
      <c r="A466" s="20">
        <v>46.5</v>
      </c>
      <c r="B466" s="20">
        <v>59</v>
      </c>
      <c r="C466" s="20">
        <v>58.98</v>
      </c>
      <c r="D466" s="20">
        <v>0.02</v>
      </c>
      <c r="E466" s="20">
        <v>0.02</v>
      </c>
      <c r="F466" s="20">
        <v>1371.56</v>
      </c>
      <c r="Q466" s="20">
        <v>46.5</v>
      </c>
      <c r="R466" s="20">
        <v>59.02</v>
      </c>
      <c r="S466" s="26">
        <v>59</v>
      </c>
      <c r="T466" s="26">
        <v>-0.02</v>
      </c>
      <c r="U466" s="20">
        <v>0.01</v>
      </c>
      <c r="V466" s="20">
        <v>1171.08</v>
      </c>
    </row>
    <row r="467" spans="1:22" ht="16.8" x14ac:dyDescent="0.3">
      <c r="A467" s="20">
        <v>46.6</v>
      </c>
      <c r="B467" s="20">
        <v>59</v>
      </c>
      <c r="C467" s="20">
        <v>59</v>
      </c>
      <c r="D467" s="20">
        <v>0</v>
      </c>
      <c r="E467" s="20">
        <v>-0.03</v>
      </c>
      <c r="F467" s="20">
        <v>1319.64</v>
      </c>
      <c r="Q467" s="20">
        <v>46.6</v>
      </c>
      <c r="R467" s="20">
        <v>59.06</v>
      </c>
      <c r="S467" s="20">
        <v>59</v>
      </c>
      <c r="T467" s="20">
        <v>-0.06</v>
      </c>
      <c r="U467" s="26">
        <v>-0.04</v>
      </c>
      <c r="V467" s="20">
        <v>1160.19</v>
      </c>
    </row>
    <row r="468" spans="1:22" ht="16.8" x14ac:dyDescent="0.3">
      <c r="A468" s="20">
        <v>46.7</v>
      </c>
      <c r="B468" s="20">
        <v>59</v>
      </c>
      <c r="C468" s="20">
        <v>59.02</v>
      </c>
      <c r="D468" s="20">
        <v>-0.02</v>
      </c>
      <c r="E468" s="20">
        <v>-0.02</v>
      </c>
      <c r="F468" s="20">
        <v>1307.3399999999999</v>
      </c>
      <c r="Q468" s="20">
        <v>46.7</v>
      </c>
      <c r="R468" s="20">
        <v>59.02</v>
      </c>
      <c r="S468" s="26">
        <v>59</v>
      </c>
      <c r="T468" s="26">
        <v>-0.02</v>
      </c>
      <c r="U468" s="20">
        <v>0.04</v>
      </c>
      <c r="V468" s="20">
        <v>1173.81</v>
      </c>
    </row>
    <row r="469" spans="1:22" ht="16.8" x14ac:dyDescent="0.3">
      <c r="A469" s="20">
        <v>46.8</v>
      </c>
      <c r="B469" s="20">
        <v>59</v>
      </c>
      <c r="C469" s="20">
        <v>58.98</v>
      </c>
      <c r="D469" s="20">
        <v>0.02</v>
      </c>
      <c r="E469" s="20">
        <v>0.04</v>
      </c>
      <c r="F469" s="20">
        <v>1371.56</v>
      </c>
      <c r="Q469" s="20">
        <v>46.8</v>
      </c>
      <c r="R469" s="20">
        <v>59.04</v>
      </c>
      <c r="S469" s="20">
        <v>59</v>
      </c>
      <c r="T469" s="20">
        <v>-0.04</v>
      </c>
      <c r="U469" s="26">
        <v>-0.02</v>
      </c>
      <c r="V469" s="20">
        <v>1164.06</v>
      </c>
    </row>
    <row r="470" spans="1:22" ht="16.8" x14ac:dyDescent="0.3">
      <c r="A470" s="20">
        <v>46.9</v>
      </c>
      <c r="B470" s="20">
        <v>59</v>
      </c>
      <c r="C470" s="20">
        <v>58.96</v>
      </c>
      <c r="D470" s="20">
        <v>0.04</v>
      </c>
      <c r="E470" s="20">
        <v>0.01</v>
      </c>
      <c r="F470" s="20">
        <v>1395.02</v>
      </c>
      <c r="Q470" s="20">
        <v>46.9</v>
      </c>
      <c r="R470" s="20">
        <v>59.04</v>
      </c>
      <c r="S470" s="20">
        <v>59</v>
      </c>
      <c r="T470" s="20">
        <v>-0.04</v>
      </c>
      <c r="U470" s="20">
        <v>0</v>
      </c>
      <c r="V470" s="20">
        <v>1166.1400000000001</v>
      </c>
    </row>
    <row r="471" spans="1:22" ht="16.8" x14ac:dyDescent="0.3">
      <c r="A471" s="20">
        <v>47</v>
      </c>
      <c r="B471" s="20">
        <v>59</v>
      </c>
      <c r="C471" s="20">
        <v>58.93</v>
      </c>
      <c r="D471" s="20">
        <v>7.0000000000000007E-2</v>
      </c>
      <c r="E471" s="20">
        <v>0.04</v>
      </c>
      <c r="F471" s="20">
        <v>1460.13</v>
      </c>
      <c r="Q471" s="20">
        <v>47</v>
      </c>
      <c r="R471" s="20">
        <v>59.07</v>
      </c>
      <c r="S471" s="26">
        <v>59</v>
      </c>
      <c r="T471" s="26">
        <v>-0.04</v>
      </c>
      <c r="U471" s="26">
        <v>-0.03</v>
      </c>
      <c r="V471" s="20">
        <v>1157.94</v>
      </c>
    </row>
    <row r="472" spans="1:22" ht="16.8" x14ac:dyDescent="0.3">
      <c r="A472" s="20">
        <v>47.1</v>
      </c>
      <c r="B472" s="20">
        <v>59</v>
      </c>
      <c r="C472" s="20">
        <v>58.99</v>
      </c>
      <c r="D472" s="20">
        <v>0.01</v>
      </c>
      <c r="E472" s="20">
        <v>-0.06</v>
      </c>
      <c r="F472" s="20">
        <v>1347.18</v>
      </c>
      <c r="Q472" s="20">
        <v>47.1</v>
      </c>
      <c r="R472" s="20">
        <v>59.01</v>
      </c>
      <c r="S472" s="20">
        <v>59</v>
      </c>
      <c r="T472" s="20">
        <v>-0.01</v>
      </c>
      <c r="U472" s="26">
        <v>0.06</v>
      </c>
      <c r="V472" s="20">
        <v>1176.8699999999999</v>
      </c>
    </row>
    <row r="473" spans="1:22" ht="16.8" x14ac:dyDescent="0.3">
      <c r="A473" s="20">
        <v>47.2</v>
      </c>
      <c r="B473" s="20">
        <v>59</v>
      </c>
      <c r="C473" s="20">
        <v>58.92</v>
      </c>
      <c r="D473" s="20">
        <v>0.08</v>
      </c>
      <c r="E473" s="20">
        <v>0.06</v>
      </c>
      <c r="F473" s="20">
        <v>1466.92</v>
      </c>
      <c r="Q473" s="20">
        <v>47.2</v>
      </c>
      <c r="R473" s="20">
        <v>59.02</v>
      </c>
      <c r="S473" s="26">
        <v>59</v>
      </c>
      <c r="T473" s="26">
        <v>-0.02</v>
      </c>
      <c r="U473" s="20">
        <v>-0.02</v>
      </c>
      <c r="V473" s="20">
        <v>1166.99</v>
      </c>
    </row>
    <row r="474" spans="1:22" ht="16.8" x14ac:dyDescent="0.3">
      <c r="A474" s="20">
        <v>47.3</v>
      </c>
      <c r="B474" s="20">
        <v>59</v>
      </c>
      <c r="C474" s="20">
        <v>58.92</v>
      </c>
      <c r="D474" s="20">
        <v>0.08</v>
      </c>
      <c r="E474" s="20">
        <v>0</v>
      </c>
      <c r="F474" s="20">
        <v>1473.62</v>
      </c>
      <c r="Q474" s="20">
        <v>47.3</v>
      </c>
      <c r="R474" s="20">
        <v>58.99</v>
      </c>
      <c r="S474" s="20">
        <v>59</v>
      </c>
      <c r="T474" s="20">
        <v>0.01</v>
      </c>
      <c r="U474" s="26">
        <v>0.03</v>
      </c>
      <c r="V474" s="20">
        <v>1176.49</v>
      </c>
    </row>
    <row r="475" spans="1:22" ht="16.8" x14ac:dyDescent="0.3">
      <c r="A475" s="20">
        <v>47.4</v>
      </c>
      <c r="B475" s="20">
        <v>59</v>
      </c>
      <c r="C475" s="20">
        <v>58.95</v>
      </c>
      <c r="D475" s="20">
        <v>0.05</v>
      </c>
      <c r="E475" s="20">
        <v>-0.03</v>
      </c>
      <c r="F475" s="20">
        <v>1424.89</v>
      </c>
      <c r="Q475" s="20">
        <v>47.4</v>
      </c>
      <c r="R475" s="20">
        <v>59.02</v>
      </c>
      <c r="S475" s="26">
        <v>59</v>
      </c>
      <c r="T475" s="26">
        <v>-0.02</v>
      </c>
      <c r="U475" s="20">
        <v>-0.02</v>
      </c>
      <c r="V475" s="20">
        <v>1167.53</v>
      </c>
    </row>
    <row r="476" spans="1:22" ht="16.8" x14ac:dyDescent="0.3">
      <c r="A476" s="20">
        <v>47.5</v>
      </c>
      <c r="B476" s="20">
        <v>59</v>
      </c>
      <c r="C476" s="20">
        <v>58.96</v>
      </c>
      <c r="D476" s="20">
        <v>0.04</v>
      </c>
      <c r="E476" s="20">
        <v>-0.01</v>
      </c>
      <c r="F476" s="20">
        <v>1410.17</v>
      </c>
      <c r="Q476" s="20">
        <v>47.5</v>
      </c>
      <c r="R476" s="20">
        <v>59.03</v>
      </c>
      <c r="S476" s="20">
        <v>59</v>
      </c>
      <c r="T476" s="20">
        <v>-0.03</v>
      </c>
      <c r="U476" s="26">
        <v>-0.02</v>
      </c>
      <c r="V476" s="20">
        <v>1165.6099999999999</v>
      </c>
    </row>
    <row r="477" spans="1:22" ht="16.8" x14ac:dyDescent="0.3">
      <c r="A477" s="20">
        <v>47.6</v>
      </c>
      <c r="B477" s="20">
        <v>59</v>
      </c>
      <c r="C477" s="20">
        <v>58.98</v>
      </c>
      <c r="D477" s="20">
        <v>0.02</v>
      </c>
      <c r="E477" s="20">
        <v>-0.02</v>
      </c>
      <c r="F477" s="20">
        <v>1363.56</v>
      </c>
      <c r="Q477" s="20">
        <v>47.6</v>
      </c>
      <c r="R477" s="20">
        <v>59.01</v>
      </c>
      <c r="S477" s="26">
        <v>59</v>
      </c>
      <c r="T477" s="26">
        <v>-0.01</v>
      </c>
      <c r="U477" s="26">
        <v>0.02</v>
      </c>
      <c r="V477" s="20">
        <v>1173.06</v>
      </c>
    </row>
    <row r="478" spans="1:22" ht="16.8" x14ac:dyDescent="0.3">
      <c r="A478" s="20">
        <v>47.7</v>
      </c>
      <c r="B478" s="20">
        <v>59</v>
      </c>
      <c r="C478" s="20">
        <v>58.92</v>
      </c>
      <c r="D478" s="20">
        <v>0.08</v>
      </c>
      <c r="E478" s="20">
        <v>0.06</v>
      </c>
      <c r="F478" s="20">
        <v>1480.21</v>
      </c>
      <c r="Q478" s="20">
        <v>47.7</v>
      </c>
      <c r="R478" s="20">
        <v>59.04</v>
      </c>
      <c r="S478" s="20">
        <v>59</v>
      </c>
      <c r="T478" s="20">
        <v>-0.04</v>
      </c>
      <c r="U478" s="26">
        <v>-0.03</v>
      </c>
      <c r="V478" s="20">
        <v>1162.76</v>
      </c>
    </row>
    <row r="479" spans="1:22" ht="16.8" x14ac:dyDescent="0.3">
      <c r="A479" s="20">
        <v>47.8</v>
      </c>
      <c r="B479" s="20">
        <v>59</v>
      </c>
      <c r="C479" s="20">
        <v>58.96</v>
      </c>
      <c r="D479" s="20">
        <v>0.04</v>
      </c>
      <c r="E479" s="20">
        <v>-0.05</v>
      </c>
      <c r="F479" s="20">
        <v>1395.02</v>
      </c>
      <c r="Q479" s="20">
        <v>47.8</v>
      </c>
      <c r="R479" s="20">
        <v>59.01</v>
      </c>
      <c r="S479" s="26">
        <v>59</v>
      </c>
      <c r="T479" s="26">
        <v>-0.01</v>
      </c>
      <c r="U479" s="26">
        <v>0.03</v>
      </c>
      <c r="V479" s="20">
        <v>1173.67</v>
      </c>
    </row>
    <row r="480" spans="1:22" ht="16.8" x14ac:dyDescent="0.3">
      <c r="A480" s="20">
        <v>47.9</v>
      </c>
      <c r="B480" s="20">
        <v>59</v>
      </c>
      <c r="C480" s="20">
        <v>58.93</v>
      </c>
      <c r="D480" s="20">
        <v>7.0000000000000007E-2</v>
      </c>
      <c r="E480" s="20">
        <v>0.03</v>
      </c>
      <c r="F480" s="20">
        <v>1453.26</v>
      </c>
      <c r="Q480" s="20">
        <v>47.9</v>
      </c>
      <c r="R480" s="20">
        <v>58.97</v>
      </c>
      <c r="S480" s="20">
        <v>59</v>
      </c>
      <c r="T480" s="20">
        <v>0.03</v>
      </c>
      <c r="U480" s="26">
        <v>0.04</v>
      </c>
      <c r="V480" s="20">
        <v>1180.8800000000001</v>
      </c>
    </row>
    <row r="481" spans="1:22" ht="16.8" x14ac:dyDescent="0.3">
      <c r="A481" s="20">
        <v>48</v>
      </c>
      <c r="B481" s="20">
        <v>59</v>
      </c>
      <c r="C481" s="20">
        <v>58.97</v>
      </c>
      <c r="D481" s="20">
        <v>0.03</v>
      </c>
      <c r="E481" s="20">
        <v>-0.04</v>
      </c>
      <c r="F481" s="20">
        <v>1379.5</v>
      </c>
      <c r="Q481" s="20">
        <v>48</v>
      </c>
      <c r="R481" s="20">
        <v>58.98</v>
      </c>
      <c r="S481" s="20">
        <v>59</v>
      </c>
      <c r="T481" s="26">
        <v>0.02</v>
      </c>
      <c r="U481" s="26">
        <v>-0.01</v>
      </c>
      <c r="V481" s="20">
        <v>1175.3</v>
      </c>
    </row>
    <row r="482" spans="1:22" ht="16.8" x14ac:dyDescent="0.3">
      <c r="A482" s="20">
        <v>48.1</v>
      </c>
      <c r="B482" s="20">
        <v>59</v>
      </c>
      <c r="C482" s="20">
        <v>58.94</v>
      </c>
      <c r="D482" s="20">
        <v>0.06</v>
      </c>
      <c r="E482" s="20">
        <v>0.04</v>
      </c>
      <c r="F482" s="20">
        <v>1446.3</v>
      </c>
      <c r="Q482" s="20">
        <v>48.1</v>
      </c>
      <c r="R482" s="20">
        <v>58.94</v>
      </c>
      <c r="S482" s="26">
        <v>59</v>
      </c>
      <c r="T482" s="20">
        <v>0.06</v>
      </c>
      <c r="U482" s="26">
        <v>0.03</v>
      </c>
      <c r="V482" s="20">
        <v>1184.19</v>
      </c>
    </row>
    <row r="483" spans="1:22" ht="16.8" x14ac:dyDescent="0.3">
      <c r="A483" s="20">
        <v>48.2</v>
      </c>
      <c r="B483" s="20">
        <v>59</v>
      </c>
      <c r="C483" s="20">
        <v>58.96</v>
      </c>
      <c r="D483" s="20">
        <v>0.04</v>
      </c>
      <c r="E483" s="20">
        <v>-0.02</v>
      </c>
      <c r="F483" s="20">
        <v>1402.64</v>
      </c>
      <c r="Q483" s="20">
        <v>48.2</v>
      </c>
      <c r="R483" s="20">
        <v>58.94</v>
      </c>
      <c r="S483" s="20">
        <v>59</v>
      </c>
      <c r="T483" s="26">
        <v>0.06</v>
      </c>
      <c r="U483" s="26">
        <v>0</v>
      </c>
      <c r="V483" s="20">
        <v>1181.42</v>
      </c>
    </row>
    <row r="484" spans="1:22" ht="16.8" x14ac:dyDescent="0.3">
      <c r="A484" s="20">
        <v>48.3</v>
      </c>
      <c r="B484" s="20">
        <v>59</v>
      </c>
      <c r="C484" s="20">
        <v>59.01</v>
      </c>
      <c r="D484" s="20">
        <v>-0.01</v>
      </c>
      <c r="E484" s="20">
        <v>-0.05</v>
      </c>
      <c r="F484" s="20">
        <v>1313.46</v>
      </c>
      <c r="Q484" s="20">
        <v>48.3</v>
      </c>
      <c r="R484" s="20">
        <v>58.95</v>
      </c>
      <c r="S484" s="26">
        <v>59</v>
      </c>
      <c r="T484" s="20">
        <v>0.05</v>
      </c>
      <c r="U484" s="26">
        <v>-0.01</v>
      </c>
      <c r="V484" s="20">
        <v>1179.53</v>
      </c>
    </row>
    <row r="485" spans="1:22" ht="16.8" x14ac:dyDescent="0.3">
      <c r="A485" s="20">
        <v>48.4</v>
      </c>
      <c r="B485" s="20">
        <v>59</v>
      </c>
      <c r="C485" s="20">
        <v>58.96</v>
      </c>
      <c r="D485" s="20">
        <v>0.04</v>
      </c>
      <c r="E485" s="20">
        <v>0.05</v>
      </c>
      <c r="F485" s="20">
        <v>1395.02</v>
      </c>
      <c r="Q485" s="20">
        <v>48.4</v>
      </c>
      <c r="R485" s="20">
        <v>58.98</v>
      </c>
      <c r="S485" s="20">
        <v>59</v>
      </c>
      <c r="T485" s="26">
        <v>0.02</v>
      </c>
      <c r="U485" s="26">
        <v>-0.02</v>
      </c>
      <c r="V485" s="20">
        <v>1174.29</v>
      </c>
    </row>
    <row r="486" spans="1:22" ht="16.8" x14ac:dyDescent="0.3">
      <c r="A486" s="20">
        <v>48.5</v>
      </c>
      <c r="B486" s="20">
        <v>59</v>
      </c>
      <c r="C486" s="20">
        <v>59.02</v>
      </c>
      <c r="D486" s="20">
        <v>-0.02</v>
      </c>
      <c r="E486" s="20">
        <v>-0.06</v>
      </c>
      <c r="F486" s="20">
        <v>1304.32</v>
      </c>
      <c r="Q486" s="20">
        <v>48.5</v>
      </c>
      <c r="R486" s="20">
        <v>58.97</v>
      </c>
      <c r="S486" s="26">
        <v>59</v>
      </c>
      <c r="T486" s="20">
        <v>0.03</v>
      </c>
      <c r="U486" s="26">
        <v>0.01</v>
      </c>
      <c r="V486" s="20">
        <v>1178.55</v>
      </c>
    </row>
    <row r="487" spans="1:22" ht="16.8" x14ac:dyDescent="0.3">
      <c r="A487" s="20">
        <v>48.6</v>
      </c>
      <c r="B487" s="20">
        <v>59</v>
      </c>
      <c r="C487" s="20">
        <v>59.02</v>
      </c>
      <c r="D487" s="20">
        <v>-0.02</v>
      </c>
      <c r="E487" s="20">
        <v>0.01</v>
      </c>
      <c r="F487" s="20">
        <v>1310.3800000000001</v>
      </c>
      <c r="Q487" s="20">
        <v>48.6</v>
      </c>
      <c r="R487" s="20">
        <v>58.94</v>
      </c>
      <c r="S487" s="20">
        <v>59</v>
      </c>
      <c r="T487" s="20">
        <v>0.06</v>
      </c>
      <c r="U487" s="26">
        <v>0.02</v>
      </c>
      <c r="V487" s="20">
        <v>1183.98</v>
      </c>
    </row>
    <row r="488" spans="1:22" ht="16.8" x14ac:dyDescent="0.3">
      <c r="A488" s="20">
        <v>48.7</v>
      </c>
      <c r="B488" s="20">
        <v>59</v>
      </c>
      <c r="C488" s="20">
        <v>59</v>
      </c>
      <c r="D488" s="20">
        <v>0</v>
      </c>
      <c r="E488" s="20">
        <v>0.02</v>
      </c>
      <c r="F488" s="20">
        <v>1322.75</v>
      </c>
      <c r="Q488" s="20">
        <v>48.7</v>
      </c>
      <c r="R488" s="20">
        <v>58.98</v>
      </c>
      <c r="S488" s="26">
        <v>59</v>
      </c>
      <c r="T488" s="26">
        <v>0.02</v>
      </c>
      <c r="U488" s="20">
        <v>-0.04</v>
      </c>
      <c r="V488" s="20">
        <v>1171.8</v>
      </c>
    </row>
    <row r="489" spans="1:22" ht="16.8" x14ac:dyDescent="0.3">
      <c r="A489" s="20">
        <v>48.8</v>
      </c>
      <c r="B489" s="20">
        <v>59</v>
      </c>
      <c r="C489" s="20">
        <v>59.04</v>
      </c>
      <c r="D489" s="20">
        <v>-0.04</v>
      </c>
      <c r="E489" s="20">
        <v>-0.04</v>
      </c>
      <c r="F489" s="20">
        <v>1295.4000000000001</v>
      </c>
      <c r="Q489" s="20">
        <v>48.8</v>
      </c>
      <c r="R489" s="20">
        <v>58.96</v>
      </c>
      <c r="S489" s="20">
        <v>59</v>
      </c>
      <c r="T489" s="20">
        <v>0.04</v>
      </c>
      <c r="U489" s="26">
        <v>0.02</v>
      </c>
      <c r="V489" s="20">
        <v>1181.55</v>
      </c>
    </row>
    <row r="490" spans="1:22" ht="16.8" x14ac:dyDescent="0.3">
      <c r="A490" s="20">
        <v>48.9</v>
      </c>
      <c r="B490" s="20">
        <v>59</v>
      </c>
      <c r="C490" s="20">
        <v>59</v>
      </c>
      <c r="D490" s="20">
        <v>0</v>
      </c>
      <c r="E490" s="20">
        <v>0.04</v>
      </c>
      <c r="F490" s="20">
        <v>1330.33</v>
      </c>
      <c r="Q490" s="20">
        <v>48.9</v>
      </c>
      <c r="R490" s="20">
        <v>58.94</v>
      </c>
      <c r="S490" s="26">
        <v>59</v>
      </c>
      <c r="T490" s="26">
        <v>0.06</v>
      </c>
      <c r="U490" s="20">
        <v>0.02</v>
      </c>
      <c r="V490" s="20">
        <v>1185.54</v>
      </c>
    </row>
    <row r="491" spans="1:22" ht="16.8" x14ac:dyDescent="0.3">
      <c r="A491" s="20">
        <v>49</v>
      </c>
      <c r="B491" s="20">
        <v>59</v>
      </c>
      <c r="C491" s="20">
        <v>59.07</v>
      </c>
      <c r="D491" s="20">
        <v>-7.0000000000000007E-2</v>
      </c>
      <c r="E491" s="20">
        <v>-7.0000000000000007E-2</v>
      </c>
      <c r="F491" s="20">
        <v>1275.1500000000001</v>
      </c>
      <c r="Q491" s="20">
        <v>49</v>
      </c>
      <c r="R491" s="20">
        <v>58.98</v>
      </c>
      <c r="S491" s="20">
        <v>59</v>
      </c>
      <c r="T491" s="26">
        <v>0.06</v>
      </c>
      <c r="U491" s="26" t="s">
        <v>43</v>
      </c>
      <c r="V491" s="20"/>
    </row>
    <row r="492" spans="1:22" ht="16.8" x14ac:dyDescent="0.3">
      <c r="A492" s="20">
        <v>49.1</v>
      </c>
      <c r="B492" s="20">
        <v>59</v>
      </c>
      <c r="C492" s="20">
        <v>59</v>
      </c>
      <c r="D492" s="20">
        <v>0</v>
      </c>
      <c r="E492" s="20">
        <v>7.0000000000000007E-2</v>
      </c>
      <c r="F492" s="20">
        <v>1330.33</v>
      </c>
      <c r="Q492" s="20">
        <v>49.1</v>
      </c>
      <c r="R492" s="20">
        <v>58.99</v>
      </c>
      <c r="S492" s="20">
        <v>59</v>
      </c>
      <c r="T492" s="26">
        <v>0.01</v>
      </c>
      <c r="U492" s="26">
        <v>-0.01</v>
      </c>
      <c r="V492" s="20">
        <v>1173.72</v>
      </c>
    </row>
    <row r="493" spans="1:22" ht="16.8" x14ac:dyDescent="0.3">
      <c r="A493" s="20">
        <v>49.2</v>
      </c>
      <c r="B493" s="20">
        <v>59</v>
      </c>
      <c r="C493" s="20">
        <v>59.01</v>
      </c>
      <c r="D493" s="20">
        <v>-0.01</v>
      </c>
      <c r="E493" s="20">
        <v>-0.01</v>
      </c>
      <c r="F493" s="20">
        <v>1316.54</v>
      </c>
      <c r="Q493" s="20">
        <v>49.2</v>
      </c>
      <c r="R493" s="20">
        <v>58.9</v>
      </c>
      <c r="S493" s="26">
        <v>59</v>
      </c>
      <c r="T493" s="26">
        <v>0.1</v>
      </c>
      <c r="U493" s="26">
        <v>0.09</v>
      </c>
      <c r="V493" s="20">
        <v>1196.76</v>
      </c>
    </row>
    <row r="494" spans="1:22" ht="16.8" x14ac:dyDescent="0.3">
      <c r="A494" s="20">
        <v>49.3</v>
      </c>
      <c r="B494" s="20">
        <v>59</v>
      </c>
      <c r="C494" s="20">
        <v>59.03</v>
      </c>
      <c r="D494" s="20">
        <v>-0.03</v>
      </c>
      <c r="E494" s="20">
        <v>-0.02</v>
      </c>
      <c r="F494" s="20">
        <v>1298.3599999999999</v>
      </c>
      <c r="Q494" s="20">
        <v>49.3</v>
      </c>
      <c r="R494" s="20">
        <v>58.92</v>
      </c>
      <c r="S494" s="20">
        <v>59</v>
      </c>
      <c r="T494" s="26">
        <v>0.08</v>
      </c>
      <c r="U494" s="26">
        <v>-0.02</v>
      </c>
      <c r="V494" s="20">
        <v>1184.96</v>
      </c>
    </row>
    <row r="495" spans="1:22" ht="16.8" x14ac:dyDescent="0.3">
      <c r="A495" s="20">
        <v>49.4</v>
      </c>
      <c r="B495" s="20">
        <v>59</v>
      </c>
      <c r="C495" s="20">
        <v>59.03</v>
      </c>
      <c r="D495" s="20">
        <v>-0.03</v>
      </c>
      <c r="E495" s="20">
        <v>0</v>
      </c>
      <c r="F495" s="20">
        <v>1298.3599999999999</v>
      </c>
      <c r="Q495" s="20">
        <v>49.4</v>
      </c>
      <c r="R495" s="20">
        <v>58.99</v>
      </c>
      <c r="S495" s="26">
        <v>59</v>
      </c>
      <c r="T495" s="26">
        <v>0.01</v>
      </c>
      <c r="U495" s="26">
        <v>-7.0000000000000007E-2</v>
      </c>
      <c r="V495" s="20">
        <v>1168.3599999999999</v>
      </c>
    </row>
    <row r="496" spans="1:22" ht="16.8" x14ac:dyDescent="0.3">
      <c r="A496" s="20">
        <v>49.5</v>
      </c>
      <c r="B496" s="20">
        <v>59</v>
      </c>
      <c r="C496" s="20">
        <v>59.02</v>
      </c>
      <c r="D496" s="20">
        <v>-0.02</v>
      </c>
      <c r="E496" s="20">
        <v>0.02</v>
      </c>
      <c r="F496" s="20">
        <v>1310.3800000000001</v>
      </c>
      <c r="Q496" s="20">
        <v>49.5</v>
      </c>
      <c r="R496" s="20">
        <v>58.95</v>
      </c>
      <c r="S496" s="20">
        <v>59</v>
      </c>
      <c r="T496" s="26">
        <v>0.05</v>
      </c>
      <c r="U496" s="26">
        <v>0.04</v>
      </c>
      <c r="V496" s="20">
        <v>1185.04</v>
      </c>
    </row>
    <row r="497" spans="1:22" ht="16.8" x14ac:dyDescent="0.3">
      <c r="A497" s="20">
        <v>49.6</v>
      </c>
      <c r="B497" s="20">
        <v>59</v>
      </c>
      <c r="C497" s="20">
        <v>58.97</v>
      </c>
      <c r="D497" s="20">
        <v>0.03</v>
      </c>
      <c r="E497" s="20">
        <v>0.05</v>
      </c>
      <c r="F497" s="20">
        <v>1387.32</v>
      </c>
      <c r="Q497" s="20">
        <v>49.6</v>
      </c>
      <c r="R497" s="20">
        <v>58.98</v>
      </c>
      <c r="S497" s="26">
        <v>59</v>
      </c>
      <c r="T497" s="26">
        <v>0.02</v>
      </c>
      <c r="U497" s="26">
        <v>-0.03</v>
      </c>
      <c r="V497" s="20">
        <v>1173.42</v>
      </c>
    </row>
    <row r="498" spans="1:22" ht="16.8" x14ac:dyDescent="0.3">
      <c r="A498" s="20">
        <v>49.7</v>
      </c>
      <c r="B498" s="20">
        <v>59</v>
      </c>
      <c r="C498" s="20">
        <v>59.02</v>
      </c>
      <c r="D498" s="20">
        <v>-0.02</v>
      </c>
      <c r="E498" s="20">
        <v>-0.06</v>
      </c>
      <c r="F498" s="20">
        <v>1304.32</v>
      </c>
      <c r="Q498" s="20">
        <v>49.7</v>
      </c>
      <c r="R498" s="20">
        <v>59</v>
      </c>
      <c r="S498" s="20">
        <v>59</v>
      </c>
      <c r="T498" s="20">
        <v>0</v>
      </c>
      <c r="U498" s="26">
        <v>-0.02</v>
      </c>
      <c r="V498" s="20">
        <v>1172.31</v>
      </c>
    </row>
    <row r="499" spans="1:22" ht="16.8" x14ac:dyDescent="0.3">
      <c r="A499" s="20">
        <v>49.8</v>
      </c>
      <c r="B499" s="20">
        <v>59</v>
      </c>
      <c r="C499" s="20">
        <v>59</v>
      </c>
      <c r="D499" s="20">
        <v>0</v>
      </c>
      <c r="E499" s="20">
        <v>0.03</v>
      </c>
      <c r="F499" s="20">
        <v>1330.33</v>
      </c>
      <c r="Q499" s="20">
        <v>49.8</v>
      </c>
      <c r="R499" s="20">
        <v>59.02</v>
      </c>
      <c r="S499" s="26">
        <v>59</v>
      </c>
      <c r="T499" s="26">
        <v>-0.02</v>
      </c>
      <c r="U499" s="20">
        <v>-0.02</v>
      </c>
      <c r="V499" s="20">
        <v>1167.67</v>
      </c>
    </row>
    <row r="500" spans="1:22" ht="16.8" x14ac:dyDescent="0.3">
      <c r="A500" s="20">
        <v>49.9</v>
      </c>
      <c r="B500" s="20">
        <v>59</v>
      </c>
      <c r="C500" s="20">
        <v>58.94</v>
      </c>
      <c r="D500" s="20">
        <v>0.06</v>
      </c>
      <c r="E500" s="20">
        <v>0.06</v>
      </c>
      <c r="F500" s="20">
        <v>1439.24</v>
      </c>
      <c r="Q500" s="20">
        <v>49.9</v>
      </c>
      <c r="R500" s="20">
        <v>59.05</v>
      </c>
      <c r="S500" s="20">
        <v>59</v>
      </c>
      <c r="T500" s="26">
        <v>-0.05</v>
      </c>
      <c r="U500" s="26">
        <v>-0.02</v>
      </c>
      <c r="V500" s="20">
        <v>1163.71</v>
      </c>
    </row>
    <row r="501" spans="1:22" ht="16.8" x14ac:dyDescent="0.3">
      <c r="A501" s="20">
        <v>50</v>
      </c>
      <c r="B501" s="20">
        <v>59</v>
      </c>
      <c r="C501" s="20">
        <v>58.99</v>
      </c>
      <c r="D501" s="20">
        <v>0.01</v>
      </c>
      <c r="E501" s="20">
        <v>-0.05</v>
      </c>
      <c r="F501" s="20">
        <v>1338.79</v>
      </c>
      <c r="Q501" s="20">
        <v>50</v>
      </c>
      <c r="R501" s="20">
        <v>58.96</v>
      </c>
      <c r="S501" s="26">
        <v>59</v>
      </c>
      <c r="T501" s="26">
        <v>0.04</v>
      </c>
      <c r="U501" s="26">
        <v>0.09</v>
      </c>
      <c r="V501" s="20">
        <v>1188.06</v>
      </c>
    </row>
    <row r="502" spans="1:22" ht="16.8" x14ac:dyDescent="0.3">
      <c r="A502" s="20">
        <v>50.1</v>
      </c>
      <c r="B502" s="20">
        <v>59</v>
      </c>
      <c r="C502" s="20">
        <v>58.98</v>
      </c>
      <c r="D502" s="20">
        <v>0.02</v>
      </c>
      <c r="E502" s="20">
        <v>0.01</v>
      </c>
      <c r="F502" s="20">
        <v>1363.56</v>
      </c>
      <c r="Q502" s="20">
        <v>50.1</v>
      </c>
      <c r="R502" s="20">
        <v>59.06</v>
      </c>
      <c r="S502" s="20">
        <v>59</v>
      </c>
      <c r="T502" s="26">
        <v>-0.06</v>
      </c>
      <c r="U502" s="26">
        <v>-0.1</v>
      </c>
      <c r="V502" s="20">
        <v>1155.8599999999999</v>
      </c>
    </row>
    <row r="503" spans="1:22" ht="16.8" x14ac:dyDescent="0.3">
      <c r="A503" s="20">
        <v>50.2</v>
      </c>
      <c r="B503" s="20">
        <v>59</v>
      </c>
      <c r="C503" s="20">
        <v>58.94</v>
      </c>
      <c r="D503" s="20">
        <v>0.06</v>
      </c>
      <c r="E503" s="20">
        <v>0.04</v>
      </c>
      <c r="F503" s="20">
        <v>1432.12</v>
      </c>
      <c r="Q503" s="20">
        <v>50.2</v>
      </c>
      <c r="R503" s="20">
        <v>58.98</v>
      </c>
      <c r="S503" s="26">
        <v>59</v>
      </c>
      <c r="T503" s="26">
        <v>0.02</v>
      </c>
      <c r="U503" s="26">
        <v>7.0000000000000007E-2</v>
      </c>
      <c r="V503" s="20">
        <v>1182.6600000000001</v>
      </c>
    </row>
    <row r="504" spans="1:22" ht="16.8" x14ac:dyDescent="0.3">
      <c r="A504" s="20">
        <v>50.3</v>
      </c>
      <c r="B504" s="20">
        <v>59</v>
      </c>
      <c r="C504" s="20">
        <v>58.98</v>
      </c>
      <c r="D504" s="20">
        <v>0.02</v>
      </c>
      <c r="E504" s="20">
        <v>-0.03</v>
      </c>
      <c r="F504" s="20">
        <v>1371.56</v>
      </c>
      <c r="Q504" s="20">
        <v>50.3</v>
      </c>
      <c r="R504" s="20">
        <v>59.01</v>
      </c>
      <c r="S504" s="20">
        <v>59</v>
      </c>
      <c r="T504" s="26">
        <v>-0.01</v>
      </c>
      <c r="U504" s="26">
        <v>-0.02</v>
      </c>
      <c r="V504" s="20">
        <v>1170.0999999999999</v>
      </c>
    </row>
    <row r="505" spans="1:22" ht="16.8" x14ac:dyDescent="0.3">
      <c r="A505" s="20">
        <v>50.4</v>
      </c>
      <c r="B505" s="20">
        <v>59</v>
      </c>
      <c r="C505" s="20">
        <v>58.92</v>
      </c>
      <c r="D505" s="20">
        <v>0.08</v>
      </c>
      <c r="E505" s="20">
        <v>0.06</v>
      </c>
      <c r="F505" s="20">
        <v>1480.21</v>
      </c>
      <c r="Q505" s="20">
        <v>50.4</v>
      </c>
      <c r="R505" s="20">
        <v>59.01</v>
      </c>
      <c r="S505" s="20">
        <v>59</v>
      </c>
      <c r="T505" s="20">
        <v>-0.01</v>
      </c>
      <c r="U505" s="20">
        <v>0</v>
      </c>
      <c r="V505" s="20">
        <v>1172.25</v>
      </c>
    </row>
    <row r="506" spans="1:22" ht="16.8" x14ac:dyDescent="0.3">
      <c r="A506" s="20">
        <v>50.5</v>
      </c>
      <c r="B506" s="20">
        <v>59</v>
      </c>
      <c r="C506" s="20">
        <v>58.94</v>
      </c>
      <c r="D506" s="20">
        <v>0.06</v>
      </c>
      <c r="E506" s="20">
        <v>-0.02</v>
      </c>
      <c r="F506" s="20">
        <v>1439.24</v>
      </c>
      <c r="Q506" s="20">
        <v>50.5</v>
      </c>
      <c r="R506" s="20">
        <v>58.98</v>
      </c>
      <c r="S506" s="26">
        <v>59</v>
      </c>
      <c r="T506" s="26">
        <v>0.02</v>
      </c>
      <c r="U506" s="26">
        <v>0.03</v>
      </c>
      <c r="V506" s="20">
        <v>1180.33</v>
      </c>
    </row>
    <row r="507" spans="1:22" ht="16.8" x14ac:dyDescent="0.3">
      <c r="A507" s="20">
        <v>50.6</v>
      </c>
      <c r="B507" s="20">
        <v>59</v>
      </c>
      <c r="C507" s="20">
        <v>58.91</v>
      </c>
      <c r="D507" s="20">
        <v>0.09</v>
      </c>
      <c r="E507" s="20">
        <v>0.03</v>
      </c>
      <c r="F507" s="20">
        <v>1493.23</v>
      </c>
      <c r="Q507" s="20">
        <v>50.6</v>
      </c>
      <c r="R507" s="20">
        <v>58.95</v>
      </c>
      <c r="S507" s="20">
        <v>59</v>
      </c>
      <c r="T507" s="20">
        <v>0.05</v>
      </c>
      <c r="U507" s="26">
        <v>0.02</v>
      </c>
      <c r="V507" s="20">
        <v>1183.57</v>
      </c>
    </row>
    <row r="508" spans="1:22" ht="16.8" x14ac:dyDescent="0.3">
      <c r="A508" s="20">
        <v>50.7</v>
      </c>
      <c r="B508" s="20">
        <v>59</v>
      </c>
      <c r="C508" s="20">
        <v>58.94</v>
      </c>
      <c r="D508" s="20">
        <v>0.06</v>
      </c>
      <c r="E508" s="20">
        <v>-0.03</v>
      </c>
      <c r="F508" s="20">
        <v>1446.3</v>
      </c>
      <c r="Q508" s="20">
        <v>50.7</v>
      </c>
      <c r="R508" s="20">
        <v>58.98</v>
      </c>
      <c r="S508" s="26">
        <v>59</v>
      </c>
      <c r="T508" s="26">
        <v>0.02</v>
      </c>
      <c r="U508" s="26">
        <v>-0.03</v>
      </c>
      <c r="V508" s="20">
        <v>1173.4000000000001</v>
      </c>
    </row>
    <row r="509" spans="1:22" ht="16.8" x14ac:dyDescent="0.3">
      <c r="A509" s="20">
        <v>50.8</v>
      </c>
      <c r="B509" s="20">
        <v>59</v>
      </c>
      <c r="C509" s="20">
        <v>58.9</v>
      </c>
      <c r="D509" s="20">
        <v>0.1</v>
      </c>
      <c r="E509" s="20">
        <v>0.03</v>
      </c>
      <c r="F509" s="20">
        <v>1499.6</v>
      </c>
      <c r="Q509" s="20">
        <v>50.8</v>
      </c>
      <c r="R509" s="20">
        <v>59.05</v>
      </c>
      <c r="S509" s="20">
        <v>59</v>
      </c>
      <c r="T509" s="20">
        <v>-0.05</v>
      </c>
      <c r="U509" s="26">
        <v>-0.06</v>
      </c>
      <c r="V509" s="20">
        <v>1160.1300000000001</v>
      </c>
    </row>
    <row r="510" spans="1:22" ht="16.8" x14ac:dyDescent="0.3">
      <c r="A510" s="20">
        <v>50.9</v>
      </c>
      <c r="B510" s="20">
        <v>59</v>
      </c>
      <c r="C510" s="20">
        <v>58.92</v>
      </c>
      <c r="D510" s="20">
        <v>0.08</v>
      </c>
      <c r="E510" s="20">
        <v>-0.01</v>
      </c>
      <c r="F510" s="20">
        <v>1480.21</v>
      </c>
      <c r="Q510" s="20">
        <v>50.9</v>
      </c>
      <c r="R510" s="20">
        <v>59.03</v>
      </c>
      <c r="S510" s="26">
        <v>59</v>
      </c>
      <c r="T510" s="26">
        <v>-0.03</v>
      </c>
      <c r="U510" s="26">
        <v>0.02</v>
      </c>
      <c r="V510" s="20">
        <v>1169.8599999999999</v>
      </c>
    </row>
    <row r="511" spans="1:22" ht="16.8" x14ac:dyDescent="0.3">
      <c r="A511" s="20">
        <v>51</v>
      </c>
      <c r="B511" s="20">
        <v>59</v>
      </c>
      <c r="C511" s="20">
        <v>58.9</v>
      </c>
      <c r="D511" s="20">
        <v>0.1</v>
      </c>
      <c r="E511" s="20">
        <v>0.02</v>
      </c>
      <c r="F511" s="20">
        <v>1505.91</v>
      </c>
      <c r="Q511" s="20">
        <v>51</v>
      </c>
      <c r="R511" s="20">
        <v>59</v>
      </c>
      <c r="S511" s="20">
        <v>59</v>
      </c>
      <c r="T511" s="20">
        <v>0</v>
      </c>
      <c r="U511" s="26">
        <v>0.03</v>
      </c>
      <c r="V511" s="20">
        <v>1176.44</v>
      </c>
    </row>
    <row r="512" spans="1:22" ht="16.8" x14ac:dyDescent="0.3">
      <c r="A512" s="20">
        <v>51.1</v>
      </c>
      <c r="B512" s="20">
        <v>59</v>
      </c>
      <c r="C512" s="20">
        <v>58.97</v>
      </c>
      <c r="D512" s="20">
        <v>0.03</v>
      </c>
      <c r="E512" s="20">
        <v>-7.0000000000000007E-2</v>
      </c>
      <c r="F512" s="20">
        <v>1387.32</v>
      </c>
      <c r="Q512" s="20">
        <v>51.1</v>
      </c>
      <c r="R512" s="20">
        <v>58.99</v>
      </c>
      <c r="S512" s="26">
        <v>59</v>
      </c>
      <c r="T512" s="26">
        <v>0.01</v>
      </c>
      <c r="U512" s="26">
        <v>0.01</v>
      </c>
      <c r="V512" s="20">
        <v>1175.56</v>
      </c>
    </row>
    <row r="513" spans="1:22" ht="16.8" x14ac:dyDescent="0.3">
      <c r="A513" s="20">
        <v>51.2</v>
      </c>
      <c r="B513" s="20">
        <v>59</v>
      </c>
      <c r="C513" s="20">
        <v>58.94</v>
      </c>
      <c r="D513" s="20">
        <v>0.06</v>
      </c>
      <c r="E513" s="20">
        <v>0.03</v>
      </c>
      <c r="F513" s="20">
        <v>1446.3</v>
      </c>
      <c r="Q513" s="20">
        <v>51.2</v>
      </c>
      <c r="R513" s="20">
        <v>59.04</v>
      </c>
      <c r="S513" s="20">
        <v>59</v>
      </c>
      <c r="T513" s="26">
        <v>-0.04</v>
      </c>
      <c r="U513" s="26">
        <v>-0.05</v>
      </c>
      <c r="V513" s="20">
        <v>1162.7</v>
      </c>
    </row>
    <row r="514" spans="1:22" ht="16.8" x14ac:dyDescent="0.3">
      <c r="A514" s="20">
        <v>51.3</v>
      </c>
      <c r="B514" s="20">
        <v>59</v>
      </c>
      <c r="C514" s="20">
        <v>58.9</v>
      </c>
      <c r="D514" s="20">
        <v>0.1</v>
      </c>
      <c r="E514" s="20">
        <v>0.04</v>
      </c>
      <c r="F514" s="20">
        <v>1512.12</v>
      </c>
      <c r="Q514" s="20">
        <v>51.3</v>
      </c>
      <c r="R514" s="20">
        <v>59.04</v>
      </c>
      <c r="S514" s="20">
        <v>59</v>
      </c>
      <c r="T514" s="26">
        <v>-0.04</v>
      </c>
      <c r="U514" s="20">
        <v>0</v>
      </c>
      <c r="V514" s="20">
        <v>1166.95</v>
      </c>
    </row>
    <row r="515" spans="1:22" ht="16.8" x14ac:dyDescent="0.3">
      <c r="A515" s="20">
        <v>51.4</v>
      </c>
      <c r="B515" s="20">
        <v>59</v>
      </c>
      <c r="C515" s="20">
        <v>58.94</v>
      </c>
      <c r="D515" s="20">
        <v>0.06</v>
      </c>
      <c r="E515" s="20">
        <v>-0.04</v>
      </c>
      <c r="F515" s="20">
        <v>1446.3</v>
      </c>
      <c r="Q515" s="20">
        <v>51.4</v>
      </c>
      <c r="R515" s="20">
        <v>59.01</v>
      </c>
      <c r="S515" s="26">
        <v>59</v>
      </c>
      <c r="T515" s="26">
        <v>-0.01</v>
      </c>
      <c r="U515" s="26">
        <v>0.03</v>
      </c>
      <c r="V515" s="20">
        <v>1174.96</v>
      </c>
    </row>
    <row r="516" spans="1:22" ht="16.8" x14ac:dyDescent="0.3">
      <c r="A516" s="20">
        <v>51.5</v>
      </c>
      <c r="B516" s="20">
        <v>59</v>
      </c>
      <c r="C516" s="20">
        <v>58.97</v>
      </c>
      <c r="D516" s="20">
        <v>0.03</v>
      </c>
      <c r="E516" s="20">
        <v>-0.04</v>
      </c>
      <c r="F516" s="20">
        <v>1379.5</v>
      </c>
      <c r="Q516" s="20">
        <v>51.5</v>
      </c>
      <c r="R516" s="20">
        <v>59.01</v>
      </c>
      <c r="S516" s="20">
        <v>59</v>
      </c>
      <c r="T516" s="20">
        <v>-0.01</v>
      </c>
      <c r="U516" s="20">
        <v>0</v>
      </c>
      <c r="V516" s="20">
        <v>1172.04</v>
      </c>
    </row>
    <row r="517" spans="1:22" ht="16.8" x14ac:dyDescent="0.3">
      <c r="A517" s="20">
        <v>51.6</v>
      </c>
      <c r="B517" s="20">
        <v>59</v>
      </c>
      <c r="C517" s="20">
        <v>58.98</v>
      </c>
      <c r="D517" s="20">
        <v>0.02</v>
      </c>
      <c r="E517" s="20">
        <v>0</v>
      </c>
      <c r="F517" s="20">
        <v>1371.56</v>
      </c>
      <c r="Q517" s="20">
        <v>51.6</v>
      </c>
      <c r="R517" s="20">
        <v>59.03</v>
      </c>
      <c r="S517" s="26">
        <v>59</v>
      </c>
      <c r="T517" s="26">
        <v>-0.03</v>
      </c>
      <c r="U517" s="26">
        <v>-0.02</v>
      </c>
      <c r="V517" s="20">
        <v>1165.93</v>
      </c>
    </row>
    <row r="518" spans="1:22" ht="16.8" x14ac:dyDescent="0.3">
      <c r="A518" s="20">
        <v>51.7</v>
      </c>
      <c r="B518" s="20">
        <v>59</v>
      </c>
      <c r="C518" s="20">
        <v>58.98</v>
      </c>
      <c r="D518" s="20">
        <v>0.02</v>
      </c>
      <c r="E518" s="20">
        <v>0</v>
      </c>
      <c r="F518" s="20">
        <v>1363.56</v>
      </c>
      <c r="Q518" s="20">
        <v>51.7</v>
      </c>
      <c r="R518" s="20">
        <v>59.02</v>
      </c>
      <c r="S518" s="20">
        <v>59</v>
      </c>
      <c r="T518" s="20">
        <v>-0.02</v>
      </c>
      <c r="U518" s="20">
        <v>0.01</v>
      </c>
      <c r="V518" s="20">
        <v>1170.06</v>
      </c>
    </row>
    <row r="519" spans="1:22" ht="16.8" x14ac:dyDescent="0.3">
      <c r="A519" s="20">
        <v>51.8</v>
      </c>
      <c r="B519" s="20">
        <v>59</v>
      </c>
      <c r="C519" s="20">
        <v>58.98</v>
      </c>
      <c r="D519" s="20">
        <v>0.02</v>
      </c>
      <c r="E519" s="20">
        <v>0</v>
      </c>
      <c r="F519" s="20">
        <v>1371.56</v>
      </c>
      <c r="Q519" s="20">
        <v>51.8</v>
      </c>
      <c r="R519" s="20">
        <v>59.08</v>
      </c>
      <c r="S519" s="26">
        <v>59</v>
      </c>
      <c r="T519" s="26">
        <v>-0.08</v>
      </c>
      <c r="U519" s="26">
        <v>-0.06</v>
      </c>
      <c r="V519" s="20">
        <v>1155.0899999999999</v>
      </c>
    </row>
    <row r="520" spans="1:22" ht="16.8" x14ac:dyDescent="0.3">
      <c r="A520" s="20">
        <v>51.9</v>
      </c>
      <c r="B520" s="20">
        <v>59</v>
      </c>
      <c r="C520" s="20">
        <v>59</v>
      </c>
      <c r="D520" s="20">
        <v>0</v>
      </c>
      <c r="E520" s="20">
        <v>-0.03</v>
      </c>
      <c r="F520" s="20">
        <v>1319.64</v>
      </c>
      <c r="Q520" s="20">
        <v>51.9</v>
      </c>
      <c r="R520" s="20">
        <v>59.18</v>
      </c>
      <c r="S520" s="20">
        <v>59</v>
      </c>
      <c r="T520" s="26">
        <v>-0.18</v>
      </c>
      <c r="U520" s="26">
        <v>-0.1</v>
      </c>
      <c r="V520" s="20">
        <v>1135.6500000000001</v>
      </c>
    </row>
    <row r="521" spans="1:22" ht="16.8" x14ac:dyDescent="0.3">
      <c r="A521" s="20">
        <v>52</v>
      </c>
      <c r="B521" s="20">
        <v>59</v>
      </c>
      <c r="C521" s="20">
        <v>59.05</v>
      </c>
      <c r="D521" s="20">
        <v>-0.05</v>
      </c>
      <c r="E521" s="20">
        <v>-0.05</v>
      </c>
      <c r="F521" s="20">
        <v>1283.74</v>
      </c>
      <c r="Q521" s="20">
        <v>52</v>
      </c>
      <c r="R521" s="20">
        <v>59.27</v>
      </c>
      <c r="S521" s="26">
        <v>59</v>
      </c>
      <c r="T521" s="26">
        <v>-0.27</v>
      </c>
      <c r="U521" s="20">
        <v>-0.09</v>
      </c>
      <c r="V521" s="20">
        <v>1121.6300000000001</v>
      </c>
    </row>
    <row r="522" spans="1:22" ht="16.8" x14ac:dyDescent="0.3">
      <c r="A522" s="20">
        <v>52.1</v>
      </c>
      <c r="B522" s="20">
        <v>59</v>
      </c>
      <c r="C522" s="20">
        <v>59.02</v>
      </c>
      <c r="D522" s="20">
        <v>-0.02</v>
      </c>
      <c r="E522" s="20">
        <v>0.04</v>
      </c>
      <c r="F522" s="20">
        <v>1310.3800000000001</v>
      </c>
      <c r="Q522" s="20">
        <v>52.1</v>
      </c>
      <c r="R522" s="20">
        <v>59.32</v>
      </c>
      <c r="S522" s="20">
        <v>59</v>
      </c>
      <c r="T522" s="26">
        <v>-0.32</v>
      </c>
      <c r="U522" s="26">
        <v>-0.06</v>
      </c>
      <c r="V522" s="20">
        <v>1114.78</v>
      </c>
    </row>
    <row r="523" spans="1:22" ht="16.8" x14ac:dyDescent="0.3">
      <c r="A523" s="20">
        <v>52.2</v>
      </c>
      <c r="B523" s="20">
        <v>59</v>
      </c>
      <c r="C523" s="20">
        <v>59.09</v>
      </c>
      <c r="D523" s="20">
        <v>-0.09</v>
      </c>
      <c r="E523" s="20">
        <v>-7.0000000000000007E-2</v>
      </c>
      <c r="F523" s="20">
        <v>1261.22</v>
      </c>
      <c r="Q523" s="20">
        <v>52.2</v>
      </c>
      <c r="R523" s="20">
        <v>59.42</v>
      </c>
      <c r="S523" s="20">
        <v>59</v>
      </c>
      <c r="T523" s="26">
        <v>-0.42</v>
      </c>
      <c r="U523" s="20">
        <v>-0.1</v>
      </c>
      <c r="V523" s="20">
        <v>1094.76</v>
      </c>
    </row>
    <row r="524" spans="1:22" ht="16.8" x14ac:dyDescent="0.3">
      <c r="A524" s="20">
        <v>52.3</v>
      </c>
      <c r="B524" s="20">
        <v>59</v>
      </c>
      <c r="C524" s="20">
        <v>59.03</v>
      </c>
      <c r="D524" s="20">
        <v>-0.03</v>
      </c>
      <c r="E524" s="20">
        <v>0.06</v>
      </c>
      <c r="F524" s="20">
        <v>1301.3399999999999</v>
      </c>
      <c r="Q524" s="20">
        <v>52.3</v>
      </c>
      <c r="R524" s="20">
        <v>59.46</v>
      </c>
      <c r="S524" s="26">
        <v>59</v>
      </c>
      <c r="T524" s="26">
        <v>-0.46</v>
      </c>
      <c r="U524" s="26">
        <v>-0.04</v>
      </c>
      <c r="V524" s="20">
        <v>1092.32</v>
      </c>
    </row>
    <row r="525" spans="1:22" ht="16.8" x14ac:dyDescent="0.3">
      <c r="A525" s="20">
        <v>52.4</v>
      </c>
      <c r="B525" s="20">
        <v>59</v>
      </c>
      <c r="C525" s="20">
        <v>59.03</v>
      </c>
      <c r="D525" s="20">
        <v>-0.03</v>
      </c>
      <c r="E525" s="20">
        <v>0</v>
      </c>
      <c r="F525" s="20">
        <v>1301.3399999999999</v>
      </c>
      <c r="Q525" s="20">
        <v>52.4</v>
      </c>
      <c r="R525" s="20">
        <v>59.55</v>
      </c>
      <c r="S525" s="20">
        <v>59</v>
      </c>
      <c r="T525" s="20">
        <v>-0.55000000000000004</v>
      </c>
      <c r="U525" s="20">
        <v>-0.09</v>
      </c>
      <c r="V525" s="20">
        <v>1072.56</v>
      </c>
    </row>
    <row r="526" spans="1:22" ht="16.8" x14ac:dyDescent="0.3">
      <c r="A526" s="20">
        <v>52.5</v>
      </c>
      <c r="B526" s="20">
        <v>59</v>
      </c>
      <c r="C526" s="20">
        <v>59.06</v>
      </c>
      <c r="D526" s="20">
        <v>-0.06</v>
      </c>
      <c r="E526" s="20">
        <v>-0.03</v>
      </c>
      <c r="F526" s="20">
        <v>1280.8599999999999</v>
      </c>
      <c r="Q526" s="20">
        <v>52.5</v>
      </c>
      <c r="R526" s="20">
        <v>59.64</v>
      </c>
      <c r="S526" s="26">
        <v>59</v>
      </c>
      <c r="T526" s="26">
        <v>-0.64</v>
      </c>
      <c r="U526" s="26">
        <v>-0.09</v>
      </c>
      <c r="V526" s="20">
        <v>1056.92</v>
      </c>
    </row>
    <row r="527" spans="1:22" ht="16.8" x14ac:dyDescent="0.3">
      <c r="A527" s="20">
        <v>52.6</v>
      </c>
      <c r="B527" s="20">
        <v>59</v>
      </c>
      <c r="C527" s="20">
        <v>59</v>
      </c>
      <c r="D527" s="20">
        <v>0</v>
      </c>
      <c r="E527" s="20">
        <v>0.06</v>
      </c>
      <c r="F527" s="20">
        <v>1330.33</v>
      </c>
      <c r="Q527" s="20">
        <v>52.6</v>
      </c>
      <c r="R527" s="20">
        <v>59.61</v>
      </c>
      <c r="S527" s="20">
        <v>59</v>
      </c>
      <c r="T527" s="26">
        <v>-0.61</v>
      </c>
      <c r="U527" s="26">
        <v>0.03</v>
      </c>
      <c r="V527" s="20">
        <v>1071.48</v>
      </c>
    </row>
    <row r="528" spans="1:22" ht="16.8" x14ac:dyDescent="0.3">
      <c r="A528" s="20">
        <v>52.7</v>
      </c>
      <c r="B528" s="20">
        <v>59</v>
      </c>
      <c r="C528" s="20">
        <v>59.02</v>
      </c>
      <c r="D528" s="20">
        <v>-0.02</v>
      </c>
      <c r="E528" s="20">
        <v>-0.02</v>
      </c>
      <c r="F528" s="20">
        <v>1310.3800000000001</v>
      </c>
      <c r="Q528" s="20">
        <v>52.7</v>
      </c>
      <c r="R528" s="20">
        <v>59.65</v>
      </c>
      <c r="S528" s="26">
        <v>59</v>
      </c>
      <c r="T528" s="26">
        <v>-0.65</v>
      </c>
      <c r="U528" s="26">
        <v>-0.04</v>
      </c>
      <c r="V528" s="20">
        <v>1056.99</v>
      </c>
    </row>
    <row r="529" spans="1:22" ht="16.8" x14ac:dyDescent="0.3">
      <c r="A529" s="20">
        <v>52.8</v>
      </c>
      <c r="B529" s="20">
        <v>59</v>
      </c>
      <c r="C529" s="20">
        <v>59.01</v>
      </c>
      <c r="D529" s="20">
        <v>-0.01</v>
      </c>
      <c r="E529" s="20">
        <v>0</v>
      </c>
      <c r="F529" s="20">
        <v>1313.46</v>
      </c>
      <c r="Q529" s="20">
        <v>52.8</v>
      </c>
      <c r="R529" s="20">
        <v>59.63</v>
      </c>
      <c r="S529" s="20">
        <v>59</v>
      </c>
      <c r="T529" s="26">
        <v>-0.63</v>
      </c>
      <c r="U529" s="26">
        <v>0.02</v>
      </c>
      <c r="V529" s="20">
        <v>1063.1199999999999</v>
      </c>
    </row>
    <row r="530" spans="1:22" ht="16.8" x14ac:dyDescent="0.3">
      <c r="A530" s="20">
        <v>52.9</v>
      </c>
      <c r="B530" s="20">
        <v>59</v>
      </c>
      <c r="C530" s="20">
        <v>59.04</v>
      </c>
      <c r="D530" s="20">
        <v>-0.04</v>
      </c>
      <c r="E530" s="20">
        <v>-0.03</v>
      </c>
      <c r="F530" s="20">
        <v>1292.46</v>
      </c>
      <c r="Q530" s="20">
        <v>52.9</v>
      </c>
      <c r="R530" s="20">
        <v>59.64</v>
      </c>
      <c r="S530" s="26">
        <v>59</v>
      </c>
      <c r="T530" s="26">
        <v>-0.64</v>
      </c>
      <c r="U530" s="20">
        <v>-0.01</v>
      </c>
      <c r="V530" s="20">
        <v>1058.1400000000001</v>
      </c>
    </row>
    <row r="531" spans="1:22" ht="16.8" x14ac:dyDescent="0.3">
      <c r="A531" s="20">
        <v>53</v>
      </c>
      <c r="B531" s="20">
        <v>59</v>
      </c>
      <c r="C531" s="20">
        <v>58.98</v>
      </c>
      <c r="D531" s="20">
        <v>0.02</v>
      </c>
      <c r="E531" s="20">
        <v>0.06</v>
      </c>
      <c r="F531" s="20">
        <v>1363.56</v>
      </c>
      <c r="Q531" s="20">
        <v>53</v>
      </c>
      <c r="R531" s="20">
        <v>59.61</v>
      </c>
      <c r="S531" s="20">
        <v>59</v>
      </c>
      <c r="T531" s="26">
        <v>-0.61</v>
      </c>
      <c r="U531" s="26">
        <v>0.02</v>
      </c>
      <c r="V531" s="20">
        <v>1063.42</v>
      </c>
    </row>
    <row r="532" spans="1:22" ht="16.8" x14ac:dyDescent="0.3">
      <c r="A532" s="20">
        <v>53.1</v>
      </c>
      <c r="B532" s="20">
        <v>59</v>
      </c>
      <c r="C532" s="20">
        <v>58.96</v>
      </c>
      <c r="D532" s="20">
        <v>0.04</v>
      </c>
      <c r="E532" s="20">
        <v>0.02</v>
      </c>
      <c r="F532" s="20">
        <v>1410.17</v>
      </c>
      <c r="Q532" s="20">
        <v>53.1</v>
      </c>
      <c r="R532" s="20">
        <v>59.62</v>
      </c>
      <c r="S532" s="26">
        <v>59</v>
      </c>
      <c r="T532" s="26">
        <v>-0.62</v>
      </c>
      <c r="U532" s="20">
        <v>-0.01</v>
      </c>
      <c r="V532" s="20">
        <v>1057.74</v>
      </c>
    </row>
    <row r="533" spans="1:22" ht="16.8" x14ac:dyDescent="0.3">
      <c r="A533" s="20">
        <v>53.2</v>
      </c>
      <c r="B533" s="20">
        <v>59</v>
      </c>
      <c r="C533" s="20">
        <v>58.97</v>
      </c>
      <c r="D533" s="20">
        <v>0.03</v>
      </c>
      <c r="E533" s="20">
        <v>-0.02</v>
      </c>
      <c r="F533" s="20">
        <v>1379.5</v>
      </c>
      <c r="Q533" s="20">
        <v>53.2</v>
      </c>
      <c r="R533" s="20">
        <v>59.64</v>
      </c>
      <c r="S533" s="20">
        <v>59</v>
      </c>
      <c r="T533" s="26">
        <v>-0.64</v>
      </c>
      <c r="U533" s="26">
        <v>-0.02</v>
      </c>
      <c r="V533" s="20">
        <v>1052.92</v>
      </c>
    </row>
    <row r="534" spans="1:22" ht="16.8" x14ac:dyDescent="0.3">
      <c r="A534" s="20">
        <v>53.3</v>
      </c>
      <c r="B534" s="20">
        <v>59</v>
      </c>
      <c r="C534" s="20">
        <v>58.92</v>
      </c>
      <c r="D534" s="20">
        <v>0.08</v>
      </c>
      <c r="E534" s="20">
        <v>0.05</v>
      </c>
      <c r="F534" s="20">
        <v>1466.92</v>
      </c>
      <c r="Q534" s="20">
        <v>53.3</v>
      </c>
      <c r="R534" s="20">
        <v>59.57</v>
      </c>
      <c r="S534" s="26">
        <v>59</v>
      </c>
      <c r="T534" s="26">
        <v>-0.56999999999999995</v>
      </c>
      <c r="U534" s="20">
        <v>0.06</v>
      </c>
      <c r="V534" s="20">
        <v>1069.06</v>
      </c>
    </row>
    <row r="535" spans="1:22" ht="16.8" x14ac:dyDescent="0.3">
      <c r="A535" s="20">
        <v>53.4</v>
      </c>
      <c r="B535" s="20">
        <v>59</v>
      </c>
      <c r="C535" s="20">
        <v>58.94</v>
      </c>
      <c r="D535" s="20">
        <v>0.06</v>
      </c>
      <c r="E535" s="20">
        <v>-0.02</v>
      </c>
      <c r="F535" s="20">
        <v>1439.24</v>
      </c>
      <c r="Q535" s="20">
        <v>53.4</v>
      </c>
      <c r="R535" s="20">
        <v>59.61</v>
      </c>
      <c r="S535" s="20">
        <v>59</v>
      </c>
      <c r="T535" s="20">
        <v>-0.61</v>
      </c>
      <c r="U535" s="26">
        <v>-0.04</v>
      </c>
      <c r="V535" s="20">
        <v>1051.75</v>
      </c>
    </row>
    <row r="536" spans="1:22" ht="16.8" x14ac:dyDescent="0.3">
      <c r="A536" s="20">
        <v>53.5</v>
      </c>
      <c r="B536" s="20">
        <v>59</v>
      </c>
      <c r="C536" s="20">
        <v>58.96</v>
      </c>
      <c r="D536" s="20">
        <v>0.04</v>
      </c>
      <c r="E536" s="20">
        <v>-0.02</v>
      </c>
      <c r="F536" s="20">
        <v>1395.02</v>
      </c>
      <c r="Q536" s="20">
        <v>53.5</v>
      </c>
      <c r="R536" s="20">
        <v>59.59</v>
      </c>
      <c r="S536" s="20">
        <v>59</v>
      </c>
      <c r="T536" s="26">
        <v>-0.59</v>
      </c>
      <c r="U536" s="26">
        <v>0.02</v>
      </c>
      <c r="V536" s="20">
        <v>1059.99</v>
      </c>
    </row>
    <row r="537" spans="1:22" ht="16.8" x14ac:dyDescent="0.3">
      <c r="A537" s="20">
        <v>53.6</v>
      </c>
      <c r="B537" s="20">
        <v>59</v>
      </c>
      <c r="C537" s="20">
        <v>58.96</v>
      </c>
      <c r="D537" s="20">
        <v>0.04</v>
      </c>
      <c r="E537" s="20">
        <v>0</v>
      </c>
      <c r="F537" s="20">
        <v>1395.02</v>
      </c>
      <c r="Q537" s="20">
        <v>53.6</v>
      </c>
      <c r="R537" s="20">
        <v>59.56</v>
      </c>
      <c r="S537" s="26">
        <v>59</v>
      </c>
      <c r="T537" s="20">
        <v>-0.56000000000000005</v>
      </c>
      <c r="U537" s="26">
        <v>0.02</v>
      </c>
      <c r="V537" s="20">
        <v>1062.48</v>
      </c>
    </row>
    <row r="538" spans="1:22" ht="16.8" x14ac:dyDescent="0.3">
      <c r="A538" s="20">
        <v>53.7</v>
      </c>
      <c r="B538" s="20">
        <v>59</v>
      </c>
      <c r="C538" s="20">
        <v>58.96</v>
      </c>
      <c r="D538" s="20">
        <v>0.04</v>
      </c>
      <c r="E538" s="20">
        <v>0</v>
      </c>
      <c r="F538" s="20">
        <v>1402.64</v>
      </c>
      <c r="Q538" s="20">
        <v>53.7</v>
      </c>
      <c r="R538" s="20">
        <v>59.58</v>
      </c>
      <c r="S538" s="20">
        <v>59</v>
      </c>
      <c r="T538" s="26">
        <v>-0.57999999999999996</v>
      </c>
      <c r="U538" s="26">
        <v>-0.02</v>
      </c>
      <c r="V538" s="20">
        <v>1054.8900000000001</v>
      </c>
    </row>
    <row r="539" spans="1:22" ht="16.8" x14ac:dyDescent="0.3">
      <c r="A539" s="20">
        <v>53.8</v>
      </c>
      <c r="B539" s="20">
        <v>59</v>
      </c>
      <c r="C539" s="20">
        <v>58.93</v>
      </c>
      <c r="D539" s="20">
        <v>7.0000000000000007E-2</v>
      </c>
      <c r="E539" s="20">
        <v>0.03</v>
      </c>
      <c r="F539" s="20">
        <v>1460.13</v>
      </c>
      <c r="Q539" s="20">
        <v>53.8</v>
      </c>
      <c r="R539" s="20">
        <v>59.57</v>
      </c>
      <c r="S539" s="26">
        <v>59</v>
      </c>
      <c r="T539" s="20">
        <v>-0.56999999999999995</v>
      </c>
      <c r="U539" s="26">
        <v>0.01</v>
      </c>
      <c r="V539" s="20">
        <v>1056.98</v>
      </c>
    </row>
    <row r="540" spans="1:22" ht="16.8" x14ac:dyDescent="0.3">
      <c r="A540" s="20">
        <v>53.9</v>
      </c>
      <c r="B540" s="20">
        <v>59</v>
      </c>
      <c r="C540" s="20">
        <v>58.96</v>
      </c>
      <c r="D540" s="20">
        <v>0.04</v>
      </c>
      <c r="E540" s="20">
        <v>-0.04</v>
      </c>
      <c r="F540" s="20">
        <v>1395.02</v>
      </c>
      <c r="Q540" s="20">
        <v>53.9</v>
      </c>
      <c r="R540" s="20">
        <v>59.53</v>
      </c>
      <c r="S540" s="20">
        <v>59</v>
      </c>
      <c r="T540" s="26">
        <v>-0.53</v>
      </c>
      <c r="U540" s="26">
        <v>0.04</v>
      </c>
      <c r="V540" s="20">
        <v>1065.02</v>
      </c>
    </row>
    <row r="541" spans="1:22" ht="16.8" x14ac:dyDescent="0.3">
      <c r="A541" s="20">
        <v>54</v>
      </c>
      <c r="B541" s="20">
        <v>59</v>
      </c>
      <c r="C541" s="20">
        <v>58.97</v>
      </c>
      <c r="D541" s="20">
        <v>0.03</v>
      </c>
      <c r="E541" s="20">
        <v>-0.01</v>
      </c>
      <c r="F541" s="20">
        <v>1379.5</v>
      </c>
      <c r="Q541" s="20">
        <v>54</v>
      </c>
      <c r="R541" s="20">
        <v>59.53</v>
      </c>
      <c r="S541" s="26">
        <v>59</v>
      </c>
      <c r="T541" s="20">
        <v>-0.53</v>
      </c>
      <c r="U541" s="20">
        <v>0</v>
      </c>
      <c r="V541" s="20">
        <v>1060.1099999999999</v>
      </c>
    </row>
    <row r="542" spans="1:22" ht="16.8" x14ac:dyDescent="0.3">
      <c r="A542" s="20">
        <v>54.1</v>
      </c>
      <c r="B542" s="20">
        <v>59</v>
      </c>
      <c r="C542" s="20">
        <v>58.95</v>
      </c>
      <c r="D542" s="20">
        <v>0.05</v>
      </c>
      <c r="E542" s="20">
        <v>0.02</v>
      </c>
      <c r="F542" s="20">
        <v>1424.89</v>
      </c>
      <c r="Q542" s="20">
        <v>54.1</v>
      </c>
      <c r="R542" s="20">
        <v>59.51</v>
      </c>
      <c r="S542" s="20">
        <v>59</v>
      </c>
      <c r="T542" s="26">
        <v>-0.51</v>
      </c>
      <c r="U542" s="26">
        <v>0.02</v>
      </c>
      <c r="V542" s="20">
        <v>1064.9100000000001</v>
      </c>
    </row>
    <row r="543" spans="1:22" ht="16.8" x14ac:dyDescent="0.3">
      <c r="A543" s="20">
        <v>54.2</v>
      </c>
      <c r="B543" s="20">
        <v>59</v>
      </c>
      <c r="C543" s="20">
        <v>58.97</v>
      </c>
      <c r="D543" s="20">
        <v>0.03</v>
      </c>
      <c r="E543" s="20">
        <v>-0.02</v>
      </c>
      <c r="F543" s="20">
        <v>1379.5</v>
      </c>
      <c r="Q543" s="20">
        <v>54.2</v>
      </c>
      <c r="R543" s="20">
        <v>59.52</v>
      </c>
      <c r="S543" s="26">
        <v>59</v>
      </c>
      <c r="T543" s="26">
        <v>-0.52</v>
      </c>
      <c r="U543" s="26">
        <v>-0.02</v>
      </c>
      <c r="V543" s="20">
        <v>1057.47</v>
      </c>
    </row>
    <row r="544" spans="1:22" ht="16.8" x14ac:dyDescent="0.3">
      <c r="A544" s="20">
        <v>54.3</v>
      </c>
      <c r="B544" s="20">
        <v>59</v>
      </c>
      <c r="C544" s="20">
        <v>58.96</v>
      </c>
      <c r="D544" s="20">
        <v>0.04</v>
      </c>
      <c r="E544" s="20">
        <v>0.02</v>
      </c>
      <c r="F544" s="20">
        <v>1410.17</v>
      </c>
      <c r="Q544" s="20">
        <v>54.3</v>
      </c>
      <c r="R544" s="20">
        <v>59.52</v>
      </c>
      <c r="S544" s="20">
        <v>59</v>
      </c>
      <c r="T544" s="26">
        <v>-0.52</v>
      </c>
      <c r="U544" s="26">
        <v>0</v>
      </c>
      <c r="V544" s="20">
        <v>1057.6600000000001</v>
      </c>
    </row>
    <row r="545" spans="1:22" ht="16.8" x14ac:dyDescent="0.3">
      <c r="A545" s="20">
        <v>54.4</v>
      </c>
      <c r="B545" s="20">
        <v>59</v>
      </c>
      <c r="C545" s="20">
        <v>58.97</v>
      </c>
      <c r="D545" s="20">
        <v>0.03</v>
      </c>
      <c r="E545" s="20">
        <v>-0.02</v>
      </c>
      <c r="F545" s="20">
        <v>1379.5</v>
      </c>
      <c r="Q545" s="20">
        <v>54.4</v>
      </c>
      <c r="R545" s="20">
        <v>59.52</v>
      </c>
      <c r="S545" s="20">
        <v>59</v>
      </c>
      <c r="T545" s="26">
        <v>-0.52</v>
      </c>
      <c r="U545" s="26">
        <v>0</v>
      </c>
      <c r="V545" s="20">
        <v>1056.4000000000001</v>
      </c>
    </row>
    <row r="546" spans="1:22" ht="16.8" x14ac:dyDescent="0.3">
      <c r="A546" s="20">
        <v>54.5</v>
      </c>
      <c r="B546" s="20">
        <v>59</v>
      </c>
      <c r="C546" s="20">
        <v>58.96</v>
      </c>
      <c r="D546" s="20">
        <v>0.04</v>
      </c>
      <c r="E546" s="20">
        <v>0.02</v>
      </c>
      <c r="F546" s="20">
        <v>1410.17</v>
      </c>
      <c r="Q546" s="20">
        <v>54.5</v>
      </c>
      <c r="R546" s="20">
        <v>59.5</v>
      </c>
      <c r="S546" s="26">
        <v>59</v>
      </c>
      <c r="T546" s="26">
        <v>-0.5</v>
      </c>
      <c r="U546" s="26">
        <v>0.02</v>
      </c>
      <c r="V546" s="20">
        <v>1061.22</v>
      </c>
    </row>
    <row r="547" spans="1:22" ht="16.8" x14ac:dyDescent="0.3">
      <c r="A547" s="20">
        <v>54.6</v>
      </c>
      <c r="B547" s="20">
        <v>59</v>
      </c>
      <c r="C547" s="20">
        <v>58.96</v>
      </c>
      <c r="D547" s="20">
        <v>0.04</v>
      </c>
      <c r="E547" s="20">
        <v>0</v>
      </c>
      <c r="F547" s="20">
        <v>1410.17</v>
      </c>
      <c r="Q547" s="20">
        <v>54.6</v>
      </c>
      <c r="R547" s="20">
        <v>59.51</v>
      </c>
      <c r="S547" s="20">
        <v>59</v>
      </c>
      <c r="T547" s="26">
        <v>-0.51</v>
      </c>
      <c r="U547" s="26">
        <v>-0.01</v>
      </c>
      <c r="V547" s="20">
        <v>1055.82</v>
      </c>
    </row>
    <row r="548" spans="1:22" ht="16.8" x14ac:dyDescent="0.3">
      <c r="A548" s="20">
        <v>54.7</v>
      </c>
      <c r="B548" s="20">
        <v>59</v>
      </c>
      <c r="C548" s="20">
        <v>58.93</v>
      </c>
      <c r="D548" s="20">
        <v>7.0000000000000007E-2</v>
      </c>
      <c r="E548" s="20">
        <v>0.03</v>
      </c>
      <c r="F548" s="20">
        <v>1460.13</v>
      </c>
      <c r="Q548" s="20">
        <v>54.7</v>
      </c>
      <c r="R548" s="20">
        <v>59.47</v>
      </c>
      <c r="S548" s="26">
        <v>59</v>
      </c>
      <c r="T548" s="26">
        <v>-0.47</v>
      </c>
      <c r="U548" s="26">
        <v>0.04</v>
      </c>
      <c r="V548" s="20">
        <v>1065.46</v>
      </c>
    </row>
    <row r="549" spans="1:22" ht="16.8" x14ac:dyDescent="0.3">
      <c r="A549" s="20">
        <v>54.8</v>
      </c>
      <c r="B549" s="20">
        <v>59</v>
      </c>
      <c r="C549" s="20">
        <v>58.95</v>
      </c>
      <c r="D549" s="20">
        <v>0.05</v>
      </c>
      <c r="E549" s="20">
        <v>-0.02</v>
      </c>
      <c r="F549" s="20">
        <v>1417.56</v>
      </c>
      <c r="Q549" s="20">
        <v>54.8</v>
      </c>
      <c r="R549" s="20">
        <v>59.43</v>
      </c>
      <c r="S549" s="20">
        <v>59</v>
      </c>
      <c r="T549" s="26">
        <v>-0.43</v>
      </c>
      <c r="U549" s="26">
        <v>0.04</v>
      </c>
      <c r="V549" s="20">
        <v>1070.8399999999999</v>
      </c>
    </row>
    <row r="550" spans="1:22" ht="16.8" x14ac:dyDescent="0.3">
      <c r="A550" s="20">
        <v>54.9</v>
      </c>
      <c r="B550" s="20">
        <v>59</v>
      </c>
      <c r="C550" s="20">
        <v>58.95</v>
      </c>
      <c r="D550" s="20">
        <v>0.05</v>
      </c>
      <c r="E550" s="20">
        <v>0</v>
      </c>
      <c r="F550" s="20">
        <v>1417.56</v>
      </c>
      <c r="Q550" s="20">
        <v>54.9</v>
      </c>
      <c r="R550" s="20">
        <v>59.44</v>
      </c>
      <c r="S550" s="26">
        <v>59</v>
      </c>
      <c r="T550" s="20">
        <v>-0.44</v>
      </c>
      <c r="U550" s="20">
        <v>-0.01</v>
      </c>
      <c r="V550" s="20">
        <v>1064.17</v>
      </c>
    </row>
    <row r="551" spans="1:22" ht="16.8" x14ac:dyDescent="0.3">
      <c r="A551" s="20">
        <v>55</v>
      </c>
      <c r="B551" s="20">
        <v>59</v>
      </c>
      <c r="C551" s="20">
        <v>58.94</v>
      </c>
      <c r="D551" s="20">
        <v>0.06</v>
      </c>
      <c r="E551" s="20">
        <v>0.02</v>
      </c>
      <c r="F551" s="20">
        <v>1446.3</v>
      </c>
      <c r="Q551" s="20">
        <v>55</v>
      </c>
      <c r="R551" s="20">
        <v>59.43</v>
      </c>
      <c r="S551" s="20">
        <v>59</v>
      </c>
      <c r="T551" s="26">
        <v>-0.43</v>
      </c>
      <c r="U551" s="26">
        <v>0.01</v>
      </c>
      <c r="V551" s="20">
        <v>1065.8699999999999</v>
      </c>
    </row>
    <row r="552" spans="1:22" ht="16.8" x14ac:dyDescent="0.3">
      <c r="A552" s="20">
        <v>55.1</v>
      </c>
      <c r="B552" s="20">
        <v>59</v>
      </c>
      <c r="C552" s="20">
        <v>58.96</v>
      </c>
      <c r="D552" s="20">
        <v>0.04</v>
      </c>
      <c r="E552" s="20">
        <v>-0.02</v>
      </c>
      <c r="F552" s="20">
        <v>1410.17</v>
      </c>
      <c r="Q552" s="20">
        <v>55.1</v>
      </c>
      <c r="R552" s="20">
        <v>59.36</v>
      </c>
      <c r="S552" s="26">
        <v>59</v>
      </c>
      <c r="T552" s="20">
        <v>-0.36</v>
      </c>
      <c r="U552" s="26">
        <v>0.06</v>
      </c>
      <c r="V552" s="20">
        <v>1080.3399999999999</v>
      </c>
    </row>
    <row r="553" spans="1:22" ht="16.8" x14ac:dyDescent="0.3">
      <c r="A553" s="20">
        <v>55.2</v>
      </c>
      <c r="B553" s="20">
        <v>59</v>
      </c>
      <c r="C553" s="20">
        <v>58.93</v>
      </c>
      <c r="D553" s="20">
        <v>7.0000000000000007E-2</v>
      </c>
      <c r="E553" s="20">
        <v>0.03</v>
      </c>
      <c r="F553" s="20">
        <v>1460.13</v>
      </c>
      <c r="Q553" s="20">
        <v>55.2</v>
      </c>
      <c r="R553" s="20">
        <v>59.39</v>
      </c>
      <c r="S553" s="20">
        <v>59</v>
      </c>
      <c r="T553" s="26">
        <v>-0.39</v>
      </c>
      <c r="U553" s="26">
        <v>-0.02</v>
      </c>
      <c r="V553" s="20">
        <v>1067.58</v>
      </c>
    </row>
    <row r="554" spans="1:22" ht="16.8" x14ac:dyDescent="0.3">
      <c r="A554" s="20">
        <v>55.3</v>
      </c>
      <c r="B554" s="20">
        <v>59</v>
      </c>
      <c r="C554" s="20">
        <v>58.98</v>
      </c>
      <c r="D554" s="20">
        <v>0.02</v>
      </c>
      <c r="E554" s="20">
        <v>-0.05</v>
      </c>
      <c r="F554" s="20">
        <v>1363.56</v>
      </c>
      <c r="Q554" s="20">
        <v>55.3</v>
      </c>
      <c r="R554" s="20">
        <v>59.36</v>
      </c>
      <c r="S554" s="26">
        <v>59</v>
      </c>
      <c r="T554" s="26">
        <v>-0.36</v>
      </c>
      <c r="U554" s="26">
        <v>0.02</v>
      </c>
      <c r="V554" s="20">
        <v>1074.9100000000001</v>
      </c>
    </row>
    <row r="555" spans="1:22" ht="16.8" x14ac:dyDescent="0.3">
      <c r="A555" s="20">
        <v>55.4</v>
      </c>
      <c r="B555" s="20">
        <v>59</v>
      </c>
      <c r="C555" s="20">
        <v>58.92</v>
      </c>
      <c r="D555" s="20">
        <v>0.08</v>
      </c>
      <c r="E555" s="20">
        <v>0.06</v>
      </c>
      <c r="F555" s="20">
        <v>1473.62</v>
      </c>
      <c r="Q555" s="20">
        <v>55.4</v>
      </c>
      <c r="R555" s="20">
        <v>59.35</v>
      </c>
      <c r="S555" s="20">
        <v>59</v>
      </c>
      <c r="T555" s="26">
        <v>-0.35</v>
      </c>
      <c r="U555" s="26">
        <v>0.02</v>
      </c>
      <c r="V555" s="20">
        <v>1075.9100000000001</v>
      </c>
    </row>
    <row r="556" spans="1:22" ht="16.8" x14ac:dyDescent="0.3">
      <c r="A556" s="20">
        <v>55.5</v>
      </c>
      <c r="B556" s="20">
        <v>59</v>
      </c>
      <c r="C556" s="20">
        <v>59</v>
      </c>
      <c r="D556" s="20">
        <v>0</v>
      </c>
      <c r="E556" s="20">
        <v>-0.08</v>
      </c>
      <c r="F556" s="20">
        <v>1330.33</v>
      </c>
      <c r="Q556" s="20">
        <v>55.5</v>
      </c>
      <c r="R556" s="20">
        <v>59.35</v>
      </c>
      <c r="S556" s="26">
        <v>59</v>
      </c>
      <c r="T556" s="26">
        <v>-0.35</v>
      </c>
      <c r="U556" s="26">
        <v>0</v>
      </c>
      <c r="V556" s="20">
        <v>1073.6300000000001</v>
      </c>
    </row>
    <row r="557" spans="1:22" ht="16.8" x14ac:dyDescent="0.3">
      <c r="A557" s="20">
        <v>55.6</v>
      </c>
      <c r="B557" s="20">
        <v>59</v>
      </c>
      <c r="C557" s="20">
        <v>58.98</v>
      </c>
      <c r="D557" s="20">
        <v>0.02</v>
      </c>
      <c r="E557" s="20">
        <v>0.01</v>
      </c>
      <c r="F557" s="20">
        <v>1355.39</v>
      </c>
      <c r="Q557" s="20">
        <v>55.6</v>
      </c>
      <c r="R557" s="20">
        <v>59.35</v>
      </c>
      <c r="S557" s="20">
        <v>59</v>
      </c>
      <c r="T557" s="26">
        <v>-0.35</v>
      </c>
      <c r="U557" s="26">
        <v>0</v>
      </c>
      <c r="V557" s="20">
        <v>1072.8</v>
      </c>
    </row>
    <row r="558" spans="1:22" ht="16.8" x14ac:dyDescent="0.3">
      <c r="A558" s="20">
        <v>55.7</v>
      </c>
      <c r="B558" s="20">
        <v>59</v>
      </c>
      <c r="C558" s="20">
        <v>58.98</v>
      </c>
      <c r="D558" s="20">
        <v>0.02</v>
      </c>
      <c r="E558" s="20">
        <v>0</v>
      </c>
      <c r="F558" s="20">
        <v>1355.39</v>
      </c>
      <c r="Q558" s="20">
        <v>55.7</v>
      </c>
      <c r="R558" s="20">
        <v>59.29</v>
      </c>
      <c r="S558" s="26">
        <v>59</v>
      </c>
      <c r="T558" s="26">
        <v>-0.28999999999999998</v>
      </c>
      <c r="U558" s="26">
        <v>0.06</v>
      </c>
      <c r="V558" s="20">
        <v>1086.1600000000001</v>
      </c>
    </row>
    <row r="559" spans="1:22" ht="16.8" x14ac:dyDescent="0.3">
      <c r="A559" s="20">
        <v>55.8</v>
      </c>
      <c r="B559" s="20">
        <v>59</v>
      </c>
      <c r="C559" s="20">
        <v>58.98</v>
      </c>
      <c r="D559" s="20">
        <v>0.02</v>
      </c>
      <c r="E559" s="20">
        <v>0</v>
      </c>
      <c r="F559" s="20">
        <v>1363.56</v>
      </c>
      <c r="Q559" s="20">
        <v>55.8</v>
      </c>
      <c r="R559" s="20">
        <v>59.32</v>
      </c>
      <c r="S559" s="20">
        <v>59</v>
      </c>
      <c r="T559" s="26">
        <v>-0.32</v>
      </c>
      <c r="U559" s="26">
        <v>-0.02</v>
      </c>
      <c r="V559" s="20">
        <v>1074.3</v>
      </c>
    </row>
    <row r="560" spans="1:22" ht="16.8" x14ac:dyDescent="0.3">
      <c r="A560" s="20">
        <v>55.9</v>
      </c>
      <c r="B560" s="20">
        <v>59</v>
      </c>
      <c r="C560" s="20">
        <v>59.03</v>
      </c>
      <c r="D560" s="20">
        <v>-0.03</v>
      </c>
      <c r="E560" s="20">
        <v>-0.05</v>
      </c>
      <c r="F560" s="20">
        <v>1298.3599999999999</v>
      </c>
      <c r="Q560" s="20">
        <v>55.9</v>
      </c>
      <c r="R560" s="20">
        <v>59.29</v>
      </c>
      <c r="S560" s="20">
        <v>59</v>
      </c>
      <c r="T560" s="26">
        <v>-0.28999999999999998</v>
      </c>
      <c r="U560" s="26">
        <v>0.02</v>
      </c>
      <c r="V560" s="20">
        <v>1081.8</v>
      </c>
    </row>
    <row r="561" spans="1:22" ht="16.8" x14ac:dyDescent="0.3">
      <c r="A561" s="20">
        <v>56</v>
      </c>
      <c r="B561" s="20">
        <v>59</v>
      </c>
      <c r="C561" s="20">
        <v>59.05</v>
      </c>
      <c r="D561" s="20">
        <v>-0.05</v>
      </c>
      <c r="E561" s="20">
        <v>-0.01</v>
      </c>
      <c r="F561" s="20">
        <v>1289.54</v>
      </c>
      <c r="Q561" s="20">
        <v>56</v>
      </c>
      <c r="R561" s="20">
        <v>59.24</v>
      </c>
      <c r="S561" s="26">
        <v>59</v>
      </c>
      <c r="T561" s="20">
        <v>-0.24</v>
      </c>
      <c r="U561" s="26">
        <v>0.05</v>
      </c>
      <c r="V561" s="20">
        <v>1091.0899999999999</v>
      </c>
    </row>
    <row r="562" spans="1:22" ht="16.8" x14ac:dyDescent="0.3">
      <c r="A562" s="20">
        <v>56.1</v>
      </c>
      <c r="B562" s="20">
        <v>59</v>
      </c>
      <c r="C562" s="20">
        <v>59.05</v>
      </c>
      <c r="D562" s="20">
        <v>-0.05</v>
      </c>
      <c r="E562" s="20">
        <v>0</v>
      </c>
      <c r="F562" s="20">
        <v>1289.54</v>
      </c>
      <c r="Q562" s="20">
        <v>56.1</v>
      </c>
      <c r="R562" s="20">
        <v>59.24</v>
      </c>
      <c r="S562" s="20">
        <v>59</v>
      </c>
      <c r="T562" s="26">
        <v>-0.24</v>
      </c>
      <c r="U562" s="20">
        <v>0</v>
      </c>
      <c r="V562" s="20">
        <v>1086.1500000000001</v>
      </c>
    </row>
    <row r="563" spans="1:22" ht="16.8" x14ac:dyDescent="0.3">
      <c r="A563" s="20">
        <v>56.2</v>
      </c>
      <c r="B563" s="20">
        <v>59</v>
      </c>
      <c r="C563" s="20">
        <v>59.02</v>
      </c>
      <c r="D563" s="20">
        <v>-0.02</v>
      </c>
      <c r="E563" s="20">
        <v>0.03</v>
      </c>
      <c r="F563" s="20">
        <v>1310.3800000000001</v>
      </c>
      <c r="Q563" s="20">
        <v>56.2</v>
      </c>
      <c r="R563" s="20">
        <v>59.23</v>
      </c>
      <c r="S563" s="26">
        <v>59</v>
      </c>
      <c r="T563" s="26">
        <v>-0.23</v>
      </c>
      <c r="U563" s="26">
        <v>0.01</v>
      </c>
      <c r="V563" s="20">
        <v>1087.5999999999999</v>
      </c>
    </row>
    <row r="564" spans="1:22" ht="16.8" x14ac:dyDescent="0.3">
      <c r="A564" s="20">
        <v>56.3</v>
      </c>
      <c r="B564" s="20">
        <v>59</v>
      </c>
      <c r="C564" s="20">
        <v>59.04</v>
      </c>
      <c r="D564" s="20">
        <v>-0.04</v>
      </c>
      <c r="E564" s="20">
        <v>-0.02</v>
      </c>
      <c r="F564" s="20">
        <v>1292.46</v>
      </c>
      <c r="Q564" s="20">
        <v>56.3</v>
      </c>
      <c r="R564" s="20">
        <v>59.27</v>
      </c>
      <c r="S564" s="20">
        <v>59</v>
      </c>
      <c r="T564" s="26">
        <v>-0.27</v>
      </c>
      <c r="U564" s="20">
        <v>-0.04</v>
      </c>
      <c r="V564" s="20">
        <v>1076.18</v>
      </c>
    </row>
    <row r="565" spans="1:22" ht="16.8" x14ac:dyDescent="0.3">
      <c r="A565" s="20">
        <v>56.4</v>
      </c>
      <c r="B565" s="20">
        <v>59</v>
      </c>
      <c r="C565" s="20">
        <v>59.06</v>
      </c>
      <c r="D565" s="20">
        <v>-0.06</v>
      </c>
      <c r="E565" s="20">
        <v>-0.02</v>
      </c>
      <c r="F565" s="20">
        <v>1280.8599999999999</v>
      </c>
      <c r="Q565" s="20">
        <v>56.4</v>
      </c>
      <c r="R565" s="20">
        <v>59.23</v>
      </c>
      <c r="S565" s="26">
        <v>59</v>
      </c>
      <c r="T565" s="26">
        <v>-0.23</v>
      </c>
      <c r="U565" s="26">
        <v>0.05</v>
      </c>
      <c r="V565" s="20">
        <v>1091.3</v>
      </c>
    </row>
    <row r="566" spans="1:22" ht="16.8" x14ac:dyDescent="0.3">
      <c r="A566" s="20">
        <v>56.5</v>
      </c>
      <c r="B566" s="20">
        <v>59</v>
      </c>
      <c r="C566" s="20">
        <v>59.05</v>
      </c>
      <c r="D566" s="20">
        <v>-0.05</v>
      </c>
      <c r="E566" s="20">
        <v>0</v>
      </c>
      <c r="F566" s="20">
        <v>1283.74</v>
      </c>
      <c r="Q566" s="20">
        <v>56.5</v>
      </c>
      <c r="R566" s="20">
        <v>59.19</v>
      </c>
      <c r="S566" s="20">
        <v>59</v>
      </c>
      <c r="T566" s="26">
        <v>-0.19</v>
      </c>
      <c r="U566" s="20">
        <v>0.04</v>
      </c>
      <c r="V566" s="20">
        <v>1096.54</v>
      </c>
    </row>
    <row r="567" spans="1:22" ht="16.8" x14ac:dyDescent="0.3">
      <c r="A567" s="20">
        <v>56.6</v>
      </c>
      <c r="B567" s="20">
        <v>59</v>
      </c>
      <c r="C567" s="20">
        <v>59.05</v>
      </c>
      <c r="D567" s="20">
        <v>-0.05</v>
      </c>
      <c r="E567" s="20">
        <v>0.01</v>
      </c>
      <c r="F567" s="20">
        <v>1289.54</v>
      </c>
      <c r="Q567" s="20">
        <v>56.6</v>
      </c>
      <c r="R567" s="20">
        <v>59.27</v>
      </c>
      <c r="S567" s="26">
        <v>59</v>
      </c>
      <c r="T567" s="20">
        <v>-0.27</v>
      </c>
      <c r="U567" s="26">
        <v>-0.08</v>
      </c>
      <c r="V567" s="20">
        <v>1072.21</v>
      </c>
    </row>
    <row r="568" spans="1:22" ht="16.8" x14ac:dyDescent="0.3">
      <c r="A568" s="20">
        <v>56.7</v>
      </c>
      <c r="B568" s="20">
        <v>59</v>
      </c>
      <c r="C568" s="20">
        <v>59.04</v>
      </c>
      <c r="D568" s="20">
        <v>-0.04</v>
      </c>
      <c r="E568" s="20">
        <v>0</v>
      </c>
      <c r="F568" s="20">
        <v>1292.46</v>
      </c>
      <c r="Q568" s="20">
        <v>56.7</v>
      </c>
      <c r="R568" s="20">
        <v>59.22</v>
      </c>
      <c r="S568" s="20">
        <v>59</v>
      </c>
      <c r="T568" s="26">
        <v>-0.22</v>
      </c>
      <c r="U568" s="26">
        <v>0.05</v>
      </c>
      <c r="V568" s="20">
        <v>1090.98</v>
      </c>
    </row>
    <row r="569" spans="1:22" ht="16.8" x14ac:dyDescent="0.3">
      <c r="A569" s="20">
        <v>56.8</v>
      </c>
      <c r="B569" s="20">
        <v>59</v>
      </c>
      <c r="C569" s="20">
        <v>59</v>
      </c>
      <c r="D569" s="20">
        <v>0</v>
      </c>
      <c r="E569" s="20">
        <v>0.04</v>
      </c>
      <c r="F569" s="20">
        <v>1330.33</v>
      </c>
      <c r="Q569" s="20">
        <v>56.8</v>
      </c>
      <c r="R569" s="20">
        <v>59.17</v>
      </c>
      <c r="S569" s="20">
        <v>59</v>
      </c>
      <c r="T569" s="20">
        <v>-0.17</v>
      </c>
      <c r="U569" s="26">
        <v>0.05</v>
      </c>
      <c r="V569" s="20">
        <v>1098.27</v>
      </c>
    </row>
    <row r="570" spans="1:22" ht="16.8" x14ac:dyDescent="0.3">
      <c r="A570" s="20">
        <v>56.9</v>
      </c>
      <c r="B570" s="20">
        <v>59</v>
      </c>
      <c r="C570" s="20">
        <v>58.99</v>
      </c>
      <c r="D570" s="20">
        <v>0.01</v>
      </c>
      <c r="E570" s="20">
        <v>0.01</v>
      </c>
      <c r="F570" s="20">
        <v>1347.18</v>
      </c>
      <c r="Q570" s="20">
        <v>56.9</v>
      </c>
      <c r="R570" s="20">
        <v>59.19</v>
      </c>
      <c r="S570" s="26">
        <v>59</v>
      </c>
      <c r="T570" s="26">
        <v>-0.19</v>
      </c>
      <c r="U570" s="26">
        <v>-0.02</v>
      </c>
      <c r="V570" s="20">
        <v>1087.42</v>
      </c>
    </row>
    <row r="571" spans="1:22" ht="16.8" x14ac:dyDescent="0.3">
      <c r="A571" s="20">
        <v>57</v>
      </c>
      <c r="B571" s="20">
        <v>59</v>
      </c>
      <c r="C571" s="20">
        <v>58.98</v>
      </c>
      <c r="D571" s="20">
        <v>0.02</v>
      </c>
      <c r="E571" s="20">
        <v>0.01</v>
      </c>
      <c r="F571" s="20">
        <v>1363.56</v>
      </c>
      <c r="Q571" s="20">
        <v>57</v>
      </c>
      <c r="R571" s="20">
        <v>59.13</v>
      </c>
      <c r="S571" s="20">
        <v>59</v>
      </c>
      <c r="T571" s="20">
        <v>-0.13</v>
      </c>
      <c r="U571" s="20">
        <v>0.06</v>
      </c>
      <c r="V571" s="20">
        <v>1105.3499999999999</v>
      </c>
    </row>
    <row r="572" spans="1:22" ht="16.8" x14ac:dyDescent="0.3">
      <c r="A572" s="20">
        <v>57.1</v>
      </c>
      <c r="B572" s="20">
        <v>59</v>
      </c>
      <c r="C572" s="20">
        <v>58.98</v>
      </c>
      <c r="D572" s="20">
        <v>0.02</v>
      </c>
      <c r="E572" s="20">
        <v>0</v>
      </c>
      <c r="F572" s="20">
        <v>1371.56</v>
      </c>
      <c r="Q572" s="20">
        <v>57.1</v>
      </c>
      <c r="R572" s="20">
        <v>59.14</v>
      </c>
      <c r="S572" s="26">
        <v>59</v>
      </c>
      <c r="T572" s="26">
        <v>-0.14000000000000001</v>
      </c>
      <c r="U572" s="26">
        <v>-0.01</v>
      </c>
      <c r="V572" s="20">
        <v>1097.21</v>
      </c>
    </row>
    <row r="573" spans="1:22" ht="16.8" x14ac:dyDescent="0.3">
      <c r="A573" s="20">
        <v>57.2</v>
      </c>
      <c r="B573" s="20">
        <v>59</v>
      </c>
      <c r="C573" s="20">
        <v>58.96</v>
      </c>
      <c r="D573" s="20">
        <v>0.04</v>
      </c>
      <c r="E573" s="20">
        <v>0.02</v>
      </c>
      <c r="F573" s="20">
        <v>1410.17</v>
      </c>
      <c r="Q573" s="20">
        <v>57.2</v>
      </c>
      <c r="R573" s="20">
        <v>59.13</v>
      </c>
      <c r="S573" s="20">
        <v>59</v>
      </c>
      <c r="T573" s="26">
        <v>-0.13</v>
      </c>
      <c r="U573" s="20">
        <v>0.01</v>
      </c>
      <c r="V573" s="20">
        <v>1099.6300000000001</v>
      </c>
    </row>
    <row r="574" spans="1:22" ht="16.8" x14ac:dyDescent="0.3">
      <c r="A574" s="20">
        <v>57.3</v>
      </c>
      <c r="B574" s="20">
        <v>59</v>
      </c>
      <c r="C574" s="20">
        <v>58.96</v>
      </c>
      <c r="D574" s="20">
        <v>0.04</v>
      </c>
      <c r="E574" s="20">
        <v>0</v>
      </c>
      <c r="F574" s="20">
        <v>1410.17</v>
      </c>
      <c r="Q574" s="20">
        <v>57.3</v>
      </c>
      <c r="R574" s="20">
        <v>59.12</v>
      </c>
      <c r="S574" s="26">
        <v>59</v>
      </c>
      <c r="T574" s="26">
        <v>-0.12</v>
      </c>
      <c r="U574" s="26">
        <v>0.01</v>
      </c>
      <c r="V574" s="20">
        <v>1100.6199999999999</v>
      </c>
    </row>
    <row r="575" spans="1:22" ht="16.8" x14ac:dyDescent="0.3">
      <c r="A575" s="20">
        <v>57.4</v>
      </c>
      <c r="B575" s="20">
        <v>59</v>
      </c>
      <c r="C575" s="20">
        <v>58.97</v>
      </c>
      <c r="D575" s="20">
        <v>0.03</v>
      </c>
      <c r="E575" s="20">
        <v>-0.02</v>
      </c>
      <c r="F575" s="20">
        <v>1379.5</v>
      </c>
      <c r="Q575" s="20">
        <v>57.4</v>
      </c>
      <c r="R575" s="20">
        <v>59.1</v>
      </c>
      <c r="S575" s="20">
        <v>59</v>
      </c>
      <c r="T575" s="26">
        <v>-0.1</v>
      </c>
      <c r="U575" s="20">
        <v>0.02</v>
      </c>
      <c r="V575" s="20">
        <v>1105.68</v>
      </c>
    </row>
    <row r="576" spans="1:22" ht="16.8" x14ac:dyDescent="0.3">
      <c r="A576" s="20">
        <v>57.5</v>
      </c>
      <c r="B576" s="20">
        <v>59</v>
      </c>
      <c r="C576" s="20">
        <v>58.96</v>
      </c>
      <c r="D576" s="20">
        <v>0.04</v>
      </c>
      <c r="E576" s="20">
        <v>0.02</v>
      </c>
      <c r="F576" s="20">
        <v>1410.17</v>
      </c>
      <c r="Q576" s="20">
        <v>57.5</v>
      </c>
      <c r="R576" s="20">
        <v>59.09</v>
      </c>
      <c r="S576" s="26">
        <v>59</v>
      </c>
      <c r="T576" s="20">
        <v>-0.09</v>
      </c>
      <c r="U576" s="26">
        <v>0.01</v>
      </c>
      <c r="V576" s="20">
        <v>1105.3</v>
      </c>
    </row>
    <row r="577" spans="1:22" ht="16.8" x14ac:dyDescent="0.3">
      <c r="A577" s="20">
        <v>57.6</v>
      </c>
      <c r="B577" s="20">
        <v>59</v>
      </c>
      <c r="C577" s="20">
        <v>58.96</v>
      </c>
      <c r="D577" s="20">
        <v>0.04</v>
      </c>
      <c r="E577" s="20">
        <v>-0.01</v>
      </c>
      <c r="F577" s="20">
        <v>1395.02</v>
      </c>
      <c r="Q577" s="20">
        <v>57.6</v>
      </c>
      <c r="R577" s="20">
        <v>59.11</v>
      </c>
      <c r="S577" s="20">
        <v>59</v>
      </c>
      <c r="T577" s="26">
        <v>-0.11</v>
      </c>
      <c r="U577" s="26">
        <v>-0.02</v>
      </c>
      <c r="V577" s="20">
        <v>1100.31</v>
      </c>
    </row>
    <row r="578" spans="1:22" ht="16.8" x14ac:dyDescent="0.3">
      <c r="A578" s="20">
        <v>57.7</v>
      </c>
      <c r="B578" s="20">
        <v>59</v>
      </c>
      <c r="C578" s="20">
        <v>58.97</v>
      </c>
      <c r="D578" s="20">
        <v>0.03</v>
      </c>
      <c r="E578" s="20">
        <v>0</v>
      </c>
      <c r="F578" s="20">
        <v>1387.32</v>
      </c>
      <c r="Q578" s="20">
        <v>57.7</v>
      </c>
      <c r="R578" s="20">
        <v>59.09</v>
      </c>
      <c r="S578" s="26">
        <v>59</v>
      </c>
      <c r="T578" s="20">
        <v>-0.09</v>
      </c>
      <c r="U578" s="26">
        <v>0.02</v>
      </c>
      <c r="V578" s="20">
        <v>1105.56</v>
      </c>
    </row>
    <row r="579" spans="1:22" ht="16.8" x14ac:dyDescent="0.3">
      <c r="A579" s="20">
        <v>57.8</v>
      </c>
      <c r="B579" s="20">
        <v>59</v>
      </c>
      <c r="C579" s="20">
        <v>58.92</v>
      </c>
      <c r="D579" s="20">
        <v>0.08</v>
      </c>
      <c r="E579" s="20">
        <v>0.05</v>
      </c>
      <c r="F579" s="20">
        <v>1480.21</v>
      </c>
      <c r="Q579" s="20">
        <v>57.8</v>
      </c>
      <c r="R579" s="20">
        <v>59.07</v>
      </c>
      <c r="S579" s="20">
        <v>59</v>
      </c>
      <c r="T579" s="26">
        <v>-7.0000000000000007E-2</v>
      </c>
      <c r="U579" s="26">
        <v>0.02</v>
      </c>
      <c r="V579" s="20">
        <v>1109.97</v>
      </c>
    </row>
    <row r="580" spans="1:22" ht="16.8" x14ac:dyDescent="0.3">
      <c r="A580" s="20">
        <v>57.9</v>
      </c>
      <c r="B580" s="20">
        <v>59</v>
      </c>
      <c r="C580" s="20">
        <v>58.92</v>
      </c>
      <c r="D580" s="20">
        <v>0.08</v>
      </c>
      <c r="E580" s="20">
        <v>0</v>
      </c>
      <c r="F580" s="20">
        <v>1473.62</v>
      </c>
      <c r="Q580" s="20">
        <v>57.9</v>
      </c>
      <c r="R580" s="20">
        <v>59.05</v>
      </c>
      <c r="S580" s="20">
        <v>59</v>
      </c>
      <c r="T580" s="26">
        <v>-0.05</v>
      </c>
      <c r="U580" s="26">
        <v>0.02</v>
      </c>
      <c r="V580" s="20">
        <v>1111.7</v>
      </c>
    </row>
    <row r="581" spans="1:22" ht="16.8" x14ac:dyDescent="0.3">
      <c r="A581" s="20">
        <v>58</v>
      </c>
      <c r="B581" s="20">
        <v>59</v>
      </c>
      <c r="C581" s="20">
        <v>58.95</v>
      </c>
      <c r="D581" s="20">
        <v>0.05</v>
      </c>
      <c r="E581" s="20">
        <v>-0.03</v>
      </c>
      <c r="F581" s="20">
        <v>1417.56</v>
      </c>
      <c r="Q581" s="20">
        <v>58</v>
      </c>
      <c r="R581" s="20">
        <v>59.03</v>
      </c>
      <c r="S581" s="26">
        <v>59</v>
      </c>
      <c r="T581" s="26">
        <v>-0.03</v>
      </c>
      <c r="U581" s="26">
        <v>0.02</v>
      </c>
      <c r="V581" s="20">
        <v>1114.18</v>
      </c>
    </row>
    <row r="582" spans="1:22" ht="16.8" x14ac:dyDescent="0.3">
      <c r="A582" s="20">
        <v>58.1</v>
      </c>
      <c r="B582" s="20">
        <v>59</v>
      </c>
      <c r="C582" s="20">
        <v>58.94</v>
      </c>
      <c r="D582" s="20">
        <v>0.06</v>
      </c>
      <c r="E582" s="20">
        <v>0.01</v>
      </c>
      <c r="F582" s="20">
        <v>1432.12</v>
      </c>
      <c r="Q582" s="20">
        <v>58.1</v>
      </c>
      <c r="R582" s="20">
        <v>59.02</v>
      </c>
      <c r="S582" s="20">
        <v>59</v>
      </c>
      <c r="T582" s="26">
        <v>-0.02</v>
      </c>
      <c r="U582" s="26">
        <v>0.01</v>
      </c>
      <c r="V582" s="20">
        <v>1114.68</v>
      </c>
    </row>
    <row r="583" spans="1:22" ht="16.8" x14ac:dyDescent="0.3">
      <c r="A583" s="20">
        <v>58.2</v>
      </c>
      <c r="B583" s="20">
        <v>59</v>
      </c>
      <c r="C583" s="20">
        <v>58.94</v>
      </c>
      <c r="D583" s="20">
        <v>0.06</v>
      </c>
      <c r="E583" s="20">
        <v>0</v>
      </c>
      <c r="F583" s="20">
        <v>1439.24</v>
      </c>
      <c r="Q583" s="20">
        <v>58.2</v>
      </c>
      <c r="R583" s="20">
        <v>59.02</v>
      </c>
      <c r="S583" s="26">
        <v>59</v>
      </c>
      <c r="T583" s="26">
        <v>-0.02</v>
      </c>
      <c r="U583" s="26">
        <v>0</v>
      </c>
      <c r="V583" s="20">
        <v>1113.8900000000001</v>
      </c>
    </row>
    <row r="584" spans="1:22" ht="16.8" x14ac:dyDescent="0.3">
      <c r="A584" s="20">
        <v>58.3</v>
      </c>
      <c r="B584" s="20">
        <v>59</v>
      </c>
      <c r="C584" s="20">
        <v>58.96</v>
      </c>
      <c r="D584" s="20">
        <v>0.04</v>
      </c>
      <c r="E584" s="20">
        <v>-0.02</v>
      </c>
      <c r="F584" s="20">
        <v>1402.64</v>
      </c>
      <c r="Q584" s="20">
        <v>58.3</v>
      </c>
      <c r="R584" s="20">
        <v>59.05</v>
      </c>
      <c r="S584" s="20">
        <v>59</v>
      </c>
      <c r="T584" s="26">
        <v>-0.05</v>
      </c>
      <c r="U584" s="26">
        <v>-0.02</v>
      </c>
      <c r="V584" s="20">
        <v>1107.75</v>
      </c>
    </row>
    <row r="585" spans="1:22" ht="16.8" x14ac:dyDescent="0.3">
      <c r="A585" s="20">
        <v>58.4</v>
      </c>
      <c r="B585" s="20">
        <v>59</v>
      </c>
      <c r="C585" s="20">
        <v>58.95</v>
      </c>
      <c r="D585" s="20">
        <v>0.05</v>
      </c>
      <c r="E585" s="20">
        <v>0.01</v>
      </c>
      <c r="F585" s="20">
        <v>1424.89</v>
      </c>
      <c r="Q585" s="20">
        <v>58.4</v>
      </c>
      <c r="R585" s="20">
        <v>59.05</v>
      </c>
      <c r="S585" s="20">
        <v>59</v>
      </c>
      <c r="T585" s="26">
        <v>-0.05</v>
      </c>
      <c r="U585" s="26">
        <v>0</v>
      </c>
      <c r="V585" s="20">
        <v>1109.81</v>
      </c>
    </row>
    <row r="586" spans="1:22" ht="16.8" x14ac:dyDescent="0.3">
      <c r="A586" s="20">
        <v>58.5</v>
      </c>
      <c r="B586" s="20">
        <v>59</v>
      </c>
      <c r="C586" s="20">
        <v>58.94</v>
      </c>
      <c r="D586" s="20">
        <v>0.06</v>
      </c>
      <c r="E586" s="20">
        <v>0.01</v>
      </c>
      <c r="F586" s="20">
        <v>1439.24</v>
      </c>
      <c r="Q586" s="20">
        <v>58.5</v>
      </c>
      <c r="R586" s="20">
        <v>59.03</v>
      </c>
      <c r="S586" s="26">
        <v>59</v>
      </c>
      <c r="T586" s="26">
        <v>-0.03</v>
      </c>
      <c r="U586" s="26">
        <v>0.02</v>
      </c>
      <c r="V586" s="20">
        <v>1113.75</v>
      </c>
    </row>
    <row r="587" spans="1:22" ht="16.8" x14ac:dyDescent="0.3">
      <c r="A587" s="20">
        <v>58.6</v>
      </c>
      <c r="B587" s="20">
        <v>59</v>
      </c>
      <c r="C587" s="20">
        <v>58.98</v>
      </c>
      <c r="D587" s="20">
        <v>0.02</v>
      </c>
      <c r="E587" s="20">
        <v>-0.04</v>
      </c>
      <c r="F587" s="20">
        <v>1355.39</v>
      </c>
      <c r="Q587" s="20">
        <v>58.6</v>
      </c>
      <c r="R587" s="20">
        <v>58.99</v>
      </c>
      <c r="S587" s="20">
        <v>59</v>
      </c>
      <c r="T587" s="20">
        <v>0.01</v>
      </c>
      <c r="U587" s="26">
        <v>0.04</v>
      </c>
      <c r="V587" s="20">
        <v>1122.3499999999999</v>
      </c>
    </row>
    <row r="588" spans="1:22" ht="16.8" x14ac:dyDescent="0.3">
      <c r="A588" s="20">
        <v>58.7</v>
      </c>
      <c r="B588" s="20">
        <v>59</v>
      </c>
      <c r="C588" s="20">
        <v>59.01</v>
      </c>
      <c r="D588" s="20">
        <v>-0.01</v>
      </c>
      <c r="E588" s="20">
        <v>-0.02</v>
      </c>
      <c r="F588" s="20">
        <v>1316.54</v>
      </c>
      <c r="Q588" s="20">
        <v>58.7</v>
      </c>
      <c r="R588" s="20">
        <v>59.01</v>
      </c>
      <c r="S588" s="26">
        <v>59</v>
      </c>
      <c r="T588" s="26">
        <v>-0.01</v>
      </c>
      <c r="U588" s="26">
        <v>-0.02</v>
      </c>
      <c r="V588" s="20">
        <v>1114.69</v>
      </c>
    </row>
    <row r="589" spans="1:22" ht="16.8" x14ac:dyDescent="0.3">
      <c r="A589" s="20">
        <v>58.8</v>
      </c>
      <c r="B589" s="20">
        <v>59</v>
      </c>
      <c r="C589" s="20">
        <v>59.06</v>
      </c>
      <c r="D589" s="20">
        <v>-0.06</v>
      </c>
      <c r="E589" s="20">
        <v>-0.05</v>
      </c>
      <c r="F589" s="20">
        <v>1280.8599999999999</v>
      </c>
      <c r="Q589" s="20">
        <v>58.8</v>
      </c>
      <c r="R589" s="20">
        <v>59.01</v>
      </c>
      <c r="S589" s="20">
        <v>59</v>
      </c>
      <c r="T589" s="20">
        <v>-0.01</v>
      </c>
      <c r="U589" s="26">
        <v>0</v>
      </c>
      <c r="V589" s="20">
        <v>1116.1199999999999</v>
      </c>
    </row>
    <row r="590" spans="1:22" ht="16.8" x14ac:dyDescent="0.3">
      <c r="A590" s="20">
        <v>58.9</v>
      </c>
      <c r="B590" s="20">
        <v>59</v>
      </c>
      <c r="C590" s="20">
        <v>59.07</v>
      </c>
      <c r="D590" s="20">
        <v>-7.0000000000000007E-2</v>
      </c>
      <c r="E590" s="20">
        <v>-0.02</v>
      </c>
      <c r="F590" s="20">
        <v>1269.52</v>
      </c>
      <c r="Q590" s="20">
        <v>58.9</v>
      </c>
      <c r="R590" s="20">
        <v>58.97</v>
      </c>
      <c r="S590" s="26">
        <v>59</v>
      </c>
      <c r="T590" s="26">
        <v>0.03</v>
      </c>
      <c r="U590" s="26">
        <v>0.04</v>
      </c>
      <c r="V590" s="20">
        <v>1126.23</v>
      </c>
    </row>
    <row r="591" spans="1:22" ht="16.8" x14ac:dyDescent="0.3">
      <c r="A591" s="20">
        <v>59</v>
      </c>
      <c r="B591" s="20">
        <v>59</v>
      </c>
      <c r="C591" s="20">
        <v>59.05</v>
      </c>
      <c r="D591" s="20">
        <v>-0.05</v>
      </c>
      <c r="E591" s="20">
        <v>0.03</v>
      </c>
      <c r="F591" s="20">
        <v>1289.54</v>
      </c>
      <c r="Q591" s="20">
        <v>59</v>
      </c>
      <c r="R591" s="20">
        <v>58.99</v>
      </c>
      <c r="S591" s="20">
        <v>59</v>
      </c>
      <c r="T591" s="20">
        <v>0.01</v>
      </c>
      <c r="U591" s="26">
        <v>-0.02</v>
      </c>
      <c r="V591" s="20">
        <v>1116.5999999999999</v>
      </c>
    </row>
    <row r="592" spans="1:22" ht="16.8" x14ac:dyDescent="0.3">
      <c r="A592" s="20">
        <v>59.1</v>
      </c>
      <c r="B592" s="20">
        <v>59</v>
      </c>
      <c r="C592" s="20">
        <v>59.13</v>
      </c>
      <c r="D592" s="20">
        <v>-0.13</v>
      </c>
      <c r="E592" s="20">
        <v>-0.08</v>
      </c>
      <c r="F592" s="20">
        <v>1234.52</v>
      </c>
      <c r="Q592" s="20">
        <v>59.1</v>
      </c>
      <c r="R592" s="20">
        <v>59.01</v>
      </c>
      <c r="S592" s="26">
        <v>59</v>
      </c>
      <c r="T592" s="20">
        <v>-0.01</v>
      </c>
      <c r="U592" s="20">
        <v>-0.02</v>
      </c>
      <c r="V592" s="20">
        <v>1114.74</v>
      </c>
    </row>
    <row r="593" spans="1:22" ht="16.8" x14ac:dyDescent="0.3">
      <c r="A593" s="20">
        <v>59.2</v>
      </c>
      <c r="B593" s="20">
        <v>59</v>
      </c>
      <c r="C593" s="20">
        <v>59.11</v>
      </c>
      <c r="D593" s="20">
        <v>-0.11</v>
      </c>
      <c r="E593" s="20">
        <v>0.02</v>
      </c>
      <c r="F593" s="20">
        <v>1245</v>
      </c>
      <c r="Q593" s="20">
        <v>59.2</v>
      </c>
      <c r="R593" s="20">
        <v>59.01</v>
      </c>
      <c r="S593" s="20">
        <v>59</v>
      </c>
      <c r="T593" s="26">
        <v>-0.01</v>
      </c>
      <c r="U593" s="26">
        <v>0</v>
      </c>
      <c r="V593" s="20">
        <v>1116.17</v>
      </c>
    </row>
    <row r="594" spans="1:22" ht="16.8" x14ac:dyDescent="0.3">
      <c r="A594" s="20">
        <v>59.3</v>
      </c>
      <c r="B594" s="20">
        <v>59</v>
      </c>
      <c r="C594" s="20">
        <v>59.09</v>
      </c>
      <c r="D594" s="20">
        <v>-0.09</v>
      </c>
      <c r="E594" s="20">
        <v>0.02</v>
      </c>
      <c r="F594" s="20">
        <v>1258.49</v>
      </c>
      <c r="Q594" s="20">
        <v>59.3</v>
      </c>
      <c r="R594" s="20">
        <v>58.98</v>
      </c>
      <c r="S594" s="26">
        <v>59</v>
      </c>
      <c r="T594" s="20">
        <v>0.02</v>
      </c>
      <c r="U594" s="20">
        <v>0.03</v>
      </c>
      <c r="V594" s="20">
        <v>1124.25</v>
      </c>
    </row>
    <row r="595" spans="1:22" ht="16.8" x14ac:dyDescent="0.3">
      <c r="A595" s="20">
        <v>59.4</v>
      </c>
      <c r="B595" s="20">
        <v>59</v>
      </c>
      <c r="C595" s="20">
        <v>59.16</v>
      </c>
      <c r="D595" s="20">
        <v>-0.16</v>
      </c>
      <c r="E595" s="20">
        <v>-7.0000000000000007E-2</v>
      </c>
      <c r="F595" s="20">
        <v>1211.76</v>
      </c>
      <c r="Q595" s="20">
        <v>59.4</v>
      </c>
      <c r="R595" s="20">
        <v>58.94</v>
      </c>
      <c r="S595" s="20">
        <v>59</v>
      </c>
      <c r="T595" s="26">
        <v>0.06</v>
      </c>
      <c r="U595" s="26">
        <v>0.04</v>
      </c>
      <c r="V595" s="20">
        <v>1131.54</v>
      </c>
    </row>
    <row r="596" spans="1:22" ht="16.8" x14ac:dyDescent="0.3">
      <c r="A596" s="20">
        <v>59.5</v>
      </c>
      <c r="B596" s="20">
        <v>59</v>
      </c>
      <c r="C596" s="20">
        <v>59.14</v>
      </c>
      <c r="D596" s="20">
        <v>-0.14000000000000001</v>
      </c>
      <c r="E596" s="20">
        <v>0.02</v>
      </c>
      <c r="F596" s="20">
        <v>1224.28</v>
      </c>
      <c r="Q596" s="20">
        <v>59.5</v>
      </c>
      <c r="R596" s="20">
        <v>58.95</v>
      </c>
      <c r="S596" s="20">
        <v>59</v>
      </c>
      <c r="T596" s="20">
        <v>0.05</v>
      </c>
      <c r="U596" s="20">
        <v>-0.02</v>
      </c>
      <c r="V596" s="20">
        <v>1124.02</v>
      </c>
    </row>
    <row r="597" spans="1:22" ht="16.8" x14ac:dyDescent="0.3">
      <c r="A597" s="20">
        <v>59.6</v>
      </c>
      <c r="B597" s="20">
        <v>59</v>
      </c>
      <c r="C597" s="20">
        <v>59.15</v>
      </c>
      <c r="D597" s="20">
        <v>-0.15</v>
      </c>
      <c r="E597" s="20">
        <v>-0.01</v>
      </c>
      <c r="F597" s="20">
        <v>1216.73</v>
      </c>
      <c r="Q597" s="20">
        <v>59.6</v>
      </c>
      <c r="R597" s="20">
        <v>58.94</v>
      </c>
      <c r="S597" s="26">
        <v>59</v>
      </c>
      <c r="T597" s="26">
        <v>0.06</v>
      </c>
      <c r="U597" s="26">
        <v>0.02</v>
      </c>
      <c r="V597" s="20">
        <v>1129.6300000000001</v>
      </c>
    </row>
    <row r="598" spans="1:22" ht="16.8" x14ac:dyDescent="0.3">
      <c r="A598" s="20">
        <v>59.7</v>
      </c>
      <c r="B598" s="20">
        <v>59</v>
      </c>
      <c r="C598" s="20">
        <v>59.11</v>
      </c>
      <c r="D598" s="20">
        <v>-0.11</v>
      </c>
      <c r="E598" s="20">
        <v>0.04</v>
      </c>
      <c r="F598" s="20">
        <v>1242.3499999999999</v>
      </c>
      <c r="Q598" s="20">
        <v>59.7</v>
      </c>
      <c r="R598" s="20">
        <v>58.96</v>
      </c>
      <c r="S598" s="20">
        <v>59</v>
      </c>
      <c r="T598" s="20">
        <v>0.04</v>
      </c>
      <c r="U598" s="26">
        <v>-0.02</v>
      </c>
      <c r="V598" s="20">
        <v>1122.26</v>
      </c>
    </row>
    <row r="599" spans="1:22" ht="16.8" x14ac:dyDescent="0.3">
      <c r="A599" s="20">
        <v>59.8</v>
      </c>
      <c r="B599" s="20">
        <v>59</v>
      </c>
      <c r="C599" s="20">
        <v>59.12</v>
      </c>
      <c r="D599" s="20">
        <v>-0.12</v>
      </c>
      <c r="E599" s="20">
        <v>-0.01</v>
      </c>
      <c r="F599" s="20">
        <v>1237.1199999999999</v>
      </c>
      <c r="Q599" s="20">
        <v>59.8</v>
      </c>
      <c r="R599" s="20">
        <v>58.96</v>
      </c>
      <c r="S599" s="26">
        <v>59</v>
      </c>
      <c r="T599" s="26">
        <v>0.04</v>
      </c>
      <c r="U599" s="26">
        <v>0</v>
      </c>
      <c r="V599" s="20">
        <v>1124.53</v>
      </c>
    </row>
    <row r="600" spans="1:22" ht="16.8" x14ac:dyDescent="0.3">
      <c r="A600" s="20">
        <v>59.9</v>
      </c>
      <c r="B600" s="20">
        <v>59</v>
      </c>
      <c r="C600" s="20">
        <v>59.12</v>
      </c>
      <c r="D600" s="20">
        <v>-0.12</v>
      </c>
      <c r="E600" s="20">
        <v>0</v>
      </c>
      <c r="F600" s="20">
        <v>1239.71</v>
      </c>
      <c r="Q600" s="20">
        <v>59.9</v>
      </c>
      <c r="R600" s="20">
        <v>58.91</v>
      </c>
      <c r="S600" s="20">
        <v>59</v>
      </c>
      <c r="T600" s="20">
        <v>0.09</v>
      </c>
      <c r="U600" s="26">
        <v>0.05</v>
      </c>
      <c r="V600" s="20">
        <v>1136.78</v>
      </c>
    </row>
    <row r="601" spans="1:22" ht="16.8" x14ac:dyDescent="0.3">
      <c r="A601" s="20">
        <v>60</v>
      </c>
      <c r="B601" s="20">
        <v>59</v>
      </c>
      <c r="C601" s="20">
        <v>59.11</v>
      </c>
      <c r="D601" s="20">
        <v>-0.11</v>
      </c>
      <c r="E601" s="20">
        <v>0.01</v>
      </c>
      <c r="F601" s="20">
        <v>1245</v>
      </c>
      <c r="Q601" s="20">
        <v>60</v>
      </c>
      <c r="R601" s="20">
        <v>58.94</v>
      </c>
      <c r="S601" s="26">
        <v>59</v>
      </c>
      <c r="T601" s="26">
        <v>0.06</v>
      </c>
      <c r="U601" s="20">
        <v>-0.02</v>
      </c>
      <c r="V601" s="20">
        <v>1126.56</v>
      </c>
    </row>
    <row r="602" spans="1:22" ht="16.8" x14ac:dyDescent="0.3">
      <c r="A602" s="24">
        <v>60.1</v>
      </c>
      <c r="B602" s="24">
        <v>59</v>
      </c>
      <c r="C602" s="24">
        <v>59.09</v>
      </c>
      <c r="D602" s="24">
        <v>-0.09</v>
      </c>
      <c r="E602" s="24">
        <v>0.02</v>
      </c>
      <c r="F602" s="24">
        <v>1255.76</v>
      </c>
      <c r="Q602" s="24">
        <v>60.1</v>
      </c>
      <c r="R602" s="24">
        <v>58.94</v>
      </c>
      <c r="S602" s="24">
        <v>59</v>
      </c>
      <c r="T602" s="25">
        <v>0.06</v>
      </c>
      <c r="U602" s="25">
        <v>-0.01</v>
      </c>
      <c r="V602" s="24">
        <v>1126.8599999999999</v>
      </c>
    </row>
  </sheetData>
  <mergeCells count="28">
    <mergeCell ref="X29:Y29"/>
    <mergeCell ref="X30:Y30"/>
    <mergeCell ref="X32:Y32"/>
    <mergeCell ref="X33:Y33"/>
    <mergeCell ref="X35:Z35"/>
    <mergeCell ref="X36:Z36"/>
    <mergeCell ref="H35:J35"/>
    <mergeCell ref="H36:J36"/>
    <mergeCell ref="X15:AA15"/>
    <mergeCell ref="Z16:AA16"/>
    <mergeCell ref="Z17:AA17"/>
    <mergeCell ref="X19:Z19"/>
    <mergeCell ref="X20:Z20"/>
    <mergeCell ref="X22:AA22"/>
    <mergeCell ref="Z23:AA23"/>
    <mergeCell ref="Z24:AA24"/>
    <mergeCell ref="H15:K15"/>
    <mergeCell ref="J16:K16"/>
    <mergeCell ref="J17:K17"/>
    <mergeCell ref="H19:J19"/>
    <mergeCell ref="H20:J20"/>
    <mergeCell ref="H32:I32"/>
    <mergeCell ref="H33:I33"/>
    <mergeCell ref="H22:K22"/>
    <mergeCell ref="J23:K23"/>
    <mergeCell ref="J24:K24"/>
    <mergeCell ref="H29:I29"/>
    <mergeCell ref="H30:I30"/>
  </mergeCells>
  <dataValidations count="6">
    <dataValidation allowBlank="1" showInputMessage="1" showErrorMessage="1" prompt="TBL_HST[CH6]" sqref="V2:V602 F2:F602" xr:uid="{CF6E8B35-B338-4B45-864D-DEE442C80973}"/>
    <dataValidation allowBlank="1" showInputMessage="1" showErrorMessage="1" prompt="TBL_HST[CH5]" sqref="U2:U602 E2:E602" xr:uid="{3AB5B15C-65B6-4167-B59A-AEC80C327D99}"/>
    <dataValidation allowBlank="1" showInputMessage="1" showErrorMessage="1" prompt="TBL_HST[CH4]" sqref="T2:T602 F295 D2:D602" xr:uid="{A5CC444F-E8CE-499D-912B-1B4C3853F60D}"/>
    <dataValidation allowBlank="1" showInputMessage="1" showErrorMessage="1" prompt="TBL_HST[CH3]" sqref="S2:S602 C2:C602" xr:uid="{8D8D566C-88B4-4C4C-A5EA-FD09E361F149}"/>
    <dataValidation allowBlank="1" showInputMessage="1" showErrorMessage="1" prompt="TBL_HST[CH2]" sqref="R2:R602 B2:B602" xr:uid="{BA5C00CD-02AF-40D8-9624-5FDE89BC5C4F}"/>
    <dataValidation allowBlank="1" showInputMessage="1" showErrorMessage="1" prompt="TBL_HST[CH1]" sqref="Q2:Q602 A2:A602" xr:uid="{EAF37DE0-CE1B-402C-B4B3-83EAFE27418F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62064-7FA4-46AA-AF94-138E68E0E74D}">
  <dimension ref="A1:AA602"/>
  <sheetViews>
    <sheetView topLeftCell="F8" zoomScale="95" workbookViewId="0">
      <selection activeCell="J21" sqref="J21"/>
    </sheetView>
  </sheetViews>
  <sheetFormatPr defaultRowHeight="14.4" x14ac:dyDescent="0.3"/>
  <cols>
    <col min="5" max="5" width="9" bestFit="1" customWidth="1"/>
    <col min="6" max="6" width="9.77734375" bestFit="1" customWidth="1"/>
    <col min="8" max="8" width="16.5546875" customWidth="1"/>
    <col min="9" max="9" width="15.88671875" customWidth="1"/>
    <col min="17" max="21" width="9" bestFit="1" customWidth="1"/>
    <col min="22" max="22" width="9.77734375" bestFit="1" customWidth="1"/>
    <col min="24" max="24" width="12.5546875" customWidth="1"/>
    <col min="25" max="25" width="17.109375" customWidth="1"/>
    <col min="27" max="27" width="19.44140625" customWidth="1"/>
  </cols>
  <sheetData>
    <row r="1" spans="1:22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62</v>
      </c>
      <c r="C2" s="20">
        <v>30</v>
      </c>
      <c r="D2" s="20">
        <v>32</v>
      </c>
      <c r="E2" s="20">
        <v>6</v>
      </c>
      <c r="F2" s="20">
        <v>2048</v>
      </c>
      <c r="Q2" s="20">
        <v>0.1</v>
      </c>
      <c r="R2" s="20">
        <v>34.049999999999997</v>
      </c>
      <c r="S2" s="26">
        <v>62</v>
      </c>
      <c r="T2" s="20">
        <v>27.95</v>
      </c>
      <c r="U2" s="26">
        <v>27.95</v>
      </c>
      <c r="V2" s="20">
        <v>4095</v>
      </c>
    </row>
    <row r="3" spans="1:22" ht="16.8" x14ac:dyDescent="0.3">
      <c r="A3" s="20">
        <v>0.2</v>
      </c>
      <c r="B3" s="20">
        <v>62</v>
      </c>
      <c r="C3" s="20">
        <v>29.97</v>
      </c>
      <c r="D3" s="20">
        <v>32.03</v>
      </c>
      <c r="E3" s="20">
        <v>0.03</v>
      </c>
      <c r="F3" s="20">
        <v>3388.51</v>
      </c>
      <c r="Q3" s="20">
        <v>0.2</v>
      </c>
      <c r="R3" s="20">
        <v>34.97</v>
      </c>
      <c r="S3" s="20">
        <v>62</v>
      </c>
      <c r="T3" s="26">
        <v>27.03</v>
      </c>
      <c r="U3" s="26">
        <v>-0.92</v>
      </c>
      <c r="V3" s="20">
        <v>4007.77</v>
      </c>
    </row>
    <row r="4" spans="1:22" ht="16.8" x14ac:dyDescent="0.3">
      <c r="A4" s="20">
        <v>0.3</v>
      </c>
      <c r="B4" s="20">
        <v>62</v>
      </c>
      <c r="C4" s="20">
        <v>30.15</v>
      </c>
      <c r="D4" s="20">
        <v>31.85</v>
      </c>
      <c r="E4" s="20">
        <v>-0.18</v>
      </c>
      <c r="F4" s="20">
        <v>3388.51</v>
      </c>
      <c r="Q4" s="20">
        <v>0.3</v>
      </c>
      <c r="R4" s="20">
        <v>34.99</v>
      </c>
      <c r="S4" s="26">
        <v>62</v>
      </c>
      <c r="T4" s="20">
        <v>27.01</v>
      </c>
      <c r="U4" s="26">
        <v>-0.02</v>
      </c>
      <c r="V4" s="20">
        <v>4095</v>
      </c>
    </row>
    <row r="5" spans="1:22" ht="16.8" x14ac:dyDescent="0.3">
      <c r="A5" s="20">
        <v>0.4</v>
      </c>
      <c r="B5" s="20">
        <v>62</v>
      </c>
      <c r="C5" s="20">
        <v>30.13</v>
      </c>
      <c r="D5" s="20">
        <v>31.87</v>
      </c>
      <c r="E5" s="20">
        <v>0.02</v>
      </c>
      <c r="F5" s="20">
        <v>3388.51</v>
      </c>
      <c r="Q5" s="20">
        <v>0.4</v>
      </c>
      <c r="R5" s="20">
        <v>35.17</v>
      </c>
      <c r="S5" s="20">
        <v>62</v>
      </c>
      <c r="T5" s="26">
        <v>26.83</v>
      </c>
      <c r="U5" s="26">
        <v>-0.18</v>
      </c>
      <c r="V5" s="20">
        <v>4095</v>
      </c>
    </row>
    <row r="6" spans="1:22" ht="16.8" x14ac:dyDescent="0.3">
      <c r="A6" s="20">
        <v>0.5</v>
      </c>
      <c r="B6" s="20">
        <v>62</v>
      </c>
      <c r="C6" s="20">
        <v>30.16</v>
      </c>
      <c r="D6" s="20">
        <v>31.84</v>
      </c>
      <c r="E6" s="20">
        <v>-0.04</v>
      </c>
      <c r="F6" s="20">
        <v>3388.51</v>
      </c>
      <c r="Q6" s="20">
        <v>0.5</v>
      </c>
      <c r="R6" s="20">
        <v>35.26</v>
      </c>
      <c r="S6" s="20">
        <v>62</v>
      </c>
      <c r="T6" s="20">
        <v>26.74</v>
      </c>
      <c r="U6" s="26">
        <v>-0.09</v>
      </c>
      <c r="V6" s="20">
        <v>4095</v>
      </c>
    </row>
    <row r="7" spans="1:22" ht="16.8" x14ac:dyDescent="0.3">
      <c r="A7" s="20">
        <v>0.6</v>
      </c>
      <c r="B7" s="20">
        <v>62</v>
      </c>
      <c r="C7" s="20">
        <v>30.26</v>
      </c>
      <c r="D7" s="20">
        <v>31.74</v>
      </c>
      <c r="E7" s="20">
        <v>-0.1</v>
      </c>
      <c r="F7" s="20">
        <v>3388.51</v>
      </c>
      <c r="Q7" s="20">
        <v>0.6</v>
      </c>
      <c r="R7" s="20">
        <v>35.51</v>
      </c>
      <c r="S7" s="26">
        <v>62</v>
      </c>
      <c r="T7" s="26">
        <v>26.49</v>
      </c>
      <c r="U7" s="26">
        <v>-0.25</v>
      </c>
      <c r="V7" s="20">
        <v>4095</v>
      </c>
    </row>
    <row r="8" spans="1:22" ht="16.8" x14ac:dyDescent="0.3">
      <c r="A8" s="20">
        <v>0.7</v>
      </c>
      <c r="B8" s="20">
        <v>62</v>
      </c>
      <c r="C8" s="20">
        <v>30.41</v>
      </c>
      <c r="D8" s="20">
        <v>31.59</v>
      </c>
      <c r="E8" s="20">
        <v>-0.15</v>
      </c>
      <c r="F8" s="20">
        <v>3388.51</v>
      </c>
      <c r="Q8" s="20">
        <v>0.7</v>
      </c>
      <c r="R8" s="20">
        <v>35.82</v>
      </c>
      <c r="S8" s="20">
        <v>62</v>
      </c>
      <c r="T8" s="26">
        <v>26.18</v>
      </c>
      <c r="U8" s="26">
        <v>-0.31</v>
      </c>
      <c r="V8" s="20">
        <v>4095</v>
      </c>
    </row>
    <row r="9" spans="1:22" ht="16.8" x14ac:dyDescent="0.3">
      <c r="A9" s="20">
        <v>0.8</v>
      </c>
      <c r="B9" s="20">
        <v>62</v>
      </c>
      <c r="C9" s="20">
        <v>30.59</v>
      </c>
      <c r="D9" s="20">
        <v>31.41</v>
      </c>
      <c r="E9" s="20">
        <v>-0.18</v>
      </c>
      <c r="F9" s="20">
        <v>3388.51</v>
      </c>
      <c r="Q9" s="20">
        <v>0.8</v>
      </c>
      <c r="R9" s="20">
        <v>36.21</v>
      </c>
      <c r="S9" s="26">
        <v>62</v>
      </c>
      <c r="T9" s="26">
        <v>25.79</v>
      </c>
      <c r="U9" s="26">
        <v>-0.39</v>
      </c>
      <c r="V9" s="20">
        <v>4081.74</v>
      </c>
    </row>
    <row r="10" spans="1:22" ht="16.8" x14ac:dyDescent="0.3">
      <c r="A10" s="20">
        <v>0.9</v>
      </c>
      <c r="B10" s="20">
        <v>62</v>
      </c>
      <c r="C10" s="20">
        <v>30.92</v>
      </c>
      <c r="D10" s="20">
        <v>31.08</v>
      </c>
      <c r="E10" s="20">
        <v>-0.33</v>
      </c>
      <c r="F10" s="20">
        <v>3377.27</v>
      </c>
      <c r="Q10" s="20">
        <v>0.9</v>
      </c>
      <c r="R10" s="20">
        <v>36.65</v>
      </c>
      <c r="S10" s="20">
        <v>62</v>
      </c>
      <c r="T10" s="26">
        <v>25.35</v>
      </c>
      <c r="U10" s="26">
        <v>-0.44</v>
      </c>
      <c r="V10" s="20">
        <v>4052.46</v>
      </c>
    </row>
    <row r="11" spans="1:22" ht="16.8" x14ac:dyDescent="0.3">
      <c r="A11" s="20">
        <v>1</v>
      </c>
      <c r="B11" s="20">
        <v>62</v>
      </c>
      <c r="C11" s="20">
        <v>31.27</v>
      </c>
      <c r="D11" s="20">
        <v>30.73</v>
      </c>
      <c r="E11" s="20">
        <v>-0.35</v>
      </c>
      <c r="F11" s="20">
        <v>3380.55</v>
      </c>
      <c r="Q11" s="32">
        <v>1</v>
      </c>
      <c r="R11" s="32">
        <v>37.19</v>
      </c>
      <c r="S11" s="34">
        <v>62</v>
      </c>
      <c r="T11" s="34">
        <v>24.81</v>
      </c>
      <c r="U11" s="34">
        <v>-0.54</v>
      </c>
      <c r="V11" s="32">
        <v>3987.08</v>
      </c>
    </row>
    <row r="12" spans="1:22" ht="16.8" x14ac:dyDescent="0.3">
      <c r="A12" s="20">
        <v>1.1000000000000001</v>
      </c>
      <c r="B12" s="20">
        <v>62</v>
      </c>
      <c r="C12" s="20">
        <v>31.59</v>
      </c>
      <c r="D12" s="20">
        <v>30.41</v>
      </c>
      <c r="E12" s="20">
        <v>-0.32</v>
      </c>
      <c r="F12" s="20">
        <v>3375.97</v>
      </c>
      <c r="Q12" s="32">
        <v>1.1000000000000001</v>
      </c>
      <c r="R12" s="32">
        <v>37.729999999999997</v>
      </c>
      <c r="S12" s="32">
        <v>62</v>
      </c>
      <c r="T12" s="32">
        <v>24.27</v>
      </c>
      <c r="U12" s="34">
        <v>-0.53</v>
      </c>
      <c r="V12" s="32">
        <v>3963.71</v>
      </c>
    </row>
    <row r="13" spans="1:22" ht="16.8" x14ac:dyDescent="0.3">
      <c r="A13" s="20">
        <v>1.2</v>
      </c>
      <c r="B13" s="20">
        <v>62</v>
      </c>
      <c r="C13" s="20">
        <v>32.06</v>
      </c>
      <c r="D13" s="20">
        <v>29.94</v>
      </c>
      <c r="E13" s="20">
        <v>-0.47</v>
      </c>
      <c r="F13" s="20">
        <v>3388.51</v>
      </c>
      <c r="Q13" s="32">
        <v>1.2</v>
      </c>
      <c r="R13" s="32">
        <v>38.35</v>
      </c>
      <c r="S13" s="34">
        <v>62</v>
      </c>
      <c r="T13" s="34">
        <v>23.65</v>
      </c>
      <c r="U13" s="34">
        <v>-0.63</v>
      </c>
      <c r="V13" s="32">
        <v>3881.39</v>
      </c>
    </row>
    <row r="14" spans="1:22" ht="16.8" x14ac:dyDescent="0.3">
      <c r="A14" s="20">
        <v>1.3</v>
      </c>
      <c r="B14" s="20">
        <v>62</v>
      </c>
      <c r="C14" s="20">
        <v>32.58</v>
      </c>
      <c r="D14" s="20">
        <v>29.42</v>
      </c>
      <c r="E14" s="20">
        <v>-0.52</v>
      </c>
      <c r="F14" s="20">
        <v>3388.51</v>
      </c>
      <c r="Q14" s="32">
        <v>1.3</v>
      </c>
      <c r="R14" s="32">
        <v>38.97</v>
      </c>
      <c r="S14" s="32">
        <v>62</v>
      </c>
      <c r="T14" s="32">
        <v>23.03</v>
      </c>
      <c r="U14" s="34">
        <v>-0.61</v>
      </c>
      <c r="V14" s="32">
        <v>3845.43</v>
      </c>
    </row>
    <row r="15" spans="1:22" ht="16.8" x14ac:dyDescent="0.3">
      <c r="A15" s="20">
        <v>1.4</v>
      </c>
      <c r="B15" s="20">
        <v>62</v>
      </c>
      <c r="C15" s="20">
        <v>33.04</v>
      </c>
      <c r="D15" s="20">
        <v>28.96</v>
      </c>
      <c r="E15" s="20">
        <v>-0.46</v>
      </c>
      <c r="F15" s="20">
        <v>3388.51</v>
      </c>
      <c r="Q15" s="32">
        <v>1.4</v>
      </c>
      <c r="R15" s="32">
        <v>39.65</v>
      </c>
      <c r="S15" s="34">
        <v>62</v>
      </c>
      <c r="T15" s="34">
        <v>22.35</v>
      </c>
      <c r="U15" s="34">
        <v>-0.68</v>
      </c>
      <c r="V15" s="32">
        <v>3760.7</v>
      </c>
    </row>
    <row r="16" spans="1:22" ht="16.8" x14ac:dyDescent="0.3">
      <c r="A16" s="32">
        <v>1.5</v>
      </c>
      <c r="B16" s="20">
        <v>62</v>
      </c>
      <c r="C16" s="20">
        <v>33.57</v>
      </c>
      <c r="D16" s="20">
        <v>28.43</v>
      </c>
      <c r="E16" s="20">
        <v>-0.53</v>
      </c>
      <c r="F16" s="20">
        <v>3388.51</v>
      </c>
      <c r="Q16" s="32">
        <v>1.5</v>
      </c>
      <c r="R16" s="32">
        <v>40.35</v>
      </c>
      <c r="S16" s="32">
        <v>62</v>
      </c>
      <c r="T16" s="34">
        <v>21.65</v>
      </c>
      <c r="U16" s="34">
        <v>-0.69</v>
      </c>
      <c r="V16" s="32">
        <v>3698.88</v>
      </c>
    </row>
    <row r="17" spans="1:27" ht="16.8" x14ac:dyDescent="0.3">
      <c r="A17" s="20">
        <v>1.6</v>
      </c>
      <c r="B17" s="20">
        <v>62</v>
      </c>
      <c r="C17" s="20">
        <v>34.08</v>
      </c>
      <c r="D17" s="20">
        <v>27.92</v>
      </c>
      <c r="E17" s="20">
        <v>-0.51</v>
      </c>
      <c r="F17" s="20">
        <v>3388.51</v>
      </c>
      <c r="Q17" s="32">
        <v>1.6</v>
      </c>
      <c r="R17" s="32">
        <v>41.04</v>
      </c>
      <c r="S17" s="34">
        <v>62</v>
      </c>
      <c r="T17" s="34">
        <v>20.96</v>
      </c>
      <c r="U17" s="34">
        <v>-0.69</v>
      </c>
      <c r="V17" s="32">
        <v>3638.63</v>
      </c>
    </row>
    <row r="18" spans="1:27" ht="16.8" x14ac:dyDescent="0.3">
      <c r="A18" s="20">
        <v>1.7</v>
      </c>
      <c r="B18" s="20">
        <v>62</v>
      </c>
      <c r="C18" s="20">
        <v>34.630000000000003</v>
      </c>
      <c r="D18" s="20">
        <v>27.37</v>
      </c>
      <c r="E18" s="20">
        <v>-0.55000000000000004</v>
      </c>
      <c r="F18" s="20">
        <v>3388.51</v>
      </c>
      <c r="H18" s="55" t="s">
        <v>46</v>
      </c>
      <c r="I18" s="56"/>
      <c r="J18" s="56"/>
      <c r="K18" s="57"/>
      <c r="Q18" s="32">
        <v>1.7</v>
      </c>
      <c r="R18" s="32">
        <v>41.81</v>
      </c>
      <c r="S18" s="32">
        <v>62</v>
      </c>
      <c r="T18" s="34">
        <v>20.190000000000001</v>
      </c>
      <c r="U18" s="34">
        <v>-0.77</v>
      </c>
      <c r="V18" s="32">
        <v>3531.35</v>
      </c>
      <c r="X18" s="55" t="s">
        <v>46</v>
      </c>
      <c r="Y18" s="56"/>
      <c r="Z18" s="56"/>
      <c r="AA18" s="57"/>
    </row>
    <row r="19" spans="1:27" ht="16.8" x14ac:dyDescent="0.3">
      <c r="A19" s="20">
        <v>1.8</v>
      </c>
      <c r="B19" s="20">
        <v>62</v>
      </c>
      <c r="C19" s="20">
        <v>35.130000000000003</v>
      </c>
      <c r="D19" s="20">
        <v>26.87</v>
      </c>
      <c r="E19" s="20">
        <v>-0.5</v>
      </c>
      <c r="F19" s="20">
        <v>3388.51</v>
      </c>
      <c r="H19" s="30" t="s">
        <v>47</v>
      </c>
      <c r="I19" s="30" t="s">
        <v>48</v>
      </c>
      <c r="J19" s="55" t="s">
        <v>49</v>
      </c>
      <c r="K19" s="57"/>
      <c r="Q19" s="32">
        <v>1.8</v>
      </c>
      <c r="R19" s="32">
        <v>42.48</v>
      </c>
      <c r="S19" s="34">
        <v>62</v>
      </c>
      <c r="T19" s="32">
        <v>19.52</v>
      </c>
      <c r="U19" s="32">
        <v>-0.67</v>
      </c>
      <c r="V19" s="32">
        <v>3513.51</v>
      </c>
      <c r="X19" s="30" t="s">
        <v>47</v>
      </c>
      <c r="Y19" s="30" t="s">
        <v>48</v>
      </c>
      <c r="Z19" s="55" t="s">
        <v>49</v>
      </c>
      <c r="AA19" s="57"/>
    </row>
    <row r="20" spans="1:27" ht="16.8" x14ac:dyDescent="0.3">
      <c r="A20" s="20">
        <v>1.9</v>
      </c>
      <c r="B20" s="20">
        <v>62</v>
      </c>
      <c r="C20" s="20">
        <v>35.74</v>
      </c>
      <c r="D20" s="20">
        <v>26.26</v>
      </c>
      <c r="E20" s="20">
        <v>-0.61</v>
      </c>
      <c r="F20" s="20">
        <v>3388.51</v>
      </c>
      <c r="H20" s="30">
        <f>C2+0.1*(B5-C2)</f>
        <v>33.200000000000003</v>
      </c>
      <c r="I20" s="30">
        <f>C2+0.9*(B5-C2)</f>
        <v>58.8</v>
      </c>
      <c r="J20" s="55">
        <f>A70-A22</f>
        <v>4.8000000000000007</v>
      </c>
      <c r="K20" s="57"/>
      <c r="Q20" s="32">
        <v>1.9</v>
      </c>
      <c r="R20" s="32">
        <v>43.2</v>
      </c>
      <c r="S20" s="32">
        <v>62</v>
      </c>
      <c r="T20" s="34">
        <v>18.8</v>
      </c>
      <c r="U20" s="34">
        <v>-0.72</v>
      </c>
      <c r="V20" s="32">
        <v>3424.82</v>
      </c>
      <c r="X20" s="30">
        <f>R2+0.1*(S2-R2)</f>
        <v>36.844999999999999</v>
      </c>
      <c r="Y20" s="30">
        <f>R2+0.9*(S2-R2)</f>
        <v>59.204999999999998</v>
      </c>
      <c r="Z20" s="55">
        <f>Q56-Q11</f>
        <v>4.5</v>
      </c>
      <c r="AA20" s="57"/>
    </row>
    <row r="21" spans="1:27" ht="16.8" x14ac:dyDescent="0.3">
      <c r="A21" s="20">
        <v>2</v>
      </c>
      <c r="B21" s="20">
        <v>62</v>
      </c>
      <c r="C21" s="20">
        <v>36.29</v>
      </c>
      <c r="D21" s="20">
        <v>25.71</v>
      </c>
      <c r="E21" s="20">
        <v>-0.55000000000000004</v>
      </c>
      <c r="F21" s="20">
        <v>3388.51</v>
      </c>
      <c r="Q21" s="32">
        <v>2</v>
      </c>
      <c r="R21" s="32">
        <v>43.87</v>
      </c>
      <c r="S21" s="34">
        <v>62</v>
      </c>
      <c r="T21" s="32">
        <v>18.13</v>
      </c>
      <c r="U21" s="32">
        <v>-0.67</v>
      </c>
      <c r="V21" s="32">
        <v>3381.03</v>
      </c>
    </row>
    <row r="22" spans="1:27" ht="16.8" x14ac:dyDescent="0.3">
      <c r="A22" s="45">
        <v>2.1</v>
      </c>
      <c r="B22" s="20">
        <v>62</v>
      </c>
      <c r="C22" s="20">
        <v>36.85</v>
      </c>
      <c r="D22" s="20">
        <v>25.15</v>
      </c>
      <c r="E22" s="20">
        <v>-0.56000000000000005</v>
      </c>
      <c r="F22" s="20">
        <v>3388.51</v>
      </c>
      <c r="H22" s="55" t="s">
        <v>50</v>
      </c>
      <c r="I22" s="56"/>
      <c r="J22" s="57"/>
      <c r="Q22" s="32">
        <v>2.1</v>
      </c>
      <c r="R22" s="32">
        <v>44.6</v>
      </c>
      <c r="S22" s="32">
        <v>62</v>
      </c>
      <c r="T22" s="34">
        <v>17.399999999999999</v>
      </c>
      <c r="U22" s="34">
        <v>-0.73</v>
      </c>
      <c r="V22" s="32">
        <v>3279.95</v>
      </c>
      <c r="X22" s="55" t="s">
        <v>50</v>
      </c>
      <c r="Y22" s="56"/>
      <c r="Z22" s="57"/>
    </row>
    <row r="23" spans="1:27" ht="16.8" x14ac:dyDescent="0.3">
      <c r="A23" s="20">
        <v>2.2000000000000002</v>
      </c>
      <c r="B23" s="20">
        <v>62</v>
      </c>
      <c r="C23" s="20">
        <v>37.4</v>
      </c>
      <c r="D23" s="20">
        <v>24.6</v>
      </c>
      <c r="E23" s="20">
        <v>-0.55000000000000004</v>
      </c>
      <c r="F23" s="20">
        <v>3388.51</v>
      </c>
      <c r="H23" s="58">
        <f>((MAX(C2:C142)-62)/62)*100</f>
        <v>2.4999999999999951</v>
      </c>
      <c r="I23" s="58"/>
      <c r="J23" s="58"/>
      <c r="Q23" s="32">
        <v>2.2000000000000002</v>
      </c>
      <c r="R23" s="32">
        <v>45.26</v>
      </c>
      <c r="S23" s="32">
        <v>62</v>
      </c>
      <c r="T23" s="34">
        <v>16.739999999999998</v>
      </c>
      <c r="U23" s="34">
        <v>-0.66</v>
      </c>
      <c r="V23" s="32">
        <v>3243.79</v>
      </c>
      <c r="X23" s="58">
        <f>((MAX(R2:R261)-62)/62)*100</f>
        <v>1.9193548387096737</v>
      </c>
      <c r="Y23" s="58"/>
      <c r="Z23" s="58"/>
    </row>
    <row r="24" spans="1:27" ht="16.8" x14ac:dyDescent="0.3">
      <c r="A24" s="20">
        <v>2.2999999999999998</v>
      </c>
      <c r="B24" s="20">
        <v>62</v>
      </c>
      <c r="C24" s="20">
        <v>37.97</v>
      </c>
      <c r="D24" s="20">
        <v>24.03</v>
      </c>
      <c r="E24" s="20">
        <v>-0.56999999999999995</v>
      </c>
      <c r="F24" s="20">
        <v>3388.51</v>
      </c>
      <c r="Q24" s="32">
        <v>2.2999999999999998</v>
      </c>
      <c r="R24" s="32">
        <v>45.95</v>
      </c>
      <c r="S24" s="34">
        <v>62</v>
      </c>
      <c r="T24" s="34">
        <v>16.05</v>
      </c>
      <c r="U24" s="34">
        <v>-0.68</v>
      </c>
      <c r="V24" s="32">
        <v>3163.36</v>
      </c>
    </row>
    <row r="25" spans="1:27" ht="16.8" x14ac:dyDescent="0.3">
      <c r="A25" s="20">
        <v>2.4</v>
      </c>
      <c r="B25" s="20">
        <v>62</v>
      </c>
      <c r="C25" s="20">
        <v>38.5</v>
      </c>
      <c r="D25" s="20">
        <v>23.5</v>
      </c>
      <c r="E25" s="20">
        <v>-0.53</v>
      </c>
      <c r="F25" s="20">
        <v>3388.51</v>
      </c>
      <c r="H25" s="29" t="s">
        <v>51</v>
      </c>
      <c r="I25" s="29">
        <f>ABS(AVERAGE(C300:C602))</f>
        <v>62.463234323432367</v>
      </c>
      <c r="Q25" s="32">
        <v>2.4</v>
      </c>
      <c r="R25" s="32">
        <v>46.57</v>
      </c>
      <c r="S25" s="32">
        <v>62</v>
      </c>
      <c r="T25" s="34">
        <v>15.43</v>
      </c>
      <c r="U25" s="34">
        <v>-0.63</v>
      </c>
      <c r="V25" s="32">
        <v>3122.73</v>
      </c>
      <c r="X25" s="29" t="s">
        <v>51</v>
      </c>
      <c r="Y25" s="29">
        <f>ABS(AVERAGE(R301:R602))</f>
        <v>62.102913907284716</v>
      </c>
    </row>
    <row r="26" spans="1:27" ht="16.8" x14ac:dyDescent="0.3">
      <c r="A26" s="20">
        <v>2.5</v>
      </c>
      <c r="B26" s="20">
        <v>62</v>
      </c>
      <c r="C26" s="20">
        <v>39.1</v>
      </c>
      <c r="D26" s="20">
        <v>22.9</v>
      </c>
      <c r="E26" s="20">
        <v>-0.61</v>
      </c>
      <c r="F26" s="20">
        <v>3388.51</v>
      </c>
      <c r="H26" s="29" t="s">
        <v>52</v>
      </c>
      <c r="I26" s="29">
        <f>ABS((I25-62)/62)*100</f>
        <v>0.74715213456833396</v>
      </c>
      <c r="Q26" s="32">
        <v>2.5</v>
      </c>
      <c r="R26" s="32">
        <v>47.24</v>
      </c>
      <c r="S26" s="34">
        <v>62</v>
      </c>
      <c r="T26" s="32">
        <v>14.76</v>
      </c>
      <c r="U26" s="34">
        <v>-0.66</v>
      </c>
      <c r="V26" s="32">
        <v>3039.83</v>
      </c>
      <c r="X26" s="29" t="s">
        <v>52</v>
      </c>
      <c r="Y26" s="29">
        <f>((Y25-62)/62)*100</f>
        <v>0.16599017303986424</v>
      </c>
    </row>
    <row r="27" spans="1:27" ht="16.8" x14ac:dyDescent="0.3">
      <c r="A27" s="20">
        <v>2.6</v>
      </c>
      <c r="B27" s="20">
        <v>62</v>
      </c>
      <c r="C27" s="20">
        <v>39.68</v>
      </c>
      <c r="D27" s="20">
        <v>22.32</v>
      </c>
      <c r="E27" s="20">
        <v>-0.57999999999999996</v>
      </c>
      <c r="F27" s="20">
        <v>3388.51</v>
      </c>
      <c r="Q27" s="32">
        <v>2.6</v>
      </c>
      <c r="R27" s="32">
        <v>47.86</v>
      </c>
      <c r="S27" s="32">
        <v>62</v>
      </c>
      <c r="T27" s="34">
        <v>14.14</v>
      </c>
      <c r="U27" s="34">
        <v>-0.62</v>
      </c>
      <c r="V27" s="32">
        <v>2990.94</v>
      </c>
    </row>
    <row r="28" spans="1:27" ht="16.8" x14ac:dyDescent="0.3">
      <c r="A28" s="20">
        <v>2.7</v>
      </c>
      <c r="B28" s="20">
        <v>62</v>
      </c>
      <c r="C28" s="20">
        <v>40.25</v>
      </c>
      <c r="D28" s="20">
        <v>21.75</v>
      </c>
      <c r="E28" s="20">
        <v>-0.56000000000000005</v>
      </c>
      <c r="F28" s="20">
        <v>3388.51</v>
      </c>
      <c r="H28" s="58" t="s">
        <v>53</v>
      </c>
      <c r="I28" s="58"/>
      <c r="Q28" s="32">
        <v>2.7</v>
      </c>
      <c r="R28" s="32">
        <v>48.45</v>
      </c>
      <c r="S28" s="34">
        <v>62</v>
      </c>
      <c r="T28" s="34">
        <v>13.55</v>
      </c>
      <c r="U28" s="34">
        <v>-0.6</v>
      </c>
      <c r="V28" s="32">
        <v>2938.03</v>
      </c>
      <c r="X28" s="58" t="s">
        <v>53</v>
      </c>
      <c r="Y28" s="58"/>
    </row>
    <row r="29" spans="1:27" ht="16.8" x14ac:dyDescent="0.3">
      <c r="A29" s="20">
        <v>2.8</v>
      </c>
      <c r="B29" s="20">
        <v>62</v>
      </c>
      <c r="C29" s="20">
        <v>40.770000000000003</v>
      </c>
      <c r="D29" s="20">
        <v>21.23</v>
      </c>
      <c r="E29" s="20">
        <v>-0.52</v>
      </c>
      <c r="F29" s="20">
        <v>3388.51</v>
      </c>
      <c r="H29" s="58" cm="1">
        <f t="array" ref="H29">SUMPRODUCT(ABS(D2:D602)*0.1)</f>
        <v>149.33099999999945</v>
      </c>
      <c r="I29" s="58"/>
      <c r="Q29" s="32">
        <v>2.8</v>
      </c>
      <c r="R29" s="32">
        <v>49.02</v>
      </c>
      <c r="S29" s="32">
        <v>62</v>
      </c>
      <c r="T29" s="34">
        <v>12.98</v>
      </c>
      <c r="U29" s="34">
        <v>-0.56999999999999995</v>
      </c>
      <c r="V29" s="32">
        <v>2887.58</v>
      </c>
      <c r="X29" s="58" cm="1">
        <f t="array" ref="X29">SUMPRODUCT(ABS(T2:T602)*0.1)</f>
        <v>94.416000000000167</v>
      </c>
      <c r="Y29" s="58"/>
    </row>
    <row r="30" spans="1:27" ht="16.8" x14ac:dyDescent="0.3">
      <c r="A30" s="20">
        <v>2.9</v>
      </c>
      <c r="B30" s="20">
        <v>62</v>
      </c>
      <c r="C30" s="20">
        <v>41.31</v>
      </c>
      <c r="D30" s="20">
        <v>20.69</v>
      </c>
      <c r="E30" s="20">
        <v>-0.54</v>
      </c>
      <c r="F30" s="20">
        <v>3388.51</v>
      </c>
      <c r="Q30" s="32">
        <v>2.9</v>
      </c>
      <c r="R30" s="32">
        <v>49.62</v>
      </c>
      <c r="S30" s="34">
        <v>62</v>
      </c>
      <c r="T30" s="34">
        <v>12.38</v>
      </c>
      <c r="U30" s="34">
        <v>-0.6</v>
      </c>
      <c r="V30" s="32">
        <v>2812.48</v>
      </c>
    </row>
    <row r="31" spans="1:27" ht="16.8" x14ac:dyDescent="0.3">
      <c r="A31" s="20">
        <v>3</v>
      </c>
      <c r="B31" s="20">
        <v>62</v>
      </c>
      <c r="C31" s="20">
        <v>41.85</v>
      </c>
      <c r="D31" s="20">
        <v>20.149999999999999</v>
      </c>
      <c r="E31" s="20">
        <v>-0.54</v>
      </c>
      <c r="F31" s="20">
        <v>3388.51</v>
      </c>
      <c r="H31" s="58" t="s">
        <v>54</v>
      </c>
      <c r="I31" s="58"/>
      <c r="Q31" s="32">
        <v>3</v>
      </c>
      <c r="R31" s="32">
        <v>50.18</v>
      </c>
      <c r="S31" s="32">
        <v>62</v>
      </c>
      <c r="T31" s="34">
        <v>11.82</v>
      </c>
      <c r="U31" s="34">
        <v>-0.56000000000000005</v>
      </c>
      <c r="V31" s="32">
        <v>2768.3</v>
      </c>
      <c r="X31" s="58" t="s">
        <v>54</v>
      </c>
      <c r="Y31" s="58"/>
    </row>
    <row r="32" spans="1:27" ht="16.8" x14ac:dyDescent="0.3">
      <c r="A32" s="20">
        <v>3.1</v>
      </c>
      <c r="B32" s="20">
        <v>62</v>
      </c>
      <c r="C32" s="20">
        <v>42.4</v>
      </c>
      <c r="D32" s="20">
        <v>19.600000000000001</v>
      </c>
      <c r="E32" s="20">
        <v>-0.55000000000000004</v>
      </c>
      <c r="F32" s="20">
        <v>3388.51</v>
      </c>
      <c r="H32" s="58" cm="1">
        <f t="array" ref="H32">SUMPRODUCT(((D2:D601)^2)*0.1)</f>
        <v>2860.065159999996</v>
      </c>
      <c r="I32" s="58"/>
      <c r="Q32" s="32">
        <v>3.1</v>
      </c>
      <c r="R32" s="32">
        <v>50.65</v>
      </c>
      <c r="S32" s="34">
        <v>62</v>
      </c>
      <c r="T32" s="32">
        <v>11.35</v>
      </c>
      <c r="U32" s="32">
        <v>-0.48</v>
      </c>
      <c r="V32" s="32">
        <v>2752</v>
      </c>
      <c r="X32" s="58" cm="1">
        <f t="array" ref="X32">SUMPRODUCT(((T2:T601)^2)*0.1)</f>
        <v>1501.9575699999957</v>
      </c>
      <c r="Y32" s="58"/>
    </row>
    <row r="33" spans="1:26" ht="16.8" x14ac:dyDescent="0.3">
      <c r="A33" s="20">
        <v>3.2</v>
      </c>
      <c r="B33" s="20">
        <v>62</v>
      </c>
      <c r="C33" s="20">
        <v>42.92</v>
      </c>
      <c r="D33" s="20">
        <v>19.079999999999998</v>
      </c>
      <c r="E33" s="20">
        <v>-0.52</v>
      </c>
      <c r="F33" s="20">
        <v>3388.51</v>
      </c>
      <c r="Q33" s="32">
        <v>3.2</v>
      </c>
      <c r="R33" s="32">
        <v>51.2</v>
      </c>
      <c r="S33" s="32">
        <v>62</v>
      </c>
      <c r="T33" s="34">
        <v>10.8</v>
      </c>
      <c r="U33" s="34">
        <v>-0.55000000000000004</v>
      </c>
      <c r="V33" s="32">
        <v>2661.43</v>
      </c>
    </row>
    <row r="34" spans="1:26" ht="16.8" x14ac:dyDescent="0.3">
      <c r="A34" s="20">
        <v>3.3</v>
      </c>
      <c r="B34" s="20">
        <v>62</v>
      </c>
      <c r="C34" s="20">
        <v>43.41</v>
      </c>
      <c r="D34" s="20">
        <v>18.59</v>
      </c>
      <c r="E34" s="20">
        <v>-0.49</v>
      </c>
      <c r="F34" s="20">
        <v>3388.51</v>
      </c>
      <c r="H34" s="58" t="s">
        <v>55</v>
      </c>
      <c r="I34" s="58"/>
      <c r="J34" s="58"/>
      <c r="Q34" s="32">
        <v>3.3</v>
      </c>
      <c r="R34" s="32">
        <v>51.72</v>
      </c>
      <c r="S34" s="32">
        <v>62</v>
      </c>
      <c r="T34" s="32">
        <v>10.28</v>
      </c>
      <c r="U34" s="32">
        <v>-0.52</v>
      </c>
      <c r="V34" s="32">
        <v>2616.77</v>
      </c>
      <c r="X34" s="58" t="s">
        <v>55</v>
      </c>
      <c r="Y34" s="58"/>
      <c r="Z34" s="58"/>
    </row>
    <row r="35" spans="1:26" ht="16.8" x14ac:dyDescent="0.3">
      <c r="A35" s="20">
        <v>3.4</v>
      </c>
      <c r="B35" s="20">
        <v>62</v>
      </c>
      <c r="C35" s="20">
        <v>43.94</v>
      </c>
      <c r="D35" s="20">
        <v>18.059999999999999</v>
      </c>
      <c r="E35" s="20">
        <v>-0.52</v>
      </c>
      <c r="F35" s="20">
        <v>3388.51</v>
      </c>
      <c r="H35" s="58" cm="1">
        <f t="array" ref="H35">SUMPRODUCT(A2:A602 * ABS(D2:D602) * 0.1)</f>
        <v>1135.1359000000004</v>
      </c>
      <c r="I35" s="58"/>
      <c r="J35" s="58"/>
      <c r="Q35" s="32">
        <v>3.4</v>
      </c>
      <c r="R35" s="32">
        <v>52.19</v>
      </c>
      <c r="S35" s="34">
        <v>62</v>
      </c>
      <c r="T35" s="34">
        <v>9.81</v>
      </c>
      <c r="U35" s="34">
        <v>-0.48</v>
      </c>
      <c r="V35" s="32">
        <v>2580.62</v>
      </c>
      <c r="X35" s="58" cm="1">
        <f t="array" ref="X35">SUMPRODUCT(Q2:Q602 * ABS(T2:T602) * 0.1)</f>
        <v>473.71939999999989</v>
      </c>
      <c r="Y35" s="58"/>
      <c r="Z35" s="58"/>
    </row>
    <row r="36" spans="1:26" ht="16.8" x14ac:dyDescent="0.3">
      <c r="A36" s="20">
        <v>3.5</v>
      </c>
      <c r="B36" s="20">
        <v>62</v>
      </c>
      <c r="C36" s="20">
        <v>44.48</v>
      </c>
      <c r="D36" s="20">
        <v>17.52</v>
      </c>
      <c r="E36" s="20">
        <v>-0.54</v>
      </c>
      <c r="F36" s="20">
        <v>3388.51</v>
      </c>
      <c r="Q36" s="32">
        <v>3.5</v>
      </c>
      <c r="R36" s="32">
        <v>52.66</v>
      </c>
      <c r="S36" s="32">
        <v>62</v>
      </c>
      <c r="T36" s="32">
        <v>9.34</v>
      </c>
      <c r="U36" s="32">
        <v>-0.47</v>
      </c>
      <c r="V36" s="32">
        <v>2531.6999999999998</v>
      </c>
    </row>
    <row r="37" spans="1:26" ht="16.8" x14ac:dyDescent="0.3">
      <c r="A37" s="20">
        <v>3.6</v>
      </c>
      <c r="B37" s="20">
        <v>62</v>
      </c>
      <c r="C37" s="20">
        <v>44.97</v>
      </c>
      <c r="D37" s="20">
        <v>17.03</v>
      </c>
      <c r="E37" s="20">
        <v>-0.49</v>
      </c>
      <c r="F37" s="20">
        <v>3374.1</v>
      </c>
      <c r="Q37" s="32">
        <v>3.6</v>
      </c>
      <c r="R37" s="32">
        <v>53.13</v>
      </c>
      <c r="S37" s="34">
        <v>62</v>
      </c>
      <c r="T37" s="34">
        <v>8.8699999999999992</v>
      </c>
      <c r="U37" s="32">
        <v>-0.47</v>
      </c>
      <c r="V37" s="32">
        <v>2478.4499999999998</v>
      </c>
    </row>
    <row r="38" spans="1:26" ht="16.8" x14ac:dyDescent="0.3">
      <c r="A38" s="20">
        <v>3.7</v>
      </c>
      <c r="B38" s="20">
        <v>62</v>
      </c>
      <c r="C38" s="20">
        <v>45.5</v>
      </c>
      <c r="D38" s="20">
        <v>16.5</v>
      </c>
      <c r="E38" s="20">
        <v>-0.53</v>
      </c>
      <c r="F38" s="20">
        <v>3388.51</v>
      </c>
      <c r="Q38" s="32">
        <v>3.7</v>
      </c>
      <c r="R38" s="32">
        <v>53.55</v>
      </c>
      <c r="S38" s="32">
        <v>62</v>
      </c>
      <c r="T38" s="34">
        <v>8.4499999999999993</v>
      </c>
      <c r="U38" s="34">
        <v>-0.42</v>
      </c>
      <c r="V38" s="32">
        <v>2451.27</v>
      </c>
    </row>
    <row r="39" spans="1:26" ht="16.8" x14ac:dyDescent="0.3">
      <c r="A39" s="20">
        <v>3.8</v>
      </c>
      <c r="B39" s="20">
        <v>62</v>
      </c>
      <c r="C39" s="20">
        <v>46.02</v>
      </c>
      <c r="D39" s="20">
        <v>15.98</v>
      </c>
      <c r="E39" s="20">
        <v>-0.52</v>
      </c>
      <c r="F39" s="20">
        <v>3388.51</v>
      </c>
      <c r="Q39" s="32">
        <v>3.8</v>
      </c>
      <c r="R39" s="32">
        <v>54</v>
      </c>
      <c r="S39" s="34">
        <v>62</v>
      </c>
      <c r="T39" s="34">
        <v>8</v>
      </c>
      <c r="U39" s="32">
        <v>-0.46</v>
      </c>
      <c r="V39" s="32">
        <v>2381.04</v>
      </c>
    </row>
    <row r="40" spans="1:26" ht="16.8" x14ac:dyDescent="0.3">
      <c r="A40" s="20">
        <v>3.9</v>
      </c>
      <c r="B40" s="20">
        <v>62</v>
      </c>
      <c r="C40" s="20">
        <v>46.45</v>
      </c>
      <c r="D40" s="20">
        <v>15.55</v>
      </c>
      <c r="E40" s="20">
        <v>-0.43</v>
      </c>
      <c r="F40" s="20">
        <v>3278.65</v>
      </c>
      <c r="Q40" s="32">
        <v>3.9</v>
      </c>
      <c r="R40" s="32">
        <v>54.36</v>
      </c>
      <c r="S40" s="32">
        <v>62</v>
      </c>
      <c r="T40" s="34">
        <v>7.64</v>
      </c>
      <c r="U40" s="34">
        <v>-0.35</v>
      </c>
      <c r="V40" s="32">
        <v>2384.8200000000002</v>
      </c>
    </row>
    <row r="41" spans="1:26" ht="16.8" x14ac:dyDescent="0.3">
      <c r="A41" s="20">
        <v>4</v>
      </c>
      <c r="B41" s="20">
        <v>62</v>
      </c>
      <c r="C41" s="20">
        <v>47.01</v>
      </c>
      <c r="D41" s="20">
        <v>14.99</v>
      </c>
      <c r="E41" s="20">
        <v>-0.56000000000000005</v>
      </c>
      <c r="F41" s="20">
        <v>3388.51</v>
      </c>
      <c r="Q41" s="32">
        <v>4</v>
      </c>
      <c r="R41" s="32">
        <v>54.78</v>
      </c>
      <c r="S41" s="34">
        <v>62</v>
      </c>
      <c r="T41" s="34">
        <v>7.22</v>
      </c>
      <c r="U41" s="32">
        <v>-0.42</v>
      </c>
      <c r="V41" s="32">
        <v>2309.46</v>
      </c>
    </row>
    <row r="42" spans="1:26" ht="16.8" x14ac:dyDescent="0.3">
      <c r="A42" s="20">
        <v>4.0999999999999996</v>
      </c>
      <c r="B42" s="20">
        <v>62</v>
      </c>
      <c r="C42" s="20">
        <v>47.46</v>
      </c>
      <c r="D42" s="20">
        <v>14.54</v>
      </c>
      <c r="E42" s="20">
        <v>-0.45</v>
      </c>
      <c r="F42" s="20">
        <v>3305.85</v>
      </c>
      <c r="Q42" s="32">
        <v>4.0999999999999996</v>
      </c>
      <c r="R42" s="32">
        <v>55.21</v>
      </c>
      <c r="S42" s="32">
        <v>62</v>
      </c>
      <c r="T42" s="32">
        <v>6.79</v>
      </c>
      <c r="U42" s="34">
        <v>-0.43</v>
      </c>
      <c r="V42" s="32">
        <v>2254.4</v>
      </c>
    </row>
    <row r="43" spans="1:26" ht="16.8" x14ac:dyDescent="0.3">
      <c r="A43" s="20">
        <v>4.2</v>
      </c>
      <c r="B43" s="20">
        <v>62</v>
      </c>
      <c r="C43" s="20">
        <v>47.98</v>
      </c>
      <c r="D43" s="20">
        <v>14.02</v>
      </c>
      <c r="E43" s="20">
        <v>-0.52</v>
      </c>
      <c r="F43" s="20">
        <v>3388.51</v>
      </c>
      <c r="Q43" s="32">
        <v>4.2</v>
      </c>
      <c r="R43" s="32">
        <v>55.52</v>
      </c>
      <c r="S43" s="32">
        <v>62</v>
      </c>
      <c r="T43" s="34">
        <v>6.48</v>
      </c>
      <c r="U43" s="34">
        <v>-0.31</v>
      </c>
      <c r="V43" s="32">
        <v>2265.06</v>
      </c>
    </row>
    <row r="44" spans="1:26" ht="16.8" x14ac:dyDescent="0.3">
      <c r="A44" s="20">
        <v>4.3</v>
      </c>
      <c r="B44" s="20">
        <v>62</v>
      </c>
      <c r="C44" s="20">
        <v>48.47</v>
      </c>
      <c r="D44" s="20">
        <v>13.53</v>
      </c>
      <c r="E44" s="20">
        <v>-0.49</v>
      </c>
      <c r="F44" s="20">
        <v>3367.38</v>
      </c>
      <c r="Q44" s="32">
        <v>4.3</v>
      </c>
      <c r="R44" s="32">
        <v>55.93</v>
      </c>
      <c r="S44" s="34">
        <v>62</v>
      </c>
      <c r="T44" s="32">
        <v>6.07</v>
      </c>
      <c r="U44" s="34">
        <v>-0.41</v>
      </c>
      <c r="V44" s="32">
        <v>2175.29</v>
      </c>
    </row>
    <row r="45" spans="1:26" ht="16.8" x14ac:dyDescent="0.3">
      <c r="A45" s="20">
        <v>4.4000000000000004</v>
      </c>
      <c r="B45" s="20">
        <v>62</v>
      </c>
      <c r="C45" s="20">
        <v>49</v>
      </c>
      <c r="D45" s="20">
        <v>13</v>
      </c>
      <c r="E45" s="20">
        <v>-0.53</v>
      </c>
      <c r="F45" s="20">
        <v>3388.51</v>
      </c>
      <c r="Q45" s="32">
        <v>4.4000000000000004</v>
      </c>
      <c r="R45" s="32">
        <v>56.24</v>
      </c>
      <c r="S45" s="32">
        <v>62</v>
      </c>
      <c r="T45" s="34">
        <v>5.76</v>
      </c>
      <c r="U45" s="34">
        <v>-0.31</v>
      </c>
      <c r="V45" s="32">
        <v>2177.75</v>
      </c>
    </row>
    <row r="46" spans="1:26" ht="16.8" x14ac:dyDescent="0.3">
      <c r="A46" s="20">
        <v>4.5</v>
      </c>
      <c r="B46" s="20">
        <v>62</v>
      </c>
      <c r="C46" s="20">
        <v>49.46</v>
      </c>
      <c r="D46" s="20">
        <v>12.54</v>
      </c>
      <c r="E46" s="20">
        <v>-0.46</v>
      </c>
      <c r="F46" s="20">
        <v>3323.26</v>
      </c>
      <c r="Q46" s="32">
        <v>4.5</v>
      </c>
      <c r="R46" s="32">
        <v>56.58</v>
      </c>
      <c r="S46" s="34">
        <v>62</v>
      </c>
      <c r="T46" s="34">
        <v>5.42</v>
      </c>
      <c r="U46" s="34">
        <v>-0.33</v>
      </c>
      <c r="V46" s="32">
        <v>2131.6</v>
      </c>
    </row>
    <row r="47" spans="1:26" ht="16.8" x14ac:dyDescent="0.3">
      <c r="A47" s="20">
        <v>4.5999999999999996</v>
      </c>
      <c r="B47" s="20">
        <v>62</v>
      </c>
      <c r="C47" s="20">
        <v>49.92</v>
      </c>
      <c r="D47" s="20">
        <v>12.08</v>
      </c>
      <c r="E47" s="20">
        <v>-0.46</v>
      </c>
      <c r="F47" s="20">
        <v>3329.26</v>
      </c>
      <c r="Q47" s="32">
        <v>4.5999999999999996</v>
      </c>
      <c r="R47" s="32">
        <v>56.91</v>
      </c>
      <c r="S47" s="32">
        <v>62</v>
      </c>
      <c r="T47" s="34">
        <v>5.09</v>
      </c>
      <c r="U47" s="34">
        <v>-0.33</v>
      </c>
      <c r="V47" s="32">
        <v>2091.12</v>
      </c>
    </row>
    <row r="48" spans="1:26" ht="16.8" x14ac:dyDescent="0.3">
      <c r="A48" s="20">
        <v>4.7</v>
      </c>
      <c r="B48" s="20">
        <v>62</v>
      </c>
      <c r="C48" s="20">
        <v>50.39</v>
      </c>
      <c r="D48" s="20">
        <v>11.61</v>
      </c>
      <c r="E48" s="20">
        <v>-0.47</v>
      </c>
      <c r="F48" s="20">
        <v>3335.37</v>
      </c>
      <c r="Q48" s="32">
        <v>4.7</v>
      </c>
      <c r="R48" s="32">
        <v>57.19</v>
      </c>
      <c r="S48" s="34">
        <v>62</v>
      </c>
      <c r="T48" s="34">
        <v>4.8099999999999996</v>
      </c>
      <c r="U48" s="32">
        <v>-0.28000000000000003</v>
      </c>
      <c r="V48" s="32">
        <v>2077.0700000000002</v>
      </c>
    </row>
    <row r="49" spans="1:22" ht="16.8" x14ac:dyDescent="0.3">
      <c r="A49" s="20">
        <v>4.8</v>
      </c>
      <c r="B49" s="20">
        <v>62</v>
      </c>
      <c r="C49" s="20">
        <v>50.86</v>
      </c>
      <c r="D49" s="20">
        <v>11.14</v>
      </c>
      <c r="E49" s="20">
        <v>-0.47</v>
      </c>
      <c r="F49" s="20">
        <v>3335.35</v>
      </c>
      <c r="Q49" s="32">
        <v>4.8</v>
      </c>
      <c r="R49" s="32">
        <v>57.46</v>
      </c>
      <c r="S49" s="32">
        <v>62</v>
      </c>
      <c r="T49" s="32">
        <v>4.54</v>
      </c>
      <c r="U49" s="34">
        <v>-0.27</v>
      </c>
      <c r="V49" s="32">
        <v>2047.49</v>
      </c>
    </row>
    <row r="50" spans="1:22" ht="16.8" x14ac:dyDescent="0.3">
      <c r="A50" s="20">
        <v>4.9000000000000004</v>
      </c>
      <c r="B50" s="20">
        <v>62</v>
      </c>
      <c r="C50" s="20">
        <v>51.28</v>
      </c>
      <c r="D50" s="20">
        <v>10.72</v>
      </c>
      <c r="E50" s="20">
        <v>-0.43</v>
      </c>
      <c r="F50" s="20">
        <v>3278.64</v>
      </c>
      <c r="Q50" s="32">
        <v>4.9000000000000004</v>
      </c>
      <c r="R50" s="32">
        <v>57.74</v>
      </c>
      <c r="S50" s="34">
        <v>62</v>
      </c>
      <c r="T50" s="34">
        <v>4.26</v>
      </c>
      <c r="U50" s="34">
        <v>-0.28000000000000003</v>
      </c>
      <c r="V50" s="32">
        <v>2009.48</v>
      </c>
    </row>
    <row r="51" spans="1:22" ht="16.8" x14ac:dyDescent="0.3">
      <c r="A51" s="20">
        <v>5</v>
      </c>
      <c r="B51" s="20">
        <v>62</v>
      </c>
      <c r="C51" s="20">
        <v>51.66</v>
      </c>
      <c r="D51" s="20">
        <v>10.34</v>
      </c>
      <c r="E51" s="20">
        <v>-0.37</v>
      </c>
      <c r="F51" s="20">
        <v>3198.98</v>
      </c>
      <c r="Q51" s="32">
        <v>5</v>
      </c>
      <c r="R51" s="32">
        <v>58.01</v>
      </c>
      <c r="S51" s="32">
        <v>62</v>
      </c>
      <c r="T51" s="32">
        <v>3.99</v>
      </c>
      <c r="U51" s="34">
        <v>-0.27</v>
      </c>
      <c r="V51" s="32">
        <v>1983.09</v>
      </c>
    </row>
    <row r="52" spans="1:22" ht="16.8" x14ac:dyDescent="0.3">
      <c r="A52" s="20">
        <v>5.0999999999999996</v>
      </c>
      <c r="B52" s="20">
        <v>62</v>
      </c>
      <c r="C52" s="20">
        <v>52.04</v>
      </c>
      <c r="D52" s="20">
        <v>9.9600000000000009</v>
      </c>
      <c r="E52" s="20">
        <v>-0.39</v>
      </c>
      <c r="F52" s="20">
        <v>3224.47</v>
      </c>
      <c r="Q52" s="32">
        <v>5.0999999999999996</v>
      </c>
      <c r="R52" s="32">
        <v>58.25</v>
      </c>
      <c r="S52" s="34">
        <v>62</v>
      </c>
      <c r="T52" s="34">
        <v>3.75</v>
      </c>
      <c r="U52" s="34">
        <v>-0.24</v>
      </c>
      <c r="V52" s="32">
        <v>1963.23</v>
      </c>
    </row>
    <row r="53" spans="1:22" ht="16.8" x14ac:dyDescent="0.3">
      <c r="A53" s="20">
        <v>5.2</v>
      </c>
      <c r="B53" s="20">
        <v>62</v>
      </c>
      <c r="C53" s="20">
        <v>52.43</v>
      </c>
      <c r="D53" s="20">
        <v>9.57</v>
      </c>
      <c r="E53" s="20">
        <v>-0.39</v>
      </c>
      <c r="F53" s="20">
        <v>3224.5</v>
      </c>
      <c r="Q53" s="32">
        <v>5.2</v>
      </c>
      <c r="R53" s="32">
        <v>58.53</v>
      </c>
      <c r="S53" s="32">
        <v>62</v>
      </c>
      <c r="T53" s="32">
        <v>3.47</v>
      </c>
      <c r="U53" s="34">
        <v>-0.28000000000000003</v>
      </c>
      <c r="V53" s="32">
        <v>1910.39</v>
      </c>
    </row>
    <row r="54" spans="1:22" ht="16.8" x14ac:dyDescent="0.3">
      <c r="A54" s="20">
        <v>5.3</v>
      </c>
      <c r="B54" s="20">
        <v>62</v>
      </c>
      <c r="C54" s="20">
        <v>52.94</v>
      </c>
      <c r="D54" s="20">
        <v>9.06</v>
      </c>
      <c r="E54" s="20">
        <v>-0.51</v>
      </c>
      <c r="F54" s="20">
        <v>3388.51</v>
      </c>
      <c r="Q54" s="32">
        <v>5.3</v>
      </c>
      <c r="R54" s="32">
        <v>58.75</v>
      </c>
      <c r="S54" s="34">
        <v>62</v>
      </c>
      <c r="T54" s="34">
        <v>3.25</v>
      </c>
      <c r="U54" s="34">
        <v>-0.22</v>
      </c>
      <c r="V54" s="32">
        <v>1909.34</v>
      </c>
    </row>
    <row r="55" spans="1:22" ht="16.8" x14ac:dyDescent="0.3">
      <c r="A55" s="20">
        <v>5.4</v>
      </c>
      <c r="B55" s="20">
        <v>62</v>
      </c>
      <c r="C55" s="20">
        <v>53.55</v>
      </c>
      <c r="D55" s="20">
        <v>8.4499999999999993</v>
      </c>
      <c r="E55" s="20">
        <v>-0.6</v>
      </c>
      <c r="F55" s="20">
        <v>3388.51</v>
      </c>
      <c r="Q55" s="32">
        <v>5.4</v>
      </c>
      <c r="R55" s="32">
        <v>59.01</v>
      </c>
      <c r="S55" s="32">
        <v>62</v>
      </c>
      <c r="T55" s="32">
        <v>2.99</v>
      </c>
      <c r="U55" s="34">
        <v>-0.26</v>
      </c>
      <c r="V55" s="32">
        <v>1859.23</v>
      </c>
    </row>
    <row r="56" spans="1:22" ht="16.8" x14ac:dyDescent="0.3">
      <c r="A56" s="20">
        <v>5.5</v>
      </c>
      <c r="B56" s="20">
        <v>62</v>
      </c>
      <c r="C56" s="20">
        <v>53.93</v>
      </c>
      <c r="D56" s="20">
        <v>8.07</v>
      </c>
      <c r="E56" s="20">
        <v>-0.38</v>
      </c>
      <c r="F56" s="20">
        <v>3218.14</v>
      </c>
      <c r="Q56" s="32">
        <v>5.5</v>
      </c>
      <c r="R56" s="32">
        <v>59.25</v>
      </c>
      <c r="S56" s="34">
        <v>62</v>
      </c>
      <c r="T56" s="34">
        <v>2.75</v>
      </c>
      <c r="U56" s="32">
        <v>-0.24</v>
      </c>
      <c r="V56" s="32">
        <v>1833.72</v>
      </c>
    </row>
    <row r="57" spans="1:22" ht="16.8" x14ac:dyDescent="0.3">
      <c r="A57" s="20">
        <v>5.6</v>
      </c>
      <c r="B57" s="20">
        <v>62</v>
      </c>
      <c r="C57" s="20">
        <v>54.22</v>
      </c>
      <c r="D57" s="20">
        <v>7.78</v>
      </c>
      <c r="E57" s="20">
        <v>-0.28999999999999998</v>
      </c>
      <c r="F57" s="20">
        <v>3075.49</v>
      </c>
      <c r="Q57" s="20">
        <v>5.6</v>
      </c>
      <c r="R57" s="20">
        <v>59.45</v>
      </c>
      <c r="S57" s="20">
        <v>62</v>
      </c>
      <c r="T57" s="26">
        <v>2.5499999999999998</v>
      </c>
      <c r="U57" s="26">
        <v>-0.2</v>
      </c>
      <c r="V57" s="20">
        <v>1823.86</v>
      </c>
    </row>
    <row r="58" spans="1:22" ht="16.8" x14ac:dyDescent="0.3">
      <c r="A58" s="20">
        <v>5.7</v>
      </c>
      <c r="B58" s="20">
        <v>62</v>
      </c>
      <c r="C58" s="20">
        <v>54.62</v>
      </c>
      <c r="D58" s="20">
        <v>7.38</v>
      </c>
      <c r="E58" s="20">
        <v>-0.39</v>
      </c>
      <c r="F58" s="20">
        <v>3237.2</v>
      </c>
      <c r="Q58" s="20">
        <v>5.7</v>
      </c>
      <c r="R58" s="20">
        <v>59.69</v>
      </c>
      <c r="S58" s="26">
        <v>62</v>
      </c>
      <c r="T58" s="26">
        <v>2.31</v>
      </c>
      <c r="U58" s="26">
        <v>-0.23</v>
      </c>
      <c r="V58" s="20">
        <v>1779.21</v>
      </c>
    </row>
    <row r="59" spans="1:22" ht="16.8" x14ac:dyDescent="0.3">
      <c r="A59" s="20">
        <v>5.8</v>
      </c>
      <c r="B59" s="20">
        <v>62</v>
      </c>
      <c r="C59" s="20">
        <v>55.08</v>
      </c>
      <c r="D59" s="20">
        <v>6.92</v>
      </c>
      <c r="E59" s="20">
        <v>-0.46</v>
      </c>
      <c r="F59" s="20">
        <v>3329.26</v>
      </c>
      <c r="Q59" s="20">
        <v>5.8</v>
      </c>
      <c r="R59" s="20">
        <v>59.82</v>
      </c>
      <c r="S59" s="20">
        <v>62</v>
      </c>
      <c r="T59" s="20">
        <v>2.1800000000000002</v>
      </c>
      <c r="U59" s="20">
        <v>-0.14000000000000001</v>
      </c>
      <c r="V59" s="20">
        <v>1801.36</v>
      </c>
    </row>
    <row r="60" spans="1:22" ht="16.8" x14ac:dyDescent="0.3">
      <c r="A60" s="20">
        <v>5.9</v>
      </c>
      <c r="B60" s="20">
        <v>62</v>
      </c>
      <c r="C60" s="20">
        <v>55.52</v>
      </c>
      <c r="D60" s="20">
        <v>6.48</v>
      </c>
      <c r="E60" s="20">
        <v>-0.44</v>
      </c>
      <c r="F60" s="20">
        <v>3300.24</v>
      </c>
      <c r="Q60" s="20">
        <v>5.9</v>
      </c>
      <c r="R60" s="20">
        <v>60.03</v>
      </c>
      <c r="S60" s="26">
        <v>62</v>
      </c>
      <c r="T60" s="26">
        <v>1.97</v>
      </c>
      <c r="U60" s="26">
        <v>-0.21</v>
      </c>
      <c r="V60" s="20">
        <v>1743.58</v>
      </c>
    </row>
    <row r="61" spans="1:22" ht="16.8" x14ac:dyDescent="0.3">
      <c r="A61" s="20">
        <v>6</v>
      </c>
      <c r="B61" s="20">
        <v>62</v>
      </c>
      <c r="C61" s="20">
        <v>55.87</v>
      </c>
      <c r="D61" s="20">
        <v>6.13</v>
      </c>
      <c r="E61" s="20">
        <v>-0.35</v>
      </c>
      <c r="F61" s="20">
        <v>3160.7</v>
      </c>
      <c r="Q61" s="20">
        <v>6</v>
      </c>
      <c r="R61" s="20">
        <v>60.2</v>
      </c>
      <c r="S61" s="20">
        <v>62</v>
      </c>
      <c r="T61" s="20">
        <v>1.8</v>
      </c>
      <c r="U61" s="20">
        <v>-0.17</v>
      </c>
      <c r="V61" s="20">
        <v>1737.06</v>
      </c>
    </row>
    <row r="62" spans="1:22" ht="16.8" x14ac:dyDescent="0.3">
      <c r="A62" s="20">
        <v>6.1</v>
      </c>
      <c r="B62" s="20">
        <v>62</v>
      </c>
      <c r="C62" s="20">
        <v>56.25</v>
      </c>
      <c r="D62" s="20">
        <v>5.75</v>
      </c>
      <c r="E62" s="20">
        <v>-0.38</v>
      </c>
      <c r="F62" s="20">
        <v>3218.14</v>
      </c>
      <c r="Q62" s="20">
        <v>6.1</v>
      </c>
      <c r="R62" s="20">
        <v>60.41</v>
      </c>
      <c r="S62" s="26">
        <v>62</v>
      </c>
      <c r="T62" s="20">
        <v>1.59</v>
      </c>
      <c r="U62" s="26">
        <v>-0.21</v>
      </c>
      <c r="V62" s="20">
        <v>1691.29</v>
      </c>
    </row>
    <row r="63" spans="1:22" ht="16.8" x14ac:dyDescent="0.3">
      <c r="A63" s="20">
        <v>6.2</v>
      </c>
      <c r="B63" s="20">
        <v>62</v>
      </c>
      <c r="C63" s="20">
        <v>56.67</v>
      </c>
      <c r="D63" s="20">
        <v>5.33</v>
      </c>
      <c r="E63" s="20">
        <v>-0.42</v>
      </c>
      <c r="F63" s="20">
        <v>3268.36</v>
      </c>
      <c r="Q63" s="20">
        <v>6.2</v>
      </c>
      <c r="R63" s="20">
        <v>60.52</v>
      </c>
      <c r="S63" s="20">
        <v>62</v>
      </c>
      <c r="T63" s="26">
        <v>1.48</v>
      </c>
      <c r="U63" s="26">
        <v>-0.1</v>
      </c>
      <c r="V63" s="20">
        <v>1720.15</v>
      </c>
    </row>
    <row r="64" spans="1:22" ht="16.8" x14ac:dyDescent="0.3">
      <c r="A64" s="20">
        <v>6.3</v>
      </c>
      <c r="B64" s="20">
        <v>62</v>
      </c>
      <c r="C64" s="20">
        <v>57.1</v>
      </c>
      <c r="D64" s="20">
        <v>4.9000000000000004</v>
      </c>
      <c r="E64" s="20">
        <v>-0.43</v>
      </c>
      <c r="F64" s="20">
        <v>3278.65</v>
      </c>
      <c r="Q64" s="20">
        <v>6.3</v>
      </c>
      <c r="R64" s="20">
        <v>60.7</v>
      </c>
      <c r="S64" s="26">
        <v>62</v>
      </c>
      <c r="T64" s="20">
        <v>1.3</v>
      </c>
      <c r="U64" s="26">
        <v>-0.19</v>
      </c>
      <c r="V64" s="20">
        <v>1661.39</v>
      </c>
    </row>
    <row r="65" spans="1:22" ht="16.8" x14ac:dyDescent="0.3">
      <c r="A65" s="20">
        <v>6.4</v>
      </c>
      <c r="B65" s="20">
        <v>62</v>
      </c>
      <c r="C65" s="20">
        <v>57.45</v>
      </c>
      <c r="D65" s="20">
        <v>4.55</v>
      </c>
      <c r="E65" s="20">
        <v>-0.35</v>
      </c>
      <c r="F65" s="20">
        <v>3167.11</v>
      </c>
      <c r="Q65" s="20">
        <v>6.4</v>
      </c>
      <c r="R65" s="20">
        <v>60.81</v>
      </c>
      <c r="S65" s="20">
        <v>62</v>
      </c>
      <c r="T65" s="26">
        <v>1.19</v>
      </c>
      <c r="U65" s="26">
        <v>-0.11</v>
      </c>
      <c r="V65" s="20">
        <v>1675.33</v>
      </c>
    </row>
    <row r="66" spans="1:22" ht="16.8" x14ac:dyDescent="0.3">
      <c r="A66" s="20">
        <v>6.5</v>
      </c>
      <c r="B66" s="20">
        <v>62</v>
      </c>
      <c r="C66" s="20">
        <v>57.82</v>
      </c>
      <c r="D66" s="20">
        <v>4.18</v>
      </c>
      <c r="E66" s="20">
        <v>-0.37</v>
      </c>
      <c r="F66" s="20">
        <v>3205.35</v>
      </c>
      <c r="Q66" s="20">
        <v>6.5</v>
      </c>
      <c r="R66" s="20">
        <v>60.95</v>
      </c>
      <c r="S66" s="26">
        <v>62</v>
      </c>
      <c r="T66" s="20">
        <v>1.05</v>
      </c>
      <c r="U66" s="26">
        <v>-0.14000000000000001</v>
      </c>
      <c r="V66" s="20">
        <v>1646.29</v>
      </c>
    </row>
    <row r="67" spans="1:22" ht="16.8" x14ac:dyDescent="0.3">
      <c r="A67" s="20">
        <v>6.6</v>
      </c>
      <c r="B67" s="20">
        <v>62</v>
      </c>
      <c r="C67" s="20">
        <v>58.24</v>
      </c>
      <c r="D67" s="20">
        <v>3.76</v>
      </c>
      <c r="E67" s="20">
        <v>-0.42</v>
      </c>
      <c r="F67" s="20">
        <v>3263.36</v>
      </c>
      <c r="Q67" s="20">
        <v>6.6</v>
      </c>
      <c r="R67" s="20">
        <v>61.14</v>
      </c>
      <c r="S67" s="20">
        <v>62</v>
      </c>
      <c r="T67" s="26">
        <v>0.86</v>
      </c>
      <c r="U67" s="26">
        <v>-0.19</v>
      </c>
      <c r="V67" s="20">
        <v>1599.41</v>
      </c>
    </row>
    <row r="68" spans="1:22" ht="16.8" x14ac:dyDescent="0.3">
      <c r="A68" s="20">
        <v>6.7</v>
      </c>
      <c r="B68" s="20">
        <v>62</v>
      </c>
      <c r="C68" s="20">
        <v>58.63</v>
      </c>
      <c r="D68" s="20">
        <v>3.37</v>
      </c>
      <c r="E68" s="20">
        <v>-0.39</v>
      </c>
      <c r="F68" s="20">
        <v>3237.24</v>
      </c>
      <c r="Q68" s="20">
        <v>6.7</v>
      </c>
      <c r="R68" s="20">
        <v>61.27</v>
      </c>
      <c r="S68" s="26">
        <v>62</v>
      </c>
      <c r="T68" s="20">
        <v>0.73</v>
      </c>
      <c r="U68" s="26">
        <v>-0.14000000000000001</v>
      </c>
      <c r="V68" s="20">
        <v>1598.7</v>
      </c>
    </row>
    <row r="69" spans="1:22" ht="16.8" x14ac:dyDescent="0.3">
      <c r="A69" s="32">
        <v>6.8</v>
      </c>
      <c r="B69" s="20">
        <v>62</v>
      </c>
      <c r="C69" s="20">
        <v>58.98</v>
      </c>
      <c r="D69" s="20">
        <v>3.02</v>
      </c>
      <c r="E69" s="20">
        <v>-0.34</v>
      </c>
      <c r="F69" s="20">
        <v>3154.31</v>
      </c>
      <c r="Q69" s="20">
        <v>6.8</v>
      </c>
      <c r="R69" s="20">
        <v>61.41</v>
      </c>
      <c r="S69" s="20">
        <v>62</v>
      </c>
      <c r="T69" s="26">
        <v>0.59</v>
      </c>
      <c r="U69" s="20">
        <v>-0.14000000000000001</v>
      </c>
      <c r="V69" s="20">
        <v>1578.26</v>
      </c>
    </row>
    <row r="70" spans="1:22" ht="16.8" x14ac:dyDescent="0.3">
      <c r="A70" s="45">
        <v>6.9</v>
      </c>
      <c r="B70" s="20">
        <v>62</v>
      </c>
      <c r="C70" s="20">
        <v>59.37</v>
      </c>
      <c r="D70" s="20">
        <v>2.63</v>
      </c>
      <c r="E70" s="20">
        <v>-0.39</v>
      </c>
      <c r="F70" s="20">
        <v>3216.14</v>
      </c>
      <c r="Q70" s="20">
        <v>6.9</v>
      </c>
      <c r="R70" s="20">
        <v>61.47</v>
      </c>
      <c r="S70" s="26">
        <v>62</v>
      </c>
      <c r="T70" s="26">
        <v>0.53</v>
      </c>
      <c r="U70" s="26">
        <v>-0.06</v>
      </c>
      <c r="V70" s="20">
        <v>1598.32</v>
      </c>
    </row>
    <row r="71" spans="1:22" ht="16.8" x14ac:dyDescent="0.3">
      <c r="A71" s="20">
        <v>7</v>
      </c>
      <c r="B71" s="20">
        <v>62</v>
      </c>
      <c r="C71" s="20">
        <v>59.69</v>
      </c>
      <c r="D71" s="20">
        <v>2.31</v>
      </c>
      <c r="E71" s="20">
        <v>-0.32</v>
      </c>
      <c r="F71" s="20">
        <v>3101.37</v>
      </c>
      <c r="Q71" s="20">
        <v>7</v>
      </c>
      <c r="R71" s="20">
        <v>61.6</v>
      </c>
      <c r="S71" s="20">
        <v>62</v>
      </c>
      <c r="T71" s="26">
        <v>0.4</v>
      </c>
      <c r="U71" s="26">
        <v>-0.12</v>
      </c>
      <c r="V71" s="20">
        <v>1557.39</v>
      </c>
    </row>
    <row r="72" spans="1:22" ht="16.8" x14ac:dyDescent="0.3">
      <c r="A72" s="20">
        <v>7.1</v>
      </c>
      <c r="B72" s="20">
        <v>62</v>
      </c>
      <c r="C72" s="20">
        <v>60.07</v>
      </c>
      <c r="D72" s="20">
        <v>1.93</v>
      </c>
      <c r="E72" s="20">
        <v>-0.38</v>
      </c>
      <c r="F72" s="20">
        <v>2985.84</v>
      </c>
      <c r="Q72" s="20">
        <v>7.1</v>
      </c>
      <c r="R72" s="20">
        <v>61.69</v>
      </c>
      <c r="S72" s="26">
        <v>62</v>
      </c>
      <c r="T72" s="26">
        <v>0.31</v>
      </c>
      <c r="U72" s="26">
        <v>-0.1</v>
      </c>
      <c r="V72" s="20">
        <v>1552.4</v>
      </c>
    </row>
    <row r="73" spans="1:22" ht="16.8" x14ac:dyDescent="0.3">
      <c r="A73" s="20">
        <v>7.2</v>
      </c>
      <c r="B73" s="20">
        <v>62</v>
      </c>
      <c r="C73" s="20">
        <v>60.38</v>
      </c>
      <c r="D73" s="20">
        <v>1.62</v>
      </c>
      <c r="E73" s="20">
        <v>-0.31</v>
      </c>
      <c r="F73" s="20">
        <v>2749.83</v>
      </c>
      <c r="Q73" s="20">
        <v>7.2</v>
      </c>
      <c r="R73" s="20">
        <v>61.78</v>
      </c>
      <c r="S73" s="20">
        <v>62</v>
      </c>
      <c r="T73" s="26">
        <v>0.22</v>
      </c>
      <c r="U73" s="26">
        <v>-0.09</v>
      </c>
      <c r="V73" s="20">
        <v>1542.02</v>
      </c>
    </row>
    <row r="74" spans="1:22" ht="16.8" x14ac:dyDescent="0.3">
      <c r="A74" s="20">
        <v>7.3</v>
      </c>
      <c r="B74" s="20">
        <v>62</v>
      </c>
      <c r="C74" s="20">
        <v>60.79</v>
      </c>
      <c r="D74" s="20">
        <v>1.21</v>
      </c>
      <c r="E74" s="20">
        <v>-0.41</v>
      </c>
      <c r="F74" s="20">
        <v>2550</v>
      </c>
      <c r="Q74" s="20">
        <v>7.3</v>
      </c>
      <c r="R74" s="20">
        <v>61.9</v>
      </c>
      <c r="S74" s="20">
        <v>62</v>
      </c>
      <c r="T74" s="26">
        <v>0.1</v>
      </c>
      <c r="U74" s="26">
        <v>-0.12</v>
      </c>
      <c r="V74" s="20">
        <v>1510.04</v>
      </c>
    </row>
    <row r="75" spans="1:22" ht="16.8" x14ac:dyDescent="0.3">
      <c r="A75" s="20">
        <v>7.4</v>
      </c>
      <c r="B75" s="20">
        <v>62</v>
      </c>
      <c r="C75" s="20">
        <v>61.05</v>
      </c>
      <c r="D75" s="20">
        <v>0.95</v>
      </c>
      <c r="E75" s="20">
        <v>-0.26</v>
      </c>
      <c r="F75" s="20">
        <v>2550</v>
      </c>
      <c r="Q75" s="20">
        <v>7.4</v>
      </c>
      <c r="R75" s="20">
        <v>61.97</v>
      </c>
      <c r="S75" s="26">
        <v>62</v>
      </c>
      <c r="T75" s="20">
        <v>0.03</v>
      </c>
      <c r="U75" s="26">
        <v>-7.0000000000000007E-2</v>
      </c>
      <c r="V75" s="20">
        <v>1517.93</v>
      </c>
    </row>
    <row r="76" spans="1:22" ht="16.8" x14ac:dyDescent="0.3">
      <c r="A76" s="20">
        <v>7.5</v>
      </c>
      <c r="B76" s="20">
        <v>62</v>
      </c>
      <c r="C76" s="20">
        <v>61.44</v>
      </c>
      <c r="D76" s="20">
        <v>0.56000000000000005</v>
      </c>
      <c r="E76" s="20">
        <v>-0.39</v>
      </c>
      <c r="F76" s="20">
        <v>2232.4899999999998</v>
      </c>
      <c r="Q76" s="20">
        <v>7.5</v>
      </c>
      <c r="R76" s="20">
        <v>62.07</v>
      </c>
      <c r="S76" s="20">
        <v>62</v>
      </c>
      <c r="T76" s="26">
        <v>-7.0000000000000007E-2</v>
      </c>
      <c r="U76" s="20">
        <v>-0.1</v>
      </c>
      <c r="V76" s="20">
        <v>1492.64</v>
      </c>
    </row>
    <row r="77" spans="1:22" ht="16.8" x14ac:dyDescent="0.3">
      <c r="A77" s="20">
        <v>7.6</v>
      </c>
      <c r="B77" s="20">
        <v>62</v>
      </c>
      <c r="C77" s="20">
        <v>61.76</v>
      </c>
      <c r="D77" s="20">
        <v>0.24</v>
      </c>
      <c r="E77" s="20">
        <v>-0.33</v>
      </c>
      <c r="F77" s="20">
        <v>2038.46</v>
      </c>
      <c r="Q77" s="20">
        <v>7.6</v>
      </c>
      <c r="R77" s="20">
        <v>62.14</v>
      </c>
      <c r="S77" s="26">
        <v>62</v>
      </c>
      <c r="T77" s="26">
        <v>-0.14000000000000001</v>
      </c>
      <c r="U77" s="26">
        <v>-0.06</v>
      </c>
      <c r="V77" s="20">
        <v>1494.95</v>
      </c>
    </row>
    <row r="78" spans="1:22" ht="16.8" x14ac:dyDescent="0.3">
      <c r="A78" s="20">
        <v>7.7</v>
      </c>
      <c r="B78" s="20">
        <v>62</v>
      </c>
      <c r="C78" s="20">
        <v>62.02</v>
      </c>
      <c r="D78" s="20">
        <v>-0.02</v>
      </c>
      <c r="E78" s="20">
        <v>-0.26</v>
      </c>
      <c r="F78" s="20">
        <v>1784.06</v>
      </c>
      <c r="Q78" s="20">
        <v>7.7</v>
      </c>
      <c r="R78" s="20">
        <v>62.22</v>
      </c>
      <c r="S78" s="20">
        <v>62</v>
      </c>
      <c r="T78" s="26">
        <v>-0.22</v>
      </c>
      <c r="U78" s="20">
        <v>-0.09</v>
      </c>
      <c r="V78" s="20">
        <v>1470.59</v>
      </c>
    </row>
    <row r="79" spans="1:22" ht="16.8" x14ac:dyDescent="0.3">
      <c r="A79" s="20">
        <v>7.8</v>
      </c>
      <c r="B79" s="20">
        <v>62</v>
      </c>
      <c r="C79" s="20">
        <v>62.36</v>
      </c>
      <c r="D79" s="20">
        <v>-0.36</v>
      </c>
      <c r="E79" s="20">
        <v>-0.34</v>
      </c>
      <c r="F79" s="20">
        <v>1584.21</v>
      </c>
      <c r="Q79" s="20">
        <v>7.8</v>
      </c>
      <c r="R79" s="20">
        <v>62.33</v>
      </c>
      <c r="S79" s="26">
        <v>62</v>
      </c>
      <c r="T79" s="20">
        <v>-0.33</v>
      </c>
      <c r="U79" s="26">
        <v>-0.1</v>
      </c>
      <c r="V79" s="20">
        <v>1446.62</v>
      </c>
    </row>
    <row r="80" spans="1:22" ht="16.8" x14ac:dyDescent="0.3">
      <c r="A80" s="20">
        <v>7.9</v>
      </c>
      <c r="B80" s="20">
        <v>62</v>
      </c>
      <c r="C80" s="20">
        <v>62.62</v>
      </c>
      <c r="D80" s="20">
        <v>-0.62</v>
      </c>
      <c r="E80" s="20">
        <v>-0.26</v>
      </c>
      <c r="F80" s="20">
        <v>1335.19</v>
      </c>
      <c r="Q80" s="20">
        <v>7.9</v>
      </c>
      <c r="R80" s="20">
        <v>62.43</v>
      </c>
      <c r="S80" s="20">
        <v>62</v>
      </c>
      <c r="T80" s="26">
        <v>-0.43</v>
      </c>
      <c r="U80" s="26">
        <v>-0.1</v>
      </c>
      <c r="V80" s="20">
        <v>1433.41</v>
      </c>
    </row>
    <row r="81" spans="1:22" ht="16.8" x14ac:dyDescent="0.3">
      <c r="A81" s="20">
        <v>8</v>
      </c>
      <c r="B81" s="20">
        <v>62</v>
      </c>
      <c r="C81" s="20">
        <v>62.81</v>
      </c>
      <c r="D81" s="20">
        <v>-0.81</v>
      </c>
      <c r="E81" s="20">
        <v>-0.19</v>
      </c>
      <c r="F81" s="20">
        <v>223.9</v>
      </c>
      <c r="Q81" s="20">
        <v>8</v>
      </c>
      <c r="R81" s="20">
        <v>62.42</v>
      </c>
      <c r="S81" s="26">
        <v>62</v>
      </c>
      <c r="T81" s="20">
        <v>-0.42</v>
      </c>
      <c r="U81" s="26">
        <v>0.01</v>
      </c>
      <c r="V81" s="20">
        <v>1475.7</v>
      </c>
    </row>
    <row r="82" spans="1:22" ht="16.8" x14ac:dyDescent="0.3">
      <c r="A82" s="20">
        <v>8.1</v>
      </c>
      <c r="B82" s="20">
        <v>62</v>
      </c>
      <c r="C82" s="20">
        <v>63.04</v>
      </c>
      <c r="D82" s="20">
        <v>-1.04</v>
      </c>
      <c r="E82" s="20">
        <v>-0.23</v>
      </c>
      <c r="F82" s="20">
        <v>223.9</v>
      </c>
      <c r="Q82" s="20">
        <v>8.1</v>
      </c>
      <c r="R82" s="20">
        <v>62.51</v>
      </c>
      <c r="S82" s="20">
        <v>62</v>
      </c>
      <c r="T82" s="26">
        <v>-0.51</v>
      </c>
      <c r="U82" s="26">
        <v>-0.1</v>
      </c>
      <c r="V82" s="20">
        <v>1417.04</v>
      </c>
    </row>
    <row r="83" spans="1:22" ht="16.8" x14ac:dyDescent="0.3">
      <c r="A83" s="20">
        <v>8.1999999999999993</v>
      </c>
      <c r="B83" s="20">
        <v>62</v>
      </c>
      <c r="C83" s="20">
        <v>63.19</v>
      </c>
      <c r="D83" s="20">
        <v>-1.19</v>
      </c>
      <c r="E83" s="20">
        <v>-0.15</v>
      </c>
      <c r="F83" s="20">
        <v>223.9</v>
      </c>
      <c r="Q83" s="20">
        <v>8.1999999999999993</v>
      </c>
      <c r="R83" s="20">
        <v>62.58</v>
      </c>
      <c r="S83" s="26">
        <v>62</v>
      </c>
      <c r="T83" s="20">
        <v>-0.57999999999999996</v>
      </c>
      <c r="U83" s="26">
        <v>-0.06</v>
      </c>
      <c r="V83" s="20">
        <v>1418.29</v>
      </c>
    </row>
    <row r="84" spans="1:22" ht="16.8" x14ac:dyDescent="0.3">
      <c r="A84" s="20">
        <v>8.3000000000000007</v>
      </c>
      <c r="B84" s="20">
        <v>62</v>
      </c>
      <c r="C84" s="20">
        <v>63.37</v>
      </c>
      <c r="D84" s="20">
        <v>-1.37</v>
      </c>
      <c r="E84" s="20">
        <v>-0.18</v>
      </c>
      <c r="F84" s="20">
        <v>223.9</v>
      </c>
      <c r="Q84" s="20">
        <v>8.3000000000000007</v>
      </c>
      <c r="R84" s="20">
        <v>62.62</v>
      </c>
      <c r="S84" s="20">
        <v>62</v>
      </c>
      <c r="T84" s="26">
        <v>-0.62</v>
      </c>
      <c r="U84" s="26">
        <v>-0.04</v>
      </c>
      <c r="V84" s="20">
        <v>1420.08</v>
      </c>
    </row>
    <row r="85" spans="1:22" ht="16.8" x14ac:dyDescent="0.3">
      <c r="A85" s="20">
        <v>8.4</v>
      </c>
      <c r="B85" s="20">
        <v>62</v>
      </c>
      <c r="C85" s="20">
        <v>63.46</v>
      </c>
      <c r="D85" s="20">
        <v>-1.46</v>
      </c>
      <c r="E85" s="20">
        <v>-0.08</v>
      </c>
      <c r="F85" s="20">
        <v>223.9</v>
      </c>
      <c r="Q85" s="20">
        <v>8.4</v>
      </c>
      <c r="R85" s="20">
        <v>62.69</v>
      </c>
      <c r="S85" s="26">
        <v>62</v>
      </c>
      <c r="T85" s="26">
        <v>-0.69</v>
      </c>
      <c r="U85" s="26">
        <v>-7.0000000000000007E-2</v>
      </c>
      <c r="V85" s="20">
        <v>1393.92</v>
      </c>
    </row>
    <row r="86" spans="1:22" ht="16.8" x14ac:dyDescent="0.3">
      <c r="A86" s="20">
        <v>8.5</v>
      </c>
      <c r="B86" s="20">
        <v>62</v>
      </c>
      <c r="C86" s="20">
        <v>63.5</v>
      </c>
      <c r="D86" s="20">
        <v>-1.5</v>
      </c>
      <c r="E86" s="20">
        <v>-0.04</v>
      </c>
      <c r="F86" s="20">
        <v>223.9</v>
      </c>
      <c r="Q86" s="20">
        <v>8.5</v>
      </c>
      <c r="R86" s="20">
        <v>62.72</v>
      </c>
      <c r="S86" s="20">
        <v>62</v>
      </c>
      <c r="T86" s="26">
        <v>-0.72</v>
      </c>
      <c r="U86" s="26">
        <v>-0.02</v>
      </c>
      <c r="V86" s="20">
        <v>1407.74</v>
      </c>
    </row>
    <row r="87" spans="1:22" ht="16.8" x14ac:dyDescent="0.3">
      <c r="A87" s="20">
        <v>8.6</v>
      </c>
      <c r="B87" s="20">
        <v>62</v>
      </c>
      <c r="C87" s="20">
        <v>63.55</v>
      </c>
      <c r="D87" s="20">
        <v>-1.55</v>
      </c>
      <c r="E87" s="20">
        <v>-0.05</v>
      </c>
      <c r="F87" s="20">
        <v>223.9</v>
      </c>
      <c r="Q87" s="20">
        <v>8.6</v>
      </c>
      <c r="R87" s="20">
        <v>62.76</v>
      </c>
      <c r="S87" s="20">
        <v>62</v>
      </c>
      <c r="T87" s="20">
        <v>-0.76</v>
      </c>
      <c r="U87" s="20">
        <v>-0.05</v>
      </c>
      <c r="V87" s="20">
        <v>1388.49</v>
      </c>
    </row>
    <row r="88" spans="1:22" ht="16.8" x14ac:dyDescent="0.3">
      <c r="A88" s="20">
        <v>8.6999999999999993</v>
      </c>
      <c r="B88" s="20">
        <v>62</v>
      </c>
      <c r="C88" s="20">
        <v>63.48</v>
      </c>
      <c r="D88" s="20">
        <v>-1.48</v>
      </c>
      <c r="E88" s="20">
        <v>7.0000000000000007E-2</v>
      </c>
      <c r="F88" s="20">
        <v>223.9</v>
      </c>
      <c r="Q88" s="20">
        <v>8.6999999999999993</v>
      </c>
      <c r="R88" s="20">
        <v>62.77</v>
      </c>
      <c r="S88" s="26">
        <v>62</v>
      </c>
      <c r="T88" s="26">
        <v>-0.77</v>
      </c>
      <c r="U88" s="26">
        <v>-0.01</v>
      </c>
      <c r="V88" s="20">
        <v>1401.52</v>
      </c>
    </row>
    <row r="89" spans="1:22" ht="16.8" x14ac:dyDescent="0.3">
      <c r="A89" s="20">
        <v>8.8000000000000007</v>
      </c>
      <c r="B89" s="20">
        <v>62</v>
      </c>
      <c r="C89" s="20">
        <v>63.43</v>
      </c>
      <c r="D89" s="20">
        <v>-1.43</v>
      </c>
      <c r="E89" s="20">
        <v>0.05</v>
      </c>
      <c r="F89" s="20">
        <v>223.9</v>
      </c>
      <c r="Q89" s="20">
        <v>8.8000000000000007</v>
      </c>
      <c r="R89" s="20">
        <v>62.83</v>
      </c>
      <c r="S89" s="20">
        <v>62</v>
      </c>
      <c r="T89" s="20">
        <v>-0.83</v>
      </c>
      <c r="U89" s="20">
        <v>-0.06</v>
      </c>
      <c r="V89" s="20">
        <v>1371.15</v>
      </c>
    </row>
    <row r="90" spans="1:22" ht="16.8" x14ac:dyDescent="0.3">
      <c r="A90" s="20">
        <v>8.9</v>
      </c>
      <c r="B90" s="20">
        <v>62</v>
      </c>
      <c r="C90" s="20">
        <v>63.36</v>
      </c>
      <c r="D90" s="20">
        <v>-1.36</v>
      </c>
      <c r="E90" s="20">
        <v>0.08</v>
      </c>
      <c r="F90" s="20">
        <v>223.9</v>
      </c>
      <c r="Q90" s="20">
        <v>8.9</v>
      </c>
      <c r="R90" s="20">
        <v>62.88</v>
      </c>
      <c r="S90" s="26">
        <v>62</v>
      </c>
      <c r="T90" s="26">
        <v>-0.88</v>
      </c>
      <c r="U90" s="26">
        <v>-0.05</v>
      </c>
      <c r="V90" s="20">
        <v>1364.56</v>
      </c>
    </row>
    <row r="91" spans="1:22" ht="16.8" x14ac:dyDescent="0.3">
      <c r="A91" s="20">
        <v>9</v>
      </c>
      <c r="B91" s="20">
        <v>62</v>
      </c>
      <c r="C91" s="20">
        <v>63.22</v>
      </c>
      <c r="D91" s="20">
        <v>-1.22</v>
      </c>
      <c r="E91" s="20">
        <v>0.14000000000000001</v>
      </c>
      <c r="F91" s="20">
        <v>223.9</v>
      </c>
      <c r="Q91" s="20">
        <v>9</v>
      </c>
      <c r="R91" s="20">
        <v>62.93</v>
      </c>
      <c r="S91" s="20">
        <v>62</v>
      </c>
      <c r="T91" s="26">
        <v>-0.93</v>
      </c>
      <c r="U91" s="20">
        <v>-0.06</v>
      </c>
      <c r="V91" s="20">
        <v>1350.08</v>
      </c>
    </row>
    <row r="92" spans="1:22" ht="16.8" x14ac:dyDescent="0.3">
      <c r="A92" s="20">
        <v>9.1</v>
      </c>
      <c r="B92" s="20">
        <v>62</v>
      </c>
      <c r="C92" s="20">
        <v>63.01</v>
      </c>
      <c r="D92" s="20">
        <v>-1.01</v>
      </c>
      <c r="E92" s="20">
        <v>0.2</v>
      </c>
      <c r="F92" s="20">
        <v>223.9</v>
      </c>
      <c r="Q92" s="20">
        <v>9.1</v>
      </c>
      <c r="R92" s="20">
        <v>62.97</v>
      </c>
      <c r="S92" s="26">
        <v>62</v>
      </c>
      <c r="T92" s="26">
        <v>-0.97</v>
      </c>
      <c r="U92" s="26">
        <v>-0.03</v>
      </c>
      <c r="V92" s="20">
        <v>1352.32</v>
      </c>
    </row>
    <row r="93" spans="1:22" ht="16.8" x14ac:dyDescent="0.3">
      <c r="A93" s="20">
        <v>9.1999999999999993</v>
      </c>
      <c r="B93" s="20">
        <v>62</v>
      </c>
      <c r="C93" s="20">
        <v>62.89</v>
      </c>
      <c r="D93" s="20">
        <v>-0.89</v>
      </c>
      <c r="E93" s="20">
        <v>0.12</v>
      </c>
      <c r="F93" s="20">
        <v>223.9</v>
      </c>
      <c r="Q93" s="20">
        <v>9.1999999999999993</v>
      </c>
      <c r="R93" s="20">
        <v>62.96</v>
      </c>
      <c r="S93" s="20">
        <v>62</v>
      </c>
      <c r="T93" s="26">
        <v>-0.96</v>
      </c>
      <c r="U93" s="20">
        <v>0.01</v>
      </c>
      <c r="V93" s="20">
        <v>1367.48</v>
      </c>
    </row>
    <row r="94" spans="1:22" ht="16.8" x14ac:dyDescent="0.3">
      <c r="A94" s="20">
        <v>9.3000000000000007</v>
      </c>
      <c r="B94" s="20">
        <v>62</v>
      </c>
      <c r="C94" s="20">
        <v>62.65</v>
      </c>
      <c r="D94" s="20">
        <v>-0.65</v>
      </c>
      <c r="E94" s="20">
        <v>0.24</v>
      </c>
      <c r="F94" s="20">
        <v>1281.83</v>
      </c>
      <c r="Q94" s="20">
        <v>9.3000000000000007</v>
      </c>
      <c r="R94" s="20">
        <v>62.98</v>
      </c>
      <c r="S94" s="26">
        <v>62</v>
      </c>
      <c r="T94" s="26">
        <v>-0.98</v>
      </c>
      <c r="U94" s="26">
        <v>-0.02</v>
      </c>
      <c r="V94" s="20">
        <v>1348.33</v>
      </c>
    </row>
    <row r="95" spans="1:22" ht="16.8" x14ac:dyDescent="0.3">
      <c r="A95" s="20">
        <v>9.4</v>
      </c>
      <c r="B95" s="20">
        <v>62</v>
      </c>
      <c r="C95" s="20">
        <v>62.53</v>
      </c>
      <c r="D95" s="20">
        <v>-0.53</v>
      </c>
      <c r="E95" s="20">
        <v>0.12</v>
      </c>
      <c r="F95" s="20">
        <v>1479.73</v>
      </c>
      <c r="Q95" s="20">
        <v>9.4</v>
      </c>
      <c r="R95" s="20">
        <v>63.01</v>
      </c>
      <c r="S95" s="20">
        <v>62</v>
      </c>
      <c r="T95" s="26">
        <v>-1.01</v>
      </c>
      <c r="U95" s="26">
        <v>-0.02</v>
      </c>
      <c r="V95" s="20">
        <v>1342.07</v>
      </c>
    </row>
    <row r="96" spans="1:22" ht="16.8" x14ac:dyDescent="0.3">
      <c r="A96" s="20">
        <v>9.5</v>
      </c>
      <c r="B96" s="20">
        <v>62</v>
      </c>
      <c r="C96" s="20">
        <v>62.27</v>
      </c>
      <c r="D96" s="20">
        <v>-0.27</v>
      </c>
      <c r="E96" s="20">
        <v>0.25</v>
      </c>
      <c r="F96" s="20">
        <v>1642.31</v>
      </c>
      <c r="Q96" s="20">
        <v>9.5</v>
      </c>
      <c r="R96" s="20">
        <v>63.07</v>
      </c>
      <c r="S96" s="26">
        <v>62</v>
      </c>
      <c r="T96" s="20">
        <v>-1.07</v>
      </c>
      <c r="U96" s="26">
        <v>-0.06</v>
      </c>
      <c r="V96" s="20">
        <v>1313.06</v>
      </c>
    </row>
    <row r="97" spans="1:22" ht="16.8" x14ac:dyDescent="0.3">
      <c r="A97" s="20">
        <v>9.6</v>
      </c>
      <c r="B97" s="20">
        <v>62</v>
      </c>
      <c r="C97" s="20">
        <v>62.11</v>
      </c>
      <c r="D97" s="20">
        <v>-0.11</v>
      </c>
      <c r="E97" s="20">
        <v>0.16</v>
      </c>
      <c r="F97" s="20">
        <v>1728.36</v>
      </c>
      <c r="Q97" s="20">
        <v>9.6</v>
      </c>
      <c r="R97" s="20">
        <v>63.09</v>
      </c>
      <c r="S97" s="20">
        <v>62</v>
      </c>
      <c r="T97" s="26">
        <v>-1.0900000000000001</v>
      </c>
      <c r="U97" s="26">
        <v>-0.02</v>
      </c>
      <c r="V97" s="20">
        <v>1322.73</v>
      </c>
    </row>
    <row r="98" spans="1:22" ht="16.8" x14ac:dyDescent="0.3">
      <c r="A98" s="20">
        <v>9.6999999999999993</v>
      </c>
      <c r="B98" s="20">
        <v>62</v>
      </c>
      <c r="C98" s="20">
        <v>61.93</v>
      </c>
      <c r="D98" s="20">
        <v>7.0000000000000007E-2</v>
      </c>
      <c r="E98" s="20">
        <v>0.18</v>
      </c>
      <c r="F98" s="20">
        <v>1876.07</v>
      </c>
      <c r="Q98" s="20">
        <v>9.6999999999999993</v>
      </c>
      <c r="R98" s="20">
        <v>63.05</v>
      </c>
      <c r="S98" s="26">
        <v>62</v>
      </c>
      <c r="T98" s="26">
        <v>-1.05</v>
      </c>
      <c r="U98" s="26">
        <v>0.05</v>
      </c>
      <c r="V98" s="20">
        <v>1357.02</v>
      </c>
    </row>
    <row r="99" spans="1:22" ht="16.8" x14ac:dyDescent="0.3">
      <c r="A99" s="20">
        <v>9.8000000000000007</v>
      </c>
      <c r="B99" s="20">
        <v>62</v>
      </c>
      <c r="C99" s="20">
        <v>61.7</v>
      </c>
      <c r="D99" s="20">
        <v>0.3</v>
      </c>
      <c r="E99" s="20">
        <v>0.23</v>
      </c>
      <c r="F99" s="20">
        <v>2050.02</v>
      </c>
      <c r="Q99" s="20">
        <v>9.8000000000000007</v>
      </c>
      <c r="R99" s="20">
        <v>63.06</v>
      </c>
      <c r="S99" s="20">
        <v>62</v>
      </c>
      <c r="T99" s="20">
        <v>-1.06</v>
      </c>
      <c r="U99" s="26">
        <v>-0.02</v>
      </c>
      <c r="V99" s="20">
        <v>1326.05</v>
      </c>
    </row>
    <row r="100" spans="1:22" ht="16.8" x14ac:dyDescent="0.3">
      <c r="A100" s="20">
        <v>9.9</v>
      </c>
      <c r="B100" s="20">
        <v>62</v>
      </c>
      <c r="C100" s="20">
        <v>61.61</v>
      </c>
      <c r="D100" s="20">
        <v>0.39</v>
      </c>
      <c r="E100" s="20">
        <v>0.09</v>
      </c>
      <c r="F100" s="20">
        <v>2094.5300000000002</v>
      </c>
      <c r="Q100" s="20">
        <v>9.9</v>
      </c>
      <c r="R100" s="20">
        <v>63.11</v>
      </c>
      <c r="S100" s="26">
        <v>62</v>
      </c>
      <c r="T100" s="26">
        <v>-1.1100000000000001</v>
      </c>
      <c r="U100" s="26">
        <v>-0.05</v>
      </c>
      <c r="V100" s="20">
        <v>1302.75</v>
      </c>
    </row>
    <row r="101" spans="1:22" ht="16.8" x14ac:dyDescent="0.3">
      <c r="A101" s="20">
        <v>10</v>
      </c>
      <c r="B101" s="20">
        <v>62</v>
      </c>
      <c r="C101" s="20">
        <v>61.43</v>
      </c>
      <c r="D101" s="20">
        <v>0.56999999999999995</v>
      </c>
      <c r="E101" s="20">
        <v>0.18</v>
      </c>
      <c r="F101" s="20">
        <v>2236.39</v>
      </c>
      <c r="Q101" s="20">
        <v>10</v>
      </c>
      <c r="R101" s="20">
        <v>63.11</v>
      </c>
      <c r="S101" s="20">
        <v>62</v>
      </c>
      <c r="T101" s="20">
        <v>-1.1100000000000001</v>
      </c>
      <c r="U101" s="26">
        <v>0</v>
      </c>
      <c r="V101" s="20">
        <v>1319.47</v>
      </c>
    </row>
    <row r="102" spans="1:22" ht="16.8" x14ac:dyDescent="0.3">
      <c r="A102" s="20">
        <v>10.1</v>
      </c>
      <c r="B102" s="20">
        <v>62</v>
      </c>
      <c r="C102" s="20">
        <v>61.39</v>
      </c>
      <c r="D102" s="20">
        <v>0.61</v>
      </c>
      <c r="E102" s="20">
        <v>0.04</v>
      </c>
      <c r="F102" s="20">
        <v>2277.58</v>
      </c>
      <c r="Q102" s="20">
        <v>10.1</v>
      </c>
      <c r="R102" s="20">
        <v>63.15</v>
      </c>
      <c r="S102" s="20">
        <v>62</v>
      </c>
      <c r="T102" s="26">
        <v>-1.1499999999999999</v>
      </c>
      <c r="U102" s="26">
        <v>-0.04</v>
      </c>
      <c r="V102" s="20">
        <v>1294.1199999999999</v>
      </c>
    </row>
    <row r="103" spans="1:22" ht="16.8" x14ac:dyDescent="0.3">
      <c r="A103" s="20">
        <v>10.199999999999999</v>
      </c>
      <c r="B103" s="20">
        <v>62</v>
      </c>
      <c r="C103" s="20">
        <v>61.34</v>
      </c>
      <c r="D103" s="20">
        <v>0.66</v>
      </c>
      <c r="E103" s="20">
        <v>0.05</v>
      </c>
      <c r="F103" s="20">
        <v>2337.64</v>
      </c>
      <c r="Q103" s="20">
        <v>10.199999999999999</v>
      </c>
      <c r="R103" s="20">
        <v>63.15</v>
      </c>
      <c r="S103" s="26">
        <v>62</v>
      </c>
      <c r="T103" s="20">
        <v>-1.1499999999999999</v>
      </c>
      <c r="U103" s="26">
        <v>0</v>
      </c>
      <c r="V103" s="20">
        <v>1307.52</v>
      </c>
    </row>
    <row r="104" spans="1:22" ht="16.8" x14ac:dyDescent="0.3">
      <c r="A104" s="20">
        <v>10.3</v>
      </c>
      <c r="B104" s="20">
        <v>62</v>
      </c>
      <c r="C104" s="20">
        <v>61.3</v>
      </c>
      <c r="D104" s="20">
        <v>0.7</v>
      </c>
      <c r="E104" s="20">
        <v>0.04</v>
      </c>
      <c r="F104" s="20">
        <v>2389.6999999999998</v>
      </c>
      <c r="Q104" s="20">
        <v>10.3</v>
      </c>
      <c r="R104" s="20">
        <v>63.18</v>
      </c>
      <c r="S104" s="20">
        <v>62</v>
      </c>
      <c r="T104" s="26">
        <v>-1.18</v>
      </c>
      <c r="U104" s="20">
        <v>-0.02</v>
      </c>
      <c r="V104" s="20">
        <v>1291.1500000000001</v>
      </c>
    </row>
    <row r="105" spans="1:22" ht="16.8" x14ac:dyDescent="0.3">
      <c r="A105" s="20">
        <v>10.4</v>
      </c>
      <c r="B105" s="20">
        <v>62</v>
      </c>
      <c r="C105" s="20">
        <v>61.28</v>
      </c>
      <c r="D105" s="20">
        <v>0.72</v>
      </c>
      <c r="E105" s="20">
        <v>0.02</v>
      </c>
      <c r="F105" s="20">
        <v>2423.77</v>
      </c>
      <c r="Q105" s="20">
        <v>10.4</v>
      </c>
      <c r="R105" s="20">
        <v>63.15</v>
      </c>
      <c r="S105" s="26">
        <v>62</v>
      </c>
      <c r="T105" s="26">
        <v>-1.1499999999999999</v>
      </c>
      <c r="U105" s="26">
        <v>0.02</v>
      </c>
      <c r="V105" s="20">
        <v>1311.64</v>
      </c>
    </row>
    <row r="106" spans="1:22" ht="16.8" x14ac:dyDescent="0.3">
      <c r="A106" s="20">
        <v>10.5</v>
      </c>
      <c r="B106" s="20">
        <v>62</v>
      </c>
      <c r="C106" s="20">
        <v>61.33</v>
      </c>
      <c r="D106" s="20">
        <v>0.67</v>
      </c>
      <c r="E106" s="20">
        <v>-0.05</v>
      </c>
      <c r="F106" s="20">
        <v>2357.81</v>
      </c>
      <c r="Q106" s="20">
        <v>10.5</v>
      </c>
      <c r="R106" s="20">
        <v>63.17</v>
      </c>
      <c r="S106" s="20">
        <v>62</v>
      </c>
      <c r="T106" s="26">
        <v>-1.17</v>
      </c>
      <c r="U106" s="26">
        <v>-0.02</v>
      </c>
      <c r="V106" s="20">
        <v>1290.0999999999999</v>
      </c>
    </row>
    <row r="107" spans="1:22" ht="16.8" x14ac:dyDescent="0.3">
      <c r="A107" s="20">
        <v>10.6</v>
      </c>
      <c r="B107" s="20">
        <v>62</v>
      </c>
      <c r="C107" s="20">
        <v>61.35</v>
      </c>
      <c r="D107" s="20">
        <v>0.65</v>
      </c>
      <c r="E107" s="20">
        <v>-0.02</v>
      </c>
      <c r="F107" s="20">
        <v>2327.88</v>
      </c>
      <c r="Q107" s="20">
        <v>10.6</v>
      </c>
      <c r="R107" s="20">
        <v>63.15</v>
      </c>
      <c r="S107" s="26">
        <v>62</v>
      </c>
      <c r="T107" s="26">
        <v>-1.1499999999999999</v>
      </c>
      <c r="U107" s="26">
        <v>0.02</v>
      </c>
      <c r="V107" s="20">
        <v>1302.8499999999999</v>
      </c>
    </row>
    <row r="108" spans="1:22" ht="16.8" x14ac:dyDescent="0.3">
      <c r="A108" s="20">
        <v>10.7</v>
      </c>
      <c r="B108" s="20">
        <v>62</v>
      </c>
      <c r="C108" s="20">
        <v>61.44</v>
      </c>
      <c r="D108" s="20">
        <v>0.56000000000000005</v>
      </c>
      <c r="E108" s="20">
        <v>-0.09</v>
      </c>
      <c r="F108" s="20">
        <v>2228.64</v>
      </c>
      <c r="Q108" s="20">
        <v>10.7</v>
      </c>
      <c r="R108" s="20">
        <v>63.19</v>
      </c>
      <c r="S108" s="20">
        <v>62</v>
      </c>
      <c r="T108" s="20">
        <v>-1.19</v>
      </c>
      <c r="U108" s="26">
        <v>-0.04</v>
      </c>
      <c r="V108" s="20">
        <v>1270.94</v>
      </c>
    </row>
    <row r="109" spans="1:22" ht="16.8" x14ac:dyDescent="0.3">
      <c r="A109" s="20">
        <v>10.8</v>
      </c>
      <c r="B109" s="20">
        <v>62</v>
      </c>
      <c r="C109" s="20">
        <v>61.52</v>
      </c>
      <c r="D109" s="20">
        <v>0.48</v>
      </c>
      <c r="E109" s="20">
        <v>-7.0000000000000007E-2</v>
      </c>
      <c r="F109" s="20">
        <v>2164.81</v>
      </c>
      <c r="Q109" s="20">
        <v>10.8</v>
      </c>
      <c r="R109" s="20">
        <v>63.16</v>
      </c>
      <c r="S109" s="26">
        <v>62</v>
      </c>
      <c r="T109" s="26">
        <v>-1.1599999999999999</v>
      </c>
      <c r="U109" s="26">
        <v>0.03</v>
      </c>
      <c r="V109" s="20">
        <v>1302.3800000000001</v>
      </c>
    </row>
    <row r="110" spans="1:22" ht="16.8" x14ac:dyDescent="0.3">
      <c r="A110" s="20">
        <v>10.9</v>
      </c>
      <c r="B110" s="20">
        <v>62</v>
      </c>
      <c r="C110" s="20">
        <v>61.62</v>
      </c>
      <c r="D110" s="20">
        <v>0.38</v>
      </c>
      <c r="E110" s="20">
        <v>-0.1</v>
      </c>
      <c r="F110" s="20">
        <v>2092.81</v>
      </c>
      <c r="Q110" s="20">
        <v>10.9</v>
      </c>
      <c r="R110" s="20">
        <v>63.16</v>
      </c>
      <c r="S110" s="20">
        <v>62</v>
      </c>
      <c r="T110" s="20">
        <v>-1.1599999999999999</v>
      </c>
      <c r="U110" s="26">
        <v>0</v>
      </c>
      <c r="V110" s="20">
        <v>1286.68</v>
      </c>
    </row>
    <row r="111" spans="1:22" ht="16.8" x14ac:dyDescent="0.3">
      <c r="A111" s="20">
        <v>11</v>
      </c>
      <c r="B111" s="20">
        <v>62</v>
      </c>
      <c r="C111" s="20">
        <v>61.7</v>
      </c>
      <c r="D111" s="20">
        <v>0.3</v>
      </c>
      <c r="E111" s="20">
        <v>-0.08</v>
      </c>
      <c r="F111" s="20">
        <v>2052.19</v>
      </c>
      <c r="Q111" s="20">
        <v>11</v>
      </c>
      <c r="R111" s="20">
        <v>63.13</v>
      </c>
      <c r="S111" s="26">
        <v>62</v>
      </c>
      <c r="T111" s="26">
        <v>-1.1299999999999999</v>
      </c>
      <c r="U111" s="26">
        <v>0.02</v>
      </c>
      <c r="V111" s="20">
        <v>1297.5</v>
      </c>
    </row>
    <row r="112" spans="1:22" ht="16.8" x14ac:dyDescent="0.3">
      <c r="A112" s="20">
        <v>11.1</v>
      </c>
      <c r="B112" s="20">
        <v>62</v>
      </c>
      <c r="C112" s="20">
        <v>61.85</v>
      </c>
      <c r="D112" s="20">
        <v>0.15</v>
      </c>
      <c r="E112" s="20">
        <v>-0.15</v>
      </c>
      <c r="F112" s="20">
        <v>1950.41</v>
      </c>
      <c r="Q112" s="20">
        <v>11.1</v>
      </c>
      <c r="R112" s="20">
        <v>63.15</v>
      </c>
      <c r="S112" s="20">
        <v>62</v>
      </c>
      <c r="T112" s="26">
        <v>-1.1499999999999999</v>
      </c>
      <c r="U112" s="26">
        <v>-0.02</v>
      </c>
      <c r="V112" s="20">
        <v>1276.02</v>
      </c>
    </row>
    <row r="113" spans="1:22" ht="16.8" x14ac:dyDescent="0.3">
      <c r="A113" s="20">
        <v>11.2</v>
      </c>
      <c r="B113" s="20">
        <v>62</v>
      </c>
      <c r="C113" s="20">
        <v>61.98</v>
      </c>
      <c r="D113" s="20">
        <v>0.02</v>
      </c>
      <c r="E113" s="20">
        <v>-0.12</v>
      </c>
      <c r="F113" s="20">
        <v>1826.71</v>
      </c>
      <c r="Q113" s="20">
        <v>11.2</v>
      </c>
      <c r="R113" s="20">
        <v>63.12</v>
      </c>
      <c r="S113" s="26">
        <v>62</v>
      </c>
      <c r="T113" s="26">
        <v>-1.1200000000000001</v>
      </c>
      <c r="U113" s="26">
        <v>0.03</v>
      </c>
      <c r="V113" s="20">
        <v>1297.8699999999999</v>
      </c>
    </row>
    <row r="114" spans="1:22" ht="16.8" x14ac:dyDescent="0.3">
      <c r="A114" s="20">
        <v>11.3</v>
      </c>
      <c r="B114" s="20">
        <v>62</v>
      </c>
      <c r="C114" s="20">
        <v>62.08</v>
      </c>
      <c r="D114" s="20">
        <v>-0.08</v>
      </c>
      <c r="E114" s="20">
        <v>-0.1</v>
      </c>
      <c r="F114" s="20">
        <v>1747.9</v>
      </c>
      <c r="Q114" s="20">
        <v>11.3</v>
      </c>
      <c r="R114" s="20">
        <v>63.16</v>
      </c>
      <c r="S114" s="20">
        <v>62</v>
      </c>
      <c r="T114" s="26">
        <v>-1.1599999999999999</v>
      </c>
      <c r="U114" s="26">
        <v>-0.04</v>
      </c>
      <c r="V114" s="20">
        <v>1259.57</v>
      </c>
    </row>
    <row r="115" spans="1:22" ht="16.8" x14ac:dyDescent="0.3">
      <c r="A115" s="20">
        <v>11.4</v>
      </c>
      <c r="B115" s="20">
        <v>62</v>
      </c>
      <c r="C115" s="20">
        <v>62.2</v>
      </c>
      <c r="D115" s="20">
        <v>-0.2</v>
      </c>
      <c r="E115" s="20">
        <v>-0.12</v>
      </c>
      <c r="F115" s="20">
        <v>1677.22</v>
      </c>
      <c r="Q115" s="20">
        <v>11.4</v>
      </c>
      <c r="R115" s="20">
        <v>63.09</v>
      </c>
      <c r="S115" s="26">
        <v>62</v>
      </c>
      <c r="T115" s="26">
        <v>-1.0900000000000001</v>
      </c>
      <c r="U115" s="26">
        <v>0.06</v>
      </c>
      <c r="V115" s="20">
        <v>1309.24</v>
      </c>
    </row>
    <row r="116" spans="1:22" ht="16.8" x14ac:dyDescent="0.3">
      <c r="A116" s="20">
        <v>11.5</v>
      </c>
      <c r="B116" s="20">
        <v>62</v>
      </c>
      <c r="C116" s="20">
        <v>62.32</v>
      </c>
      <c r="D116" s="20">
        <v>-0.32</v>
      </c>
      <c r="E116" s="20">
        <v>-0.12</v>
      </c>
      <c r="F116" s="20">
        <v>1622.06</v>
      </c>
      <c r="Q116" s="20">
        <v>11.5</v>
      </c>
      <c r="R116" s="20">
        <v>63.09</v>
      </c>
      <c r="S116" s="20">
        <v>62</v>
      </c>
      <c r="T116" s="26">
        <v>-1.0900000000000001</v>
      </c>
      <c r="U116" s="26">
        <v>0</v>
      </c>
      <c r="V116" s="20">
        <v>1280.76</v>
      </c>
    </row>
    <row r="117" spans="1:22" ht="16.8" x14ac:dyDescent="0.3">
      <c r="A117" s="20">
        <v>11.6</v>
      </c>
      <c r="B117" s="20">
        <v>62</v>
      </c>
      <c r="C117" s="20">
        <v>62.43</v>
      </c>
      <c r="D117" s="20">
        <v>-0.43</v>
      </c>
      <c r="E117" s="20">
        <v>-0.11</v>
      </c>
      <c r="F117" s="20">
        <v>1565.18</v>
      </c>
      <c r="Q117" s="20">
        <v>11.6</v>
      </c>
      <c r="R117" s="20">
        <v>63.11</v>
      </c>
      <c r="S117" s="20">
        <v>62</v>
      </c>
      <c r="T117" s="26">
        <v>-1.1100000000000001</v>
      </c>
      <c r="U117" s="26">
        <v>-0.02</v>
      </c>
      <c r="V117" s="20">
        <v>1269.06</v>
      </c>
    </row>
    <row r="118" spans="1:22" ht="16.8" x14ac:dyDescent="0.3">
      <c r="A118" s="20">
        <v>11.7</v>
      </c>
      <c r="B118" s="20">
        <v>62</v>
      </c>
      <c r="C118" s="20">
        <v>62.58</v>
      </c>
      <c r="D118" s="20">
        <v>-0.57999999999999996</v>
      </c>
      <c r="E118" s="20">
        <v>-0.15</v>
      </c>
      <c r="F118" s="20">
        <v>1405.9</v>
      </c>
      <c r="Q118" s="20">
        <v>11.7</v>
      </c>
      <c r="R118" s="20">
        <v>63.08</v>
      </c>
      <c r="S118" s="26">
        <v>62</v>
      </c>
      <c r="T118" s="20">
        <v>-1.08</v>
      </c>
      <c r="U118" s="26">
        <v>0.03</v>
      </c>
      <c r="V118" s="20">
        <v>1291.01</v>
      </c>
    </row>
    <row r="119" spans="1:22" ht="16.8" x14ac:dyDescent="0.3">
      <c r="A119" s="20">
        <v>11.8</v>
      </c>
      <c r="B119" s="20">
        <v>62</v>
      </c>
      <c r="C119" s="20">
        <v>62.62</v>
      </c>
      <c r="D119" s="20">
        <v>-0.62</v>
      </c>
      <c r="E119" s="20">
        <v>-0.04</v>
      </c>
      <c r="F119" s="20">
        <v>1335.19</v>
      </c>
      <c r="Q119" s="20">
        <v>11.8</v>
      </c>
      <c r="R119" s="20">
        <v>63.07</v>
      </c>
      <c r="S119" s="20">
        <v>62</v>
      </c>
      <c r="T119" s="26">
        <v>-1.07</v>
      </c>
      <c r="U119" s="26">
        <v>0.01</v>
      </c>
      <c r="V119" s="20">
        <v>1280.03</v>
      </c>
    </row>
    <row r="120" spans="1:22" ht="16.8" x14ac:dyDescent="0.3">
      <c r="A120" s="20">
        <v>11.9</v>
      </c>
      <c r="B120" s="20">
        <v>62</v>
      </c>
      <c r="C120" s="20">
        <v>62.7</v>
      </c>
      <c r="D120" s="20">
        <v>-0.7</v>
      </c>
      <c r="E120" s="20">
        <v>-0.08</v>
      </c>
      <c r="F120" s="20">
        <v>1102.8399999999999</v>
      </c>
      <c r="Q120" s="20">
        <v>11.9</v>
      </c>
      <c r="R120" s="20">
        <v>63.07</v>
      </c>
      <c r="S120" s="26">
        <v>62</v>
      </c>
      <c r="T120" s="26">
        <v>-1.07</v>
      </c>
      <c r="U120" s="26">
        <v>0</v>
      </c>
      <c r="V120" s="20">
        <v>1274.23</v>
      </c>
    </row>
    <row r="121" spans="1:22" ht="16.8" x14ac:dyDescent="0.3">
      <c r="A121" s="20">
        <v>12</v>
      </c>
      <c r="B121" s="20">
        <v>62</v>
      </c>
      <c r="C121" s="20">
        <v>62.83</v>
      </c>
      <c r="D121" s="20">
        <v>-0.83</v>
      </c>
      <c r="E121" s="20">
        <v>-0.12</v>
      </c>
      <c r="F121" s="20">
        <v>223.9</v>
      </c>
      <c r="Q121" s="20">
        <v>12</v>
      </c>
      <c r="R121" s="20">
        <v>63.07</v>
      </c>
      <c r="S121" s="20">
        <v>62</v>
      </c>
      <c r="T121" s="26">
        <v>-1.07</v>
      </c>
      <c r="U121" s="26">
        <v>0</v>
      </c>
      <c r="V121" s="20">
        <v>1271.6600000000001</v>
      </c>
    </row>
    <row r="122" spans="1:22" ht="16.8" x14ac:dyDescent="0.3">
      <c r="A122" s="20">
        <v>12.1</v>
      </c>
      <c r="B122" s="20">
        <v>62</v>
      </c>
      <c r="C122" s="20">
        <v>62.84</v>
      </c>
      <c r="D122" s="20">
        <v>-0.84</v>
      </c>
      <c r="E122" s="20">
        <v>-0.02</v>
      </c>
      <c r="F122" s="20">
        <v>223.9</v>
      </c>
      <c r="Q122" s="20">
        <v>12.1</v>
      </c>
      <c r="R122" s="20">
        <v>63.06</v>
      </c>
      <c r="S122" s="26">
        <v>62</v>
      </c>
      <c r="T122" s="26">
        <v>-1.06</v>
      </c>
      <c r="U122" s="26">
        <v>0.01</v>
      </c>
      <c r="V122" s="20">
        <v>1273.6300000000001</v>
      </c>
    </row>
    <row r="123" spans="1:22" ht="16.8" x14ac:dyDescent="0.3">
      <c r="A123" s="20">
        <v>12.2</v>
      </c>
      <c r="B123" s="20">
        <v>62</v>
      </c>
      <c r="C123" s="20">
        <v>62.92</v>
      </c>
      <c r="D123" s="20">
        <v>-0.92</v>
      </c>
      <c r="E123" s="20">
        <v>-7.0000000000000007E-2</v>
      </c>
      <c r="F123" s="20">
        <v>223.9</v>
      </c>
      <c r="Q123" s="20">
        <v>12.2</v>
      </c>
      <c r="R123" s="20">
        <v>63.05</v>
      </c>
      <c r="S123" s="20">
        <v>62</v>
      </c>
      <c r="T123" s="20">
        <v>-1.05</v>
      </c>
      <c r="U123" s="20">
        <v>0.01</v>
      </c>
      <c r="V123" s="20">
        <v>1272.3900000000001</v>
      </c>
    </row>
    <row r="124" spans="1:22" ht="16.8" x14ac:dyDescent="0.3">
      <c r="A124" s="20">
        <v>12.3</v>
      </c>
      <c r="B124" s="20">
        <v>62</v>
      </c>
      <c r="C124" s="20">
        <v>62.93</v>
      </c>
      <c r="D124" s="20">
        <v>-0.93</v>
      </c>
      <c r="E124" s="20">
        <v>-0.02</v>
      </c>
      <c r="F124" s="20">
        <v>223.9</v>
      </c>
      <c r="Q124" s="20">
        <v>12.3</v>
      </c>
      <c r="R124" s="20">
        <v>63.03</v>
      </c>
      <c r="S124" s="26">
        <v>62</v>
      </c>
      <c r="T124" s="26">
        <v>-1.03</v>
      </c>
      <c r="U124" s="26">
        <v>0.02</v>
      </c>
      <c r="V124" s="20">
        <v>1280.24</v>
      </c>
    </row>
    <row r="125" spans="1:22" ht="16.8" x14ac:dyDescent="0.3">
      <c r="A125" s="20">
        <v>12.4</v>
      </c>
      <c r="B125" s="20">
        <v>62</v>
      </c>
      <c r="C125" s="20">
        <v>62.91</v>
      </c>
      <c r="D125" s="20">
        <v>-0.91</v>
      </c>
      <c r="E125" s="20">
        <v>0.02</v>
      </c>
      <c r="F125" s="20">
        <v>223.9</v>
      </c>
      <c r="Q125" s="20">
        <v>12.4</v>
      </c>
      <c r="R125" s="20">
        <v>63.01</v>
      </c>
      <c r="S125" s="20">
        <v>62</v>
      </c>
      <c r="T125" s="20">
        <v>-1.01</v>
      </c>
      <c r="U125" s="26">
        <v>0.02</v>
      </c>
      <c r="V125" s="20">
        <v>1277.1400000000001</v>
      </c>
    </row>
    <row r="126" spans="1:22" ht="16.8" x14ac:dyDescent="0.3">
      <c r="A126" s="20">
        <v>12.5</v>
      </c>
      <c r="B126" s="20">
        <v>62</v>
      </c>
      <c r="C126" s="20">
        <v>62.87</v>
      </c>
      <c r="D126" s="20">
        <v>-0.87</v>
      </c>
      <c r="E126" s="20">
        <v>0.04</v>
      </c>
      <c r="F126" s="20">
        <v>223.9</v>
      </c>
      <c r="Q126" s="20">
        <v>12.5</v>
      </c>
      <c r="R126" s="20">
        <v>63.01</v>
      </c>
      <c r="S126" s="26">
        <v>62</v>
      </c>
      <c r="T126" s="26">
        <v>-1.01</v>
      </c>
      <c r="U126" s="26">
        <v>0</v>
      </c>
      <c r="V126" s="20">
        <v>1268.25</v>
      </c>
    </row>
    <row r="127" spans="1:22" ht="16.8" x14ac:dyDescent="0.3">
      <c r="A127" s="20">
        <v>12.6</v>
      </c>
      <c r="B127" s="20">
        <v>62</v>
      </c>
      <c r="C127" s="20">
        <v>62.8</v>
      </c>
      <c r="D127" s="20">
        <v>-0.8</v>
      </c>
      <c r="E127" s="20">
        <v>0.08</v>
      </c>
      <c r="F127" s="20">
        <v>297.01</v>
      </c>
      <c r="Q127" s="20">
        <v>12.6</v>
      </c>
      <c r="R127" s="20">
        <v>63</v>
      </c>
      <c r="S127" s="20">
        <v>62</v>
      </c>
      <c r="T127" s="20">
        <v>-1</v>
      </c>
      <c r="U127" s="26">
        <v>0.02</v>
      </c>
      <c r="V127" s="20">
        <v>1274.8800000000001</v>
      </c>
    </row>
    <row r="128" spans="1:22" ht="16.8" x14ac:dyDescent="0.3">
      <c r="A128" s="20">
        <v>12.7</v>
      </c>
      <c r="B128" s="20">
        <v>62</v>
      </c>
      <c r="C128" s="20">
        <v>62.64</v>
      </c>
      <c r="D128" s="20">
        <v>-0.64</v>
      </c>
      <c r="E128" s="20">
        <v>0.15</v>
      </c>
      <c r="F128" s="20">
        <v>1291.45</v>
      </c>
      <c r="Q128" s="20">
        <v>12.7</v>
      </c>
      <c r="R128" s="20">
        <v>63.02</v>
      </c>
      <c r="S128" s="26">
        <v>62</v>
      </c>
      <c r="T128" s="20">
        <v>-1.02</v>
      </c>
      <c r="U128" s="20">
        <v>-0.02</v>
      </c>
      <c r="V128" s="20">
        <v>1252.42</v>
      </c>
    </row>
    <row r="129" spans="1:22" ht="16.8" x14ac:dyDescent="0.3">
      <c r="A129" s="20">
        <v>12.8</v>
      </c>
      <c r="B129" s="20">
        <v>62</v>
      </c>
      <c r="C129" s="20">
        <v>62.59</v>
      </c>
      <c r="D129" s="20">
        <v>-0.59</v>
      </c>
      <c r="E129" s="20">
        <v>0.06</v>
      </c>
      <c r="F129" s="20">
        <v>1399.65</v>
      </c>
      <c r="Q129" s="20">
        <v>12.8</v>
      </c>
      <c r="R129" s="20">
        <v>62.96</v>
      </c>
      <c r="S129" s="20">
        <v>62</v>
      </c>
      <c r="T129" s="26">
        <v>-0.96</v>
      </c>
      <c r="U129" s="26">
        <v>0.06</v>
      </c>
      <c r="V129" s="20">
        <v>1295.95</v>
      </c>
    </row>
    <row r="130" spans="1:22" ht="16.8" x14ac:dyDescent="0.3">
      <c r="A130" s="20">
        <v>12.9</v>
      </c>
      <c r="B130" s="20">
        <v>62</v>
      </c>
      <c r="C130" s="20">
        <v>62.39</v>
      </c>
      <c r="D130" s="20">
        <v>-0.39</v>
      </c>
      <c r="E130" s="20">
        <v>0.19</v>
      </c>
      <c r="F130" s="20">
        <v>1592.18</v>
      </c>
      <c r="Q130" s="20">
        <v>12.9</v>
      </c>
      <c r="R130" s="20">
        <v>62.98</v>
      </c>
      <c r="S130" s="26">
        <v>62</v>
      </c>
      <c r="T130" s="20">
        <v>-0.98</v>
      </c>
      <c r="U130" s="20">
        <v>-0.02</v>
      </c>
      <c r="V130" s="20">
        <v>1254.19</v>
      </c>
    </row>
    <row r="131" spans="1:22" ht="16.8" x14ac:dyDescent="0.3">
      <c r="A131" s="20">
        <v>13</v>
      </c>
      <c r="B131" s="20">
        <v>62</v>
      </c>
      <c r="C131" s="20">
        <v>62.26</v>
      </c>
      <c r="D131" s="20">
        <v>-0.26</v>
      </c>
      <c r="E131" s="20">
        <v>0.13</v>
      </c>
      <c r="F131" s="20">
        <v>1647.53</v>
      </c>
      <c r="Q131" s="20">
        <v>13</v>
      </c>
      <c r="R131" s="20">
        <v>62.98</v>
      </c>
      <c r="S131" s="20">
        <v>62</v>
      </c>
      <c r="T131" s="26">
        <v>-0.98</v>
      </c>
      <c r="U131" s="26">
        <v>0</v>
      </c>
      <c r="V131" s="20">
        <v>1261.53</v>
      </c>
    </row>
    <row r="132" spans="1:22" ht="16.8" x14ac:dyDescent="0.3">
      <c r="A132" s="20">
        <v>13.1</v>
      </c>
      <c r="B132" s="20">
        <v>62</v>
      </c>
      <c r="C132" s="20">
        <v>62.13</v>
      </c>
      <c r="D132" s="20">
        <v>-0.13</v>
      </c>
      <c r="E132" s="20">
        <v>0.14000000000000001</v>
      </c>
      <c r="F132" s="20">
        <v>1719</v>
      </c>
      <c r="Q132" s="20">
        <v>13.1</v>
      </c>
      <c r="R132" s="20">
        <v>62.93</v>
      </c>
      <c r="S132" s="20">
        <v>62</v>
      </c>
      <c r="T132" s="26">
        <v>-0.93</v>
      </c>
      <c r="U132" s="26">
        <v>0.05</v>
      </c>
      <c r="V132" s="20">
        <v>1286.4000000000001</v>
      </c>
    </row>
    <row r="133" spans="1:22" ht="16.8" x14ac:dyDescent="0.3">
      <c r="A133" s="20">
        <v>13.2</v>
      </c>
      <c r="B133" s="20">
        <v>62</v>
      </c>
      <c r="C133" s="20">
        <v>61.99</v>
      </c>
      <c r="D133" s="20">
        <v>0.01</v>
      </c>
      <c r="E133" s="20">
        <v>0.13</v>
      </c>
      <c r="F133" s="20">
        <v>1806.96</v>
      </c>
      <c r="Q133" s="20">
        <v>13.2</v>
      </c>
      <c r="R133" s="20">
        <v>62.94</v>
      </c>
      <c r="S133" s="26">
        <v>62</v>
      </c>
      <c r="T133" s="26">
        <v>-0.94</v>
      </c>
      <c r="U133" s="26">
        <v>-0.01</v>
      </c>
      <c r="V133" s="20">
        <v>1260.23</v>
      </c>
    </row>
    <row r="134" spans="1:22" ht="16.8" x14ac:dyDescent="0.3">
      <c r="A134" s="20">
        <v>13.3</v>
      </c>
      <c r="B134" s="20">
        <v>62</v>
      </c>
      <c r="C134" s="20">
        <v>61.82</v>
      </c>
      <c r="D134" s="20">
        <v>0.18</v>
      </c>
      <c r="E134" s="20">
        <v>0.17</v>
      </c>
      <c r="F134" s="20">
        <v>1975.58</v>
      </c>
      <c r="Q134" s="20">
        <v>13.3</v>
      </c>
      <c r="R134" s="20">
        <v>62.91</v>
      </c>
      <c r="S134" s="20">
        <v>62</v>
      </c>
      <c r="T134" s="26">
        <v>-0.91</v>
      </c>
      <c r="U134" s="26">
        <v>0.03</v>
      </c>
      <c r="V134" s="20">
        <v>1279.3499999999999</v>
      </c>
    </row>
    <row r="135" spans="1:22" ht="16.8" x14ac:dyDescent="0.3">
      <c r="A135" s="20">
        <v>13.4</v>
      </c>
      <c r="B135" s="20">
        <v>62</v>
      </c>
      <c r="C135" s="20">
        <v>61.72</v>
      </c>
      <c r="D135" s="20">
        <v>0.28000000000000003</v>
      </c>
      <c r="E135" s="20">
        <v>0.1</v>
      </c>
      <c r="F135" s="20">
        <v>2043.37</v>
      </c>
      <c r="Q135" s="20">
        <v>13.4</v>
      </c>
      <c r="R135" s="20">
        <v>62.93</v>
      </c>
      <c r="S135" s="26">
        <v>62</v>
      </c>
      <c r="T135" s="26">
        <v>-0.93</v>
      </c>
      <c r="U135" s="26">
        <v>-0.02</v>
      </c>
      <c r="V135" s="20">
        <v>1255.17</v>
      </c>
    </row>
    <row r="136" spans="1:22" ht="16.8" x14ac:dyDescent="0.3">
      <c r="A136" s="20">
        <v>13.5</v>
      </c>
      <c r="B136" s="20">
        <v>62</v>
      </c>
      <c r="C136" s="20">
        <v>61.61</v>
      </c>
      <c r="D136" s="20">
        <v>0.39</v>
      </c>
      <c r="E136" s="20">
        <v>0.1</v>
      </c>
      <c r="F136" s="20">
        <v>2094.5300000000002</v>
      </c>
      <c r="Q136" s="20">
        <v>13.5</v>
      </c>
      <c r="R136" s="20">
        <v>62.88</v>
      </c>
      <c r="S136" s="20">
        <v>62</v>
      </c>
      <c r="T136" s="20">
        <v>-0.88</v>
      </c>
      <c r="U136" s="20">
        <v>0.04</v>
      </c>
      <c r="V136" s="20">
        <v>1282.0999999999999</v>
      </c>
    </row>
    <row r="137" spans="1:22" ht="16.8" x14ac:dyDescent="0.3">
      <c r="A137" s="20">
        <v>13.6</v>
      </c>
      <c r="B137" s="20">
        <v>62</v>
      </c>
      <c r="C137" s="20">
        <v>61.59</v>
      </c>
      <c r="D137" s="20">
        <v>0.41</v>
      </c>
      <c r="E137" s="20">
        <v>0.02</v>
      </c>
      <c r="F137" s="20">
        <v>2108.59</v>
      </c>
      <c r="Q137" s="20">
        <v>13.6</v>
      </c>
      <c r="R137" s="20">
        <v>62.88</v>
      </c>
      <c r="S137" s="26">
        <v>62</v>
      </c>
      <c r="T137" s="26">
        <v>-0.88</v>
      </c>
      <c r="U137" s="26">
        <v>0</v>
      </c>
      <c r="V137" s="20">
        <v>1263.81</v>
      </c>
    </row>
    <row r="138" spans="1:22" ht="16.8" x14ac:dyDescent="0.3">
      <c r="A138" s="20">
        <v>13.7</v>
      </c>
      <c r="B138" s="20">
        <v>62</v>
      </c>
      <c r="C138" s="20">
        <v>61.56</v>
      </c>
      <c r="D138" s="20">
        <v>0.44</v>
      </c>
      <c r="E138" s="20">
        <v>0.03</v>
      </c>
      <c r="F138" s="20">
        <v>2129.8000000000002</v>
      </c>
      <c r="Q138" s="20">
        <v>13.7</v>
      </c>
      <c r="R138" s="20">
        <v>62.85</v>
      </c>
      <c r="S138" s="20">
        <v>62</v>
      </c>
      <c r="T138" s="20">
        <v>-0.85</v>
      </c>
      <c r="U138" s="26">
        <v>0.03</v>
      </c>
      <c r="V138" s="20">
        <v>1279.8399999999999</v>
      </c>
    </row>
    <row r="139" spans="1:22" ht="16.8" x14ac:dyDescent="0.3">
      <c r="A139" s="20">
        <v>13.8</v>
      </c>
      <c r="B139" s="20">
        <v>62</v>
      </c>
      <c r="C139" s="20">
        <v>61.52</v>
      </c>
      <c r="D139" s="20">
        <v>0.48</v>
      </c>
      <c r="E139" s="20">
        <v>0.04</v>
      </c>
      <c r="F139" s="20">
        <v>2161.54</v>
      </c>
      <c r="Q139" s="20">
        <v>13.8</v>
      </c>
      <c r="R139" s="20">
        <v>62.89</v>
      </c>
      <c r="S139" s="26">
        <v>62</v>
      </c>
      <c r="T139" s="26">
        <v>-0.89</v>
      </c>
      <c r="U139" s="26">
        <v>-0.04</v>
      </c>
      <c r="V139" s="20">
        <v>1242.18</v>
      </c>
    </row>
    <row r="140" spans="1:22" ht="16.8" x14ac:dyDescent="0.3">
      <c r="A140" s="20">
        <v>13.9</v>
      </c>
      <c r="B140" s="20">
        <v>62</v>
      </c>
      <c r="C140" s="20">
        <v>61.57</v>
      </c>
      <c r="D140" s="20">
        <v>0.43</v>
      </c>
      <c r="E140" s="20">
        <v>-0.05</v>
      </c>
      <c r="F140" s="20">
        <v>2123.67</v>
      </c>
      <c r="Q140" s="20">
        <v>13.9</v>
      </c>
      <c r="R140" s="20">
        <v>62.84</v>
      </c>
      <c r="S140" s="20">
        <v>62</v>
      </c>
      <c r="T140" s="26">
        <v>-0.84</v>
      </c>
      <c r="U140" s="20">
        <v>0.05</v>
      </c>
      <c r="V140" s="20">
        <v>1283.42</v>
      </c>
    </row>
    <row r="141" spans="1:22" ht="16.8" x14ac:dyDescent="0.3">
      <c r="A141" s="20">
        <v>14</v>
      </c>
      <c r="B141" s="20">
        <v>62</v>
      </c>
      <c r="C141" s="20">
        <v>61.58</v>
      </c>
      <c r="D141" s="20">
        <v>0.42</v>
      </c>
      <c r="E141" s="20">
        <v>-0.01</v>
      </c>
      <c r="F141" s="20">
        <v>2114.58</v>
      </c>
      <c r="Q141" s="20">
        <v>14</v>
      </c>
      <c r="R141" s="20">
        <v>62.85</v>
      </c>
      <c r="S141" s="20">
        <v>62</v>
      </c>
      <c r="T141" s="26">
        <v>-0.85</v>
      </c>
      <c r="U141" s="26">
        <v>-0.01</v>
      </c>
      <c r="V141" s="20">
        <v>1257.47</v>
      </c>
    </row>
    <row r="142" spans="1:22" ht="16.8" x14ac:dyDescent="0.3">
      <c r="A142" s="20">
        <v>14.1</v>
      </c>
      <c r="B142" s="20">
        <v>62</v>
      </c>
      <c r="C142" s="20">
        <v>61.62</v>
      </c>
      <c r="D142" s="20">
        <v>0.38</v>
      </c>
      <c r="E142" s="20">
        <v>-0.04</v>
      </c>
      <c r="F142" s="20">
        <v>2092.81</v>
      </c>
      <c r="Q142" s="20">
        <v>14.1</v>
      </c>
      <c r="R142" s="20">
        <v>62.82</v>
      </c>
      <c r="S142" s="26">
        <v>62</v>
      </c>
      <c r="T142" s="20">
        <v>-0.82</v>
      </c>
      <c r="U142" s="20">
        <v>0.03</v>
      </c>
      <c r="V142" s="20">
        <v>1276.8</v>
      </c>
    </row>
    <row r="143" spans="1:22" ht="16.8" x14ac:dyDescent="0.3">
      <c r="A143" s="20">
        <v>14.2</v>
      </c>
      <c r="B143" s="20">
        <v>62</v>
      </c>
      <c r="C143" s="20">
        <v>61.67</v>
      </c>
      <c r="D143" s="20">
        <v>0.33</v>
      </c>
      <c r="E143" s="20">
        <v>-0.05</v>
      </c>
      <c r="F143" s="20">
        <v>2068.7399999999998</v>
      </c>
      <c r="Q143" s="20">
        <v>14.2</v>
      </c>
      <c r="R143" s="20">
        <v>62.8</v>
      </c>
      <c r="S143" s="20">
        <v>62</v>
      </c>
      <c r="T143" s="26">
        <v>-0.8</v>
      </c>
      <c r="U143" s="26">
        <v>0.02</v>
      </c>
      <c r="V143" s="20">
        <v>1275.51</v>
      </c>
    </row>
    <row r="144" spans="1:22" ht="16.8" x14ac:dyDescent="0.3">
      <c r="A144" s="20">
        <v>14.3</v>
      </c>
      <c r="B144" s="20">
        <v>62</v>
      </c>
      <c r="C144" s="20">
        <v>61.73</v>
      </c>
      <c r="D144" s="20">
        <v>0.27</v>
      </c>
      <c r="E144" s="20">
        <v>-0.06</v>
      </c>
      <c r="F144" s="20">
        <v>2036.5</v>
      </c>
      <c r="Q144" s="20">
        <v>14.3</v>
      </c>
      <c r="R144" s="20">
        <v>62.82</v>
      </c>
      <c r="S144" s="26">
        <v>62</v>
      </c>
      <c r="T144" s="26">
        <v>-0.82</v>
      </c>
      <c r="U144" s="26">
        <v>-0.02</v>
      </c>
      <c r="V144" s="20">
        <v>1250.3</v>
      </c>
    </row>
    <row r="145" spans="1:22" ht="16.8" x14ac:dyDescent="0.3">
      <c r="A145" s="20">
        <v>14.4</v>
      </c>
      <c r="B145" s="20">
        <v>62</v>
      </c>
      <c r="C145" s="20">
        <v>61.78</v>
      </c>
      <c r="D145" s="20">
        <v>0.22</v>
      </c>
      <c r="E145" s="20">
        <v>-0.05</v>
      </c>
      <c r="F145" s="20">
        <v>2003.99</v>
      </c>
      <c r="Q145" s="20">
        <v>14.4</v>
      </c>
      <c r="R145" s="20">
        <v>62.76</v>
      </c>
      <c r="S145" s="20">
        <v>62</v>
      </c>
      <c r="T145" s="20">
        <v>-0.76</v>
      </c>
      <c r="U145" s="26">
        <v>0.06</v>
      </c>
      <c r="V145" s="20">
        <v>1289.77</v>
      </c>
    </row>
    <row r="146" spans="1:22" ht="16.8" x14ac:dyDescent="0.3">
      <c r="A146" s="20">
        <v>14.5</v>
      </c>
      <c r="B146" s="20">
        <v>62</v>
      </c>
      <c r="C146" s="20">
        <v>61.82</v>
      </c>
      <c r="D146" s="20">
        <v>0.18</v>
      </c>
      <c r="E146" s="20">
        <v>-0.04</v>
      </c>
      <c r="F146" s="20">
        <v>1975.58</v>
      </c>
      <c r="Q146" s="20">
        <v>14.5</v>
      </c>
      <c r="R146" s="20">
        <v>62.76</v>
      </c>
      <c r="S146" s="26">
        <v>62</v>
      </c>
      <c r="T146" s="26">
        <v>-0.76</v>
      </c>
      <c r="U146" s="26">
        <v>0</v>
      </c>
      <c r="V146" s="20">
        <v>1265.32</v>
      </c>
    </row>
    <row r="147" spans="1:22" ht="16.8" x14ac:dyDescent="0.3">
      <c r="A147" s="20">
        <v>14.6</v>
      </c>
      <c r="B147" s="20">
        <v>62</v>
      </c>
      <c r="C147" s="20">
        <v>61.92</v>
      </c>
      <c r="D147" s="20">
        <v>0.08</v>
      </c>
      <c r="E147" s="20">
        <v>-0.1</v>
      </c>
      <c r="F147" s="20">
        <v>1892.38</v>
      </c>
      <c r="Q147" s="20">
        <v>14.6</v>
      </c>
      <c r="R147" s="20">
        <v>62.79</v>
      </c>
      <c r="S147" s="20">
        <v>62</v>
      </c>
      <c r="T147" s="20">
        <v>-0.79</v>
      </c>
      <c r="U147" s="26">
        <v>-0.02</v>
      </c>
      <c r="V147" s="20">
        <v>1249.8800000000001</v>
      </c>
    </row>
    <row r="148" spans="1:22" ht="16.8" x14ac:dyDescent="0.3">
      <c r="A148" s="20">
        <v>14.7</v>
      </c>
      <c r="B148" s="20">
        <v>62</v>
      </c>
      <c r="C148" s="20">
        <v>62.07</v>
      </c>
      <c r="D148" s="20">
        <v>-7.0000000000000007E-2</v>
      </c>
      <c r="E148" s="20">
        <v>-0.15</v>
      </c>
      <c r="F148" s="20">
        <v>1755.43</v>
      </c>
      <c r="Q148" s="20">
        <v>14.7</v>
      </c>
      <c r="R148" s="20">
        <v>62.77</v>
      </c>
      <c r="S148" s="26">
        <v>62</v>
      </c>
      <c r="T148" s="26">
        <v>-0.77</v>
      </c>
      <c r="U148" s="20">
        <v>0.02</v>
      </c>
      <c r="V148" s="20">
        <v>1266.75</v>
      </c>
    </row>
    <row r="149" spans="1:22" ht="16.8" x14ac:dyDescent="0.3">
      <c r="A149" s="20">
        <v>14.8</v>
      </c>
      <c r="B149" s="20">
        <v>62</v>
      </c>
      <c r="C149" s="20">
        <v>62.1</v>
      </c>
      <c r="D149" s="20">
        <v>-0.1</v>
      </c>
      <c r="E149" s="20">
        <v>-0.03</v>
      </c>
      <c r="F149" s="20">
        <v>1735.55</v>
      </c>
      <c r="Q149" s="20">
        <v>14.8</v>
      </c>
      <c r="R149" s="20">
        <v>62.76</v>
      </c>
      <c r="S149" s="20">
        <v>62</v>
      </c>
      <c r="T149" s="26">
        <v>-0.76</v>
      </c>
      <c r="U149" s="26">
        <v>0.02</v>
      </c>
      <c r="V149" s="20">
        <v>1267.52</v>
      </c>
    </row>
    <row r="150" spans="1:22" ht="16.8" x14ac:dyDescent="0.3">
      <c r="A150" s="20">
        <v>14.9</v>
      </c>
      <c r="B150" s="20">
        <v>62</v>
      </c>
      <c r="C150" s="20">
        <v>62.27</v>
      </c>
      <c r="D150" s="20">
        <v>-0.27</v>
      </c>
      <c r="E150" s="20">
        <v>-0.17</v>
      </c>
      <c r="F150" s="20">
        <v>1643.78</v>
      </c>
      <c r="Q150" s="20">
        <v>14.9</v>
      </c>
      <c r="R150" s="20">
        <v>62.76</v>
      </c>
      <c r="S150" s="26">
        <v>62</v>
      </c>
      <c r="T150" s="26">
        <v>-0.76</v>
      </c>
      <c r="U150" s="26">
        <v>-0.01</v>
      </c>
      <c r="V150" s="20">
        <v>1254.69</v>
      </c>
    </row>
    <row r="151" spans="1:22" ht="16.8" x14ac:dyDescent="0.3">
      <c r="A151" s="20">
        <v>15</v>
      </c>
      <c r="B151" s="20">
        <v>62</v>
      </c>
      <c r="C151" s="20">
        <v>62.32</v>
      </c>
      <c r="D151" s="20">
        <v>-0.32</v>
      </c>
      <c r="E151" s="20">
        <v>-0.05</v>
      </c>
      <c r="F151" s="20">
        <v>1622.06</v>
      </c>
      <c r="Q151" s="20">
        <v>15</v>
      </c>
      <c r="R151" s="20">
        <v>62.75</v>
      </c>
      <c r="S151" s="20">
        <v>62</v>
      </c>
      <c r="T151" s="26">
        <v>-0.75</v>
      </c>
      <c r="U151" s="26">
        <v>0.02</v>
      </c>
      <c r="V151" s="20">
        <v>1265.17</v>
      </c>
    </row>
    <row r="152" spans="1:22" ht="16.8" x14ac:dyDescent="0.3">
      <c r="A152" s="20">
        <v>15.1</v>
      </c>
      <c r="B152" s="20">
        <v>62</v>
      </c>
      <c r="C152" s="20">
        <v>62.44</v>
      </c>
      <c r="D152" s="20">
        <v>-0.44</v>
      </c>
      <c r="E152" s="20">
        <v>-0.12</v>
      </c>
      <c r="F152" s="20">
        <v>1562.04</v>
      </c>
      <c r="Q152" s="20">
        <v>15.1</v>
      </c>
      <c r="R152" s="20">
        <v>62.73</v>
      </c>
      <c r="S152" s="26">
        <v>62</v>
      </c>
      <c r="T152" s="26">
        <v>-0.73</v>
      </c>
      <c r="U152" s="26">
        <v>0.02</v>
      </c>
      <c r="V152" s="20">
        <v>1265.98</v>
      </c>
    </row>
    <row r="153" spans="1:22" ht="16.8" x14ac:dyDescent="0.3">
      <c r="A153" s="20">
        <v>15.2</v>
      </c>
      <c r="B153" s="20">
        <v>62</v>
      </c>
      <c r="C153" s="20">
        <v>62.5</v>
      </c>
      <c r="D153" s="20">
        <v>-0.5</v>
      </c>
      <c r="E153" s="20">
        <v>-0.06</v>
      </c>
      <c r="F153" s="20">
        <v>1505.32</v>
      </c>
      <c r="Q153" s="20">
        <v>15.2</v>
      </c>
      <c r="R153" s="20">
        <v>62.72</v>
      </c>
      <c r="S153" s="20">
        <v>62</v>
      </c>
      <c r="T153" s="20">
        <v>-0.72</v>
      </c>
      <c r="U153" s="26">
        <v>0.01</v>
      </c>
      <c r="V153" s="20">
        <v>1262.3</v>
      </c>
    </row>
    <row r="154" spans="1:22" ht="16.8" x14ac:dyDescent="0.3">
      <c r="A154" s="20">
        <v>15.3</v>
      </c>
      <c r="B154" s="20">
        <v>62</v>
      </c>
      <c r="C154" s="20">
        <v>62.58</v>
      </c>
      <c r="D154" s="20">
        <v>-0.57999999999999996</v>
      </c>
      <c r="E154" s="20">
        <v>-0.08</v>
      </c>
      <c r="F154" s="20">
        <v>1405.9</v>
      </c>
      <c r="Q154" s="20">
        <v>15.3</v>
      </c>
      <c r="R154" s="20">
        <v>62.69</v>
      </c>
      <c r="S154" s="20">
        <v>62</v>
      </c>
      <c r="T154" s="26">
        <v>-0.69</v>
      </c>
      <c r="U154" s="26">
        <v>0.03</v>
      </c>
      <c r="V154" s="20">
        <v>1275.48</v>
      </c>
    </row>
    <row r="155" spans="1:22" ht="16.8" x14ac:dyDescent="0.3">
      <c r="A155" s="20">
        <v>15.4</v>
      </c>
      <c r="B155" s="20">
        <v>62</v>
      </c>
      <c r="C155" s="20">
        <v>62.7</v>
      </c>
      <c r="D155" s="20">
        <v>-0.7</v>
      </c>
      <c r="E155" s="20">
        <v>-0.11</v>
      </c>
      <c r="F155" s="20">
        <v>1134.93</v>
      </c>
      <c r="Q155" s="20">
        <v>15.4</v>
      </c>
      <c r="R155" s="20">
        <v>62.71</v>
      </c>
      <c r="S155" s="26">
        <v>62</v>
      </c>
      <c r="T155" s="20">
        <v>-0.71</v>
      </c>
      <c r="U155" s="26">
        <v>-0.02</v>
      </c>
      <c r="V155" s="20">
        <v>1251.82</v>
      </c>
    </row>
    <row r="156" spans="1:22" ht="16.8" x14ac:dyDescent="0.3">
      <c r="A156" s="20">
        <v>15.5</v>
      </c>
      <c r="B156" s="20">
        <v>62</v>
      </c>
      <c r="C156" s="20">
        <v>62.72</v>
      </c>
      <c r="D156" s="20">
        <v>-0.72</v>
      </c>
      <c r="E156" s="20">
        <v>-0.03</v>
      </c>
      <c r="F156" s="20">
        <v>1008.4</v>
      </c>
      <c r="Q156" s="20">
        <v>15.5</v>
      </c>
      <c r="R156" s="20">
        <v>62.5</v>
      </c>
      <c r="S156" s="20">
        <v>62</v>
      </c>
      <c r="T156" s="26">
        <v>-0.5</v>
      </c>
      <c r="U156" s="26">
        <v>0.21</v>
      </c>
      <c r="V156" s="20">
        <v>1374.53</v>
      </c>
    </row>
    <row r="157" spans="1:22" ht="16.8" x14ac:dyDescent="0.3">
      <c r="A157" s="20">
        <v>15.6</v>
      </c>
      <c r="B157" s="20">
        <v>62</v>
      </c>
      <c r="C157" s="20">
        <v>62.79</v>
      </c>
      <c r="D157" s="20">
        <v>-0.79</v>
      </c>
      <c r="E157" s="20">
        <v>-0.06</v>
      </c>
      <c r="F157" s="20">
        <v>435.48</v>
      </c>
      <c r="Q157" s="20">
        <v>15.6</v>
      </c>
      <c r="R157" s="20">
        <v>62.7</v>
      </c>
      <c r="S157" s="26">
        <v>62</v>
      </c>
      <c r="T157" s="20">
        <v>-0.7</v>
      </c>
      <c r="U157" s="26">
        <v>-0.2</v>
      </c>
      <c r="V157" s="20">
        <v>1175.9100000000001</v>
      </c>
    </row>
    <row r="158" spans="1:22" ht="16.8" x14ac:dyDescent="0.3">
      <c r="A158" s="20">
        <v>15.7</v>
      </c>
      <c r="B158" s="20">
        <v>62</v>
      </c>
      <c r="C158" s="20">
        <v>62.86</v>
      </c>
      <c r="D158" s="20">
        <v>-0.86</v>
      </c>
      <c r="E158" s="20">
        <v>-0.08</v>
      </c>
      <c r="F158" s="20">
        <v>223.9</v>
      </c>
      <c r="Q158" s="20">
        <v>15.7</v>
      </c>
      <c r="R158" s="20">
        <v>61.94</v>
      </c>
      <c r="S158" s="20">
        <v>62</v>
      </c>
      <c r="T158" s="20">
        <v>0.06</v>
      </c>
      <c r="U158" s="26">
        <v>0.76</v>
      </c>
      <c r="V158" s="20">
        <v>1681.42</v>
      </c>
    </row>
    <row r="159" spans="1:22" ht="16.8" x14ac:dyDescent="0.3">
      <c r="A159" s="20">
        <v>15.8</v>
      </c>
      <c r="B159" s="20">
        <v>62</v>
      </c>
      <c r="C159" s="20">
        <v>62.83</v>
      </c>
      <c r="D159" s="20">
        <v>-0.83</v>
      </c>
      <c r="E159" s="20">
        <v>0.03</v>
      </c>
      <c r="F159" s="20">
        <v>223.9</v>
      </c>
      <c r="Q159" s="20">
        <v>15.8</v>
      </c>
      <c r="R159" s="20">
        <v>62.68</v>
      </c>
      <c r="S159" s="26">
        <v>62</v>
      </c>
      <c r="T159" s="26">
        <v>-0.68</v>
      </c>
      <c r="U159" s="26">
        <v>-0.74</v>
      </c>
      <c r="V159" s="20">
        <v>960.47</v>
      </c>
    </row>
    <row r="160" spans="1:22" ht="16.8" x14ac:dyDescent="0.3">
      <c r="A160" s="20">
        <v>15.9</v>
      </c>
      <c r="B160" s="20">
        <v>62</v>
      </c>
      <c r="C160" s="20">
        <v>62.86</v>
      </c>
      <c r="D160" s="20">
        <v>-0.86</v>
      </c>
      <c r="E160" s="20">
        <v>-0.03</v>
      </c>
      <c r="F160" s="20">
        <v>223.9</v>
      </c>
      <c r="Q160" s="20">
        <v>15.9</v>
      </c>
      <c r="R160" s="20">
        <v>61.76</v>
      </c>
      <c r="S160" s="20">
        <v>62</v>
      </c>
      <c r="T160" s="20">
        <v>0.24</v>
      </c>
      <c r="U160" s="26">
        <v>0.92</v>
      </c>
      <c r="V160" s="20">
        <v>1773.26</v>
      </c>
    </row>
    <row r="161" spans="1:22" ht="16.8" x14ac:dyDescent="0.3">
      <c r="A161" s="20">
        <v>16</v>
      </c>
      <c r="B161" s="20">
        <v>62</v>
      </c>
      <c r="C161" s="20">
        <v>62.85</v>
      </c>
      <c r="D161" s="20">
        <v>-0.85</v>
      </c>
      <c r="E161" s="20">
        <v>0.01</v>
      </c>
      <c r="F161" s="20">
        <v>223.9</v>
      </c>
      <c r="Q161" s="20">
        <v>16</v>
      </c>
      <c r="R161" s="20">
        <v>62.64</v>
      </c>
      <c r="S161" s="26">
        <v>62</v>
      </c>
      <c r="T161" s="26">
        <v>-0.64</v>
      </c>
      <c r="U161" s="26">
        <v>-0.88</v>
      </c>
      <c r="V161" s="20">
        <v>910.98</v>
      </c>
    </row>
    <row r="162" spans="1:22" ht="16.8" x14ac:dyDescent="0.3">
      <c r="A162" s="20">
        <v>16.100000000000001</v>
      </c>
      <c r="B162" s="20">
        <v>62</v>
      </c>
      <c r="C162" s="20">
        <v>62.81</v>
      </c>
      <c r="D162" s="20">
        <v>-0.81</v>
      </c>
      <c r="E162" s="20">
        <v>0.04</v>
      </c>
      <c r="F162" s="20">
        <v>223.9</v>
      </c>
      <c r="Q162" s="20">
        <v>16.100000000000001</v>
      </c>
      <c r="R162" s="20">
        <v>61.72</v>
      </c>
      <c r="S162" s="20">
        <v>62</v>
      </c>
      <c r="T162" s="20">
        <v>0.28000000000000003</v>
      </c>
      <c r="U162" s="20">
        <v>0.93</v>
      </c>
      <c r="V162" s="20">
        <v>1783.33</v>
      </c>
    </row>
    <row r="163" spans="1:22" ht="16.8" x14ac:dyDescent="0.3">
      <c r="A163" s="20">
        <v>16.2</v>
      </c>
      <c r="B163" s="20">
        <v>62</v>
      </c>
      <c r="C163" s="20">
        <v>62.74</v>
      </c>
      <c r="D163" s="20">
        <v>-0.74</v>
      </c>
      <c r="E163" s="20">
        <v>7.0000000000000007E-2</v>
      </c>
      <c r="F163" s="20">
        <v>913.51</v>
      </c>
      <c r="Q163" s="20">
        <v>16.2</v>
      </c>
      <c r="R163" s="20">
        <v>62.62</v>
      </c>
      <c r="S163" s="20">
        <v>62</v>
      </c>
      <c r="T163" s="26">
        <v>-0.62</v>
      </c>
      <c r="U163" s="26">
        <v>-0.9</v>
      </c>
      <c r="V163" s="20">
        <v>904.34</v>
      </c>
    </row>
    <row r="164" spans="1:22" ht="16.8" x14ac:dyDescent="0.3">
      <c r="A164" s="20">
        <v>16.3</v>
      </c>
      <c r="B164" s="20">
        <v>62</v>
      </c>
      <c r="C164" s="20">
        <v>62.59</v>
      </c>
      <c r="D164" s="20">
        <v>-0.59</v>
      </c>
      <c r="E164" s="20">
        <v>0.15</v>
      </c>
      <c r="F164" s="20">
        <v>1399.65</v>
      </c>
      <c r="Q164" s="20">
        <v>16.3</v>
      </c>
      <c r="R164" s="20">
        <v>61.73</v>
      </c>
      <c r="S164" s="26">
        <v>62</v>
      </c>
      <c r="T164" s="20">
        <v>0.27</v>
      </c>
      <c r="U164" s="20">
        <v>0.89</v>
      </c>
      <c r="V164" s="20">
        <v>1763.76</v>
      </c>
    </row>
    <row r="165" spans="1:22" ht="16.8" x14ac:dyDescent="0.3">
      <c r="A165" s="20">
        <v>16.399999999999999</v>
      </c>
      <c r="B165" s="20">
        <v>62</v>
      </c>
      <c r="C165" s="20">
        <v>62.53</v>
      </c>
      <c r="D165" s="20">
        <v>-0.53</v>
      </c>
      <c r="E165" s="20">
        <v>0.06</v>
      </c>
      <c r="F165" s="20">
        <v>1479.73</v>
      </c>
      <c r="Q165" s="20">
        <v>16.399999999999999</v>
      </c>
      <c r="R165" s="20">
        <v>62.57</v>
      </c>
      <c r="S165" s="20">
        <v>62</v>
      </c>
      <c r="T165" s="26">
        <v>-0.56999999999999995</v>
      </c>
      <c r="U165" s="26">
        <v>-0.84</v>
      </c>
      <c r="V165" s="20">
        <v>937.17</v>
      </c>
    </row>
    <row r="166" spans="1:22" ht="16.8" x14ac:dyDescent="0.3">
      <c r="A166" s="20">
        <v>16.5</v>
      </c>
      <c r="B166" s="20">
        <v>62</v>
      </c>
      <c r="C166" s="20">
        <v>62.32</v>
      </c>
      <c r="D166" s="20">
        <v>-0.32</v>
      </c>
      <c r="E166" s="20">
        <v>0.2</v>
      </c>
      <c r="F166" s="20">
        <v>1620.33</v>
      </c>
      <c r="Q166" s="20">
        <v>16.5</v>
      </c>
      <c r="R166" s="20">
        <v>61.76</v>
      </c>
      <c r="S166" s="26">
        <v>62</v>
      </c>
      <c r="T166" s="26">
        <v>0.24</v>
      </c>
      <c r="U166" s="26">
        <v>0.81</v>
      </c>
      <c r="V166" s="20">
        <v>1725.5</v>
      </c>
    </row>
    <row r="167" spans="1:22" ht="16.8" x14ac:dyDescent="0.3">
      <c r="A167" s="20">
        <v>16.600000000000001</v>
      </c>
      <c r="B167" s="20">
        <v>62</v>
      </c>
      <c r="C167" s="20">
        <v>62.18</v>
      </c>
      <c r="D167" s="20">
        <v>-0.18</v>
      </c>
      <c r="E167" s="20">
        <v>0.14000000000000001</v>
      </c>
      <c r="F167" s="20">
        <v>1687.81</v>
      </c>
      <c r="Q167" s="20">
        <v>16.600000000000001</v>
      </c>
      <c r="R167" s="20">
        <v>62.67</v>
      </c>
      <c r="S167" s="20">
        <v>62</v>
      </c>
      <c r="T167" s="26">
        <v>-0.67</v>
      </c>
      <c r="U167" s="26">
        <v>-0.9</v>
      </c>
      <c r="V167" s="20">
        <v>894.86</v>
      </c>
    </row>
    <row r="168" spans="1:22" ht="16.8" x14ac:dyDescent="0.3">
      <c r="A168" s="20">
        <v>16.7</v>
      </c>
      <c r="B168" s="20">
        <v>62</v>
      </c>
      <c r="C168" s="20">
        <v>62.02</v>
      </c>
      <c r="D168" s="20">
        <v>-0.02</v>
      </c>
      <c r="E168" s="20">
        <v>0.17</v>
      </c>
      <c r="F168" s="20">
        <v>1787.14</v>
      </c>
      <c r="Q168" s="20">
        <v>16.7</v>
      </c>
      <c r="R168" s="20">
        <v>61.76</v>
      </c>
      <c r="S168" s="26">
        <v>62</v>
      </c>
      <c r="T168" s="26">
        <v>0.24</v>
      </c>
      <c r="U168" s="26">
        <v>0.91</v>
      </c>
      <c r="V168" s="20">
        <v>1767.78</v>
      </c>
    </row>
    <row r="169" spans="1:22" ht="16.8" x14ac:dyDescent="0.3">
      <c r="A169" s="20">
        <v>16.8</v>
      </c>
      <c r="B169" s="20">
        <v>62</v>
      </c>
      <c r="C169" s="20">
        <v>61.93</v>
      </c>
      <c r="D169" s="20">
        <v>7.0000000000000007E-2</v>
      </c>
      <c r="E169" s="20">
        <v>0.08</v>
      </c>
      <c r="F169" s="20">
        <v>1876.07</v>
      </c>
      <c r="Q169" s="20">
        <v>16.8</v>
      </c>
      <c r="R169" s="20">
        <v>62.65</v>
      </c>
      <c r="S169" s="20">
        <v>62</v>
      </c>
      <c r="T169" s="26">
        <v>-0.65</v>
      </c>
      <c r="U169" s="26">
        <v>-0.89</v>
      </c>
      <c r="V169" s="20">
        <v>899.68</v>
      </c>
    </row>
    <row r="170" spans="1:22" ht="16.8" x14ac:dyDescent="0.3">
      <c r="A170" s="20">
        <v>16.899999999999999</v>
      </c>
      <c r="B170" s="20">
        <v>62</v>
      </c>
      <c r="C170" s="20">
        <v>61.83</v>
      </c>
      <c r="D170" s="20">
        <v>0.17</v>
      </c>
      <c r="E170" s="20">
        <v>0.1</v>
      </c>
      <c r="F170" s="20">
        <v>1969.5</v>
      </c>
      <c r="Q170" s="20">
        <v>16.899999999999999</v>
      </c>
      <c r="R170" s="20">
        <v>61.81</v>
      </c>
      <c r="S170" s="26">
        <v>62</v>
      </c>
      <c r="T170" s="26">
        <v>0.19</v>
      </c>
      <c r="U170" s="26">
        <v>0.84</v>
      </c>
      <c r="V170" s="20">
        <v>1728.58</v>
      </c>
    </row>
    <row r="171" spans="1:22" ht="16.8" x14ac:dyDescent="0.3">
      <c r="A171" s="20">
        <v>17</v>
      </c>
      <c r="B171" s="20">
        <v>62</v>
      </c>
      <c r="C171" s="20">
        <v>61.69</v>
      </c>
      <c r="D171" s="20">
        <v>0.31</v>
      </c>
      <c r="E171" s="20">
        <v>0.14000000000000001</v>
      </c>
      <c r="F171" s="26" t="s">
        <v>60</v>
      </c>
      <c r="Q171" s="20">
        <v>17</v>
      </c>
      <c r="R171" s="20">
        <v>62.64</v>
      </c>
      <c r="S171" s="20">
        <v>62</v>
      </c>
      <c r="T171" s="20">
        <v>-0.64</v>
      </c>
      <c r="U171" s="26">
        <v>-0.82</v>
      </c>
      <c r="V171" s="20">
        <v>930.27</v>
      </c>
    </row>
    <row r="172" spans="1:22" ht="16.8" x14ac:dyDescent="0.3">
      <c r="A172" s="20">
        <v>17.2</v>
      </c>
      <c r="B172" s="20">
        <v>62</v>
      </c>
      <c r="C172" s="20">
        <v>61.54</v>
      </c>
      <c r="D172" s="20">
        <v>0.46</v>
      </c>
      <c r="E172" s="20">
        <v>0.12</v>
      </c>
      <c r="F172" s="26">
        <v>2142.27</v>
      </c>
      <c r="Q172" s="20">
        <v>17.100000000000001</v>
      </c>
      <c r="R172" s="20">
        <v>61.79</v>
      </c>
      <c r="S172" s="20">
        <v>62</v>
      </c>
      <c r="T172" s="26">
        <v>0.21</v>
      </c>
      <c r="U172" s="26">
        <v>0.85</v>
      </c>
      <c r="V172" s="20">
        <v>1734.65</v>
      </c>
    </row>
    <row r="173" spans="1:22" ht="16.8" x14ac:dyDescent="0.3">
      <c r="A173" s="20">
        <v>17.3</v>
      </c>
      <c r="B173" s="20">
        <v>62</v>
      </c>
      <c r="C173" s="20">
        <v>61.51</v>
      </c>
      <c r="D173" s="20">
        <v>0.49</v>
      </c>
      <c r="E173" s="20">
        <v>0.04</v>
      </c>
      <c r="F173" s="20">
        <v>2171.46</v>
      </c>
      <c r="Q173" s="20">
        <v>17.2</v>
      </c>
      <c r="R173" s="20">
        <v>62.69</v>
      </c>
      <c r="S173" s="26">
        <v>62</v>
      </c>
      <c r="T173" s="26">
        <v>-0.69</v>
      </c>
      <c r="U173" s="26">
        <v>-0.9</v>
      </c>
      <c r="V173" s="20">
        <v>887.79</v>
      </c>
    </row>
    <row r="174" spans="1:22" ht="16.8" x14ac:dyDescent="0.3">
      <c r="A174" s="20">
        <v>17.399999999999999</v>
      </c>
      <c r="B174" s="20">
        <v>62</v>
      </c>
      <c r="C174" s="20">
        <v>61.55</v>
      </c>
      <c r="D174" s="20">
        <v>0.45</v>
      </c>
      <c r="E174" s="20">
        <v>-0.04</v>
      </c>
      <c r="F174" s="26">
        <v>2139.13</v>
      </c>
      <c r="Q174" s="20">
        <v>17.3</v>
      </c>
      <c r="R174" s="20">
        <v>61.75</v>
      </c>
      <c r="S174" s="20">
        <v>62</v>
      </c>
      <c r="T174" s="26">
        <v>0.25</v>
      </c>
      <c r="U174" s="26">
        <v>0.94</v>
      </c>
      <c r="V174" s="20">
        <v>1778.8</v>
      </c>
    </row>
    <row r="175" spans="1:22" ht="16.8" x14ac:dyDescent="0.3">
      <c r="A175" s="20">
        <v>17.5</v>
      </c>
      <c r="B175" s="20">
        <v>62</v>
      </c>
      <c r="C175" s="20">
        <v>61.56</v>
      </c>
      <c r="D175" s="20">
        <v>0.44</v>
      </c>
      <c r="E175" s="20">
        <v>-0.01</v>
      </c>
      <c r="F175" s="26">
        <v>2129.8000000000002</v>
      </c>
      <c r="Q175" s="20">
        <v>17.399999999999999</v>
      </c>
      <c r="R175" s="20">
        <v>62.66</v>
      </c>
      <c r="S175" s="26">
        <v>62</v>
      </c>
      <c r="T175" s="26">
        <v>-0.66</v>
      </c>
      <c r="U175" s="26">
        <v>-0.91</v>
      </c>
      <c r="V175" s="20">
        <v>888.73</v>
      </c>
    </row>
    <row r="176" spans="1:22" ht="16.8" x14ac:dyDescent="0.3">
      <c r="A176" s="20">
        <v>17.600000000000001</v>
      </c>
      <c r="B176" s="20">
        <v>62</v>
      </c>
      <c r="C176" s="20">
        <v>61.54</v>
      </c>
      <c r="D176" s="20">
        <v>0.46</v>
      </c>
      <c r="E176" s="20">
        <v>0.02</v>
      </c>
      <c r="F176" s="20">
        <v>2145.4299999999998</v>
      </c>
      <c r="Q176" s="20">
        <v>17.5</v>
      </c>
      <c r="R176" s="20">
        <v>61.81</v>
      </c>
      <c r="S176" s="20">
        <v>62</v>
      </c>
      <c r="T176" s="26">
        <v>0.19</v>
      </c>
      <c r="U176" s="26">
        <v>0.85</v>
      </c>
      <c r="V176" s="20">
        <v>1733.14</v>
      </c>
    </row>
    <row r="177" spans="1:22" ht="16.8" x14ac:dyDescent="0.3">
      <c r="A177" s="20">
        <v>17.7</v>
      </c>
      <c r="B177" s="20">
        <v>62</v>
      </c>
      <c r="C177" s="20">
        <v>61.58</v>
      </c>
      <c r="D177" s="20">
        <v>0.42</v>
      </c>
      <c r="E177" s="20">
        <v>-0.04</v>
      </c>
      <c r="F177" s="26">
        <v>2117.59</v>
      </c>
      <c r="Q177" s="20">
        <v>17.600000000000001</v>
      </c>
      <c r="R177" s="20">
        <v>62.7</v>
      </c>
      <c r="S177" s="26">
        <v>62</v>
      </c>
      <c r="T177" s="20">
        <v>-0.7</v>
      </c>
      <c r="U177" s="26">
        <v>-0.89</v>
      </c>
      <c r="V177" s="20">
        <v>887.55</v>
      </c>
    </row>
    <row r="178" spans="1:22" ht="16.8" x14ac:dyDescent="0.3">
      <c r="A178" s="20">
        <v>17.8</v>
      </c>
      <c r="B178" s="20">
        <v>62</v>
      </c>
      <c r="C178" s="20">
        <v>61.62</v>
      </c>
      <c r="D178" s="20">
        <v>0.38</v>
      </c>
      <c r="E178" s="20">
        <v>-0.05</v>
      </c>
      <c r="F178" s="20">
        <v>2089.31</v>
      </c>
      <c r="Q178" s="20">
        <v>17.7</v>
      </c>
      <c r="R178" s="20">
        <v>61.83</v>
      </c>
      <c r="S178" s="20">
        <v>62</v>
      </c>
      <c r="T178" s="26">
        <v>0.17</v>
      </c>
      <c r="U178" s="26">
        <v>0.87</v>
      </c>
      <c r="V178" s="20">
        <v>1734.49</v>
      </c>
    </row>
    <row r="179" spans="1:22" ht="16.8" x14ac:dyDescent="0.3">
      <c r="A179" s="20">
        <v>17.899999999999999</v>
      </c>
      <c r="B179" s="20">
        <v>62</v>
      </c>
      <c r="C179" s="20">
        <v>61.68</v>
      </c>
      <c r="D179" s="20">
        <v>0.32</v>
      </c>
      <c r="E179" s="20">
        <v>-0.06</v>
      </c>
      <c r="F179" s="26">
        <v>2062.6999999999998</v>
      </c>
      <c r="Q179" s="20">
        <v>17.8</v>
      </c>
      <c r="R179" s="20">
        <v>62.7</v>
      </c>
      <c r="S179" s="26">
        <v>62</v>
      </c>
      <c r="T179" s="20">
        <v>-0.7</v>
      </c>
      <c r="U179" s="26">
        <v>-0.87</v>
      </c>
      <c r="V179" s="20">
        <v>895.98</v>
      </c>
    </row>
    <row r="180" spans="1:22" ht="16.8" x14ac:dyDescent="0.3">
      <c r="A180" s="20">
        <v>18</v>
      </c>
      <c r="B180" s="20">
        <v>62</v>
      </c>
      <c r="C180" s="20">
        <v>61.77</v>
      </c>
      <c r="D180" s="20">
        <v>0.23</v>
      </c>
      <c r="E180" s="20">
        <v>-0.09</v>
      </c>
      <c r="F180" s="26">
        <v>2009.3</v>
      </c>
      <c r="Q180" s="20">
        <v>17.899999999999999</v>
      </c>
      <c r="R180" s="20">
        <v>61.81</v>
      </c>
      <c r="S180" s="20">
        <v>62</v>
      </c>
      <c r="T180" s="26">
        <v>0.19</v>
      </c>
      <c r="U180" s="26">
        <v>0.89</v>
      </c>
      <c r="V180" s="20">
        <v>1746.82</v>
      </c>
    </row>
    <row r="181" spans="1:22" ht="16.8" x14ac:dyDescent="0.3">
      <c r="A181" s="20">
        <v>18.100000000000001</v>
      </c>
      <c r="B181" s="20">
        <v>62</v>
      </c>
      <c r="C181" s="20">
        <v>61.92</v>
      </c>
      <c r="D181" s="20">
        <v>0.08</v>
      </c>
      <c r="E181" s="20">
        <v>-0.15</v>
      </c>
      <c r="F181" s="20">
        <v>1888.4</v>
      </c>
      <c r="Q181" s="20">
        <v>18</v>
      </c>
      <c r="R181" s="20">
        <v>62.74</v>
      </c>
      <c r="S181" s="26">
        <v>62</v>
      </c>
      <c r="T181" s="26">
        <v>-0.74</v>
      </c>
      <c r="U181" s="26">
        <v>-0.93</v>
      </c>
      <c r="V181" s="20">
        <v>862.39</v>
      </c>
    </row>
    <row r="182" spans="1:22" ht="16.8" x14ac:dyDescent="0.3">
      <c r="A182" s="20">
        <v>18.2</v>
      </c>
      <c r="B182" s="20">
        <v>62</v>
      </c>
      <c r="C182" s="20">
        <v>62.03</v>
      </c>
      <c r="D182" s="20">
        <v>-0.03</v>
      </c>
      <c r="E182" s="20">
        <v>-0.1</v>
      </c>
      <c r="F182" s="26">
        <v>1781.69</v>
      </c>
      <c r="Q182" s="20">
        <v>18.100000000000001</v>
      </c>
      <c r="R182" s="20">
        <v>61.81</v>
      </c>
      <c r="S182" s="20">
        <v>62</v>
      </c>
      <c r="T182" s="26">
        <v>0.19</v>
      </c>
      <c r="U182" s="26">
        <v>0.93</v>
      </c>
      <c r="V182" s="20">
        <v>1761.67</v>
      </c>
    </row>
    <row r="183" spans="1:22" ht="16.8" x14ac:dyDescent="0.3">
      <c r="A183" s="20">
        <v>18.3</v>
      </c>
      <c r="B183" s="20">
        <v>62</v>
      </c>
      <c r="C183" s="20">
        <v>62.05</v>
      </c>
      <c r="D183" s="20">
        <v>-0.05</v>
      </c>
      <c r="E183" s="20">
        <v>-0.03</v>
      </c>
      <c r="F183" s="20">
        <v>1763.14</v>
      </c>
      <c r="Q183" s="20">
        <v>18.2</v>
      </c>
      <c r="R183" s="20">
        <v>62.73</v>
      </c>
      <c r="S183" s="20">
        <v>62</v>
      </c>
      <c r="T183" s="26">
        <v>-0.73</v>
      </c>
      <c r="U183" s="26">
        <v>-0.93</v>
      </c>
      <c r="V183" s="20">
        <v>865.62</v>
      </c>
    </row>
    <row r="184" spans="1:22" ht="16.8" x14ac:dyDescent="0.3">
      <c r="A184" s="20">
        <v>18.399999999999999</v>
      </c>
      <c r="B184" s="20">
        <v>62</v>
      </c>
      <c r="C184" s="20">
        <v>62.21</v>
      </c>
      <c r="D184" s="20">
        <v>-0.21</v>
      </c>
      <c r="E184" s="20">
        <v>-0.15</v>
      </c>
      <c r="F184" s="26">
        <v>1675.16</v>
      </c>
      <c r="Q184" s="20">
        <v>18.3</v>
      </c>
      <c r="R184" s="20">
        <v>61.8</v>
      </c>
      <c r="S184" s="26">
        <v>62</v>
      </c>
      <c r="T184" s="20">
        <v>0.2</v>
      </c>
      <c r="U184" s="20">
        <v>0.93</v>
      </c>
      <c r="V184" s="20">
        <v>1761.69</v>
      </c>
    </row>
    <row r="185" spans="1:22" ht="16.8" x14ac:dyDescent="0.3">
      <c r="A185" s="20">
        <v>18.5</v>
      </c>
      <c r="B185" s="20">
        <v>62</v>
      </c>
      <c r="C185" s="20">
        <v>62.22</v>
      </c>
      <c r="D185" s="20">
        <v>-0.22</v>
      </c>
      <c r="E185" s="20">
        <v>-0.02</v>
      </c>
      <c r="F185" s="26">
        <v>1667.09</v>
      </c>
      <c r="Q185" s="20">
        <v>18.399999999999999</v>
      </c>
      <c r="R185" s="20">
        <v>62.72</v>
      </c>
      <c r="S185" s="20">
        <v>62</v>
      </c>
      <c r="T185" s="26">
        <v>-0.72</v>
      </c>
      <c r="U185" s="26">
        <v>-0.93</v>
      </c>
      <c r="V185" s="20">
        <v>865.65</v>
      </c>
    </row>
    <row r="186" spans="1:22" ht="16.8" x14ac:dyDescent="0.3">
      <c r="A186" s="20">
        <v>18.600000000000001</v>
      </c>
      <c r="B186" s="20">
        <v>62</v>
      </c>
      <c r="C186" s="20">
        <v>62.38</v>
      </c>
      <c r="D186" s="20">
        <v>-0.38</v>
      </c>
      <c r="E186" s="20">
        <v>-0.16</v>
      </c>
      <c r="F186" s="20">
        <v>1596.99</v>
      </c>
      <c r="Q186" s="20">
        <v>18.5</v>
      </c>
      <c r="R186" s="20">
        <v>61.81</v>
      </c>
      <c r="S186" s="26">
        <v>62</v>
      </c>
      <c r="T186" s="20">
        <v>0.19</v>
      </c>
      <c r="U186" s="20">
        <v>0.92</v>
      </c>
      <c r="V186" s="20">
        <v>1752.67</v>
      </c>
    </row>
    <row r="187" spans="1:22" ht="16.8" x14ac:dyDescent="0.3">
      <c r="A187" s="20">
        <v>18.7</v>
      </c>
      <c r="B187" s="20">
        <v>62</v>
      </c>
      <c r="C187" s="20">
        <v>62.45</v>
      </c>
      <c r="D187" s="20">
        <v>-0.45</v>
      </c>
      <c r="E187" s="20">
        <v>-7.0000000000000007E-2</v>
      </c>
      <c r="F187" s="26">
        <v>1549.17</v>
      </c>
      <c r="Q187" s="20">
        <v>18.600000000000001</v>
      </c>
      <c r="R187" s="20">
        <v>62.73</v>
      </c>
      <c r="S187" s="20">
        <v>62</v>
      </c>
      <c r="T187" s="26">
        <v>-0.73</v>
      </c>
      <c r="U187" s="26">
        <v>-0.93</v>
      </c>
      <c r="V187" s="20">
        <v>863.08</v>
      </c>
    </row>
    <row r="188" spans="1:22" ht="16.8" x14ac:dyDescent="0.3">
      <c r="A188" s="20">
        <v>18.8</v>
      </c>
      <c r="B188" s="20">
        <v>62</v>
      </c>
      <c r="C188" s="20">
        <v>62.47</v>
      </c>
      <c r="D188" s="20">
        <v>-0.47</v>
      </c>
      <c r="E188" s="20">
        <v>-0.01</v>
      </c>
      <c r="F188" s="26">
        <v>1539.03</v>
      </c>
      <c r="Q188" s="20">
        <v>18.7</v>
      </c>
      <c r="R188" s="20">
        <v>61.85</v>
      </c>
      <c r="S188" s="26">
        <v>62</v>
      </c>
      <c r="T188" s="26">
        <v>0.15</v>
      </c>
      <c r="U188" s="26">
        <v>0.89</v>
      </c>
      <c r="V188" s="20">
        <v>1731.93</v>
      </c>
    </row>
    <row r="189" spans="1:22" ht="16.8" x14ac:dyDescent="0.3">
      <c r="A189" s="20">
        <v>18.899999999999999</v>
      </c>
      <c r="B189" s="20">
        <v>62</v>
      </c>
      <c r="C189" s="20">
        <v>62.59</v>
      </c>
      <c r="D189" s="20">
        <v>-0.59</v>
      </c>
      <c r="E189" s="20">
        <v>-0.12</v>
      </c>
      <c r="F189" s="20">
        <v>1399.65</v>
      </c>
      <c r="Q189" s="20">
        <v>18.8</v>
      </c>
      <c r="R189" s="20">
        <v>62.69</v>
      </c>
      <c r="S189" s="20">
        <v>62</v>
      </c>
      <c r="T189" s="26">
        <v>-0.69</v>
      </c>
      <c r="U189" s="26">
        <v>-0.85</v>
      </c>
      <c r="V189" s="20">
        <v>900.54</v>
      </c>
    </row>
    <row r="190" spans="1:22" ht="16.8" x14ac:dyDescent="0.3">
      <c r="A190" s="20">
        <v>19</v>
      </c>
      <c r="B190" s="20">
        <v>62</v>
      </c>
      <c r="C190" s="20">
        <v>62.65</v>
      </c>
      <c r="D190" s="20">
        <v>-0.65</v>
      </c>
      <c r="E190" s="20">
        <v>-0.06</v>
      </c>
      <c r="F190" s="26">
        <v>1281.83</v>
      </c>
      <c r="Q190" s="20">
        <v>18.899999999999999</v>
      </c>
      <c r="R190" s="20">
        <v>61.83</v>
      </c>
      <c r="S190" s="26">
        <v>62</v>
      </c>
      <c r="T190" s="26">
        <v>0.17</v>
      </c>
      <c r="U190" s="26">
        <v>0.86</v>
      </c>
      <c r="V190" s="20">
        <v>1723.56</v>
      </c>
    </row>
    <row r="191" spans="1:22" ht="16.8" x14ac:dyDescent="0.3">
      <c r="A191" s="20">
        <v>19.100000000000001</v>
      </c>
      <c r="B191" s="20">
        <v>62</v>
      </c>
      <c r="C191" s="20">
        <v>62.7</v>
      </c>
      <c r="D191" s="20">
        <v>-0.7</v>
      </c>
      <c r="E191" s="20">
        <v>-0.05</v>
      </c>
      <c r="F191" s="20">
        <v>1119.21</v>
      </c>
      <c r="Q191" s="20">
        <v>19</v>
      </c>
      <c r="R191" s="20">
        <v>62.73</v>
      </c>
      <c r="S191" s="20">
        <v>62</v>
      </c>
      <c r="T191" s="26">
        <v>-0.73</v>
      </c>
      <c r="U191" s="26">
        <v>-0.9</v>
      </c>
      <c r="V191" s="20">
        <v>870.14</v>
      </c>
    </row>
    <row r="192" spans="1:22" ht="16.8" x14ac:dyDescent="0.3">
      <c r="A192" s="20">
        <v>19.2</v>
      </c>
      <c r="B192" s="20">
        <v>62</v>
      </c>
      <c r="C192" s="20">
        <v>62.74</v>
      </c>
      <c r="D192" s="20">
        <v>-0.74</v>
      </c>
      <c r="E192" s="20">
        <v>-0.04</v>
      </c>
      <c r="F192" s="26">
        <v>913.51</v>
      </c>
      <c r="Q192" s="20">
        <v>19.100000000000001</v>
      </c>
      <c r="R192" s="20">
        <v>61.83</v>
      </c>
      <c r="S192" s="20">
        <v>62</v>
      </c>
      <c r="T192" s="20">
        <v>0.17</v>
      </c>
      <c r="U192" s="20">
        <v>0.9</v>
      </c>
      <c r="V192" s="20">
        <v>1738.38</v>
      </c>
    </row>
    <row r="193" spans="1:22" ht="16.8" x14ac:dyDescent="0.3">
      <c r="A193" s="20">
        <v>19.3</v>
      </c>
      <c r="B193" s="20">
        <v>62</v>
      </c>
      <c r="C193" s="20">
        <v>62.77</v>
      </c>
      <c r="D193" s="20">
        <v>-0.77</v>
      </c>
      <c r="E193" s="20">
        <v>-0.03</v>
      </c>
      <c r="F193" s="26">
        <v>687.31</v>
      </c>
      <c r="Q193" s="20">
        <v>19.2</v>
      </c>
      <c r="R193" s="20">
        <v>62.74</v>
      </c>
      <c r="S193" s="26">
        <v>62</v>
      </c>
      <c r="T193" s="26">
        <v>-0.74</v>
      </c>
      <c r="U193" s="26">
        <v>-0.91</v>
      </c>
      <c r="V193" s="20">
        <v>864.26</v>
      </c>
    </row>
    <row r="194" spans="1:22" ht="16.8" x14ac:dyDescent="0.3">
      <c r="A194" s="20">
        <v>19.399999999999999</v>
      </c>
      <c r="B194" s="20">
        <v>62</v>
      </c>
      <c r="C194" s="20">
        <v>62.82</v>
      </c>
      <c r="D194" s="20">
        <v>-0.82</v>
      </c>
      <c r="E194" s="20">
        <v>-0.05</v>
      </c>
      <c r="F194" s="20">
        <v>223.9</v>
      </c>
      <c r="Q194" s="20">
        <v>19.3</v>
      </c>
      <c r="R194" s="20">
        <v>61.78</v>
      </c>
      <c r="S194" s="20">
        <v>62</v>
      </c>
      <c r="T194" s="26">
        <v>0.22</v>
      </c>
      <c r="U194" s="20">
        <v>0.96</v>
      </c>
      <c r="V194" s="20">
        <v>1767.46</v>
      </c>
    </row>
    <row r="195" spans="1:22" ht="16.8" x14ac:dyDescent="0.3">
      <c r="A195" s="20">
        <v>19.5</v>
      </c>
      <c r="B195" s="20">
        <v>62</v>
      </c>
      <c r="C195" s="20">
        <v>62.6</v>
      </c>
      <c r="D195" s="20">
        <v>-0.6</v>
      </c>
      <c r="E195" s="20">
        <v>0.21</v>
      </c>
      <c r="F195" s="26">
        <v>1372.94</v>
      </c>
      <c r="Q195" s="20">
        <v>19.399999999999999</v>
      </c>
      <c r="R195" s="20">
        <v>62.73</v>
      </c>
      <c r="S195" s="26">
        <v>62</v>
      </c>
      <c r="T195" s="26">
        <v>-0.73</v>
      </c>
      <c r="U195" s="26">
        <v>-0.95</v>
      </c>
      <c r="V195" s="20">
        <v>848.15</v>
      </c>
    </row>
    <row r="196" spans="1:22" ht="16.8" x14ac:dyDescent="0.3">
      <c r="A196" s="20">
        <v>19.600000000000001</v>
      </c>
      <c r="B196" s="20">
        <v>62</v>
      </c>
      <c r="C196" s="20">
        <v>62.8</v>
      </c>
      <c r="D196" s="20">
        <v>-0.8</v>
      </c>
      <c r="E196" s="20">
        <v>-0.2</v>
      </c>
      <c r="F196" s="20">
        <v>223.9</v>
      </c>
      <c r="Q196" s="20">
        <v>19.5</v>
      </c>
      <c r="R196" s="20">
        <v>61.8</v>
      </c>
      <c r="S196" s="20">
        <v>62</v>
      </c>
      <c r="T196" s="26">
        <v>0.2</v>
      </c>
      <c r="U196" s="20">
        <v>0.93</v>
      </c>
      <c r="V196" s="20">
        <v>1753.92</v>
      </c>
    </row>
    <row r="197" spans="1:22" ht="16.8" x14ac:dyDescent="0.3">
      <c r="A197" s="20">
        <v>19.7</v>
      </c>
      <c r="B197" s="20">
        <v>62</v>
      </c>
      <c r="C197" s="20">
        <v>62.57</v>
      </c>
      <c r="D197" s="20">
        <v>-0.56999999999999995</v>
      </c>
      <c r="E197" s="20">
        <v>0.23</v>
      </c>
      <c r="F197" s="26">
        <v>1417.95</v>
      </c>
      <c r="Q197" s="20">
        <v>19.600000000000001</v>
      </c>
      <c r="R197" s="20">
        <v>62.72</v>
      </c>
      <c r="S197" s="26">
        <v>62</v>
      </c>
      <c r="T197" s="20">
        <v>-0.72</v>
      </c>
      <c r="U197" s="26">
        <v>-0.93</v>
      </c>
      <c r="V197" s="20">
        <v>857.89</v>
      </c>
    </row>
    <row r="198" spans="1:22" ht="16.8" x14ac:dyDescent="0.3">
      <c r="A198" s="20">
        <v>19.8</v>
      </c>
      <c r="B198" s="20">
        <v>62</v>
      </c>
      <c r="C198" s="20">
        <v>62.71</v>
      </c>
      <c r="D198" s="20">
        <v>-0.71</v>
      </c>
      <c r="E198" s="20">
        <v>-0.14000000000000001</v>
      </c>
      <c r="F198" s="26">
        <v>1067.74</v>
      </c>
      <c r="Q198" s="20">
        <v>19.7</v>
      </c>
      <c r="R198" s="20">
        <v>61.81</v>
      </c>
      <c r="S198" s="20">
        <v>62</v>
      </c>
      <c r="T198" s="26">
        <v>0.19</v>
      </c>
      <c r="U198" s="26">
        <v>0.91</v>
      </c>
      <c r="V198" s="20">
        <v>1740.37</v>
      </c>
    </row>
    <row r="199" spans="1:22" ht="16.8" x14ac:dyDescent="0.3">
      <c r="A199" s="20">
        <v>19.899999999999999</v>
      </c>
      <c r="B199" s="20">
        <v>62</v>
      </c>
      <c r="C199" s="20">
        <v>62.6</v>
      </c>
      <c r="D199" s="20">
        <v>-0.6</v>
      </c>
      <c r="E199" s="20">
        <v>0.11</v>
      </c>
      <c r="F199" s="20">
        <v>1372.94</v>
      </c>
      <c r="Q199" s="20">
        <v>19.8</v>
      </c>
      <c r="R199" s="20">
        <v>62.7</v>
      </c>
      <c r="S199" s="26">
        <v>62</v>
      </c>
      <c r="T199" s="20">
        <v>-0.7</v>
      </c>
      <c r="U199" s="26">
        <v>-0.89</v>
      </c>
      <c r="V199" s="20">
        <v>876.67</v>
      </c>
    </row>
    <row r="200" spans="1:22" ht="16.8" x14ac:dyDescent="0.3">
      <c r="A200" s="20">
        <v>20</v>
      </c>
      <c r="B200" s="20">
        <v>62</v>
      </c>
      <c r="C200" s="20">
        <v>62.55</v>
      </c>
      <c r="D200" s="20">
        <v>-0.55000000000000004</v>
      </c>
      <c r="E200" s="20">
        <v>0.05</v>
      </c>
      <c r="F200" s="26">
        <v>1450.84</v>
      </c>
      <c r="Q200" s="20">
        <v>19.899999999999999</v>
      </c>
      <c r="R200" s="20">
        <v>61.81</v>
      </c>
      <c r="S200" s="20">
        <v>62</v>
      </c>
      <c r="T200" s="26">
        <v>0.19</v>
      </c>
      <c r="U200" s="26">
        <v>0.89</v>
      </c>
      <c r="V200" s="20">
        <v>1729.44</v>
      </c>
    </row>
    <row r="201" spans="1:22" ht="16.8" x14ac:dyDescent="0.3">
      <c r="A201" s="20">
        <v>20.100000000000001</v>
      </c>
      <c r="B201" s="20">
        <v>62</v>
      </c>
      <c r="C201" s="20">
        <v>62.47</v>
      </c>
      <c r="D201" s="20">
        <v>-0.47</v>
      </c>
      <c r="E201" s="20">
        <v>0.08</v>
      </c>
      <c r="F201" s="20">
        <v>1535.53</v>
      </c>
      <c r="Q201" s="20">
        <v>20</v>
      </c>
      <c r="R201" s="20">
        <v>62.68</v>
      </c>
      <c r="S201" s="26">
        <v>62</v>
      </c>
      <c r="T201" s="20">
        <v>-0.68</v>
      </c>
      <c r="U201" s="20">
        <v>-0.87</v>
      </c>
      <c r="V201" s="20">
        <v>884.51</v>
      </c>
    </row>
    <row r="202" spans="1:22" ht="16.8" x14ac:dyDescent="0.3">
      <c r="A202" s="20">
        <v>20.2</v>
      </c>
      <c r="B202" s="20">
        <v>62</v>
      </c>
      <c r="C202" s="20">
        <v>62.37</v>
      </c>
      <c r="D202" s="20">
        <v>-0.37</v>
      </c>
      <c r="E202" s="20">
        <v>0.1</v>
      </c>
      <c r="F202" s="26">
        <v>1603.47</v>
      </c>
      <c r="Q202" s="20">
        <v>20.100000000000001</v>
      </c>
      <c r="R202" s="20">
        <v>61.82</v>
      </c>
      <c r="S202" s="20">
        <v>62</v>
      </c>
      <c r="T202" s="26">
        <v>0.18</v>
      </c>
      <c r="U202" s="26">
        <v>0.86</v>
      </c>
      <c r="V202" s="20">
        <v>1717.25</v>
      </c>
    </row>
    <row r="203" spans="1:22" ht="16.8" x14ac:dyDescent="0.3">
      <c r="A203" s="20">
        <v>20.3</v>
      </c>
      <c r="B203" s="20">
        <v>62</v>
      </c>
      <c r="C203" s="20">
        <v>62.32</v>
      </c>
      <c r="D203" s="20">
        <v>-0.32</v>
      </c>
      <c r="E203" s="20">
        <v>0.05</v>
      </c>
      <c r="F203" s="26">
        <v>1623.81</v>
      </c>
      <c r="Q203" s="20">
        <v>20.2</v>
      </c>
      <c r="R203" s="20">
        <v>62.73</v>
      </c>
      <c r="S203" s="20">
        <v>62</v>
      </c>
      <c r="T203" s="20">
        <v>-0.73</v>
      </c>
      <c r="U203" s="20">
        <v>-0.91</v>
      </c>
      <c r="V203" s="20">
        <v>859.31</v>
      </c>
    </row>
    <row r="204" spans="1:22" ht="16.8" x14ac:dyDescent="0.3">
      <c r="A204" s="20">
        <v>20.399999999999999</v>
      </c>
      <c r="B204" s="20">
        <v>62</v>
      </c>
      <c r="C204" s="20">
        <v>62.24</v>
      </c>
      <c r="D204" s="20">
        <v>-0.24</v>
      </c>
      <c r="E204" s="20">
        <v>7.0000000000000007E-2</v>
      </c>
      <c r="F204" s="20">
        <v>1657.12</v>
      </c>
      <c r="Q204" s="20">
        <v>20.3</v>
      </c>
      <c r="R204" s="20">
        <v>61.82</v>
      </c>
      <c r="S204" s="26">
        <v>62</v>
      </c>
      <c r="T204" s="20">
        <v>0.18</v>
      </c>
      <c r="U204" s="26">
        <v>0.91</v>
      </c>
      <c r="V204" s="20">
        <v>1735.32</v>
      </c>
    </row>
    <row r="205" spans="1:22" ht="16.8" x14ac:dyDescent="0.3">
      <c r="A205" s="20">
        <v>20.5</v>
      </c>
      <c r="B205" s="20">
        <v>62</v>
      </c>
      <c r="C205" s="20">
        <v>62.15</v>
      </c>
      <c r="D205" s="20">
        <v>-0.15</v>
      </c>
      <c r="E205" s="20">
        <v>0.09</v>
      </c>
      <c r="F205" s="26">
        <v>1705.25</v>
      </c>
      <c r="Q205" s="20">
        <v>20.399999999999999</v>
      </c>
      <c r="R205" s="20">
        <v>62.67</v>
      </c>
      <c r="S205" s="20">
        <v>62</v>
      </c>
      <c r="T205" s="26">
        <v>-0.67</v>
      </c>
      <c r="U205" s="26">
        <v>-0.85</v>
      </c>
      <c r="V205" s="20">
        <v>894.28</v>
      </c>
    </row>
    <row r="206" spans="1:22" ht="16.8" x14ac:dyDescent="0.3">
      <c r="A206" s="20">
        <v>20.6</v>
      </c>
      <c r="B206" s="20">
        <v>62</v>
      </c>
      <c r="C206" s="20">
        <v>62.14</v>
      </c>
      <c r="D206" s="20">
        <v>-0.14000000000000001</v>
      </c>
      <c r="E206" s="20">
        <v>0.01</v>
      </c>
      <c r="F206" s="20">
        <v>1709.79</v>
      </c>
      <c r="Q206" s="20">
        <v>20.5</v>
      </c>
      <c r="R206" s="20">
        <v>61.75</v>
      </c>
      <c r="S206" s="26">
        <v>62</v>
      </c>
      <c r="T206" s="20">
        <v>0.25</v>
      </c>
      <c r="U206" s="26">
        <v>0.92</v>
      </c>
      <c r="V206" s="20">
        <v>1749.11</v>
      </c>
    </row>
    <row r="207" spans="1:22" ht="16.8" x14ac:dyDescent="0.3">
      <c r="A207" s="20">
        <v>20.7</v>
      </c>
      <c r="B207" s="20">
        <v>62</v>
      </c>
      <c r="C207" s="20">
        <v>62.06</v>
      </c>
      <c r="D207" s="20">
        <v>-0.06</v>
      </c>
      <c r="E207" s="20">
        <v>0.08</v>
      </c>
      <c r="F207" s="26">
        <v>1758</v>
      </c>
      <c r="Q207" s="20">
        <v>20.6</v>
      </c>
      <c r="R207" s="20">
        <v>62.7</v>
      </c>
      <c r="S207" s="20">
        <v>62</v>
      </c>
      <c r="T207" s="26">
        <v>-0.7</v>
      </c>
      <c r="U207" s="26">
        <v>-0.95</v>
      </c>
      <c r="V207" s="20">
        <v>846.05</v>
      </c>
    </row>
    <row r="208" spans="1:22" ht="16.8" x14ac:dyDescent="0.3">
      <c r="A208" s="20">
        <v>20.8</v>
      </c>
      <c r="B208" s="20">
        <v>62</v>
      </c>
      <c r="C208" s="20">
        <v>61.99</v>
      </c>
      <c r="D208" s="20">
        <v>0.01</v>
      </c>
      <c r="E208" s="20">
        <v>0.08</v>
      </c>
      <c r="F208" s="26">
        <v>1816.96</v>
      </c>
      <c r="Q208" s="20">
        <v>20.7</v>
      </c>
      <c r="R208" s="20">
        <v>61.74</v>
      </c>
      <c r="S208" s="26">
        <v>62</v>
      </c>
      <c r="T208" s="20">
        <v>0.26</v>
      </c>
      <c r="U208" s="26">
        <v>0.96</v>
      </c>
      <c r="V208" s="20">
        <v>1765.5</v>
      </c>
    </row>
    <row r="209" spans="1:22" ht="16.8" x14ac:dyDescent="0.3">
      <c r="A209" s="20">
        <v>20.9</v>
      </c>
      <c r="B209" s="20">
        <v>62</v>
      </c>
      <c r="C209" s="20">
        <v>62</v>
      </c>
      <c r="D209" s="20">
        <v>0</v>
      </c>
      <c r="E209" s="20">
        <v>-0.02</v>
      </c>
      <c r="F209" s="20">
        <v>1798.22</v>
      </c>
      <c r="Q209" s="20">
        <v>20.8</v>
      </c>
      <c r="R209" s="20">
        <v>62.64</v>
      </c>
      <c r="S209" s="20">
        <v>62</v>
      </c>
      <c r="T209" s="26">
        <v>-0.64</v>
      </c>
      <c r="U209" s="26">
        <v>-0.9</v>
      </c>
      <c r="V209" s="20">
        <v>873.52</v>
      </c>
    </row>
    <row r="210" spans="1:22" ht="16.8" x14ac:dyDescent="0.3">
      <c r="A210" s="20">
        <v>21</v>
      </c>
      <c r="B210" s="20">
        <v>62</v>
      </c>
      <c r="C210" s="20">
        <v>61.97</v>
      </c>
      <c r="D210" s="20">
        <v>0.03</v>
      </c>
      <c r="E210" s="20">
        <v>0.03</v>
      </c>
      <c r="F210" s="26">
        <v>1831.49</v>
      </c>
      <c r="Q210" s="20">
        <v>20.9</v>
      </c>
      <c r="R210" s="20">
        <v>61.77</v>
      </c>
      <c r="S210" s="26">
        <v>62</v>
      </c>
      <c r="T210" s="20">
        <v>0.23</v>
      </c>
      <c r="U210" s="26">
        <v>0.87</v>
      </c>
      <c r="V210" s="20">
        <v>1723.82</v>
      </c>
    </row>
    <row r="211" spans="1:22" ht="16.8" x14ac:dyDescent="0.3">
      <c r="A211" s="20">
        <v>21.1</v>
      </c>
      <c r="B211" s="20">
        <v>62</v>
      </c>
      <c r="C211" s="20">
        <v>61.94</v>
      </c>
      <c r="D211" s="20">
        <v>0.06</v>
      </c>
      <c r="E211" s="20">
        <v>0.03</v>
      </c>
      <c r="F211" s="20">
        <v>1867.59</v>
      </c>
      <c r="Q211" s="20">
        <v>21</v>
      </c>
      <c r="R211" s="20">
        <v>62.61</v>
      </c>
      <c r="S211" s="20">
        <v>62</v>
      </c>
      <c r="T211" s="26">
        <v>-0.61</v>
      </c>
      <c r="U211" s="26">
        <v>-0.84</v>
      </c>
      <c r="V211" s="20">
        <v>903.59</v>
      </c>
    </row>
    <row r="212" spans="1:22" ht="16.8" x14ac:dyDescent="0.3">
      <c r="A212" s="20">
        <v>21.2</v>
      </c>
      <c r="B212" s="20">
        <v>62</v>
      </c>
      <c r="C212" s="20">
        <v>61.98</v>
      </c>
      <c r="D212" s="20">
        <v>0.02</v>
      </c>
      <c r="E212" s="20">
        <v>-0.04</v>
      </c>
      <c r="F212" s="26">
        <v>1826.71</v>
      </c>
      <c r="Q212" s="20">
        <v>21.1</v>
      </c>
      <c r="R212" s="20">
        <v>61.72</v>
      </c>
      <c r="S212" s="26">
        <v>62</v>
      </c>
      <c r="T212" s="20">
        <v>0.28000000000000003</v>
      </c>
      <c r="U212" s="26">
        <v>0.89</v>
      </c>
      <c r="V212" s="20">
        <v>1737.18</v>
      </c>
    </row>
    <row r="213" spans="1:22" ht="16.8" x14ac:dyDescent="0.3">
      <c r="A213" s="20">
        <v>21.3</v>
      </c>
      <c r="B213" s="20">
        <v>62</v>
      </c>
      <c r="C213" s="20">
        <v>62.01</v>
      </c>
      <c r="D213" s="20">
        <v>-0.01</v>
      </c>
      <c r="E213" s="20">
        <v>-0.03</v>
      </c>
      <c r="F213" s="26">
        <v>1795.44</v>
      </c>
      <c r="Q213" s="20">
        <v>21.2</v>
      </c>
      <c r="R213" s="20">
        <v>62.67</v>
      </c>
      <c r="S213" s="20">
        <v>62</v>
      </c>
      <c r="T213" s="20">
        <v>-0.67</v>
      </c>
      <c r="U213" s="26">
        <v>-0.94</v>
      </c>
      <c r="V213" s="20">
        <v>851.65</v>
      </c>
    </row>
    <row r="214" spans="1:22" ht="16.8" x14ac:dyDescent="0.3">
      <c r="A214" s="20">
        <v>21.4</v>
      </c>
      <c r="B214" s="20">
        <v>62</v>
      </c>
      <c r="C214" s="20">
        <v>62.04</v>
      </c>
      <c r="D214" s="20">
        <v>-0.04</v>
      </c>
      <c r="E214" s="20">
        <v>-0.04</v>
      </c>
      <c r="F214" s="20">
        <v>1771.01</v>
      </c>
      <c r="Q214" s="20">
        <v>21.3</v>
      </c>
      <c r="R214" s="20">
        <v>61.72</v>
      </c>
      <c r="S214" s="26">
        <v>62</v>
      </c>
      <c r="T214" s="26">
        <v>0.28000000000000003</v>
      </c>
      <c r="U214" s="26">
        <v>0.95</v>
      </c>
      <c r="V214" s="20">
        <v>1763.39</v>
      </c>
    </row>
    <row r="215" spans="1:22" ht="16.8" x14ac:dyDescent="0.3">
      <c r="A215" s="20">
        <v>21.5</v>
      </c>
      <c r="B215" s="20">
        <v>62</v>
      </c>
      <c r="C215" s="20">
        <v>62</v>
      </c>
      <c r="D215" s="20">
        <v>0</v>
      </c>
      <c r="E215" s="20">
        <v>0.04</v>
      </c>
      <c r="F215" s="26">
        <v>1801.86</v>
      </c>
      <c r="Q215" s="20">
        <v>21.4</v>
      </c>
      <c r="R215" s="20">
        <v>62.67</v>
      </c>
      <c r="S215" s="20">
        <v>62</v>
      </c>
      <c r="T215" s="20">
        <v>-0.67</v>
      </c>
      <c r="U215" s="26">
        <v>-0.95</v>
      </c>
      <c r="V215" s="20">
        <v>847.5</v>
      </c>
    </row>
    <row r="216" spans="1:22" ht="16.8" x14ac:dyDescent="0.3">
      <c r="A216" s="20">
        <v>21.6</v>
      </c>
      <c r="B216" s="20">
        <v>62</v>
      </c>
      <c r="C216" s="20">
        <v>62.09</v>
      </c>
      <c r="D216" s="20">
        <v>-0.09</v>
      </c>
      <c r="E216" s="20">
        <v>-0.09</v>
      </c>
      <c r="F216" s="20">
        <v>1742.94</v>
      </c>
      <c r="Q216" s="20">
        <v>21.5</v>
      </c>
      <c r="R216" s="20">
        <v>61.77</v>
      </c>
      <c r="S216" s="26">
        <v>62</v>
      </c>
      <c r="T216" s="26">
        <v>0.23</v>
      </c>
      <c r="U216" s="26">
        <v>0.89</v>
      </c>
      <c r="V216" s="20">
        <v>1730.73</v>
      </c>
    </row>
    <row r="217" spans="1:22" ht="16.8" x14ac:dyDescent="0.3">
      <c r="A217" s="20">
        <v>21.7</v>
      </c>
      <c r="B217" s="20">
        <v>62</v>
      </c>
      <c r="C217" s="20">
        <v>62.08</v>
      </c>
      <c r="D217" s="20">
        <v>-0.08</v>
      </c>
      <c r="E217" s="20">
        <v>0.01</v>
      </c>
      <c r="F217" s="26">
        <v>1750.4</v>
      </c>
      <c r="Q217" s="20">
        <v>21.6</v>
      </c>
      <c r="R217" s="20">
        <v>62.51</v>
      </c>
      <c r="S217" s="20">
        <v>62</v>
      </c>
      <c r="T217" s="20">
        <v>-0.51</v>
      </c>
      <c r="U217" s="26">
        <v>-0.74</v>
      </c>
      <c r="V217" s="20">
        <v>955.24</v>
      </c>
    </row>
    <row r="218" spans="1:22" ht="16.8" x14ac:dyDescent="0.3">
      <c r="A218" s="20">
        <v>21.8</v>
      </c>
      <c r="B218" s="20">
        <v>62</v>
      </c>
      <c r="C218" s="20">
        <v>62.17</v>
      </c>
      <c r="D218" s="20">
        <v>-0.17</v>
      </c>
      <c r="E218" s="20">
        <v>-0.1</v>
      </c>
      <c r="F218" s="26">
        <v>1694.27</v>
      </c>
      <c r="Q218" s="20">
        <v>21.7</v>
      </c>
      <c r="R218" s="20">
        <v>61.74</v>
      </c>
      <c r="S218" s="20">
        <v>62</v>
      </c>
      <c r="T218" s="26">
        <v>0.26</v>
      </c>
      <c r="U218" s="26">
        <v>0.77</v>
      </c>
      <c r="V218" s="20">
        <v>1686.78</v>
      </c>
    </row>
    <row r="219" spans="1:22" ht="16.8" x14ac:dyDescent="0.3">
      <c r="A219" s="20">
        <v>21.9</v>
      </c>
      <c r="B219" s="20">
        <v>62</v>
      </c>
      <c r="C219" s="20">
        <v>62.17</v>
      </c>
      <c r="D219" s="20">
        <v>-0.17</v>
      </c>
      <c r="E219" s="20">
        <v>0</v>
      </c>
      <c r="F219" s="20">
        <v>1694.27</v>
      </c>
      <c r="Q219" s="20">
        <v>21.8</v>
      </c>
      <c r="R219" s="20">
        <v>61.98</v>
      </c>
      <c r="S219" s="26">
        <v>62</v>
      </c>
      <c r="T219" s="26">
        <v>0.02</v>
      </c>
      <c r="U219" s="26">
        <v>-0.24</v>
      </c>
      <c r="V219" s="20">
        <v>1241.0999999999999</v>
      </c>
    </row>
    <row r="220" spans="1:22" ht="16.8" x14ac:dyDescent="0.3">
      <c r="A220" s="20">
        <v>22</v>
      </c>
      <c r="B220" s="20">
        <v>62</v>
      </c>
      <c r="C220" s="20">
        <v>62.2</v>
      </c>
      <c r="D220" s="20">
        <v>-0.2</v>
      </c>
      <c r="E220" s="20">
        <v>-0.03</v>
      </c>
      <c r="F220" s="26">
        <v>1679.29</v>
      </c>
      <c r="Q220" s="20">
        <v>21.9</v>
      </c>
      <c r="R220" s="20">
        <v>61.76</v>
      </c>
      <c r="S220" s="20">
        <v>62</v>
      </c>
      <c r="T220" s="26">
        <v>0.24</v>
      </c>
      <c r="U220" s="20">
        <v>0.22</v>
      </c>
      <c r="V220" s="20">
        <v>1460.56</v>
      </c>
    </row>
    <row r="221" spans="1:22" ht="16.8" x14ac:dyDescent="0.3">
      <c r="A221" s="20">
        <v>22.1</v>
      </c>
      <c r="B221" s="20">
        <v>62</v>
      </c>
      <c r="C221" s="20">
        <v>62.25</v>
      </c>
      <c r="D221" s="20">
        <v>-0.25</v>
      </c>
      <c r="E221" s="20">
        <v>-0.05</v>
      </c>
      <c r="F221" s="20">
        <v>1655.14</v>
      </c>
      <c r="Q221" s="20">
        <v>22</v>
      </c>
      <c r="R221" s="20">
        <v>61.85</v>
      </c>
      <c r="S221" s="26">
        <v>62</v>
      </c>
      <c r="T221" s="26">
        <v>0.15</v>
      </c>
      <c r="U221" s="26">
        <v>-0.08</v>
      </c>
      <c r="V221" s="20">
        <v>1328.51</v>
      </c>
    </row>
    <row r="222" spans="1:22" ht="16.8" x14ac:dyDescent="0.3">
      <c r="A222" s="20">
        <v>22.2</v>
      </c>
      <c r="B222" s="20">
        <v>62</v>
      </c>
      <c r="C222" s="20">
        <v>62.32</v>
      </c>
      <c r="D222" s="20">
        <v>-0.32</v>
      </c>
      <c r="E222" s="20">
        <v>-7.0000000000000007E-2</v>
      </c>
      <c r="F222" s="26">
        <v>1623.81</v>
      </c>
      <c r="Q222" s="20">
        <v>22.1</v>
      </c>
      <c r="R222" s="20">
        <v>61.82</v>
      </c>
      <c r="S222" s="20">
        <v>62</v>
      </c>
      <c r="T222" s="26">
        <v>0.18</v>
      </c>
      <c r="U222" s="20">
        <v>0.02</v>
      </c>
      <c r="V222" s="20">
        <v>1374.81</v>
      </c>
    </row>
    <row r="223" spans="1:22" ht="16.8" x14ac:dyDescent="0.3">
      <c r="A223" s="20">
        <v>22.3</v>
      </c>
      <c r="B223" s="20">
        <v>62</v>
      </c>
      <c r="C223" s="20">
        <v>62.33</v>
      </c>
      <c r="D223" s="20">
        <v>-0.33</v>
      </c>
      <c r="E223" s="20">
        <v>-0.01</v>
      </c>
      <c r="F223" s="26">
        <v>1618.59</v>
      </c>
      <c r="Q223" s="20">
        <v>22.2</v>
      </c>
      <c r="R223" s="20">
        <v>61.79</v>
      </c>
      <c r="S223" s="26">
        <v>62</v>
      </c>
      <c r="T223" s="26">
        <v>0.21</v>
      </c>
      <c r="U223" s="26">
        <v>0.03</v>
      </c>
      <c r="V223" s="20">
        <v>1383.69</v>
      </c>
    </row>
    <row r="224" spans="1:22" ht="16.8" x14ac:dyDescent="0.3">
      <c r="A224" s="20">
        <v>22.4</v>
      </c>
      <c r="B224" s="20">
        <v>62</v>
      </c>
      <c r="C224" s="20">
        <v>62.37</v>
      </c>
      <c r="D224" s="20">
        <v>-0.37</v>
      </c>
      <c r="E224" s="20">
        <v>-0.04</v>
      </c>
      <c r="F224" s="20">
        <v>1600.22</v>
      </c>
      <c r="Q224" s="20">
        <v>22.3</v>
      </c>
      <c r="R224" s="20">
        <v>61.81</v>
      </c>
      <c r="S224" s="20">
        <v>62</v>
      </c>
      <c r="T224" s="20">
        <v>0.19</v>
      </c>
      <c r="U224" s="26">
        <v>-0.02</v>
      </c>
      <c r="V224" s="20">
        <v>1362.19</v>
      </c>
    </row>
    <row r="225" spans="1:22" ht="16.8" x14ac:dyDescent="0.3">
      <c r="A225" s="20">
        <v>22.5</v>
      </c>
      <c r="B225" s="20">
        <v>62</v>
      </c>
      <c r="C225" s="20">
        <v>62.45</v>
      </c>
      <c r="D225" s="20">
        <v>-0.45</v>
      </c>
      <c r="E225" s="20">
        <v>-0.08</v>
      </c>
      <c r="F225" s="26">
        <v>1552.44</v>
      </c>
      <c r="Q225" s="20">
        <v>22.4</v>
      </c>
      <c r="R225" s="20">
        <v>61.79</v>
      </c>
      <c r="S225" s="26">
        <v>62</v>
      </c>
      <c r="T225" s="26">
        <v>0.21</v>
      </c>
      <c r="U225" s="20">
        <v>0.02</v>
      </c>
      <c r="V225" s="20">
        <v>1378.2</v>
      </c>
    </row>
    <row r="226" spans="1:22" ht="16.8" x14ac:dyDescent="0.3">
      <c r="A226" s="20">
        <v>22.6</v>
      </c>
      <c r="B226" s="20">
        <v>62</v>
      </c>
      <c r="C226" s="20">
        <v>62.44</v>
      </c>
      <c r="D226" s="20">
        <v>-0.44</v>
      </c>
      <c r="E226" s="20">
        <v>0.01</v>
      </c>
      <c r="F226" s="20">
        <v>1562.04</v>
      </c>
      <c r="Q226" s="20">
        <v>22.5</v>
      </c>
      <c r="R226" s="20">
        <v>61.8</v>
      </c>
      <c r="S226" s="20">
        <v>62</v>
      </c>
      <c r="T226" s="26">
        <v>0.2</v>
      </c>
      <c r="U226" s="26">
        <v>-0.01</v>
      </c>
      <c r="V226" s="20">
        <v>1367.7</v>
      </c>
    </row>
    <row r="227" spans="1:22" ht="16.8" x14ac:dyDescent="0.3">
      <c r="A227" s="20">
        <v>22.7</v>
      </c>
      <c r="B227" s="20">
        <v>62</v>
      </c>
      <c r="C227" s="20">
        <v>62.51</v>
      </c>
      <c r="D227" s="20">
        <v>-0.51</v>
      </c>
      <c r="E227" s="20">
        <v>-7.0000000000000007E-2</v>
      </c>
      <c r="F227" s="26">
        <v>1501.27</v>
      </c>
      <c r="Q227" s="20">
        <v>22.6</v>
      </c>
      <c r="R227" s="20">
        <v>61.87</v>
      </c>
      <c r="S227" s="26">
        <v>62</v>
      </c>
      <c r="T227" s="26">
        <v>0.13</v>
      </c>
      <c r="U227" s="20">
        <v>-7.0000000000000007E-2</v>
      </c>
      <c r="V227" s="20">
        <v>1330.6</v>
      </c>
    </row>
    <row r="228" spans="1:22" ht="16.8" x14ac:dyDescent="0.3">
      <c r="A228" s="20">
        <v>22.8</v>
      </c>
      <c r="B228" s="20">
        <v>62</v>
      </c>
      <c r="C228" s="20">
        <v>62.52</v>
      </c>
      <c r="D228" s="20">
        <v>-0.52</v>
      </c>
      <c r="E228" s="20">
        <v>-0.02</v>
      </c>
      <c r="F228" s="26">
        <v>1484.21</v>
      </c>
      <c r="Q228" s="20">
        <v>22.7</v>
      </c>
      <c r="R228" s="20">
        <v>61.81</v>
      </c>
      <c r="S228" s="20">
        <v>62</v>
      </c>
      <c r="T228" s="26">
        <v>0.19</v>
      </c>
      <c r="U228" s="26">
        <v>0.06</v>
      </c>
      <c r="V228" s="20">
        <v>1396.28</v>
      </c>
    </row>
    <row r="229" spans="1:22" ht="16.8" x14ac:dyDescent="0.3">
      <c r="A229" s="20">
        <v>22.9</v>
      </c>
      <c r="B229" s="20">
        <v>62</v>
      </c>
      <c r="C229" s="20">
        <v>62.52</v>
      </c>
      <c r="D229" s="20">
        <v>-0.52</v>
      </c>
      <c r="E229" s="20">
        <v>0</v>
      </c>
      <c r="F229" s="20">
        <v>1484.21</v>
      </c>
      <c r="Q229" s="20">
        <v>22.8</v>
      </c>
      <c r="R229" s="20">
        <v>61.85</v>
      </c>
      <c r="S229" s="20">
        <v>62</v>
      </c>
      <c r="T229" s="26">
        <v>0.15</v>
      </c>
      <c r="U229" s="20">
        <v>-0.05</v>
      </c>
      <c r="V229" s="20">
        <v>1343.68</v>
      </c>
    </row>
    <row r="230" spans="1:22" ht="16.8" x14ac:dyDescent="0.3">
      <c r="A230" s="20">
        <v>23</v>
      </c>
      <c r="B230" s="20">
        <v>62</v>
      </c>
      <c r="C230" s="20">
        <v>62.58</v>
      </c>
      <c r="D230" s="20">
        <v>-0.57999999999999996</v>
      </c>
      <c r="E230" s="20">
        <v>-0.06</v>
      </c>
      <c r="F230" s="26">
        <v>1405.9</v>
      </c>
      <c r="Q230" s="20">
        <v>22.9</v>
      </c>
      <c r="R230" s="20">
        <v>61.8</v>
      </c>
      <c r="S230" s="26">
        <v>62</v>
      </c>
      <c r="T230" s="26">
        <v>0.2</v>
      </c>
      <c r="U230" s="26">
        <v>0.06</v>
      </c>
      <c r="V230" s="20">
        <v>1395.17</v>
      </c>
    </row>
    <row r="231" spans="1:22" ht="16.8" x14ac:dyDescent="0.3">
      <c r="A231" s="20">
        <v>23.1</v>
      </c>
      <c r="B231" s="20">
        <v>62</v>
      </c>
      <c r="C231" s="20">
        <v>62.59</v>
      </c>
      <c r="D231" s="20">
        <v>-0.59</v>
      </c>
      <c r="E231" s="20">
        <v>-0.01</v>
      </c>
      <c r="F231" s="26">
        <v>1386.65</v>
      </c>
      <c r="Q231" s="20">
        <v>23</v>
      </c>
      <c r="R231" s="20">
        <v>61.88</v>
      </c>
      <c r="S231" s="20">
        <v>62</v>
      </c>
      <c r="T231" s="26">
        <v>0.12</v>
      </c>
      <c r="U231" s="26">
        <v>-0.08</v>
      </c>
      <c r="V231" s="20">
        <v>1327.67</v>
      </c>
    </row>
    <row r="232" spans="1:22" ht="16.8" x14ac:dyDescent="0.3">
      <c r="A232" s="20">
        <v>23.2</v>
      </c>
      <c r="B232" s="20">
        <v>62</v>
      </c>
      <c r="C232" s="20">
        <v>62.58</v>
      </c>
      <c r="D232" s="20">
        <v>-0.57999999999999996</v>
      </c>
      <c r="E232" s="20">
        <v>0.01</v>
      </c>
      <c r="F232" s="20">
        <v>1405.9</v>
      </c>
      <c r="Q232" s="20">
        <v>23.1</v>
      </c>
      <c r="R232" s="20">
        <v>61.85</v>
      </c>
      <c r="S232" s="26">
        <v>62</v>
      </c>
      <c r="T232" s="20">
        <v>0.15</v>
      </c>
      <c r="U232" s="20">
        <v>0.02</v>
      </c>
      <c r="V232" s="20">
        <v>1373.9</v>
      </c>
    </row>
    <row r="233" spans="1:22" ht="16.8" x14ac:dyDescent="0.3">
      <c r="A233" s="20">
        <v>23.3</v>
      </c>
      <c r="B233" s="20">
        <v>62</v>
      </c>
      <c r="C233" s="20">
        <v>62.62</v>
      </c>
      <c r="D233" s="20">
        <v>-0.62</v>
      </c>
      <c r="E233" s="20">
        <v>-0.04</v>
      </c>
      <c r="F233" s="26">
        <v>1343.22</v>
      </c>
      <c r="Q233" s="20">
        <v>23.2</v>
      </c>
      <c r="R233" s="20">
        <v>61.83</v>
      </c>
      <c r="S233" s="20">
        <v>62</v>
      </c>
      <c r="T233" s="26">
        <v>0.17</v>
      </c>
      <c r="U233" s="26">
        <v>0.02</v>
      </c>
      <c r="V233" s="20">
        <v>1378.16</v>
      </c>
    </row>
    <row r="234" spans="1:22" ht="16.8" x14ac:dyDescent="0.3">
      <c r="A234" s="20">
        <v>23.4</v>
      </c>
      <c r="B234" s="20">
        <v>62</v>
      </c>
      <c r="C234" s="20">
        <v>62.58</v>
      </c>
      <c r="D234" s="20">
        <v>-0.57999999999999996</v>
      </c>
      <c r="E234" s="20">
        <v>0.04</v>
      </c>
      <c r="F234" s="20">
        <v>1405.9</v>
      </c>
      <c r="Q234" s="20">
        <v>23.3</v>
      </c>
      <c r="R234" s="20">
        <v>61.85</v>
      </c>
      <c r="S234" s="26">
        <v>62</v>
      </c>
      <c r="T234" s="26">
        <v>0.15</v>
      </c>
      <c r="U234" s="20">
        <v>-0.02</v>
      </c>
      <c r="V234" s="20">
        <v>1359.8</v>
      </c>
    </row>
    <row r="235" spans="1:22" ht="16.8" x14ac:dyDescent="0.3">
      <c r="A235" s="20">
        <v>23.5</v>
      </c>
      <c r="B235" s="20">
        <v>62</v>
      </c>
      <c r="C235" s="20">
        <v>62.63</v>
      </c>
      <c r="D235" s="20">
        <v>-0.63</v>
      </c>
      <c r="E235" s="20">
        <v>-0.04</v>
      </c>
      <c r="F235" s="26">
        <v>1327.03</v>
      </c>
      <c r="Q235" s="20">
        <v>23.4</v>
      </c>
      <c r="R235" s="20">
        <v>61.89</v>
      </c>
      <c r="S235" s="20">
        <v>62</v>
      </c>
      <c r="T235" s="26">
        <v>0.11</v>
      </c>
      <c r="U235" s="26">
        <v>-0.04</v>
      </c>
      <c r="V235" s="20">
        <v>1343.95</v>
      </c>
    </row>
    <row r="236" spans="1:22" ht="16.8" x14ac:dyDescent="0.3">
      <c r="A236" s="20">
        <v>23.6</v>
      </c>
      <c r="B236" s="20">
        <v>62</v>
      </c>
      <c r="C236" s="20">
        <v>62.57</v>
      </c>
      <c r="D236" s="20">
        <v>-0.56999999999999995</v>
      </c>
      <c r="E236" s="20">
        <v>0.05</v>
      </c>
      <c r="F236" s="26">
        <v>1417.95</v>
      </c>
      <c r="Q236" s="20">
        <v>23.5</v>
      </c>
      <c r="R236" s="20">
        <v>61.93</v>
      </c>
      <c r="S236" s="26">
        <v>62</v>
      </c>
      <c r="T236" s="26">
        <v>7.0000000000000007E-2</v>
      </c>
      <c r="U236" s="20">
        <v>-0.04</v>
      </c>
      <c r="V236" s="20">
        <v>1337.71</v>
      </c>
    </row>
    <row r="237" spans="1:22" ht="16.8" x14ac:dyDescent="0.3">
      <c r="A237" s="20">
        <v>23.7</v>
      </c>
      <c r="B237" s="20">
        <v>62</v>
      </c>
      <c r="C237" s="20">
        <v>62.55</v>
      </c>
      <c r="D237" s="20">
        <v>-0.55000000000000004</v>
      </c>
      <c r="E237" s="20">
        <v>0.03</v>
      </c>
      <c r="F237" s="20">
        <v>1455.91</v>
      </c>
      <c r="Q237" s="20">
        <v>23.6</v>
      </c>
      <c r="R237" s="20">
        <v>61.93</v>
      </c>
      <c r="S237" s="20">
        <v>62</v>
      </c>
      <c r="T237" s="26">
        <v>7.0000000000000007E-2</v>
      </c>
      <c r="U237" s="26">
        <v>0</v>
      </c>
      <c r="V237" s="20">
        <v>1354.04</v>
      </c>
    </row>
    <row r="238" spans="1:22" ht="16.8" x14ac:dyDescent="0.3">
      <c r="A238" s="20">
        <v>23.8</v>
      </c>
      <c r="B238" s="20">
        <v>62</v>
      </c>
      <c r="C238" s="20">
        <v>62.52</v>
      </c>
      <c r="D238" s="20">
        <v>-0.52</v>
      </c>
      <c r="E238" s="20">
        <v>0.02</v>
      </c>
      <c r="F238" s="26">
        <v>1484.21</v>
      </c>
      <c r="Q238" s="20">
        <v>23.7</v>
      </c>
      <c r="R238" s="20">
        <v>61.89</v>
      </c>
      <c r="S238" s="20">
        <v>62</v>
      </c>
      <c r="T238" s="26">
        <v>0.11</v>
      </c>
      <c r="U238" s="20">
        <v>0.04</v>
      </c>
      <c r="V238" s="20">
        <v>1376.9</v>
      </c>
    </row>
    <row r="239" spans="1:22" ht="16.8" x14ac:dyDescent="0.3">
      <c r="A239" s="20">
        <v>23.9</v>
      </c>
      <c r="B239" s="20">
        <v>62</v>
      </c>
      <c r="C239" s="20">
        <v>62.58</v>
      </c>
      <c r="D239" s="20">
        <v>-0.57999999999999996</v>
      </c>
      <c r="E239" s="20">
        <v>-0.06</v>
      </c>
      <c r="F239" s="26">
        <v>1405.9</v>
      </c>
      <c r="Q239" s="20">
        <v>23.8</v>
      </c>
      <c r="R239" s="20">
        <v>61.93</v>
      </c>
      <c r="S239" s="26">
        <v>62</v>
      </c>
      <c r="T239" s="20">
        <v>7.0000000000000007E-2</v>
      </c>
      <c r="U239" s="26">
        <v>-0.04</v>
      </c>
      <c r="V239" s="20">
        <v>1338.33</v>
      </c>
    </row>
    <row r="240" spans="1:22" ht="16.8" x14ac:dyDescent="0.3">
      <c r="A240" s="20">
        <v>24</v>
      </c>
      <c r="B240" s="20">
        <v>62</v>
      </c>
      <c r="C240" s="20">
        <v>62.52</v>
      </c>
      <c r="D240" s="20">
        <v>-0.52</v>
      </c>
      <c r="E240" s="20">
        <v>0.06</v>
      </c>
      <c r="F240" s="20">
        <v>1488.62</v>
      </c>
      <c r="Q240" s="20">
        <v>23.9</v>
      </c>
      <c r="R240" s="20">
        <v>61.93</v>
      </c>
      <c r="S240" s="20">
        <v>62</v>
      </c>
      <c r="T240" s="26">
        <v>7.0000000000000007E-2</v>
      </c>
      <c r="U240" s="26">
        <v>0</v>
      </c>
      <c r="V240" s="20">
        <v>1354.67</v>
      </c>
    </row>
    <row r="241" spans="1:22" ht="16.8" x14ac:dyDescent="0.3">
      <c r="A241" s="20">
        <v>24.1</v>
      </c>
      <c r="B241" s="20">
        <v>62</v>
      </c>
      <c r="C241" s="20">
        <v>62.46</v>
      </c>
      <c r="D241" s="20">
        <v>-0.46</v>
      </c>
      <c r="E241" s="20">
        <v>0.06</v>
      </c>
      <c r="F241" s="26">
        <v>1542.46</v>
      </c>
      <c r="Q241" s="20">
        <v>24</v>
      </c>
      <c r="R241" s="20">
        <v>61.91</v>
      </c>
      <c r="S241" s="26">
        <v>62</v>
      </c>
      <c r="T241" s="20">
        <v>0.09</v>
      </c>
      <c r="U241" s="26">
        <v>0.02</v>
      </c>
      <c r="V241" s="20">
        <v>1363.92</v>
      </c>
    </row>
    <row r="242" spans="1:22" ht="16.8" x14ac:dyDescent="0.3">
      <c r="A242" s="20">
        <v>24.2</v>
      </c>
      <c r="B242" s="20">
        <v>62</v>
      </c>
      <c r="C242" s="20">
        <v>62.45</v>
      </c>
      <c r="D242" s="20">
        <v>-0.45</v>
      </c>
      <c r="E242" s="20">
        <v>0.01</v>
      </c>
      <c r="F242" s="20">
        <v>1549.17</v>
      </c>
      <c r="Q242" s="20">
        <v>24.1</v>
      </c>
      <c r="R242" s="20">
        <v>61.92</v>
      </c>
      <c r="S242" s="20">
        <v>62</v>
      </c>
      <c r="T242" s="26">
        <v>0.08</v>
      </c>
      <c r="U242" s="20">
        <v>-0.01</v>
      </c>
      <c r="V242" s="20">
        <v>1353.13</v>
      </c>
    </row>
    <row r="243" spans="1:22" ht="16.8" x14ac:dyDescent="0.3">
      <c r="A243" s="20">
        <v>24.3</v>
      </c>
      <c r="B243" s="20">
        <v>62</v>
      </c>
      <c r="C243" s="20">
        <v>62.42</v>
      </c>
      <c r="D243" s="20">
        <v>-0.42</v>
      </c>
      <c r="E243" s="20">
        <v>0.04</v>
      </c>
      <c r="F243" s="26">
        <v>1577.24</v>
      </c>
      <c r="Q243" s="20">
        <v>24.2</v>
      </c>
      <c r="R243" s="20">
        <v>61.96</v>
      </c>
      <c r="S243" s="26">
        <v>62</v>
      </c>
      <c r="T243" s="26">
        <v>0.04</v>
      </c>
      <c r="U243" s="26">
        <v>-0.04</v>
      </c>
      <c r="V243" s="20">
        <v>1333.89</v>
      </c>
    </row>
    <row r="244" spans="1:22" ht="16.8" x14ac:dyDescent="0.3">
      <c r="A244" s="20">
        <v>24.4</v>
      </c>
      <c r="B244" s="20">
        <v>62</v>
      </c>
      <c r="C244" s="20">
        <v>62.4</v>
      </c>
      <c r="D244" s="20">
        <v>-0.4</v>
      </c>
      <c r="E244" s="20">
        <v>0.02</v>
      </c>
      <c r="F244" s="20">
        <v>1588.62</v>
      </c>
      <c r="Q244" s="20">
        <v>24.3</v>
      </c>
      <c r="R244" s="20">
        <v>61.99</v>
      </c>
      <c r="S244" s="20">
        <v>62</v>
      </c>
      <c r="T244" s="20">
        <v>0.01</v>
      </c>
      <c r="U244" s="20">
        <v>-0.03</v>
      </c>
      <c r="V244" s="20">
        <v>1332</v>
      </c>
    </row>
    <row r="245" spans="1:22" ht="16.8" x14ac:dyDescent="0.3">
      <c r="A245" s="20">
        <v>24.5</v>
      </c>
      <c r="B245" s="20">
        <v>62</v>
      </c>
      <c r="C245" s="20">
        <v>62.43</v>
      </c>
      <c r="D245" s="20">
        <v>-0.43</v>
      </c>
      <c r="E245" s="20">
        <v>-0.03</v>
      </c>
      <c r="F245" s="26">
        <v>1568.26</v>
      </c>
      <c r="Q245" s="20">
        <v>24.4</v>
      </c>
      <c r="R245" s="20">
        <v>61.96</v>
      </c>
      <c r="S245" s="26">
        <v>62</v>
      </c>
      <c r="T245" s="26">
        <v>0.04</v>
      </c>
      <c r="U245" s="26">
        <v>0.03</v>
      </c>
      <c r="V245" s="20">
        <v>1363.09</v>
      </c>
    </row>
    <row r="246" spans="1:22" ht="16.8" x14ac:dyDescent="0.3">
      <c r="A246" s="20">
        <v>24.6</v>
      </c>
      <c r="B246" s="20">
        <v>62</v>
      </c>
      <c r="C246" s="20">
        <v>62.38</v>
      </c>
      <c r="D246" s="20">
        <v>-0.38</v>
      </c>
      <c r="E246" s="20">
        <v>0.05</v>
      </c>
      <c r="F246" s="26">
        <v>1598.6</v>
      </c>
      <c r="Q246" s="20">
        <v>24.5</v>
      </c>
      <c r="R246" s="20">
        <v>61.97</v>
      </c>
      <c r="S246" s="20">
        <v>62</v>
      </c>
      <c r="T246" s="20">
        <v>0.03</v>
      </c>
      <c r="U246" s="20">
        <v>-0.02</v>
      </c>
      <c r="V246" s="20">
        <v>1341.2</v>
      </c>
    </row>
    <row r="247" spans="1:22" ht="16.8" x14ac:dyDescent="0.3">
      <c r="A247" s="20">
        <v>24.7</v>
      </c>
      <c r="B247" s="20">
        <v>62</v>
      </c>
      <c r="C247" s="20">
        <v>62.36</v>
      </c>
      <c r="D247" s="20">
        <v>-0.36</v>
      </c>
      <c r="E247" s="20">
        <v>0.02</v>
      </c>
      <c r="F247" s="20">
        <v>1606.72</v>
      </c>
      <c r="Q247" s="20">
        <v>24.6</v>
      </c>
      <c r="R247" s="20">
        <v>61.98</v>
      </c>
      <c r="S247" s="26">
        <v>62</v>
      </c>
      <c r="T247" s="26">
        <v>0.02</v>
      </c>
      <c r="U247" s="26">
        <v>-0.01</v>
      </c>
      <c r="V247" s="20">
        <v>1343.18</v>
      </c>
    </row>
    <row r="248" spans="1:22" ht="16.8" x14ac:dyDescent="0.3">
      <c r="A248" s="20">
        <v>24.8</v>
      </c>
      <c r="B248" s="20">
        <v>62</v>
      </c>
      <c r="C248" s="20">
        <v>62.4</v>
      </c>
      <c r="D248" s="20">
        <v>-0.4</v>
      </c>
      <c r="E248" s="20">
        <v>-0.04</v>
      </c>
      <c r="F248" s="26">
        <v>1590.62</v>
      </c>
      <c r="Q248" s="20">
        <v>24.7</v>
      </c>
      <c r="R248" s="20">
        <v>61.97</v>
      </c>
      <c r="S248" s="20">
        <v>62</v>
      </c>
      <c r="T248" s="20">
        <v>0.03</v>
      </c>
      <c r="U248" s="26">
        <v>0.02</v>
      </c>
      <c r="V248" s="20">
        <v>1355.53</v>
      </c>
    </row>
    <row r="249" spans="1:22" ht="16.8" x14ac:dyDescent="0.3">
      <c r="A249" s="20">
        <v>24.9</v>
      </c>
      <c r="B249" s="20">
        <v>62</v>
      </c>
      <c r="C249" s="20">
        <v>62.38</v>
      </c>
      <c r="D249" s="20">
        <v>-0.38</v>
      </c>
      <c r="E249" s="20">
        <v>0.02</v>
      </c>
      <c r="F249" s="20">
        <v>1596.99</v>
      </c>
      <c r="Q249" s="20">
        <v>24.8</v>
      </c>
      <c r="R249" s="20">
        <v>61.95</v>
      </c>
      <c r="S249" s="26">
        <v>62</v>
      </c>
      <c r="T249" s="26">
        <v>0.05</v>
      </c>
      <c r="U249" s="20">
        <v>0.02</v>
      </c>
      <c r="V249" s="20">
        <v>1358.22</v>
      </c>
    </row>
    <row r="250" spans="1:22" ht="16.8" x14ac:dyDescent="0.3">
      <c r="A250" s="20">
        <v>25</v>
      </c>
      <c r="B250" s="20">
        <v>62</v>
      </c>
      <c r="C250" s="20">
        <v>62.39</v>
      </c>
      <c r="D250" s="20">
        <v>-0.39</v>
      </c>
      <c r="E250" s="20">
        <v>0</v>
      </c>
      <c r="F250" s="26">
        <v>1595.38</v>
      </c>
      <c r="Q250" s="20">
        <v>24.9</v>
      </c>
      <c r="R250" s="20">
        <v>61.98</v>
      </c>
      <c r="S250" s="20">
        <v>62</v>
      </c>
      <c r="T250" s="26">
        <v>0.02</v>
      </c>
      <c r="U250" s="26">
        <v>-0.03</v>
      </c>
      <c r="V250" s="20">
        <v>1333.73</v>
      </c>
    </row>
    <row r="251" spans="1:22" ht="16.8" x14ac:dyDescent="0.3">
      <c r="A251" s="20">
        <v>25.1</v>
      </c>
      <c r="B251" s="20">
        <v>62</v>
      </c>
      <c r="C251" s="20">
        <v>62.4</v>
      </c>
      <c r="D251" s="20">
        <v>-0.4</v>
      </c>
      <c r="E251" s="20">
        <v>-0.01</v>
      </c>
      <c r="F251" s="26">
        <v>1590.62</v>
      </c>
      <c r="Q251" s="20">
        <v>25</v>
      </c>
      <c r="R251" s="20">
        <v>61.96</v>
      </c>
      <c r="S251" s="20">
        <v>62</v>
      </c>
      <c r="T251" s="20">
        <v>0.04</v>
      </c>
      <c r="U251" s="26">
        <v>0.02</v>
      </c>
      <c r="V251" s="20">
        <v>1360.3</v>
      </c>
    </row>
    <row r="252" spans="1:22" ht="16.8" x14ac:dyDescent="0.3">
      <c r="A252" s="20">
        <v>25.2</v>
      </c>
      <c r="B252" s="20">
        <v>62</v>
      </c>
      <c r="C252" s="20">
        <v>62.41</v>
      </c>
      <c r="D252" s="20">
        <v>-0.41</v>
      </c>
      <c r="E252" s="20">
        <v>-0.01</v>
      </c>
      <c r="F252" s="20">
        <v>1585.83</v>
      </c>
      <c r="Q252" s="20">
        <v>25.1</v>
      </c>
      <c r="R252" s="20">
        <v>62.04</v>
      </c>
      <c r="S252" s="26">
        <v>62</v>
      </c>
      <c r="T252" s="26">
        <v>-0.04</v>
      </c>
      <c r="U252" s="26">
        <v>-0.08</v>
      </c>
      <c r="V252" s="20">
        <v>1305.3499999999999</v>
      </c>
    </row>
    <row r="253" spans="1:22" ht="16.8" x14ac:dyDescent="0.3">
      <c r="A253" s="20">
        <v>25.3</v>
      </c>
      <c r="B253" s="20">
        <v>62</v>
      </c>
      <c r="C253" s="20">
        <v>62.33</v>
      </c>
      <c r="D253" s="20">
        <v>-0.33</v>
      </c>
      <c r="E253" s="20">
        <v>7.0000000000000007E-2</v>
      </c>
      <c r="F253" s="26">
        <v>1616.87</v>
      </c>
      <c r="Q253" s="20">
        <v>25.2</v>
      </c>
      <c r="R253" s="20">
        <v>61.97</v>
      </c>
      <c r="S253" s="20">
        <v>62</v>
      </c>
      <c r="T253" s="20">
        <v>0.03</v>
      </c>
      <c r="U253" s="26">
        <v>0.06</v>
      </c>
      <c r="V253" s="20">
        <v>1373.86</v>
      </c>
    </row>
    <row r="254" spans="1:22" ht="16.8" x14ac:dyDescent="0.3">
      <c r="A254" s="20">
        <v>25.4</v>
      </c>
      <c r="B254" s="20">
        <v>62</v>
      </c>
      <c r="C254" s="20">
        <v>62.39</v>
      </c>
      <c r="D254" s="20">
        <v>-0.39</v>
      </c>
      <c r="E254" s="20">
        <v>-0.06</v>
      </c>
      <c r="F254" s="20">
        <v>1592.18</v>
      </c>
      <c r="Q254" s="20">
        <v>25.3</v>
      </c>
      <c r="R254" s="20">
        <v>61.99</v>
      </c>
      <c r="S254" s="26">
        <v>62</v>
      </c>
      <c r="T254" s="26">
        <v>0.01</v>
      </c>
      <c r="U254" s="26">
        <v>-0.02</v>
      </c>
      <c r="V254" s="20">
        <v>1339</v>
      </c>
    </row>
    <row r="255" spans="1:22" ht="16.8" x14ac:dyDescent="0.3">
      <c r="A255" s="20">
        <v>25.5</v>
      </c>
      <c r="B255" s="20">
        <v>62</v>
      </c>
      <c r="C255" s="20">
        <v>62.39</v>
      </c>
      <c r="D255" s="20">
        <v>-0.39</v>
      </c>
      <c r="E255" s="20">
        <v>0</v>
      </c>
      <c r="F255" s="26">
        <v>1592.18</v>
      </c>
      <c r="Q255" s="20">
        <v>25.4</v>
      </c>
      <c r="R255" s="20">
        <v>62.01</v>
      </c>
      <c r="S255" s="20">
        <v>62</v>
      </c>
      <c r="T255" s="26">
        <v>-0.01</v>
      </c>
      <c r="U255" s="26">
        <v>-0.02</v>
      </c>
      <c r="V255" s="20">
        <v>1336.41</v>
      </c>
    </row>
    <row r="256" spans="1:22" ht="16.8" x14ac:dyDescent="0.3">
      <c r="A256" s="20">
        <v>25.6</v>
      </c>
      <c r="B256" s="20">
        <v>62</v>
      </c>
      <c r="C256" s="20">
        <v>62.34</v>
      </c>
      <c r="D256" s="20">
        <v>-0.34</v>
      </c>
      <c r="E256" s="20">
        <v>0.06</v>
      </c>
      <c r="F256" s="26">
        <v>1615.14</v>
      </c>
      <c r="Q256" s="20">
        <v>25.5</v>
      </c>
      <c r="R256" s="20">
        <v>62.01</v>
      </c>
      <c r="S256" s="26">
        <v>62</v>
      </c>
      <c r="T256" s="26">
        <v>-0.01</v>
      </c>
      <c r="U256" s="26">
        <v>-0.01</v>
      </c>
      <c r="V256" s="20">
        <v>1338.32</v>
      </c>
    </row>
    <row r="257" spans="1:22" ht="16.8" x14ac:dyDescent="0.3">
      <c r="A257" s="20">
        <v>25.7</v>
      </c>
      <c r="B257" s="20">
        <v>62</v>
      </c>
      <c r="C257" s="20">
        <v>62.35</v>
      </c>
      <c r="D257" s="20">
        <v>-0.35</v>
      </c>
      <c r="E257" s="20">
        <v>-0.02</v>
      </c>
      <c r="F257" s="20">
        <v>1608.36</v>
      </c>
      <c r="Q257" s="20">
        <v>25.6</v>
      </c>
      <c r="R257" s="20">
        <v>62</v>
      </c>
      <c r="S257" s="20">
        <v>62</v>
      </c>
      <c r="T257" s="26">
        <v>0</v>
      </c>
      <c r="U257" s="26">
        <v>0.02</v>
      </c>
      <c r="V257" s="20">
        <v>1350.59</v>
      </c>
    </row>
    <row r="258" spans="1:22" ht="16.8" x14ac:dyDescent="0.3">
      <c r="A258" s="20">
        <v>25.8</v>
      </c>
      <c r="B258" s="20">
        <v>62</v>
      </c>
      <c r="C258" s="20">
        <v>62.4</v>
      </c>
      <c r="D258" s="20">
        <v>-0.4</v>
      </c>
      <c r="E258" s="20">
        <v>-0.05</v>
      </c>
      <c r="F258" s="26">
        <v>1588.62</v>
      </c>
      <c r="Q258" s="20">
        <v>25.7</v>
      </c>
      <c r="R258" s="20">
        <v>62.04</v>
      </c>
      <c r="S258" s="26">
        <v>62</v>
      </c>
      <c r="T258" s="26">
        <v>-0.04</v>
      </c>
      <c r="U258" s="26">
        <v>-0.04</v>
      </c>
      <c r="V258" s="20">
        <v>1321.45</v>
      </c>
    </row>
    <row r="259" spans="1:22" ht="16.8" x14ac:dyDescent="0.3">
      <c r="A259" s="20">
        <v>25.9</v>
      </c>
      <c r="B259" s="20">
        <v>62</v>
      </c>
      <c r="C259" s="20">
        <v>62.41</v>
      </c>
      <c r="D259" s="20">
        <v>-0.41</v>
      </c>
      <c r="E259" s="20">
        <v>0</v>
      </c>
      <c r="F259" s="26">
        <v>1585.83</v>
      </c>
      <c r="Q259" s="20">
        <v>25.8</v>
      </c>
      <c r="R259" s="20">
        <v>62.05</v>
      </c>
      <c r="S259" s="20">
        <v>62</v>
      </c>
      <c r="T259" s="26">
        <v>-0.05</v>
      </c>
      <c r="U259" s="26">
        <v>-0.01</v>
      </c>
      <c r="V259" s="20">
        <v>1332.98</v>
      </c>
    </row>
    <row r="260" spans="1:22" ht="16.8" x14ac:dyDescent="0.3">
      <c r="A260" s="20">
        <v>26</v>
      </c>
      <c r="B260" s="20">
        <v>62</v>
      </c>
      <c r="C260" s="20">
        <v>62.42</v>
      </c>
      <c r="D260" s="20">
        <v>-0.42</v>
      </c>
      <c r="E260" s="20">
        <v>-0.02</v>
      </c>
      <c r="F260" s="20">
        <v>1574.29</v>
      </c>
      <c r="Q260" s="20">
        <v>25.9</v>
      </c>
      <c r="R260" s="20">
        <v>62.04</v>
      </c>
      <c r="S260" s="26">
        <v>62</v>
      </c>
      <c r="T260" s="26">
        <v>-0.04</v>
      </c>
      <c r="U260" s="26">
        <v>0.01</v>
      </c>
      <c r="V260" s="20">
        <v>1340.63</v>
      </c>
    </row>
    <row r="261" spans="1:22" ht="16.8" x14ac:dyDescent="0.3">
      <c r="A261" s="20">
        <v>26.1</v>
      </c>
      <c r="B261" s="20">
        <v>62</v>
      </c>
      <c r="C261" s="20">
        <v>62.38</v>
      </c>
      <c r="D261" s="20">
        <v>-0.38</v>
      </c>
      <c r="E261" s="20">
        <v>0.04</v>
      </c>
      <c r="F261" s="26">
        <v>1598.6</v>
      </c>
      <c r="Q261" s="20">
        <v>26</v>
      </c>
      <c r="R261" s="20">
        <v>62.06</v>
      </c>
      <c r="S261" s="20">
        <v>62</v>
      </c>
      <c r="T261" s="20">
        <v>-0.06</v>
      </c>
      <c r="U261" s="20">
        <v>-0.02</v>
      </c>
      <c r="V261" s="20">
        <v>1323.7</v>
      </c>
    </row>
    <row r="262" spans="1:22" ht="16.8" x14ac:dyDescent="0.3">
      <c r="A262" s="20">
        <v>26.2</v>
      </c>
      <c r="B262" s="20">
        <v>62</v>
      </c>
      <c r="C262" s="20">
        <v>62.48</v>
      </c>
      <c r="D262" s="20">
        <v>-0.48</v>
      </c>
      <c r="E262" s="20">
        <v>-0.1</v>
      </c>
      <c r="F262" s="20">
        <v>1528.34</v>
      </c>
      <c r="Q262" s="20">
        <v>26.1</v>
      </c>
      <c r="R262" s="20">
        <v>62.05</v>
      </c>
      <c r="S262" s="26">
        <v>62</v>
      </c>
      <c r="T262" s="26">
        <v>-0.05</v>
      </c>
      <c r="U262" s="26">
        <v>0.02</v>
      </c>
      <c r="V262" s="20">
        <v>1342.32</v>
      </c>
    </row>
    <row r="263" spans="1:22" ht="16.8" x14ac:dyDescent="0.3">
      <c r="A263" s="20">
        <v>26.3</v>
      </c>
      <c r="B263" s="20">
        <v>62</v>
      </c>
      <c r="C263" s="20">
        <v>62.43</v>
      </c>
      <c r="D263" s="20">
        <v>-0.43</v>
      </c>
      <c r="E263" s="20">
        <v>0.05</v>
      </c>
      <c r="F263" s="26">
        <v>1571.3</v>
      </c>
      <c r="Q263" s="20">
        <v>26.2</v>
      </c>
      <c r="R263" s="20">
        <v>62.07</v>
      </c>
      <c r="S263" s="20">
        <v>62</v>
      </c>
      <c r="T263" s="20">
        <v>-7.0000000000000007E-2</v>
      </c>
      <c r="U263" s="26">
        <v>-0.02</v>
      </c>
      <c r="V263" s="20">
        <v>1322.14</v>
      </c>
    </row>
    <row r="264" spans="1:22" ht="16.8" x14ac:dyDescent="0.3">
      <c r="A264" s="20">
        <v>26.4</v>
      </c>
      <c r="B264" s="20">
        <v>62</v>
      </c>
      <c r="C264" s="20">
        <v>62.49</v>
      </c>
      <c r="D264" s="20">
        <v>-0.49</v>
      </c>
      <c r="E264" s="20">
        <v>-0.06</v>
      </c>
      <c r="F264" s="20">
        <v>1520.92</v>
      </c>
      <c r="Q264" s="20">
        <v>26.3</v>
      </c>
      <c r="R264" s="20">
        <v>62.06</v>
      </c>
      <c r="S264" s="20">
        <v>62</v>
      </c>
      <c r="T264" s="26">
        <v>-0.06</v>
      </c>
      <c r="U264" s="26">
        <v>0.01</v>
      </c>
      <c r="V264" s="20">
        <v>1336.19</v>
      </c>
    </row>
    <row r="265" spans="1:22" ht="16.8" x14ac:dyDescent="0.3">
      <c r="A265" s="20">
        <v>26.5</v>
      </c>
      <c r="B265" s="20">
        <v>62</v>
      </c>
      <c r="C265" s="20">
        <v>62.46</v>
      </c>
      <c r="D265" s="20">
        <v>-0.46</v>
      </c>
      <c r="E265" s="20">
        <v>0.03</v>
      </c>
      <c r="F265" s="26">
        <v>1545.85</v>
      </c>
      <c r="Q265" s="20">
        <v>26.4</v>
      </c>
      <c r="R265" s="20">
        <v>62.04</v>
      </c>
      <c r="S265" s="26">
        <v>62</v>
      </c>
      <c r="T265" s="20">
        <v>-0.04</v>
      </c>
      <c r="U265" s="26">
        <v>0.02</v>
      </c>
      <c r="V265" s="20">
        <v>1346.42</v>
      </c>
    </row>
    <row r="266" spans="1:22" ht="16.8" x14ac:dyDescent="0.3">
      <c r="A266" s="20">
        <v>26.6</v>
      </c>
      <c r="B266" s="20">
        <v>62</v>
      </c>
      <c r="C266" s="20">
        <v>62.49</v>
      </c>
      <c r="D266" s="20">
        <v>-0.49</v>
      </c>
      <c r="E266" s="20">
        <v>-0.03</v>
      </c>
      <c r="F266" s="26">
        <v>1517.12</v>
      </c>
      <c r="Q266" s="20">
        <v>26.5</v>
      </c>
      <c r="R266" s="20">
        <v>62.07</v>
      </c>
      <c r="S266" s="20">
        <v>62</v>
      </c>
      <c r="T266" s="26">
        <v>-7.0000000000000007E-2</v>
      </c>
      <c r="U266" s="26">
        <v>-0.03</v>
      </c>
      <c r="V266" s="20">
        <v>1318.49</v>
      </c>
    </row>
    <row r="267" spans="1:22" ht="16.8" x14ac:dyDescent="0.3">
      <c r="A267" s="20">
        <v>26.7</v>
      </c>
      <c r="B267" s="20">
        <v>62</v>
      </c>
      <c r="C267" s="20">
        <v>62.49</v>
      </c>
      <c r="D267" s="20">
        <v>-0.49</v>
      </c>
      <c r="E267" s="20">
        <v>0</v>
      </c>
      <c r="F267" s="20">
        <v>1513.26</v>
      </c>
      <c r="Q267" s="20">
        <v>26.6</v>
      </c>
      <c r="R267" s="20">
        <v>62.03</v>
      </c>
      <c r="S267" s="26">
        <v>62</v>
      </c>
      <c r="T267" s="26">
        <v>-0.03</v>
      </c>
      <c r="U267" s="26">
        <v>0.04</v>
      </c>
      <c r="V267" s="20">
        <v>1353.93</v>
      </c>
    </row>
    <row r="268" spans="1:22" ht="16.8" x14ac:dyDescent="0.3">
      <c r="A268" s="20">
        <v>26.8</v>
      </c>
      <c r="B268" s="20">
        <v>62</v>
      </c>
      <c r="C268" s="20">
        <v>62.46</v>
      </c>
      <c r="D268" s="20">
        <v>-0.46</v>
      </c>
      <c r="E268" s="20">
        <v>0.03</v>
      </c>
      <c r="F268" s="26">
        <v>1542.46</v>
      </c>
      <c r="Q268" s="20">
        <v>26.7</v>
      </c>
      <c r="R268" s="20">
        <v>62.06</v>
      </c>
      <c r="S268" s="20">
        <v>62</v>
      </c>
      <c r="T268" s="26">
        <v>-0.06</v>
      </c>
      <c r="U268" s="20">
        <v>-0.03</v>
      </c>
      <c r="V268" s="20">
        <v>1319.55</v>
      </c>
    </row>
    <row r="269" spans="1:22" ht="16.8" x14ac:dyDescent="0.3">
      <c r="A269" s="20">
        <v>26.9</v>
      </c>
      <c r="B269" s="20">
        <v>62</v>
      </c>
      <c r="C269" s="20">
        <v>62.49</v>
      </c>
      <c r="D269" s="20">
        <v>-0.49</v>
      </c>
      <c r="E269" s="20">
        <v>-0.03</v>
      </c>
      <c r="F269" s="26">
        <v>1513.26</v>
      </c>
      <c r="Q269" s="20">
        <v>26.8</v>
      </c>
      <c r="R269" s="20">
        <v>62</v>
      </c>
      <c r="S269" s="26">
        <v>62</v>
      </c>
      <c r="T269" s="26">
        <v>0</v>
      </c>
      <c r="U269" s="26">
        <v>0.06</v>
      </c>
      <c r="V269" s="20">
        <v>1368.61</v>
      </c>
    </row>
    <row r="270" spans="1:22" ht="16.8" x14ac:dyDescent="0.3">
      <c r="A270" s="20">
        <v>27</v>
      </c>
      <c r="B270" s="20">
        <v>62</v>
      </c>
      <c r="C270" s="20">
        <v>62.47</v>
      </c>
      <c r="D270" s="20">
        <v>-0.47</v>
      </c>
      <c r="E270" s="20">
        <v>0.03</v>
      </c>
      <c r="F270" s="20">
        <v>1539.03</v>
      </c>
      <c r="Q270" s="20">
        <v>26.9</v>
      </c>
      <c r="R270" s="20">
        <v>62.02</v>
      </c>
      <c r="S270" s="20">
        <v>62</v>
      </c>
      <c r="T270" s="26">
        <v>-0.02</v>
      </c>
      <c r="U270" s="20">
        <v>-0.02</v>
      </c>
      <c r="V270" s="20">
        <v>1329.16</v>
      </c>
    </row>
    <row r="271" spans="1:22" ht="16.8" x14ac:dyDescent="0.3">
      <c r="A271" s="20">
        <v>27.1</v>
      </c>
      <c r="B271" s="20">
        <v>62</v>
      </c>
      <c r="C271" s="20">
        <v>62.46</v>
      </c>
      <c r="D271" s="20">
        <v>-0.46</v>
      </c>
      <c r="E271" s="20">
        <v>0</v>
      </c>
      <c r="F271" s="26">
        <v>1542.46</v>
      </c>
      <c r="Q271" s="20">
        <v>27</v>
      </c>
      <c r="R271" s="20">
        <v>62.06</v>
      </c>
      <c r="S271" s="26">
        <v>62</v>
      </c>
      <c r="T271" s="20">
        <v>-0.06</v>
      </c>
      <c r="U271" s="26">
        <v>-0.04</v>
      </c>
      <c r="V271" s="20">
        <v>1316.11</v>
      </c>
    </row>
    <row r="272" spans="1:22" ht="16.8" x14ac:dyDescent="0.3">
      <c r="A272" s="20">
        <v>27.2</v>
      </c>
      <c r="B272" s="20">
        <v>62</v>
      </c>
      <c r="C272" s="20">
        <v>62.5</v>
      </c>
      <c r="D272" s="20">
        <v>-0.5</v>
      </c>
      <c r="E272" s="20">
        <v>-0.04</v>
      </c>
      <c r="F272" s="20">
        <v>1509.32</v>
      </c>
      <c r="Q272" s="20">
        <v>27.1</v>
      </c>
      <c r="R272" s="20">
        <v>62.06</v>
      </c>
      <c r="S272" s="20">
        <v>62</v>
      </c>
      <c r="T272" s="26">
        <v>-0.06</v>
      </c>
      <c r="U272" s="26">
        <v>0</v>
      </c>
      <c r="V272" s="20">
        <v>1332.12</v>
      </c>
    </row>
    <row r="273" spans="1:22" ht="16.8" x14ac:dyDescent="0.3">
      <c r="A273" s="20">
        <v>27.3</v>
      </c>
      <c r="B273" s="20">
        <v>62</v>
      </c>
      <c r="C273" s="20">
        <v>62.51</v>
      </c>
      <c r="D273" s="20">
        <v>-0.51</v>
      </c>
      <c r="E273" s="20">
        <v>-0.02</v>
      </c>
      <c r="F273" s="26">
        <v>1492.92</v>
      </c>
      <c r="Q273" s="20">
        <v>27.2</v>
      </c>
      <c r="R273" s="20">
        <v>62.06</v>
      </c>
      <c r="S273" s="26">
        <v>62</v>
      </c>
      <c r="T273" s="26">
        <v>-0.06</v>
      </c>
      <c r="U273" s="26">
        <v>0</v>
      </c>
      <c r="V273" s="20">
        <v>1331.97</v>
      </c>
    </row>
    <row r="274" spans="1:22" ht="16.8" x14ac:dyDescent="0.3">
      <c r="A274" s="20">
        <v>27.4</v>
      </c>
      <c r="B274" s="20">
        <v>62</v>
      </c>
      <c r="C274" s="20">
        <v>62.51</v>
      </c>
      <c r="D274" s="20">
        <v>-0.51</v>
      </c>
      <c r="E274" s="20">
        <v>0</v>
      </c>
      <c r="F274" s="26">
        <v>1492.92</v>
      </c>
      <c r="Q274" s="20">
        <v>27.3</v>
      </c>
      <c r="R274" s="20">
        <v>62.08</v>
      </c>
      <c r="S274" s="20">
        <v>62</v>
      </c>
      <c r="T274" s="26">
        <v>-0.08</v>
      </c>
      <c r="U274" s="26">
        <v>-0.02</v>
      </c>
      <c r="V274" s="20">
        <v>1322.74</v>
      </c>
    </row>
    <row r="275" spans="1:22" ht="16.8" x14ac:dyDescent="0.3">
      <c r="A275" s="20">
        <v>27.5</v>
      </c>
      <c r="B275" s="20">
        <v>62</v>
      </c>
      <c r="C275" s="20">
        <v>62.48</v>
      </c>
      <c r="D275" s="20">
        <v>-0.48</v>
      </c>
      <c r="E275" s="20">
        <v>0.04</v>
      </c>
      <c r="F275" s="20">
        <v>1528.34</v>
      </c>
      <c r="Q275" s="20">
        <v>27.4</v>
      </c>
      <c r="R275" s="20">
        <v>62.1</v>
      </c>
      <c r="S275" s="20">
        <v>62</v>
      </c>
      <c r="T275" s="26">
        <v>-0.1</v>
      </c>
      <c r="U275" s="26">
        <v>-0.02</v>
      </c>
      <c r="V275" s="20">
        <v>1319.95</v>
      </c>
    </row>
    <row r="276" spans="1:22" ht="16.8" x14ac:dyDescent="0.3">
      <c r="A276" s="20">
        <v>27.6</v>
      </c>
      <c r="B276" s="20">
        <v>62</v>
      </c>
      <c r="C276" s="20">
        <v>62.49</v>
      </c>
      <c r="D276" s="20">
        <v>-0.49</v>
      </c>
      <c r="E276" s="20">
        <v>-0.01</v>
      </c>
      <c r="F276" s="26">
        <v>1517.12</v>
      </c>
      <c r="Q276" s="20">
        <v>27.5</v>
      </c>
      <c r="R276" s="20">
        <v>62.05</v>
      </c>
      <c r="S276" s="26">
        <v>62</v>
      </c>
      <c r="T276" s="20">
        <v>-0.05</v>
      </c>
      <c r="U276" s="26">
        <v>0.04</v>
      </c>
      <c r="V276" s="20">
        <v>1348.86</v>
      </c>
    </row>
    <row r="277" spans="1:22" ht="16.8" x14ac:dyDescent="0.3">
      <c r="A277" s="20">
        <v>27.7</v>
      </c>
      <c r="B277" s="20">
        <v>62</v>
      </c>
      <c r="C277" s="20">
        <v>62.49</v>
      </c>
      <c r="D277" s="20">
        <v>-0.49</v>
      </c>
      <c r="E277" s="20">
        <v>0</v>
      </c>
      <c r="F277" s="26">
        <v>1520.92</v>
      </c>
      <c r="Q277" s="20">
        <v>27.6</v>
      </c>
      <c r="R277" s="20">
        <v>62.08</v>
      </c>
      <c r="S277" s="20">
        <v>62</v>
      </c>
      <c r="T277" s="26">
        <v>-0.08</v>
      </c>
      <c r="U277" s="26">
        <v>-0.02</v>
      </c>
      <c r="V277" s="20">
        <v>1318.96</v>
      </c>
    </row>
    <row r="278" spans="1:22" ht="16.8" x14ac:dyDescent="0.3">
      <c r="A278" s="20">
        <v>27.8</v>
      </c>
      <c r="B278" s="20">
        <v>62</v>
      </c>
      <c r="C278" s="20">
        <v>62.47</v>
      </c>
      <c r="D278" s="20">
        <v>-0.47</v>
      </c>
      <c r="E278" s="20">
        <v>0.02</v>
      </c>
      <c r="F278" s="20">
        <v>1539.03</v>
      </c>
      <c r="Q278" s="20">
        <v>27.7</v>
      </c>
      <c r="R278" s="20">
        <v>62.06</v>
      </c>
      <c r="S278" s="26">
        <v>62</v>
      </c>
      <c r="T278" s="20">
        <v>-0.06</v>
      </c>
      <c r="U278" s="26">
        <v>0.02</v>
      </c>
      <c r="V278" s="20">
        <v>1337.55</v>
      </c>
    </row>
    <row r="279" spans="1:22" ht="16.8" x14ac:dyDescent="0.3">
      <c r="A279" s="20">
        <v>27.9</v>
      </c>
      <c r="B279" s="20">
        <v>62</v>
      </c>
      <c r="C279" s="20">
        <v>62.48</v>
      </c>
      <c r="D279" s="20">
        <v>-0.48</v>
      </c>
      <c r="E279" s="20">
        <v>-0.02</v>
      </c>
      <c r="F279" s="26">
        <v>1524.65</v>
      </c>
      <c r="Q279" s="20">
        <v>27.8</v>
      </c>
      <c r="R279" s="20">
        <v>62.07</v>
      </c>
      <c r="S279" s="20">
        <v>62</v>
      </c>
      <c r="T279" s="26">
        <v>-7.0000000000000007E-2</v>
      </c>
      <c r="U279" s="26">
        <v>-0.01</v>
      </c>
      <c r="V279" s="20">
        <v>1326.39</v>
      </c>
    </row>
    <row r="280" spans="1:22" ht="16.8" x14ac:dyDescent="0.3">
      <c r="A280" s="20">
        <v>28</v>
      </c>
      <c r="B280" s="20">
        <v>62</v>
      </c>
      <c r="C280" s="20">
        <v>62.49</v>
      </c>
      <c r="D280" s="20">
        <v>-0.49</v>
      </c>
      <c r="E280" s="20">
        <v>0</v>
      </c>
      <c r="F280" s="20">
        <v>1520.92</v>
      </c>
      <c r="Q280" s="20">
        <v>27.9</v>
      </c>
      <c r="R280" s="20">
        <v>62.08</v>
      </c>
      <c r="S280" s="26">
        <v>62</v>
      </c>
      <c r="T280" s="20">
        <v>-0.08</v>
      </c>
      <c r="U280" s="26">
        <v>-0.01</v>
      </c>
      <c r="V280" s="20">
        <v>1324.91</v>
      </c>
    </row>
    <row r="281" spans="1:22" ht="16.8" x14ac:dyDescent="0.3">
      <c r="A281" s="20">
        <v>28.1</v>
      </c>
      <c r="B281" s="20">
        <v>62</v>
      </c>
      <c r="C281" s="20">
        <v>62.51</v>
      </c>
      <c r="D281" s="20">
        <v>-0.51</v>
      </c>
      <c r="E281" s="20">
        <v>-0.02</v>
      </c>
      <c r="F281" s="26">
        <v>1497.14</v>
      </c>
      <c r="Q281" s="20">
        <v>28</v>
      </c>
      <c r="R281" s="20">
        <v>62.09</v>
      </c>
      <c r="S281" s="20">
        <v>62</v>
      </c>
      <c r="T281" s="20">
        <v>-0.09</v>
      </c>
      <c r="U281" s="20">
        <v>-0.01</v>
      </c>
      <c r="V281" s="20">
        <v>1323.42</v>
      </c>
    </row>
    <row r="282" spans="1:22" ht="16.8" x14ac:dyDescent="0.3">
      <c r="A282" s="20">
        <v>28.2</v>
      </c>
      <c r="B282" s="20">
        <v>62</v>
      </c>
      <c r="C282" s="20">
        <v>62.49</v>
      </c>
      <c r="D282" s="20">
        <v>-0.49</v>
      </c>
      <c r="E282" s="20">
        <v>0.02</v>
      </c>
      <c r="F282" s="26">
        <v>1513.26</v>
      </c>
      <c r="Q282" s="20">
        <v>28.1</v>
      </c>
      <c r="R282" s="20">
        <v>62.12</v>
      </c>
      <c r="S282" s="26">
        <v>62</v>
      </c>
      <c r="T282" s="26">
        <v>-0.12</v>
      </c>
      <c r="U282" s="26">
        <v>-0.03</v>
      </c>
      <c r="V282" s="20">
        <v>1308.29</v>
      </c>
    </row>
    <row r="283" spans="1:22" ht="16.8" x14ac:dyDescent="0.3">
      <c r="A283" s="20">
        <v>28.3</v>
      </c>
      <c r="B283" s="20">
        <v>62</v>
      </c>
      <c r="C283" s="20">
        <v>62.48</v>
      </c>
      <c r="D283" s="20">
        <v>-0.48</v>
      </c>
      <c r="E283" s="20">
        <v>0.02</v>
      </c>
      <c r="F283" s="20">
        <v>1528.34</v>
      </c>
      <c r="Q283" s="20">
        <v>28.2</v>
      </c>
      <c r="R283" s="20">
        <v>62.1</v>
      </c>
      <c r="S283" s="20">
        <v>62</v>
      </c>
      <c r="T283" s="20">
        <v>-0.1</v>
      </c>
      <c r="U283" s="26">
        <v>0.02</v>
      </c>
      <c r="V283" s="20">
        <v>1334.55</v>
      </c>
    </row>
    <row r="284" spans="1:22" ht="16.8" x14ac:dyDescent="0.3">
      <c r="A284" s="20">
        <v>28.4</v>
      </c>
      <c r="B284" s="20">
        <v>62</v>
      </c>
      <c r="C284" s="20">
        <v>62.48</v>
      </c>
      <c r="D284" s="20">
        <v>-0.48</v>
      </c>
      <c r="E284" s="20">
        <v>0</v>
      </c>
      <c r="F284" s="26">
        <v>1524.65</v>
      </c>
      <c r="Q284" s="20">
        <v>28.3</v>
      </c>
      <c r="R284" s="20">
        <v>62.08</v>
      </c>
      <c r="S284" s="26">
        <v>62</v>
      </c>
      <c r="T284" s="26">
        <v>-0.08</v>
      </c>
      <c r="U284" s="26">
        <v>0.02</v>
      </c>
      <c r="V284" s="20">
        <v>1333.69</v>
      </c>
    </row>
    <row r="285" spans="1:22" ht="16.8" x14ac:dyDescent="0.3">
      <c r="A285" s="20">
        <v>28.5</v>
      </c>
      <c r="B285" s="20">
        <v>62</v>
      </c>
      <c r="C285" s="20">
        <v>62.51</v>
      </c>
      <c r="D285" s="20">
        <v>-0.51</v>
      </c>
      <c r="E285" s="20">
        <v>-0.03</v>
      </c>
      <c r="F285" s="20">
        <v>1497.14</v>
      </c>
      <c r="Q285" s="20">
        <v>28.4</v>
      </c>
      <c r="R285" s="20">
        <v>62.09</v>
      </c>
      <c r="S285" s="20">
        <v>62</v>
      </c>
      <c r="T285" s="20">
        <v>-0.09</v>
      </c>
      <c r="U285" s="26">
        <v>-0.01</v>
      </c>
      <c r="V285" s="20">
        <v>1322.51</v>
      </c>
    </row>
    <row r="286" spans="1:22" ht="16.8" x14ac:dyDescent="0.3">
      <c r="A286" s="20">
        <v>28.6</v>
      </c>
      <c r="B286" s="20">
        <v>62</v>
      </c>
      <c r="C286" s="20">
        <v>62.53</v>
      </c>
      <c r="D286" s="20">
        <v>-0.53</v>
      </c>
      <c r="E286" s="20">
        <v>-0.02</v>
      </c>
      <c r="F286" s="26">
        <v>1470.49</v>
      </c>
      <c r="Q286" s="20">
        <v>28.5</v>
      </c>
      <c r="R286" s="20">
        <v>62.14</v>
      </c>
      <c r="S286" s="20">
        <v>62</v>
      </c>
      <c r="T286" s="26">
        <v>-0.14000000000000001</v>
      </c>
      <c r="U286" s="26">
        <v>-0.05</v>
      </c>
      <c r="V286" s="20">
        <v>1298.31</v>
      </c>
    </row>
    <row r="287" spans="1:22" ht="16.8" x14ac:dyDescent="0.3">
      <c r="A287" s="20">
        <v>28.7</v>
      </c>
      <c r="B287" s="20">
        <v>62</v>
      </c>
      <c r="C287" s="20">
        <v>62.5</v>
      </c>
      <c r="D287" s="20">
        <v>-0.5</v>
      </c>
      <c r="E287" s="20">
        <v>0.04</v>
      </c>
      <c r="F287" s="26">
        <v>1509.32</v>
      </c>
      <c r="Q287" s="20">
        <v>28.6</v>
      </c>
      <c r="R287" s="20">
        <v>62.1</v>
      </c>
      <c r="S287" s="26">
        <v>62</v>
      </c>
      <c r="T287" s="20">
        <v>-0.1</v>
      </c>
      <c r="U287" s="26">
        <v>0.04</v>
      </c>
      <c r="V287" s="20">
        <v>1340.06</v>
      </c>
    </row>
    <row r="288" spans="1:22" ht="16.8" x14ac:dyDescent="0.3">
      <c r="A288" s="20">
        <v>28.8</v>
      </c>
      <c r="B288" s="20">
        <v>62</v>
      </c>
      <c r="C288" s="20">
        <v>62.48</v>
      </c>
      <c r="D288" s="20">
        <v>-0.48</v>
      </c>
      <c r="E288" s="20">
        <v>0.02</v>
      </c>
      <c r="F288" s="20">
        <v>1524.65</v>
      </c>
      <c r="Q288" s="20">
        <v>28.7</v>
      </c>
      <c r="R288" s="20">
        <v>62.13</v>
      </c>
      <c r="S288" s="20">
        <v>62</v>
      </c>
      <c r="T288" s="26">
        <v>-0.13</v>
      </c>
      <c r="U288" s="26">
        <v>-0.03</v>
      </c>
      <c r="V288" s="20">
        <v>1305.52</v>
      </c>
    </row>
    <row r="289" spans="1:22" ht="16.8" x14ac:dyDescent="0.3">
      <c r="A289" s="20">
        <v>28.9</v>
      </c>
      <c r="B289" s="20">
        <v>62</v>
      </c>
      <c r="C289" s="20">
        <v>62.5</v>
      </c>
      <c r="D289" s="20">
        <v>-0.5</v>
      </c>
      <c r="E289" s="20">
        <v>-0.02</v>
      </c>
      <c r="F289" s="26">
        <v>1505.32</v>
      </c>
      <c r="Q289" s="20">
        <v>28.8</v>
      </c>
      <c r="R289" s="20">
        <v>62.08</v>
      </c>
      <c r="S289" s="26">
        <v>62</v>
      </c>
      <c r="T289" s="26">
        <v>-0.08</v>
      </c>
      <c r="U289" s="26">
        <v>0.05</v>
      </c>
      <c r="V289" s="20">
        <v>1345.36</v>
      </c>
    </row>
    <row r="290" spans="1:22" ht="16.8" x14ac:dyDescent="0.3">
      <c r="A290" s="20">
        <v>29</v>
      </c>
      <c r="B290" s="20">
        <v>62</v>
      </c>
      <c r="C290" s="20">
        <v>62.51</v>
      </c>
      <c r="D290" s="20">
        <v>-0.51</v>
      </c>
      <c r="E290" s="20">
        <v>-0.01</v>
      </c>
      <c r="F290" s="26">
        <v>1492.92</v>
      </c>
      <c r="Q290" s="20">
        <v>28.9</v>
      </c>
      <c r="R290" s="20">
        <v>62.07</v>
      </c>
      <c r="S290" s="20">
        <v>62</v>
      </c>
      <c r="T290" s="26">
        <v>-7.0000000000000007E-2</v>
      </c>
      <c r="U290" s="26">
        <v>0.01</v>
      </c>
      <c r="V290" s="20">
        <v>1330.33</v>
      </c>
    </row>
    <row r="291" spans="1:22" ht="16.8" x14ac:dyDescent="0.3">
      <c r="A291" s="20">
        <v>29.1</v>
      </c>
      <c r="B291" s="20">
        <v>62</v>
      </c>
      <c r="C291" s="20">
        <v>62.47</v>
      </c>
      <c r="D291" s="20">
        <v>-0.47</v>
      </c>
      <c r="E291" s="20">
        <v>0.05</v>
      </c>
      <c r="F291" s="20">
        <v>1539.03</v>
      </c>
      <c r="Q291" s="20">
        <v>29</v>
      </c>
      <c r="R291" s="20">
        <v>62.05</v>
      </c>
      <c r="S291" s="26">
        <v>62</v>
      </c>
      <c r="T291" s="26">
        <v>-0.05</v>
      </c>
      <c r="U291" s="26">
        <v>0.02</v>
      </c>
      <c r="V291" s="20">
        <v>1335.99</v>
      </c>
    </row>
    <row r="292" spans="1:22" ht="16.8" x14ac:dyDescent="0.3">
      <c r="A292" s="20">
        <v>29.2</v>
      </c>
      <c r="B292" s="20">
        <v>62</v>
      </c>
      <c r="C292" s="20">
        <v>62.43</v>
      </c>
      <c r="D292" s="20">
        <v>-0.43</v>
      </c>
      <c r="E292" s="20">
        <v>0.04</v>
      </c>
      <c r="F292" s="26">
        <v>1568.26</v>
      </c>
      <c r="Q292" s="20">
        <v>29.1</v>
      </c>
      <c r="R292" s="20">
        <v>62.1</v>
      </c>
      <c r="S292" s="20">
        <v>62</v>
      </c>
      <c r="T292" s="20">
        <v>-0.1</v>
      </c>
      <c r="U292" s="26">
        <v>-0.04</v>
      </c>
      <c r="V292" s="20">
        <v>1306.72</v>
      </c>
    </row>
    <row r="293" spans="1:22" ht="16.8" x14ac:dyDescent="0.3">
      <c r="A293" s="20">
        <v>29.3</v>
      </c>
      <c r="B293" s="20">
        <v>62</v>
      </c>
      <c r="C293" s="20">
        <v>62.48</v>
      </c>
      <c r="D293" s="20">
        <v>-0.48</v>
      </c>
      <c r="E293" s="20">
        <v>-0.05</v>
      </c>
      <c r="F293" s="20">
        <v>1528.34</v>
      </c>
      <c r="Q293" s="20">
        <v>29.2</v>
      </c>
      <c r="R293" s="20">
        <v>62.1</v>
      </c>
      <c r="S293" s="26">
        <v>62</v>
      </c>
      <c r="T293" s="26">
        <v>-0.1</v>
      </c>
      <c r="U293" s="26">
        <v>-0.01</v>
      </c>
      <c r="V293" s="20">
        <v>1318.11</v>
      </c>
    </row>
    <row r="294" spans="1:22" ht="16.8" x14ac:dyDescent="0.3">
      <c r="A294" s="20">
        <v>29.4</v>
      </c>
      <c r="B294" s="20">
        <v>62</v>
      </c>
      <c r="C294" s="20">
        <v>62.47</v>
      </c>
      <c r="D294" s="20">
        <v>-0.47</v>
      </c>
      <c r="E294" s="20">
        <v>0.01</v>
      </c>
      <c r="F294" s="26">
        <v>1535.53</v>
      </c>
      <c r="Q294" s="20">
        <v>29.3</v>
      </c>
      <c r="R294" s="20">
        <v>62.11</v>
      </c>
      <c r="S294" s="20">
        <v>62</v>
      </c>
      <c r="T294" s="26">
        <v>-0.11</v>
      </c>
      <c r="U294" s="26">
        <v>-0.01</v>
      </c>
      <c r="V294" s="20">
        <v>1316.56</v>
      </c>
    </row>
    <row r="295" spans="1:22" ht="16.8" x14ac:dyDescent="0.3">
      <c r="A295" s="20">
        <v>29.5</v>
      </c>
      <c r="B295" s="20">
        <v>62</v>
      </c>
      <c r="C295" s="20">
        <v>62.44</v>
      </c>
      <c r="D295" s="20">
        <v>-0.44</v>
      </c>
      <c r="E295" s="20">
        <v>0.03</v>
      </c>
      <c r="F295" s="20">
        <v>1562.04</v>
      </c>
      <c r="Q295" s="20">
        <v>29.4</v>
      </c>
      <c r="R295" s="20">
        <v>62.1</v>
      </c>
      <c r="S295" s="20">
        <v>62</v>
      </c>
      <c r="T295" s="26">
        <v>-0.1</v>
      </c>
      <c r="U295" s="26">
        <v>0.02</v>
      </c>
      <c r="V295" s="20">
        <v>1328.59</v>
      </c>
    </row>
    <row r="296" spans="1:22" ht="16.8" x14ac:dyDescent="0.3">
      <c r="A296" s="20">
        <v>29.6</v>
      </c>
      <c r="B296" s="20">
        <v>62</v>
      </c>
      <c r="C296" s="20">
        <v>62.47</v>
      </c>
      <c r="D296" s="20">
        <v>-0.47</v>
      </c>
      <c r="E296" s="20">
        <v>-0.03</v>
      </c>
      <c r="F296" s="26">
        <v>1539.03</v>
      </c>
      <c r="Q296" s="20">
        <v>29.5</v>
      </c>
      <c r="R296" s="20">
        <v>62.06</v>
      </c>
      <c r="S296" s="26">
        <v>62</v>
      </c>
      <c r="T296" s="26">
        <v>-0.06</v>
      </c>
      <c r="U296" s="26">
        <v>0.03</v>
      </c>
      <c r="V296" s="20">
        <v>1340.05</v>
      </c>
    </row>
    <row r="297" spans="1:22" ht="16.8" x14ac:dyDescent="0.3">
      <c r="A297" s="20">
        <v>29.7</v>
      </c>
      <c r="B297" s="20">
        <v>62</v>
      </c>
      <c r="C297" s="20">
        <v>62.37</v>
      </c>
      <c r="D297" s="20">
        <v>-0.37</v>
      </c>
      <c r="E297" s="20">
        <v>0.09</v>
      </c>
      <c r="F297" s="26">
        <v>1600.22</v>
      </c>
      <c r="Q297" s="20">
        <v>29.6</v>
      </c>
      <c r="R297" s="20">
        <v>62.1</v>
      </c>
      <c r="S297" s="20">
        <v>62</v>
      </c>
      <c r="T297" s="26">
        <v>-0.1</v>
      </c>
      <c r="U297" s="26">
        <v>-0.04</v>
      </c>
      <c r="V297" s="20">
        <v>1304.29</v>
      </c>
    </row>
    <row r="298" spans="1:22" ht="16.8" x14ac:dyDescent="0.3">
      <c r="A298" s="20">
        <v>29.8</v>
      </c>
      <c r="B298" s="20">
        <v>62</v>
      </c>
      <c r="C298" s="20">
        <v>62.44</v>
      </c>
      <c r="D298" s="20">
        <v>-0.44</v>
      </c>
      <c r="E298" s="20">
        <v>-0.06</v>
      </c>
      <c r="F298" s="20">
        <v>1562.04</v>
      </c>
      <c r="Q298" s="20">
        <v>29.7</v>
      </c>
      <c r="R298" s="20">
        <v>62.06</v>
      </c>
      <c r="S298" s="26">
        <v>62</v>
      </c>
      <c r="T298" s="26">
        <v>-0.06</v>
      </c>
      <c r="U298" s="26">
        <v>0.04</v>
      </c>
      <c r="V298" s="20">
        <v>1342.88</v>
      </c>
    </row>
    <row r="299" spans="1:22" ht="16.8" x14ac:dyDescent="0.3">
      <c r="A299" s="20">
        <v>29.9</v>
      </c>
      <c r="B299" s="20">
        <v>62</v>
      </c>
      <c r="C299" s="20">
        <v>62.45</v>
      </c>
      <c r="D299" s="20">
        <v>-0.45</v>
      </c>
      <c r="E299" s="20">
        <v>-0.01</v>
      </c>
      <c r="F299" s="26">
        <v>1555.69</v>
      </c>
      <c r="Q299" s="20">
        <v>29.8</v>
      </c>
      <c r="R299" s="20">
        <v>62.1</v>
      </c>
      <c r="S299" s="20">
        <v>62</v>
      </c>
      <c r="T299" s="26">
        <v>-0.1</v>
      </c>
      <c r="U299" s="26">
        <v>-0.03</v>
      </c>
      <c r="V299" s="20">
        <v>1308.42</v>
      </c>
    </row>
    <row r="300" spans="1:22" ht="16.8" x14ac:dyDescent="0.3">
      <c r="A300" s="20">
        <v>30</v>
      </c>
      <c r="B300" s="20">
        <v>62</v>
      </c>
      <c r="C300" s="20">
        <v>62.43</v>
      </c>
      <c r="D300" s="20">
        <v>-0.43</v>
      </c>
      <c r="E300" s="20">
        <v>0.02</v>
      </c>
      <c r="F300" s="26">
        <v>1571.3</v>
      </c>
      <c r="Q300" s="20">
        <v>29.9</v>
      </c>
      <c r="R300" s="20">
        <v>62.1</v>
      </c>
      <c r="S300" s="26">
        <v>62</v>
      </c>
      <c r="T300" s="20">
        <v>-0.1</v>
      </c>
      <c r="U300" s="20">
        <v>-0.01</v>
      </c>
      <c r="V300" s="20">
        <v>1316.59</v>
      </c>
    </row>
    <row r="301" spans="1:22" ht="16.8" x14ac:dyDescent="0.3">
      <c r="A301" s="20">
        <v>30.1</v>
      </c>
      <c r="B301" s="20">
        <v>62</v>
      </c>
      <c r="C301" s="20">
        <v>62.44</v>
      </c>
      <c r="D301" s="20">
        <v>-0.44</v>
      </c>
      <c r="E301" s="20">
        <v>-0.01</v>
      </c>
      <c r="F301" s="20">
        <v>1562.04</v>
      </c>
      <c r="Q301" s="20">
        <v>30</v>
      </c>
      <c r="R301" s="20">
        <v>62.1</v>
      </c>
      <c r="S301" s="20">
        <v>62</v>
      </c>
      <c r="T301" s="26">
        <v>-0.1</v>
      </c>
      <c r="U301" s="26">
        <v>0.01</v>
      </c>
      <c r="V301" s="20">
        <v>1324.11</v>
      </c>
    </row>
    <row r="302" spans="1:22" ht="16.8" x14ac:dyDescent="0.3">
      <c r="A302" s="20">
        <v>30.2</v>
      </c>
      <c r="B302" s="20">
        <v>62</v>
      </c>
      <c r="C302" s="20">
        <v>62.48</v>
      </c>
      <c r="D302" s="20">
        <v>-0.48</v>
      </c>
      <c r="E302" s="20">
        <v>-0.04</v>
      </c>
      <c r="F302" s="26">
        <v>1524.65</v>
      </c>
      <c r="Q302" s="20">
        <v>30.1</v>
      </c>
      <c r="R302" s="20">
        <v>62.12</v>
      </c>
      <c r="S302" s="20">
        <v>62</v>
      </c>
      <c r="T302" s="20">
        <v>-0.12</v>
      </c>
      <c r="U302" s="20">
        <v>-0.02</v>
      </c>
      <c r="V302" s="20">
        <v>1307.03</v>
      </c>
    </row>
    <row r="303" spans="1:22" ht="16.8" x14ac:dyDescent="0.3">
      <c r="A303" s="20">
        <v>30.3</v>
      </c>
      <c r="B303" s="20">
        <v>62</v>
      </c>
      <c r="C303" s="20">
        <v>62.49</v>
      </c>
      <c r="D303" s="20">
        <v>-0.49</v>
      </c>
      <c r="E303" s="20">
        <v>-0.01</v>
      </c>
      <c r="F303" s="20">
        <v>1513.26</v>
      </c>
      <c r="Q303" s="20">
        <v>30.2</v>
      </c>
      <c r="R303" s="20">
        <v>62.12</v>
      </c>
      <c r="S303" s="26">
        <v>62</v>
      </c>
      <c r="T303" s="26">
        <v>-0.12</v>
      </c>
      <c r="U303" s="26">
        <v>0</v>
      </c>
      <c r="V303" s="20">
        <v>1316.45</v>
      </c>
    </row>
    <row r="304" spans="1:22" ht="16.8" x14ac:dyDescent="0.3">
      <c r="A304" s="20">
        <v>30.4</v>
      </c>
      <c r="B304" s="20">
        <v>62</v>
      </c>
      <c r="C304" s="20">
        <v>62.43</v>
      </c>
      <c r="D304" s="20">
        <v>-0.43</v>
      </c>
      <c r="E304" s="20">
        <v>0.06</v>
      </c>
      <c r="F304" s="26">
        <v>1565.18</v>
      </c>
      <c r="Q304" s="20">
        <v>30.3</v>
      </c>
      <c r="R304" s="20">
        <v>62.1</v>
      </c>
      <c r="S304" s="20">
        <v>62</v>
      </c>
      <c r="T304" s="26">
        <v>-0.1</v>
      </c>
      <c r="U304" s="20">
        <v>0.02</v>
      </c>
      <c r="V304" s="20">
        <v>1325.24</v>
      </c>
    </row>
    <row r="305" spans="1:22" ht="16.8" x14ac:dyDescent="0.3">
      <c r="A305" s="20">
        <v>30.5</v>
      </c>
      <c r="B305" s="20">
        <v>62</v>
      </c>
      <c r="C305" s="20">
        <v>62.48</v>
      </c>
      <c r="D305" s="20">
        <v>-0.48</v>
      </c>
      <c r="E305" s="20">
        <v>-0.04</v>
      </c>
      <c r="F305" s="26">
        <v>1528.34</v>
      </c>
      <c r="Q305" s="20">
        <v>30.4</v>
      </c>
      <c r="R305" s="20">
        <v>62.05</v>
      </c>
      <c r="S305" s="20">
        <v>62</v>
      </c>
      <c r="T305" s="26">
        <v>-0.05</v>
      </c>
      <c r="U305" s="26">
        <v>0.05</v>
      </c>
      <c r="V305" s="20">
        <v>1345.74</v>
      </c>
    </row>
    <row r="306" spans="1:22" ht="16.8" x14ac:dyDescent="0.3">
      <c r="A306" s="20">
        <v>30.6</v>
      </c>
      <c r="B306" s="20">
        <v>62</v>
      </c>
      <c r="C306" s="20">
        <v>62.49</v>
      </c>
      <c r="D306" s="20">
        <v>-0.49</v>
      </c>
      <c r="E306" s="20">
        <v>-0.01</v>
      </c>
      <c r="F306" s="20">
        <v>1517.12</v>
      </c>
      <c r="Q306" s="20">
        <v>30.5</v>
      </c>
      <c r="R306" s="20">
        <v>62.05</v>
      </c>
      <c r="S306" s="26">
        <v>62</v>
      </c>
      <c r="T306" s="26">
        <v>-0.05</v>
      </c>
      <c r="U306" s="26">
        <v>0</v>
      </c>
      <c r="V306" s="20">
        <v>1326.22</v>
      </c>
    </row>
    <row r="307" spans="1:22" ht="16.8" x14ac:dyDescent="0.3">
      <c r="A307" s="20">
        <v>30.7</v>
      </c>
      <c r="B307" s="20">
        <v>62</v>
      </c>
      <c r="C307" s="20">
        <v>62.46</v>
      </c>
      <c r="D307" s="20">
        <v>-0.46</v>
      </c>
      <c r="E307" s="20">
        <v>0.03</v>
      </c>
      <c r="F307" s="26">
        <v>1542.46</v>
      </c>
      <c r="Q307" s="20">
        <v>30.6</v>
      </c>
      <c r="R307" s="20">
        <v>62.09</v>
      </c>
      <c r="S307" s="20">
        <v>62</v>
      </c>
      <c r="T307" s="20">
        <v>-0.09</v>
      </c>
      <c r="U307" s="26">
        <v>-0.03</v>
      </c>
      <c r="V307" s="20">
        <v>1307.94</v>
      </c>
    </row>
    <row r="308" spans="1:22" ht="16.8" x14ac:dyDescent="0.3">
      <c r="A308" s="20">
        <v>30.8</v>
      </c>
      <c r="B308" s="20">
        <v>62</v>
      </c>
      <c r="C308" s="20">
        <v>62.5</v>
      </c>
      <c r="D308" s="20">
        <v>-0.5</v>
      </c>
      <c r="E308" s="20">
        <v>-0.04</v>
      </c>
      <c r="F308" s="20">
        <v>1505.32</v>
      </c>
      <c r="Q308" s="20">
        <v>30.7</v>
      </c>
      <c r="R308" s="20">
        <v>62.06</v>
      </c>
      <c r="S308" s="26">
        <v>62</v>
      </c>
      <c r="T308" s="26">
        <v>-0.06</v>
      </c>
      <c r="U308" s="26">
        <v>0.02</v>
      </c>
      <c r="V308" s="20">
        <v>1334.27</v>
      </c>
    </row>
    <row r="309" spans="1:22" ht="16.8" x14ac:dyDescent="0.3">
      <c r="A309" s="20">
        <v>30.9</v>
      </c>
      <c r="B309" s="20">
        <v>62</v>
      </c>
      <c r="C309" s="20">
        <v>62.48</v>
      </c>
      <c r="D309" s="20">
        <v>-0.48</v>
      </c>
      <c r="E309" s="20">
        <v>0.02</v>
      </c>
      <c r="F309" s="26">
        <v>1528.34</v>
      </c>
      <c r="Q309" s="20">
        <v>30.8</v>
      </c>
      <c r="R309" s="20">
        <v>62.06</v>
      </c>
      <c r="S309" s="20">
        <v>62</v>
      </c>
      <c r="T309" s="20">
        <v>-0.06</v>
      </c>
      <c r="U309" s="26">
        <v>0</v>
      </c>
      <c r="V309" s="20">
        <v>1324.42</v>
      </c>
    </row>
    <row r="310" spans="1:22" ht="16.8" x14ac:dyDescent="0.3">
      <c r="A310" s="20">
        <v>31</v>
      </c>
      <c r="B310" s="20">
        <v>62</v>
      </c>
      <c r="C310" s="20">
        <v>62.51</v>
      </c>
      <c r="D310" s="20">
        <v>-0.51</v>
      </c>
      <c r="E310" s="20">
        <v>-0.03</v>
      </c>
      <c r="F310" s="26">
        <v>1501.27</v>
      </c>
      <c r="Q310" s="20">
        <v>30.9</v>
      </c>
      <c r="R310" s="20">
        <v>62.08</v>
      </c>
      <c r="S310" s="26">
        <v>62</v>
      </c>
      <c r="T310" s="26">
        <v>-0.08</v>
      </c>
      <c r="U310" s="26">
        <v>-0.02</v>
      </c>
      <c r="V310" s="20">
        <v>1315.19</v>
      </c>
    </row>
    <row r="311" spans="1:22" ht="16.8" x14ac:dyDescent="0.3">
      <c r="A311" s="20">
        <v>31.1</v>
      </c>
      <c r="B311" s="20">
        <v>62</v>
      </c>
      <c r="C311" s="20">
        <v>62.47</v>
      </c>
      <c r="D311" s="20">
        <v>-0.47</v>
      </c>
      <c r="E311" s="20">
        <v>0.04</v>
      </c>
      <c r="F311" s="20">
        <v>1539.03</v>
      </c>
      <c r="Q311" s="20">
        <v>31</v>
      </c>
      <c r="R311" s="20">
        <v>62.05</v>
      </c>
      <c r="S311" s="20">
        <v>62</v>
      </c>
      <c r="T311" s="20">
        <v>-0.05</v>
      </c>
      <c r="U311" s="20">
        <v>0.03</v>
      </c>
      <c r="V311" s="20">
        <v>1339.62</v>
      </c>
    </row>
    <row r="312" spans="1:22" ht="16.8" x14ac:dyDescent="0.3">
      <c r="A312" s="20">
        <v>31.2</v>
      </c>
      <c r="B312" s="20">
        <v>62</v>
      </c>
      <c r="C312" s="20">
        <v>62.46</v>
      </c>
      <c r="D312" s="20">
        <v>-0.46</v>
      </c>
      <c r="E312" s="20">
        <v>0</v>
      </c>
      <c r="F312" s="26">
        <v>1542.46</v>
      </c>
      <c r="Q312" s="20">
        <v>31.1</v>
      </c>
      <c r="R312" s="20">
        <v>62.04</v>
      </c>
      <c r="S312" s="26">
        <v>62</v>
      </c>
      <c r="T312" s="20">
        <v>-0.04</v>
      </c>
      <c r="U312" s="26">
        <v>0.01</v>
      </c>
      <c r="V312" s="20">
        <v>1331.11</v>
      </c>
    </row>
    <row r="313" spans="1:22" ht="16.8" x14ac:dyDescent="0.3">
      <c r="A313" s="20">
        <v>31.3</v>
      </c>
      <c r="B313" s="20">
        <v>62</v>
      </c>
      <c r="C313" s="20">
        <v>62.52</v>
      </c>
      <c r="D313" s="20">
        <v>-0.52</v>
      </c>
      <c r="E313" s="20">
        <v>-0.06</v>
      </c>
      <c r="F313" s="26">
        <v>1484.21</v>
      </c>
      <c r="Q313" s="20">
        <v>31.2</v>
      </c>
      <c r="R313" s="20">
        <v>62.09</v>
      </c>
      <c r="S313" s="20">
        <v>62</v>
      </c>
      <c r="T313" s="26">
        <v>-0.09</v>
      </c>
      <c r="U313" s="26">
        <v>-0.05</v>
      </c>
      <c r="V313" s="20">
        <v>1300.57</v>
      </c>
    </row>
    <row r="314" spans="1:22" ht="16.8" x14ac:dyDescent="0.3">
      <c r="A314" s="20">
        <v>31.4</v>
      </c>
      <c r="B314" s="20">
        <v>62</v>
      </c>
      <c r="C314" s="20">
        <v>62.47</v>
      </c>
      <c r="D314" s="20">
        <v>-0.47</v>
      </c>
      <c r="E314" s="20">
        <v>0.06</v>
      </c>
      <c r="F314" s="20">
        <v>1539.03</v>
      </c>
      <c r="Q314" s="20">
        <v>31.3</v>
      </c>
      <c r="R314" s="20">
        <v>62.05</v>
      </c>
      <c r="S314" s="26">
        <v>62</v>
      </c>
      <c r="T314" s="20">
        <v>-0.05</v>
      </c>
      <c r="U314" s="26">
        <v>0.03</v>
      </c>
      <c r="V314" s="20">
        <v>1337.9</v>
      </c>
    </row>
    <row r="315" spans="1:22" ht="16.8" x14ac:dyDescent="0.3">
      <c r="A315" s="20">
        <v>31.5</v>
      </c>
      <c r="B315" s="20">
        <v>62</v>
      </c>
      <c r="C315" s="20">
        <v>62.48</v>
      </c>
      <c r="D315" s="20">
        <v>-0.48</v>
      </c>
      <c r="E315" s="20">
        <v>-0.02</v>
      </c>
      <c r="F315" s="26">
        <v>1524.65</v>
      </c>
      <c r="Q315" s="20">
        <v>31.4</v>
      </c>
      <c r="R315" s="20">
        <v>62.09</v>
      </c>
      <c r="S315" s="20">
        <v>62</v>
      </c>
      <c r="T315" s="26">
        <v>-0.09</v>
      </c>
      <c r="U315" s="26">
        <v>-0.03</v>
      </c>
      <c r="V315" s="20">
        <v>1306.69</v>
      </c>
    </row>
    <row r="316" spans="1:22" ht="16.8" x14ac:dyDescent="0.3">
      <c r="A316" s="20">
        <v>31.6</v>
      </c>
      <c r="B316" s="20">
        <v>62</v>
      </c>
      <c r="C316" s="20">
        <v>62.51</v>
      </c>
      <c r="D316" s="20">
        <v>-0.51</v>
      </c>
      <c r="E316" s="20">
        <v>-0.02</v>
      </c>
      <c r="F316" s="20">
        <v>1501.27</v>
      </c>
      <c r="Q316" s="20">
        <v>31.5</v>
      </c>
      <c r="R316" s="20">
        <v>61.97</v>
      </c>
      <c r="S316" s="26">
        <v>62</v>
      </c>
      <c r="T316" s="20">
        <v>0.03</v>
      </c>
      <c r="U316" s="26">
        <v>0.12</v>
      </c>
      <c r="V316" s="20">
        <v>1387.46</v>
      </c>
    </row>
    <row r="317" spans="1:22" ht="16.8" x14ac:dyDescent="0.3">
      <c r="A317" s="20">
        <v>31.7</v>
      </c>
      <c r="B317" s="20">
        <v>62</v>
      </c>
      <c r="C317" s="20">
        <v>62.51</v>
      </c>
      <c r="D317" s="20">
        <v>-0.51</v>
      </c>
      <c r="E317" s="20">
        <v>-0.01</v>
      </c>
      <c r="F317" s="26">
        <v>1492.92</v>
      </c>
      <c r="Q317" s="20">
        <v>31.6</v>
      </c>
      <c r="R317" s="20">
        <v>62.05</v>
      </c>
      <c r="S317" s="20">
        <v>62</v>
      </c>
      <c r="T317" s="26">
        <v>-0.05</v>
      </c>
      <c r="U317" s="26">
        <v>-0.08</v>
      </c>
      <c r="V317" s="20">
        <v>1293.7</v>
      </c>
    </row>
    <row r="318" spans="1:22" ht="16.8" x14ac:dyDescent="0.3">
      <c r="A318" s="20">
        <v>31.8</v>
      </c>
      <c r="B318" s="20">
        <v>62</v>
      </c>
      <c r="C318" s="20">
        <v>62.5</v>
      </c>
      <c r="D318" s="20">
        <v>-0.5</v>
      </c>
      <c r="E318" s="20">
        <v>0.01</v>
      </c>
      <c r="F318" s="26">
        <v>1505.32</v>
      </c>
      <c r="Q318" s="20">
        <v>31.7</v>
      </c>
      <c r="R318" s="20">
        <v>62.09</v>
      </c>
      <c r="S318" s="20">
        <v>62</v>
      </c>
      <c r="T318" s="26">
        <v>-0.09</v>
      </c>
      <c r="U318" s="26">
        <v>-0.04</v>
      </c>
      <c r="V318" s="20">
        <v>1303.22</v>
      </c>
    </row>
    <row r="319" spans="1:22" ht="16.8" x14ac:dyDescent="0.3">
      <c r="A319" s="20">
        <v>31.9</v>
      </c>
      <c r="B319" s="20">
        <v>62</v>
      </c>
      <c r="C319" s="20">
        <v>62.5</v>
      </c>
      <c r="D319" s="20">
        <v>-0.5</v>
      </c>
      <c r="E319" s="20">
        <v>0</v>
      </c>
      <c r="F319" s="20">
        <v>1505.32</v>
      </c>
      <c r="Q319" s="20">
        <v>31.8</v>
      </c>
      <c r="R319" s="20">
        <v>62.06</v>
      </c>
      <c r="S319" s="26">
        <v>62</v>
      </c>
      <c r="T319" s="26">
        <v>-0.06</v>
      </c>
      <c r="U319" s="26">
        <v>0.02</v>
      </c>
      <c r="V319" s="20">
        <v>1332.78</v>
      </c>
    </row>
    <row r="320" spans="1:22" ht="16.8" x14ac:dyDescent="0.3">
      <c r="A320" s="20">
        <v>32</v>
      </c>
      <c r="B320" s="20">
        <v>62</v>
      </c>
      <c r="C320" s="20">
        <v>62.48</v>
      </c>
      <c r="D320" s="20">
        <v>-0.48</v>
      </c>
      <c r="E320" s="20">
        <v>0.02</v>
      </c>
      <c r="F320" s="26">
        <v>1528.34</v>
      </c>
      <c r="Q320" s="20">
        <v>31.9</v>
      </c>
      <c r="R320" s="20">
        <v>62.05</v>
      </c>
      <c r="S320" s="20">
        <v>62</v>
      </c>
      <c r="T320" s="26">
        <v>-0.05</v>
      </c>
      <c r="U320" s="26">
        <v>0.01</v>
      </c>
      <c r="V320" s="20">
        <v>1327.47</v>
      </c>
    </row>
    <row r="321" spans="1:22" ht="16.8" x14ac:dyDescent="0.3">
      <c r="A321" s="20">
        <v>32.1</v>
      </c>
      <c r="B321" s="20">
        <v>62</v>
      </c>
      <c r="C321" s="20">
        <v>62.44</v>
      </c>
      <c r="D321" s="20">
        <v>-0.44</v>
      </c>
      <c r="E321" s="20">
        <v>0.04</v>
      </c>
      <c r="F321" s="26">
        <v>1562.04</v>
      </c>
      <c r="Q321" s="20">
        <v>32</v>
      </c>
      <c r="R321" s="20">
        <v>62.08</v>
      </c>
      <c r="S321" s="20">
        <v>62</v>
      </c>
      <c r="T321" s="26">
        <v>-0.08</v>
      </c>
      <c r="U321" s="26">
        <v>-0.02</v>
      </c>
      <c r="V321" s="20">
        <v>1310.49</v>
      </c>
    </row>
    <row r="322" spans="1:22" ht="16.8" x14ac:dyDescent="0.3">
      <c r="A322" s="20">
        <v>32.200000000000003</v>
      </c>
      <c r="B322" s="20">
        <v>62</v>
      </c>
      <c r="C322" s="20">
        <v>62.46</v>
      </c>
      <c r="D322" s="20">
        <v>-0.46</v>
      </c>
      <c r="E322" s="20">
        <v>-0.02</v>
      </c>
      <c r="F322" s="20">
        <v>1542.46</v>
      </c>
      <c r="Q322" s="20">
        <v>32.1</v>
      </c>
      <c r="R322" s="20">
        <v>62.05</v>
      </c>
      <c r="S322" s="26">
        <v>62</v>
      </c>
      <c r="T322" s="20">
        <v>-0.05</v>
      </c>
      <c r="U322" s="26">
        <v>0.02</v>
      </c>
      <c r="V322" s="20">
        <v>1333.61</v>
      </c>
    </row>
    <row r="323" spans="1:22" ht="16.8" x14ac:dyDescent="0.3">
      <c r="A323" s="20">
        <v>32.299999999999997</v>
      </c>
      <c r="B323" s="20">
        <v>62</v>
      </c>
      <c r="C323" s="20">
        <v>62.45</v>
      </c>
      <c r="D323" s="20">
        <v>-0.45</v>
      </c>
      <c r="E323" s="20">
        <v>0.01</v>
      </c>
      <c r="F323" s="26">
        <v>1552.44</v>
      </c>
      <c r="Q323" s="20">
        <v>32.200000000000003</v>
      </c>
      <c r="R323" s="20">
        <v>62.02</v>
      </c>
      <c r="S323" s="20">
        <v>62</v>
      </c>
      <c r="T323" s="26">
        <v>-0.02</v>
      </c>
      <c r="U323" s="26">
        <v>0.03</v>
      </c>
      <c r="V323" s="20">
        <v>1341.93</v>
      </c>
    </row>
    <row r="324" spans="1:22" ht="16.8" x14ac:dyDescent="0.3">
      <c r="A324" s="20">
        <v>32.4</v>
      </c>
      <c r="B324" s="20">
        <v>62</v>
      </c>
      <c r="C324" s="20">
        <v>62.44</v>
      </c>
      <c r="D324" s="20">
        <v>-0.44</v>
      </c>
      <c r="E324" s="20">
        <v>0.01</v>
      </c>
      <c r="F324" s="20">
        <v>1558.89</v>
      </c>
      <c r="Q324" s="20">
        <v>32.299999999999997</v>
      </c>
      <c r="R324" s="20">
        <v>62.09</v>
      </c>
      <c r="S324" s="26">
        <v>62</v>
      </c>
      <c r="T324" s="26">
        <v>-0.09</v>
      </c>
      <c r="U324" s="20">
        <v>-0.06</v>
      </c>
      <c r="V324" s="20">
        <v>1292.6600000000001</v>
      </c>
    </row>
    <row r="325" spans="1:22" ht="16.8" x14ac:dyDescent="0.3">
      <c r="A325" s="20">
        <v>32.5</v>
      </c>
      <c r="B325" s="20">
        <v>62</v>
      </c>
      <c r="C325" s="20">
        <v>62.44</v>
      </c>
      <c r="D325" s="20">
        <v>-0.44</v>
      </c>
      <c r="E325" s="20">
        <v>0</v>
      </c>
      <c r="F325" s="26">
        <v>1558.89</v>
      </c>
      <c r="Q325" s="20">
        <v>32.4</v>
      </c>
      <c r="R325" s="20">
        <v>62.03</v>
      </c>
      <c r="S325" s="20">
        <v>62</v>
      </c>
      <c r="T325" s="20">
        <v>-0.03</v>
      </c>
      <c r="U325" s="26">
        <v>0.06</v>
      </c>
      <c r="V325" s="20">
        <v>1350.06</v>
      </c>
    </row>
    <row r="326" spans="1:22" ht="16.8" x14ac:dyDescent="0.3">
      <c r="A326" s="20">
        <v>32.6</v>
      </c>
      <c r="B326" s="20">
        <v>62</v>
      </c>
      <c r="C326" s="20">
        <v>62.44</v>
      </c>
      <c r="D326" s="20">
        <v>-0.44</v>
      </c>
      <c r="E326" s="20">
        <v>0</v>
      </c>
      <c r="F326" s="26">
        <v>1558.89</v>
      </c>
      <c r="Q326" s="20">
        <v>32.5</v>
      </c>
      <c r="R326" s="20">
        <v>62.06</v>
      </c>
      <c r="S326" s="20">
        <v>62</v>
      </c>
      <c r="T326" s="26">
        <v>-0.06</v>
      </c>
      <c r="U326" s="26">
        <v>-0.03</v>
      </c>
      <c r="V326" s="20">
        <v>1309.22</v>
      </c>
    </row>
    <row r="327" spans="1:22" ht="16.8" x14ac:dyDescent="0.3">
      <c r="A327" s="20">
        <v>32.700000000000003</v>
      </c>
      <c r="B327" s="20">
        <v>62</v>
      </c>
      <c r="C327" s="20">
        <v>62.45</v>
      </c>
      <c r="D327" s="20">
        <v>-0.45</v>
      </c>
      <c r="E327" s="20">
        <v>-0.01</v>
      </c>
      <c r="F327" s="20">
        <v>1552.44</v>
      </c>
      <c r="Q327" s="20">
        <v>32.6</v>
      </c>
      <c r="R327" s="20">
        <v>62.04</v>
      </c>
      <c r="S327" s="20">
        <v>62</v>
      </c>
      <c r="T327" s="20">
        <v>-0.04</v>
      </c>
      <c r="U327" s="26">
        <v>0.02</v>
      </c>
      <c r="V327" s="20">
        <v>1335.6</v>
      </c>
    </row>
    <row r="328" spans="1:22" ht="16.8" x14ac:dyDescent="0.3">
      <c r="A328" s="20">
        <v>32.799999999999997</v>
      </c>
      <c r="B328" s="20">
        <v>62</v>
      </c>
      <c r="C328" s="20">
        <v>62.45</v>
      </c>
      <c r="D328" s="20">
        <v>-0.45</v>
      </c>
      <c r="E328" s="20">
        <v>0</v>
      </c>
      <c r="F328" s="26">
        <v>1549.17</v>
      </c>
      <c r="Q328" s="20">
        <v>32.700000000000003</v>
      </c>
      <c r="R328" s="20">
        <v>62.09</v>
      </c>
      <c r="S328" s="20">
        <v>62</v>
      </c>
      <c r="T328" s="26">
        <v>-0.09</v>
      </c>
      <c r="U328" s="26">
        <v>-0.05</v>
      </c>
      <c r="V328" s="20">
        <v>1298.5999999999999</v>
      </c>
    </row>
    <row r="329" spans="1:22" ht="16.8" x14ac:dyDescent="0.3">
      <c r="A329" s="20">
        <v>32.9</v>
      </c>
      <c r="B329" s="20">
        <v>62</v>
      </c>
      <c r="C329" s="20">
        <v>62.43</v>
      </c>
      <c r="D329" s="20">
        <v>-0.43</v>
      </c>
      <c r="E329" s="20">
        <v>0.02</v>
      </c>
      <c r="F329" s="20">
        <v>1568.26</v>
      </c>
      <c r="Q329" s="20">
        <v>32.799999999999997</v>
      </c>
      <c r="R329" s="20">
        <v>62.07</v>
      </c>
      <c r="S329" s="20">
        <v>62</v>
      </c>
      <c r="T329" s="20">
        <v>-7.0000000000000007E-2</v>
      </c>
      <c r="U329" s="26">
        <v>0.02</v>
      </c>
      <c r="V329" s="20">
        <v>1326.85</v>
      </c>
    </row>
    <row r="330" spans="1:22" ht="16.8" x14ac:dyDescent="0.3">
      <c r="A330" s="20">
        <v>33</v>
      </c>
      <c r="B330" s="20">
        <v>62</v>
      </c>
      <c r="C330" s="20">
        <v>62.39</v>
      </c>
      <c r="D330" s="20">
        <v>-0.39</v>
      </c>
      <c r="E330" s="20">
        <v>0.04</v>
      </c>
      <c r="F330" s="26">
        <v>1592.18</v>
      </c>
      <c r="Q330" s="20">
        <v>32.9</v>
      </c>
      <c r="R330" s="20">
        <v>62.1</v>
      </c>
      <c r="S330" s="20">
        <v>62</v>
      </c>
      <c r="T330" s="26">
        <v>-0.1</v>
      </c>
      <c r="U330" s="26">
        <v>-0.02</v>
      </c>
      <c r="V330" s="20">
        <v>1306.5999999999999</v>
      </c>
    </row>
    <row r="331" spans="1:22" ht="16.8" x14ac:dyDescent="0.3">
      <c r="A331" s="20">
        <v>33.1</v>
      </c>
      <c r="B331" s="20">
        <v>62</v>
      </c>
      <c r="C331" s="20">
        <v>62.44</v>
      </c>
      <c r="D331" s="20">
        <v>-0.44</v>
      </c>
      <c r="E331" s="20">
        <v>-0.05</v>
      </c>
      <c r="F331" s="26">
        <v>1558.89</v>
      </c>
      <c r="Q331" s="20">
        <v>33</v>
      </c>
      <c r="R331" s="20">
        <v>62.11</v>
      </c>
      <c r="S331" s="20">
        <v>62</v>
      </c>
      <c r="T331" s="26">
        <v>-0.11</v>
      </c>
      <c r="U331" s="26">
        <v>-0.02</v>
      </c>
      <c r="V331" s="20">
        <v>1307</v>
      </c>
    </row>
    <row r="332" spans="1:22" ht="16.8" x14ac:dyDescent="0.3">
      <c r="A332" s="20">
        <v>33.200000000000003</v>
      </c>
      <c r="B332" s="20">
        <v>62</v>
      </c>
      <c r="C332" s="20">
        <v>62.46</v>
      </c>
      <c r="D332" s="20">
        <v>-0.46</v>
      </c>
      <c r="E332" s="20">
        <v>-0.02</v>
      </c>
      <c r="F332" s="26">
        <v>1545.85</v>
      </c>
      <c r="Q332" s="20">
        <v>33.1</v>
      </c>
      <c r="R332" s="20">
        <v>62.04</v>
      </c>
      <c r="S332" s="20">
        <v>62</v>
      </c>
      <c r="T332" s="26">
        <v>-0.04</v>
      </c>
      <c r="U332" s="26">
        <v>7.0000000000000007E-2</v>
      </c>
      <c r="V332" s="20">
        <v>1354.02</v>
      </c>
    </row>
    <row r="333" spans="1:22" ht="16.8" x14ac:dyDescent="0.3">
      <c r="A333" s="20">
        <v>33.299999999999997</v>
      </c>
      <c r="B333" s="20">
        <v>62</v>
      </c>
      <c r="C333" s="20">
        <v>62.41</v>
      </c>
      <c r="D333" s="20">
        <v>-0.41</v>
      </c>
      <c r="E333" s="20">
        <v>0.05</v>
      </c>
      <c r="F333" s="20">
        <v>1583.02</v>
      </c>
      <c r="Q333" s="20">
        <v>33.200000000000003</v>
      </c>
      <c r="R333" s="20">
        <v>62.1</v>
      </c>
      <c r="S333" s="20">
        <v>62</v>
      </c>
      <c r="T333" s="26">
        <v>-0.1</v>
      </c>
      <c r="U333" s="26">
        <v>-0.06</v>
      </c>
      <c r="V333" s="20">
        <v>1293.0899999999999</v>
      </c>
    </row>
    <row r="334" spans="1:22" ht="16.8" x14ac:dyDescent="0.3">
      <c r="A334" s="20">
        <v>33.4</v>
      </c>
      <c r="B334" s="20">
        <v>62</v>
      </c>
      <c r="C334" s="20">
        <v>62.42</v>
      </c>
      <c r="D334" s="20">
        <v>-0.42</v>
      </c>
      <c r="E334" s="20">
        <v>-0.01</v>
      </c>
      <c r="F334" s="26">
        <v>1574.29</v>
      </c>
      <c r="Q334" s="20">
        <v>33.299999999999997</v>
      </c>
      <c r="R334" s="20">
        <v>62.1</v>
      </c>
      <c r="S334" s="26">
        <v>62</v>
      </c>
      <c r="T334" s="20">
        <v>-0.1</v>
      </c>
      <c r="U334" s="26">
        <v>-0.01</v>
      </c>
      <c r="V334" s="20">
        <v>1310.95</v>
      </c>
    </row>
    <row r="335" spans="1:22" ht="16.8" x14ac:dyDescent="0.3">
      <c r="A335" s="20">
        <v>33.5</v>
      </c>
      <c r="B335" s="20">
        <v>62</v>
      </c>
      <c r="C335" s="20">
        <v>62.44</v>
      </c>
      <c r="D335" s="20">
        <v>-0.44</v>
      </c>
      <c r="E335" s="20">
        <v>-0.02</v>
      </c>
      <c r="F335" s="26">
        <v>1558.89</v>
      </c>
      <c r="Q335" s="20">
        <v>33.4</v>
      </c>
      <c r="R335" s="20">
        <v>62.17</v>
      </c>
      <c r="S335" s="20">
        <v>62</v>
      </c>
      <c r="T335" s="26">
        <v>-0.17</v>
      </c>
      <c r="U335" s="26">
        <v>-0.06</v>
      </c>
      <c r="V335" s="20">
        <v>1277.6400000000001</v>
      </c>
    </row>
    <row r="336" spans="1:22" ht="16.8" x14ac:dyDescent="0.3">
      <c r="A336" s="20">
        <v>33.6</v>
      </c>
      <c r="B336" s="20">
        <v>62</v>
      </c>
      <c r="C336" s="20">
        <v>62.44</v>
      </c>
      <c r="D336" s="20">
        <v>-0.44</v>
      </c>
      <c r="E336" s="20">
        <v>0</v>
      </c>
      <c r="F336" s="20">
        <v>1562.04</v>
      </c>
      <c r="Q336" s="20">
        <v>33.5</v>
      </c>
      <c r="R336" s="20">
        <v>62.1</v>
      </c>
      <c r="S336" s="26">
        <v>62</v>
      </c>
      <c r="T336" s="20">
        <v>-0.1</v>
      </c>
      <c r="U336" s="26">
        <v>0.06</v>
      </c>
      <c r="V336" s="20">
        <v>1339.39</v>
      </c>
    </row>
    <row r="337" spans="1:22" ht="16.8" x14ac:dyDescent="0.3">
      <c r="A337" s="20">
        <v>33.700000000000003</v>
      </c>
      <c r="B337" s="20">
        <v>62</v>
      </c>
      <c r="C337" s="20">
        <v>62.42</v>
      </c>
      <c r="D337" s="20">
        <v>-0.42</v>
      </c>
      <c r="E337" s="20">
        <v>0.02</v>
      </c>
      <c r="F337" s="26">
        <v>1577.24</v>
      </c>
      <c r="Q337" s="20">
        <v>33.6</v>
      </c>
      <c r="R337" s="20">
        <v>62.1</v>
      </c>
      <c r="S337" s="20">
        <v>62</v>
      </c>
      <c r="T337" s="26">
        <v>-0.1</v>
      </c>
      <c r="U337" s="20">
        <v>0</v>
      </c>
      <c r="V337" s="20">
        <v>1313.28</v>
      </c>
    </row>
    <row r="338" spans="1:22" ht="16.8" x14ac:dyDescent="0.3">
      <c r="A338" s="20">
        <v>33.799999999999997</v>
      </c>
      <c r="B338" s="20">
        <v>62</v>
      </c>
      <c r="C338" s="20">
        <v>62.47</v>
      </c>
      <c r="D338" s="20">
        <v>-0.47</v>
      </c>
      <c r="E338" s="20">
        <v>-0.06</v>
      </c>
      <c r="F338" s="20">
        <v>1531.98</v>
      </c>
      <c r="Q338" s="20">
        <v>33.700000000000003</v>
      </c>
      <c r="R338" s="20">
        <v>62.1</v>
      </c>
      <c r="S338" s="26">
        <v>62</v>
      </c>
      <c r="T338" s="26">
        <v>-0.1</v>
      </c>
      <c r="U338" s="26">
        <v>0.01</v>
      </c>
      <c r="V338" s="20">
        <v>1317.57</v>
      </c>
    </row>
    <row r="339" spans="1:22" ht="16.8" x14ac:dyDescent="0.3">
      <c r="A339" s="20">
        <v>33.9</v>
      </c>
      <c r="B339" s="20">
        <v>62</v>
      </c>
      <c r="C339" s="20">
        <v>62.42</v>
      </c>
      <c r="D339" s="20">
        <v>-0.42</v>
      </c>
      <c r="E339" s="20">
        <v>0.06</v>
      </c>
      <c r="F339" s="26">
        <v>1577.24</v>
      </c>
      <c r="Q339" s="20">
        <v>33.799999999999997</v>
      </c>
      <c r="R339" s="20">
        <v>62.1</v>
      </c>
      <c r="S339" s="20">
        <v>62</v>
      </c>
      <c r="T339" s="26">
        <v>-0.1</v>
      </c>
      <c r="U339" s="20">
        <v>-0.01</v>
      </c>
      <c r="V339" s="20">
        <v>1309.57</v>
      </c>
    </row>
    <row r="340" spans="1:22" ht="16.8" x14ac:dyDescent="0.3">
      <c r="A340" s="20">
        <v>34</v>
      </c>
      <c r="B340" s="20">
        <v>62</v>
      </c>
      <c r="C340" s="20">
        <v>62.5</v>
      </c>
      <c r="D340" s="20">
        <v>-0.5</v>
      </c>
      <c r="E340" s="20">
        <v>-0.08</v>
      </c>
      <c r="F340" s="26">
        <v>1505.32</v>
      </c>
      <c r="Q340" s="20">
        <v>33.9</v>
      </c>
      <c r="R340" s="20">
        <v>62.15</v>
      </c>
      <c r="S340" s="20">
        <v>62</v>
      </c>
      <c r="T340" s="26">
        <v>-0.15</v>
      </c>
      <c r="U340" s="26">
        <v>-0.05</v>
      </c>
      <c r="V340" s="20">
        <v>1285.3399999999999</v>
      </c>
    </row>
    <row r="341" spans="1:22" ht="16.8" x14ac:dyDescent="0.3">
      <c r="A341" s="20">
        <v>34.1</v>
      </c>
      <c r="B341" s="20">
        <v>62</v>
      </c>
      <c r="C341" s="20">
        <v>62.43</v>
      </c>
      <c r="D341" s="20">
        <v>-0.43</v>
      </c>
      <c r="E341" s="20">
        <v>7.0000000000000007E-2</v>
      </c>
      <c r="F341" s="20">
        <v>1565.18</v>
      </c>
      <c r="Q341" s="20">
        <v>34</v>
      </c>
      <c r="R341" s="20">
        <v>62.13</v>
      </c>
      <c r="S341" s="26">
        <v>62</v>
      </c>
      <c r="T341" s="26">
        <v>-0.13</v>
      </c>
      <c r="U341" s="20">
        <v>0.02</v>
      </c>
      <c r="V341" s="20">
        <v>1317.97</v>
      </c>
    </row>
    <row r="342" spans="1:22" ht="16.8" x14ac:dyDescent="0.3">
      <c r="A342" s="20">
        <v>34.200000000000003</v>
      </c>
      <c r="B342" s="20">
        <v>62</v>
      </c>
      <c r="C342" s="20">
        <v>62.51</v>
      </c>
      <c r="D342" s="20">
        <v>-0.51</v>
      </c>
      <c r="E342" s="20">
        <v>-0.08</v>
      </c>
      <c r="F342" s="26">
        <v>1492.92</v>
      </c>
      <c r="Q342" s="20">
        <v>34.1</v>
      </c>
      <c r="R342" s="20">
        <v>62.1</v>
      </c>
      <c r="S342" s="26">
        <v>62</v>
      </c>
      <c r="T342" s="20">
        <v>-0.1</v>
      </c>
      <c r="U342" s="20">
        <v>0.03</v>
      </c>
      <c r="V342" s="20">
        <v>1326.12</v>
      </c>
    </row>
    <row r="343" spans="1:22" ht="16.8" x14ac:dyDescent="0.3">
      <c r="A343" s="20">
        <v>34.299999999999997</v>
      </c>
      <c r="B343" s="20">
        <v>62</v>
      </c>
      <c r="C343" s="20">
        <v>62.42</v>
      </c>
      <c r="D343" s="20">
        <v>-0.42</v>
      </c>
      <c r="E343" s="20">
        <v>0.09</v>
      </c>
      <c r="F343" s="26">
        <v>1574.29</v>
      </c>
      <c r="Q343" s="20">
        <v>34.200000000000003</v>
      </c>
      <c r="R343" s="20">
        <v>62.13</v>
      </c>
      <c r="S343" s="20">
        <v>62</v>
      </c>
      <c r="T343" s="26">
        <v>-0.13</v>
      </c>
      <c r="U343" s="26">
        <v>-0.03</v>
      </c>
      <c r="V343" s="20">
        <v>1294.81</v>
      </c>
    </row>
    <row r="344" spans="1:22" ht="16.8" x14ac:dyDescent="0.3">
      <c r="A344" s="20">
        <v>34.4</v>
      </c>
      <c r="B344" s="20">
        <v>62</v>
      </c>
      <c r="C344" s="20">
        <v>62.44</v>
      </c>
      <c r="D344" s="20">
        <v>-0.44</v>
      </c>
      <c r="E344" s="20">
        <v>-0.02</v>
      </c>
      <c r="F344" s="20">
        <v>1558.89</v>
      </c>
      <c r="Q344" s="20">
        <v>34.299999999999997</v>
      </c>
      <c r="R344" s="20">
        <v>62.12</v>
      </c>
      <c r="S344" s="26">
        <v>62</v>
      </c>
      <c r="T344" s="26">
        <v>-0.12</v>
      </c>
      <c r="U344" s="20">
        <v>0.01</v>
      </c>
      <c r="V344" s="20">
        <v>1311.97</v>
      </c>
    </row>
    <row r="345" spans="1:22" ht="16.8" x14ac:dyDescent="0.3">
      <c r="A345" s="20">
        <v>34.5</v>
      </c>
      <c r="B345" s="20">
        <v>62</v>
      </c>
      <c r="C345" s="20">
        <v>62.5</v>
      </c>
      <c r="D345" s="20">
        <v>-0.5</v>
      </c>
      <c r="E345" s="20">
        <v>-0.06</v>
      </c>
      <c r="F345" s="26">
        <v>1505.32</v>
      </c>
      <c r="Q345" s="20">
        <v>34.4</v>
      </c>
      <c r="R345" s="20">
        <v>62.09</v>
      </c>
      <c r="S345" s="20">
        <v>62</v>
      </c>
      <c r="T345" s="20">
        <v>-0.09</v>
      </c>
      <c r="U345" s="26">
        <v>0.03</v>
      </c>
      <c r="V345" s="20">
        <v>1326.6</v>
      </c>
    </row>
    <row r="346" spans="1:22" ht="16.8" x14ac:dyDescent="0.3">
      <c r="A346" s="20">
        <v>34.6</v>
      </c>
      <c r="B346" s="20">
        <v>62</v>
      </c>
      <c r="C346" s="20">
        <v>62.43</v>
      </c>
      <c r="D346" s="20">
        <v>-0.43</v>
      </c>
      <c r="E346" s="20">
        <v>0.08</v>
      </c>
      <c r="F346" s="20">
        <v>1571.3</v>
      </c>
      <c r="Q346" s="20">
        <v>34.5</v>
      </c>
      <c r="R346" s="20">
        <v>62.11</v>
      </c>
      <c r="S346" s="26">
        <v>62</v>
      </c>
      <c r="T346" s="26">
        <v>-0.11</v>
      </c>
      <c r="U346" s="26">
        <v>-0.02</v>
      </c>
      <c r="V346" s="20">
        <v>1299.8599999999999</v>
      </c>
    </row>
    <row r="347" spans="1:22" ht="16.8" x14ac:dyDescent="0.3">
      <c r="A347" s="20">
        <v>34.700000000000003</v>
      </c>
      <c r="B347" s="20">
        <v>62</v>
      </c>
      <c r="C347" s="20">
        <v>62.51</v>
      </c>
      <c r="D347" s="20">
        <v>-0.51</v>
      </c>
      <c r="E347" s="20">
        <v>-0.08</v>
      </c>
      <c r="F347" s="26">
        <v>1501.27</v>
      </c>
      <c r="Q347" s="20">
        <v>34.6</v>
      </c>
      <c r="R347" s="20">
        <v>62.11</v>
      </c>
      <c r="S347" s="20">
        <v>62</v>
      </c>
      <c r="T347" s="20">
        <v>-0.11</v>
      </c>
      <c r="U347" s="26">
        <v>0</v>
      </c>
      <c r="V347" s="20">
        <v>1309.29</v>
      </c>
    </row>
    <row r="348" spans="1:22" ht="16.8" x14ac:dyDescent="0.3">
      <c r="A348" s="20">
        <v>34.799999999999997</v>
      </c>
      <c r="B348" s="20">
        <v>62</v>
      </c>
      <c r="C348" s="20">
        <v>62.43</v>
      </c>
      <c r="D348" s="20">
        <v>-0.43</v>
      </c>
      <c r="E348" s="20">
        <v>0.08</v>
      </c>
      <c r="F348" s="26">
        <v>1571.3</v>
      </c>
      <c r="Q348" s="20">
        <v>34.700000000000003</v>
      </c>
      <c r="R348" s="20">
        <v>62.12</v>
      </c>
      <c r="S348" s="26">
        <v>62</v>
      </c>
      <c r="T348" s="26">
        <v>-0.12</v>
      </c>
      <c r="U348" s="26">
        <v>-0.01</v>
      </c>
      <c r="V348" s="20">
        <v>1304.48</v>
      </c>
    </row>
    <row r="349" spans="1:22" ht="16.8" x14ac:dyDescent="0.3">
      <c r="A349" s="20">
        <v>34.9</v>
      </c>
      <c r="B349" s="20">
        <v>62</v>
      </c>
      <c r="C349" s="20">
        <v>62.52</v>
      </c>
      <c r="D349" s="20">
        <v>-0.52</v>
      </c>
      <c r="E349" s="20">
        <v>-0.1</v>
      </c>
      <c r="F349" s="20">
        <v>1484.21</v>
      </c>
      <c r="Q349" s="20">
        <v>34.799999999999997</v>
      </c>
      <c r="R349" s="20">
        <v>62.1</v>
      </c>
      <c r="S349" s="20">
        <v>62</v>
      </c>
      <c r="T349" s="20">
        <v>-0.1</v>
      </c>
      <c r="U349" s="26">
        <v>0.02</v>
      </c>
      <c r="V349" s="20">
        <v>1316.5</v>
      </c>
    </row>
    <row r="350" spans="1:22" ht="16.8" x14ac:dyDescent="0.3">
      <c r="A350" s="20">
        <v>35</v>
      </c>
      <c r="B350" s="20">
        <v>62</v>
      </c>
      <c r="C350" s="20">
        <v>62.37</v>
      </c>
      <c r="D350" s="20">
        <v>-0.37</v>
      </c>
      <c r="E350" s="20">
        <v>0.15</v>
      </c>
      <c r="F350" s="26">
        <v>1600.22</v>
      </c>
      <c r="Q350" s="20">
        <v>34.9</v>
      </c>
      <c r="R350" s="20">
        <v>62.14</v>
      </c>
      <c r="S350" s="26">
        <v>62</v>
      </c>
      <c r="T350" s="26">
        <v>-0.14000000000000001</v>
      </c>
      <c r="U350" s="20">
        <v>-0.04</v>
      </c>
      <c r="V350" s="20">
        <v>1287.0999999999999</v>
      </c>
    </row>
    <row r="351" spans="1:22" ht="16.8" x14ac:dyDescent="0.3">
      <c r="A351" s="20">
        <v>35.1</v>
      </c>
      <c r="B351" s="20">
        <v>62</v>
      </c>
      <c r="C351" s="20">
        <v>62.53</v>
      </c>
      <c r="D351" s="20">
        <v>-0.53</v>
      </c>
      <c r="E351" s="20">
        <v>-0.16</v>
      </c>
      <c r="F351" s="20">
        <v>1475.14</v>
      </c>
      <c r="Q351" s="20">
        <v>35</v>
      </c>
      <c r="R351" s="20">
        <v>62.14</v>
      </c>
      <c r="S351" s="20">
        <v>62</v>
      </c>
      <c r="T351" s="26">
        <v>-0.14000000000000001</v>
      </c>
      <c r="U351" s="26">
        <v>0</v>
      </c>
      <c r="V351" s="20">
        <v>1302.92</v>
      </c>
    </row>
    <row r="352" spans="1:22" ht="16.8" x14ac:dyDescent="0.3">
      <c r="A352" s="20">
        <v>35.200000000000003</v>
      </c>
      <c r="B352" s="20">
        <v>62</v>
      </c>
      <c r="C352" s="20">
        <v>62.34</v>
      </c>
      <c r="D352" s="20">
        <v>-0.34</v>
      </c>
      <c r="E352" s="20">
        <v>0.19</v>
      </c>
      <c r="F352" s="26">
        <v>1613.41</v>
      </c>
      <c r="Q352" s="20">
        <v>35.1</v>
      </c>
      <c r="R352" s="20">
        <v>62.14</v>
      </c>
      <c r="S352" s="26">
        <v>62</v>
      </c>
      <c r="T352" s="20">
        <v>-0.14000000000000001</v>
      </c>
      <c r="U352" s="20">
        <v>0.01</v>
      </c>
      <c r="V352" s="20">
        <v>1307.1099999999999</v>
      </c>
    </row>
    <row r="353" spans="1:22" ht="16.8" x14ac:dyDescent="0.3">
      <c r="A353" s="20">
        <v>35.299999999999997</v>
      </c>
      <c r="B353" s="20">
        <v>62</v>
      </c>
      <c r="C353" s="20">
        <v>62.53</v>
      </c>
      <c r="D353" s="20">
        <v>-0.53</v>
      </c>
      <c r="E353" s="20">
        <v>-0.19</v>
      </c>
      <c r="F353" s="26">
        <v>1470.49</v>
      </c>
      <c r="Q353" s="20">
        <v>35.200000000000003</v>
      </c>
      <c r="R353" s="20">
        <v>62.11</v>
      </c>
      <c r="S353" s="20">
        <v>62</v>
      </c>
      <c r="T353" s="26">
        <v>-0.11</v>
      </c>
      <c r="U353" s="26">
        <v>0.02</v>
      </c>
      <c r="V353" s="20">
        <v>1317.17</v>
      </c>
    </row>
    <row r="354" spans="1:22" ht="16.8" x14ac:dyDescent="0.3">
      <c r="A354" s="20">
        <v>35.4</v>
      </c>
      <c r="B354" s="20">
        <v>62</v>
      </c>
      <c r="C354" s="20">
        <v>62.38</v>
      </c>
      <c r="D354" s="20">
        <v>-0.38</v>
      </c>
      <c r="E354" s="20">
        <v>0.15</v>
      </c>
      <c r="F354" s="20">
        <v>1596.99</v>
      </c>
      <c r="Q354" s="20">
        <v>35.299999999999997</v>
      </c>
      <c r="R354" s="20">
        <v>62.12</v>
      </c>
      <c r="S354" s="26">
        <v>62</v>
      </c>
      <c r="T354" s="20">
        <v>-0.12</v>
      </c>
      <c r="U354" s="20">
        <v>-0.01</v>
      </c>
      <c r="V354" s="20">
        <v>1302.6600000000001</v>
      </c>
    </row>
    <row r="355" spans="1:22" ht="16.8" x14ac:dyDescent="0.3">
      <c r="A355" s="20">
        <v>35.5</v>
      </c>
      <c r="B355" s="20">
        <v>62</v>
      </c>
      <c r="C355" s="20">
        <v>62.49</v>
      </c>
      <c r="D355" s="20">
        <v>-0.49</v>
      </c>
      <c r="E355" s="20">
        <v>-0.11</v>
      </c>
      <c r="F355" s="26">
        <v>1517.12</v>
      </c>
      <c r="Q355" s="20">
        <v>35.4</v>
      </c>
      <c r="R355" s="20">
        <v>62.12</v>
      </c>
      <c r="S355" s="20">
        <v>62</v>
      </c>
      <c r="T355" s="26">
        <v>-0.12</v>
      </c>
      <c r="U355" s="26">
        <v>0</v>
      </c>
      <c r="V355" s="20">
        <v>1305.6099999999999</v>
      </c>
    </row>
    <row r="356" spans="1:22" ht="16.8" x14ac:dyDescent="0.3">
      <c r="A356" s="20">
        <v>35.6</v>
      </c>
      <c r="B356" s="20">
        <v>62</v>
      </c>
      <c r="C356" s="20">
        <v>62.34</v>
      </c>
      <c r="D356" s="20">
        <v>-0.34</v>
      </c>
      <c r="E356" s="20">
        <v>0.15</v>
      </c>
      <c r="F356" s="26">
        <v>1615.14</v>
      </c>
      <c r="Q356" s="20">
        <v>35.5</v>
      </c>
      <c r="R356" s="20">
        <v>62.14</v>
      </c>
      <c r="S356" s="26">
        <v>62</v>
      </c>
      <c r="T356" s="26">
        <v>-0.14000000000000001</v>
      </c>
      <c r="U356" s="26">
        <v>-0.02</v>
      </c>
      <c r="V356" s="20">
        <v>1291.72</v>
      </c>
    </row>
    <row r="357" spans="1:22" ht="16.8" x14ac:dyDescent="0.3">
      <c r="A357" s="20">
        <v>35.700000000000003</v>
      </c>
      <c r="B357" s="20">
        <v>62</v>
      </c>
      <c r="C357" s="20">
        <v>62.55</v>
      </c>
      <c r="D357" s="20">
        <v>-0.55000000000000004</v>
      </c>
      <c r="E357" s="20">
        <v>-0.21</v>
      </c>
      <c r="F357" s="20">
        <v>1450.84</v>
      </c>
      <c r="Q357" s="20">
        <v>35.6</v>
      </c>
      <c r="R357" s="20">
        <v>62.1</v>
      </c>
      <c r="S357" s="20">
        <v>62</v>
      </c>
      <c r="T357" s="26">
        <v>-0.1</v>
      </c>
      <c r="U357" s="20">
        <v>0.05</v>
      </c>
      <c r="V357" s="20">
        <v>1328.28</v>
      </c>
    </row>
    <row r="358" spans="1:22" ht="16.8" x14ac:dyDescent="0.3">
      <c r="A358" s="20">
        <v>35.799999999999997</v>
      </c>
      <c r="B358" s="20">
        <v>62</v>
      </c>
      <c r="C358" s="20">
        <v>62.35</v>
      </c>
      <c r="D358" s="20">
        <v>-0.35</v>
      </c>
      <c r="E358" s="20">
        <v>0.2</v>
      </c>
      <c r="F358" s="26">
        <v>1610.01</v>
      </c>
      <c r="Q358" s="20">
        <v>35.700000000000003</v>
      </c>
      <c r="R358" s="20">
        <v>62.13</v>
      </c>
      <c r="S358" s="26">
        <v>62</v>
      </c>
      <c r="T358" s="26">
        <v>-0.13</v>
      </c>
      <c r="U358" s="26">
        <v>-0.03</v>
      </c>
      <c r="V358" s="20">
        <v>1290.52</v>
      </c>
    </row>
    <row r="359" spans="1:22" ht="16.8" x14ac:dyDescent="0.3">
      <c r="A359" s="20">
        <v>35.9</v>
      </c>
      <c r="B359" s="20">
        <v>62</v>
      </c>
      <c r="C359" s="20">
        <v>62.51</v>
      </c>
      <c r="D359" s="20">
        <v>-0.51</v>
      </c>
      <c r="E359" s="20">
        <v>-0.16</v>
      </c>
      <c r="F359" s="26">
        <v>1501.27</v>
      </c>
      <c r="Q359" s="20">
        <v>35.799999999999997</v>
      </c>
      <c r="R359" s="20">
        <v>62.13</v>
      </c>
      <c r="S359" s="20">
        <v>62</v>
      </c>
      <c r="T359" s="26">
        <v>-0.13</v>
      </c>
      <c r="U359" s="20">
        <v>0</v>
      </c>
      <c r="V359" s="20">
        <v>1303.1400000000001</v>
      </c>
    </row>
    <row r="360" spans="1:22" ht="16.8" x14ac:dyDescent="0.3">
      <c r="A360" s="20">
        <v>36</v>
      </c>
      <c r="B360" s="20">
        <v>62</v>
      </c>
      <c r="C360" s="20">
        <v>62.4</v>
      </c>
      <c r="D360" s="20">
        <v>-0.4</v>
      </c>
      <c r="E360" s="20">
        <v>0.1</v>
      </c>
      <c r="F360" s="20">
        <v>1588.62</v>
      </c>
      <c r="Q360" s="20">
        <v>35.9</v>
      </c>
      <c r="R360" s="20">
        <v>62.12</v>
      </c>
      <c r="S360" s="26">
        <v>62</v>
      </c>
      <c r="T360" s="20">
        <v>-0.12</v>
      </c>
      <c r="U360" s="26">
        <v>0.01</v>
      </c>
      <c r="V360" s="20">
        <v>1307.3699999999999</v>
      </c>
    </row>
    <row r="361" spans="1:22" ht="16.8" x14ac:dyDescent="0.3">
      <c r="A361" s="20">
        <v>36.1</v>
      </c>
      <c r="B361" s="20">
        <v>62</v>
      </c>
      <c r="C361" s="20">
        <v>62.41</v>
      </c>
      <c r="D361" s="20">
        <v>-0.41</v>
      </c>
      <c r="E361" s="20">
        <v>-0.01</v>
      </c>
      <c r="F361" s="26">
        <v>1580.15</v>
      </c>
      <c r="Q361" s="20">
        <v>36</v>
      </c>
      <c r="R361" s="20">
        <v>62.1</v>
      </c>
      <c r="S361" s="20">
        <v>62</v>
      </c>
      <c r="T361" s="26">
        <v>-0.1</v>
      </c>
      <c r="U361" s="26">
        <v>0.02</v>
      </c>
      <c r="V361" s="20">
        <v>1317.47</v>
      </c>
    </row>
    <row r="362" spans="1:22" ht="16.8" x14ac:dyDescent="0.3">
      <c r="A362" s="20">
        <v>36.200000000000003</v>
      </c>
      <c r="B362" s="20">
        <v>62</v>
      </c>
      <c r="C362" s="20">
        <v>62.43</v>
      </c>
      <c r="D362" s="20">
        <v>-0.43</v>
      </c>
      <c r="E362" s="20">
        <v>-0.02</v>
      </c>
      <c r="F362" s="20">
        <v>1568.26</v>
      </c>
      <c r="Q362" s="20">
        <v>36.1</v>
      </c>
      <c r="R362" s="20">
        <v>62.12</v>
      </c>
      <c r="S362" s="26">
        <v>62</v>
      </c>
      <c r="T362" s="26">
        <v>-0.12</v>
      </c>
      <c r="U362" s="26">
        <v>-0.02</v>
      </c>
      <c r="V362" s="20">
        <v>1293.93</v>
      </c>
    </row>
    <row r="363" spans="1:22" ht="16.8" x14ac:dyDescent="0.3">
      <c r="A363" s="20">
        <v>36.299999999999997</v>
      </c>
      <c r="B363" s="20">
        <v>62</v>
      </c>
      <c r="C363" s="20">
        <v>62.37</v>
      </c>
      <c r="D363" s="20">
        <v>-0.37</v>
      </c>
      <c r="E363" s="20">
        <v>0.06</v>
      </c>
      <c r="F363" s="26">
        <v>1601.84</v>
      </c>
      <c r="Q363" s="20">
        <v>36.200000000000003</v>
      </c>
      <c r="R363" s="20">
        <v>62.1</v>
      </c>
      <c r="S363" s="20">
        <v>62</v>
      </c>
      <c r="T363" s="26">
        <v>-0.1</v>
      </c>
      <c r="U363" s="26">
        <v>0.02</v>
      </c>
      <c r="V363" s="20">
        <v>1316.95</v>
      </c>
    </row>
    <row r="364" spans="1:22" ht="16.8" x14ac:dyDescent="0.3">
      <c r="A364" s="20">
        <v>36.4</v>
      </c>
      <c r="B364" s="20">
        <v>62</v>
      </c>
      <c r="C364" s="20">
        <v>62.43</v>
      </c>
      <c r="D364" s="20">
        <v>-0.43</v>
      </c>
      <c r="E364" s="20">
        <v>-0.06</v>
      </c>
      <c r="F364" s="26">
        <v>1568.26</v>
      </c>
      <c r="Q364" s="20">
        <v>36.299999999999997</v>
      </c>
      <c r="R364" s="20">
        <v>62.13</v>
      </c>
      <c r="S364" s="26">
        <v>62</v>
      </c>
      <c r="T364" s="26">
        <v>-0.13</v>
      </c>
      <c r="U364" s="26">
        <v>-0.03</v>
      </c>
      <c r="V364" s="20">
        <v>1288.8800000000001</v>
      </c>
    </row>
    <row r="365" spans="1:22" ht="16.8" x14ac:dyDescent="0.3">
      <c r="A365" s="20">
        <v>36.5</v>
      </c>
      <c r="B365" s="20">
        <v>62</v>
      </c>
      <c r="C365" s="20">
        <v>62.37</v>
      </c>
      <c r="D365" s="20">
        <v>-0.37</v>
      </c>
      <c r="E365" s="20">
        <v>0.06</v>
      </c>
      <c r="F365" s="20">
        <v>1601.84</v>
      </c>
      <c r="Q365" s="20">
        <v>36.4</v>
      </c>
      <c r="R365" s="20">
        <v>62.14</v>
      </c>
      <c r="S365" s="20">
        <v>62</v>
      </c>
      <c r="T365" s="20">
        <v>-0.14000000000000001</v>
      </c>
      <c r="U365" s="26">
        <v>-0.01</v>
      </c>
      <c r="V365" s="20">
        <v>1296.96</v>
      </c>
    </row>
    <row r="366" spans="1:22" ht="16.8" x14ac:dyDescent="0.3">
      <c r="A366" s="20">
        <v>36.6</v>
      </c>
      <c r="B366" s="20">
        <v>62</v>
      </c>
      <c r="C366" s="20">
        <v>62.4</v>
      </c>
      <c r="D366" s="20">
        <v>-0.4</v>
      </c>
      <c r="E366" s="20">
        <v>-0.03</v>
      </c>
      <c r="F366" s="26">
        <v>1590.62</v>
      </c>
      <c r="Q366" s="20">
        <v>36.5</v>
      </c>
      <c r="R366" s="20">
        <v>62.08</v>
      </c>
      <c r="S366" s="26">
        <v>62</v>
      </c>
      <c r="T366" s="26">
        <v>-0.08</v>
      </c>
      <c r="U366" s="26">
        <v>0.06</v>
      </c>
      <c r="V366" s="20">
        <v>1331.62</v>
      </c>
    </row>
    <row r="367" spans="1:22" ht="16.8" x14ac:dyDescent="0.3">
      <c r="A367" s="20">
        <v>36.700000000000003</v>
      </c>
      <c r="B367" s="20">
        <v>62</v>
      </c>
      <c r="C367" s="20">
        <v>62.4</v>
      </c>
      <c r="D367" s="20">
        <v>-0.4</v>
      </c>
      <c r="E367" s="20">
        <v>0</v>
      </c>
      <c r="F367" s="20">
        <v>1590.62</v>
      </c>
      <c r="Q367" s="20">
        <v>36.6</v>
      </c>
      <c r="R367" s="20">
        <v>62.13</v>
      </c>
      <c r="S367" s="20">
        <v>62</v>
      </c>
      <c r="T367" s="20">
        <v>-0.13</v>
      </c>
      <c r="U367" s="26">
        <v>-0.05</v>
      </c>
      <c r="V367" s="20">
        <v>1281.5899999999999</v>
      </c>
    </row>
    <row r="368" spans="1:22" ht="16.8" x14ac:dyDescent="0.3">
      <c r="A368" s="20">
        <v>36.799999999999997</v>
      </c>
      <c r="B368" s="20">
        <v>62</v>
      </c>
      <c r="C368" s="20">
        <v>62.41</v>
      </c>
      <c r="D368" s="20">
        <v>-0.41</v>
      </c>
      <c r="E368" s="20">
        <v>-0.02</v>
      </c>
      <c r="F368" s="26">
        <v>1580.15</v>
      </c>
      <c r="Q368" s="20">
        <v>36.700000000000003</v>
      </c>
      <c r="R368" s="20">
        <v>62.12</v>
      </c>
      <c r="S368" s="26">
        <v>62</v>
      </c>
      <c r="T368" s="26">
        <v>-0.12</v>
      </c>
      <c r="U368" s="26">
        <v>0.01</v>
      </c>
      <c r="V368" s="20">
        <v>1305.21</v>
      </c>
    </row>
    <row r="369" spans="1:22" ht="16.8" x14ac:dyDescent="0.3">
      <c r="A369" s="20">
        <v>36.9</v>
      </c>
      <c r="B369" s="20">
        <v>62</v>
      </c>
      <c r="C369" s="20">
        <v>62.35</v>
      </c>
      <c r="D369" s="20">
        <v>-0.35</v>
      </c>
      <c r="E369" s="20">
        <v>7.0000000000000007E-2</v>
      </c>
      <c r="F369" s="26">
        <v>1611.7</v>
      </c>
      <c r="Q369" s="20">
        <v>36.799999999999997</v>
      </c>
      <c r="R369" s="20">
        <v>62.06</v>
      </c>
      <c r="S369" s="20">
        <v>62</v>
      </c>
      <c r="T369" s="20">
        <v>-0.06</v>
      </c>
      <c r="U369" s="26">
        <v>0.06</v>
      </c>
      <c r="V369" s="20">
        <v>1333.46</v>
      </c>
    </row>
    <row r="370" spans="1:22" ht="16.8" x14ac:dyDescent="0.3">
      <c r="A370" s="20">
        <v>37</v>
      </c>
      <c r="B370" s="20">
        <v>62</v>
      </c>
      <c r="C370" s="20">
        <v>62.41</v>
      </c>
      <c r="D370" s="20">
        <v>-0.41</v>
      </c>
      <c r="E370" s="20">
        <v>-7.0000000000000007E-2</v>
      </c>
      <c r="F370" s="20">
        <v>1580.15</v>
      </c>
      <c r="Q370" s="20">
        <v>36.9</v>
      </c>
      <c r="R370" s="20">
        <v>62.11</v>
      </c>
      <c r="S370" s="26">
        <v>62</v>
      </c>
      <c r="T370" s="26">
        <v>-0.11</v>
      </c>
      <c r="U370" s="26">
        <v>-0.05</v>
      </c>
      <c r="V370" s="20">
        <v>1283.46</v>
      </c>
    </row>
    <row r="371" spans="1:22" ht="16.8" x14ac:dyDescent="0.3">
      <c r="A371" s="20">
        <v>37.1</v>
      </c>
      <c r="B371" s="20">
        <v>62</v>
      </c>
      <c r="C371" s="20">
        <v>62.39</v>
      </c>
      <c r="D371" s="20">
        <v>-0.39</v>
      </c>
      <c r="E371" s="20">
        <v>0.03</v>
      </c>
      <c r="F371" s="26">
        <v>1595.38</v>
      </c>
      <c r="Q371" s="20">
        <v>37</v>
      </c>
      <c r="R371" s="20">
        <v>62.12</v>
      </c>
      <c r="S371" s="20">
        <v>62</v>
      </c>
      <c r="T371" s="20">
        <v>-0.12</v>
      </c>
      <c r="U371" s="26">
        <v>-0.01</v>
      </c>
      <c r="V371" s="20">
        <v>1298.04</v>
      </c>
    </row>
    <row r="372" spans="1:22" ht="16.8" x14ac:dyDescent="0.3">
      <c r="A372" s="20">
        <v>37.200000000000003</v>
      </c>
      <c r="B372" s="20">
        <v>62</v>
      </c>
      <c r="C372" s="20">
        <v>62.42</v>
      </c>
      <c r="D372" s="20">
        <v>-0.42</v>
      </c>
      <c r="E372" s="20">
        <v>-0.04</v>
      </c>
      <c r="F372" s="20">
        <v>1574.29</v>
      </c>
      <c r="Q372" s="20">
        <v>37.1</v>
      </c>
      <c r="R372" s="20">
        <v>62.12</v>
      </c>
      <c r="S372" s="26">
        <v>62</v>
      </c>
      <c r="T372" s="20">
        <v>-0.12</v>
      </c>
      <c r="U372" s="20">
        <v>0</v>
      </c>
      <c r="V372" s="20">
        <v>1300.99</v>
      </c>
    </row>
    <row r="373" spans="1:22" ht="16.8" x14ac:dyDescent="0.3">
      <c r="A373" s="20">
        <v>37.299999999999997</v>
      </c>
      <c r="B373" s="20">
        <v>62</v>
      </c>
      <c r="C373" s="20">
        <v>62.44</v>
      </c>
      <c r="D373" s="20">
        <v>-0.44</v>
      </c>
      <c r="E373" s="20">
        <v>-0.02</v>
      </c>
      <c r="F373" s="26">
        <v>1558.89</v>
      </c>
      <c r="Q373" s="20">
        <v>37.200000000000003</v>
      </c>
      <c r="R373" s="20">
        <v>62.07</v>
      </c>
      <c r="S373" s="20">
        <v>62</v>
      </c>
      <c r="T373" s="26">
        <v>-7.0000000000000007E-2</v>
      </c>
      <c r="U373" s="26">
        <v>0.05</v>
      </c>
      <c r="V373" s="20">
        <v>1327.93</v>
      </c>
    </row>
    <row r="374" spans="1:22" ht="16.8" x14ac:dyDescent="0.3">
      <c r="A374" s="20">
        <v>37.4</v>
      </c>
      <c r="B374" s="20">
        <v>62</v>
      </c>
      <c r="C374" s="20">
        <v>62.41</v>
      </c>
      <c r="D374" s="20">
        <v>-0.41</v>
      </c>
      <c r="E374" s="20">
        <v>0.03</v>
      </c>
      <c r="F374" s="26">
        <v>1580.15</v>
      </c>
      <c r="Q374" s="20">
        <v>37.299999999999997</v>
      </c>
      <c r="R374" s="20">
        <v>62.09</v>
      </c>
      <c r="S374" s="26">
        <v>62</v>
      </c>
      <c r="T374" s="20">
        <v>-0.09</v>
      </c>
      <c r="U374" s="20">
        <v>-0.02</v>
      </c>
      <c r="V374" s="20">
        <v>1299.29</v>
      </c>
    </row>
    <row r="375" spans="1:22" ht="16.8" x14ac:dyDescent="0.3">
      <c r="A375" s="20">
        <v>37.5</v>
      </c>
      <c r="B375" s="20">
        <v>62</v>
      </c>
      <c r="C375" s="20">
        <v>62.48</v>
      </c>
      <c r="D375" s="20">
        <v>-0.48</v>
      </c>
      <c r="E375" s="20">
        <v>-0.06</v>
      </c>
      <c r="F375" s="20">
        <v>1528.34</v>
      </c>
      <c r="Q375" s="20">
        <v>37.4</v>
      </c>
      <c r="R375" s="20">
        <v>62.13</v>
      </c>
      <c r="S375" s="20">
        <v>62</v>
      </c>
      <c r="T375" s="26">
        <v>-0.13</v>
      </c>
      <c r="U375" s="26">
        <v>-0.04</v>
      </c>
      <c r="V375" s="20">
        <v>1282.8599999999999</v>
      </c>
    </row>
    <row r="376" spans="1:22" ht="16.8" x14ac:dyDescent="0.3">
      <c r="A376" s="20">
        <v>37.6</v>
      </c>
      <c r="B376" s="20">
        <v>62</v>
      </c>
      <c r="C376" s="20">
        <v>62.47</v>
      </c>
      <c r="D376" s="20">
        <v>-0.47</v>
      </c>
      <c r="E376" s="20">
        <v>0.01</v>
      </c>
      <c r="F376" s="26">
        <v>1539.03</v>
      </c>
      <c r="Q376" s="20">
        <v>37.5</v>
      </c>
      <c r="R376" s="20">
        <v>62.14</v>
      </c>
      <c r="S376" s="26">
        <v>62</v>
      </c>
      <c r="T376" s="20">
        <v>-0.14000000000000001</v>
      </c>
      <c r="U376" s="20">
        <v>-0.01</v>
      </c>
      <c r="V376" s="20">
        <v>1294.18</v>
      </c>
    </row>
    <row r="377" spans="1:22" ht="16.8" x14ac:dyDescent="0.3">
      <c r="A377" s="20">
        <v>37.700000000000003</v>
      </c>
      <c r="B377" s="20">
        <v>62</v>
      </c>
      <c r="C377" s="20">
        <v>62.47</v>
      </c>
      <c r="D377" s="20">
        <v>-0.47</v>
      </c>
      <c r="E377" s="20">
        <v>0</v>
      </c>
      <c r="F377" s="20">
        <v>1535.53</v>
      </c>
      <c r="Q377" s="20">
        <v>37.6</v>
      </c>
      <c r="R377" s="20">
        <v>62.14</v>
      </c>
      <c r="S377" s="20">
        <v>62</v>
      </c>
      <c r="T377" s="26">
        <v>-0.14000000000000001</v>
      </c>
      <c r="U377" s="26">
        <v>0</v>
      </c>
      <c r="V377" s="20">
        <v>1297.08</v>
      </c>
    </row>
    <row r="378" spans="1:22" ht="16.8" x14ac:dyDescent="0.3">
      <c r="A378" s="20">
        <v>37.799999999999997</v>
      </c>
      <c r="B378" s="20">
        <v>62</v>
      </c>
      <c r="C378" s="20">
        <v>62.45</v>
      </c>
      <c r="D378" s="20">
        <v>-0.45</v>
      </c>
      <c r="E378" s="20">
        <v>0.02</v>
      </c>
      <c r="F378" s="26">
        <v>1552.44</v>
      </c>
      <c r="Q378" s="20">
        <v>37.700000000000003</v>
      </c>
      <c r="R378" s="20">
        <v>62.11</v>
      </c>
      <c r="S378" s="26">
        <v>62</v>
      </c>
      <c r="T378" s="26">
        <v>-0.11</v>
      </c>
      <c r="U378" s="26">
        <v>0.02</v>
      </c>
      <c r="V378" s="20">
        <v>1310.3699999999999</v>
      </c>
    </row>
    <row r="379" spans="1:22" ht="16.8" x14ac:dyDescent="0.3">
      <c r="A379" s="20">
        <v>37.9</v>
      </c>
      <c r="B379" s="20">
        <v>62</v>
      </c>
      <c r="C379" s="20">
        <v>62.51</v>
      </c>
      <c r="D379" s="20">
        <v>-0.51</v>
      </c>
      <c r="E379" s="20">
        <v>-0.06</v>
      </c>
      <c r="F379" s="26">
        <v>1501.27</v>
      </c>
      <c r="Q379" s="20">
        <v>37.799999999999997</v>
      </c>
      <c r="R379" s="20">
        <v>62.1</v>
      </c>
      <c r="S379" s="20">
        <v>62</v>
      </c>
      <c r="T379" s="26">
        <v>-0.1</v>
      </c>
      <c r="U379" s="20">
        <v>0.02</v>
      </c>
      <c r="V379" s="20">
        <v>1309.48</v>
      </c>
    </row>
    <row r="380" spans="1:22" ht="16.8" x14ac:dyDescent="0.3">
      <c r="A380" s="20">
        <v>38</v>
      </c>
      <c r="B380" s="20">
        <v>62</v>
      </c>
      <c r="C380" s="20">
        <v>62.52</v>
      </c>
      <c r="D380" s="20">
        <v>-0.52</v>
      </c>
      <c r="E380" s="20">
        <v>-0.02</v>
      </c>
      <c r="F380" s="20">
        <v>1484.21</v>
      </c>
      <c r="Q380" s="20">
        <v>37.9</v>
      </c>
      <c r="R380" s="20">
        <v>62.08</v>
      </c>
      <c r="S380" s="26">
        <v>62</v>
      </c>
      <c r="T380" s="26">
        <v>-0.08</v>
      </c>
      <c r="U380" s="26">
        <v>0.02</v>
      </c>
      <c r="V380" s="20">
        <v>1311.86</v>
      </c>
    </row>
    <row r="381" spans="1:22" ht="16.8" x14ac:dyDescent="0.3">
      <c r="A381" s="20">
        <v>38.1</v>
      </c>
      <c r="B381" s="20">
        <v>62</v>
      </c>
      <c r="C381" s="20">
        <v>62.51</v>
      </c>
      <c r="D381" s="20">
        <v>-0.51</v>
      </c>
      <c r="E381" s="20">
        <v>0.02</v>
      </c>
      <c r="F381" s="26">
        <v>1501.27</v>
      </c>
      <c r="Q381" s="20">
        <v>38</v>
      </c>
      <c r="R381" s="20">
        <v>62.07</v>
      </c>
      <c r="S381" s="26">
        <v>62</v>
      </c>
      <c r="T381" s="20">
        <v>-7.0000000000000007E-2</v>
      </c>
      <c r="U381" s="20">
        <v>0.01</v>
      </c>
      <c r="V381" s="20">
        <v>1309.75</v>
      </c>
    </row>
    <row r="382" spans="1:22" ht="16.8" x14ac:dyDescent="0.3">
      <c r="A382" s="20">
        <v>38.200000000000003</v>
      </c>
      <c r="B382" s="20">
        <v>62</v>
      </c>
      <c r="C382" s="20">
        <v>62.55</v>
      </c>
      <c r="D382" s="20">
        <v>-0.55000000000000004</v>
      </c>
      <c r="E382" s="20">
        <v>-0.04</v>
      </c>
      <c r="F382" s="26">
        <v>1455.91</v>
      </c>
      <c r="Q382" s="20">
        <v>38.1</v>
      </c>
      <c r="R382" s="20">
        <v>62.1</v>
      </c>
      <c r="S382" s="20">
        <v>62</v>
      </c>
      <c r="T382" s="26">
        <v>-0.1</v>
      </c>
      <c r="U382" s="26">
        <v>-0.03</v>
      </c>
      <c r="V382" s="20">
        <v>1288.2</v>
      </c>
    </row>
    <row r="383" spans="1:22" ht="16.8" x14ac:dyDescent="0.3">
      <c r="A383" s="20">
        <v>38.299999999999997</v>
      </c>
      <c r="B383" s="20">
        <v>62</v>
      </c>
      <c r="C383" s="20">
        <v>62.55</v>
      </c>
      <c r="D383" s="20">
        <v>-0.55000000000000004</v>
      </c>
      <c r="E383" s="20">
        <v>0</v>
      </c>
      <c r="F383" s="20">
        <v>1455.91</v>
      </c>
      <c r="Q383" s="20">
        <v>38.200000000000003</v>
      </c>
      <c r="R383" s="20">
        <v>62.09</v>
      </c>
      <c r="S383" s="26">
        <v>62</v>
      </c>
      <c r="T383" s="20">
        <v>-0.09</v>
      </c>
      <c r="U383" s="20">
        <v>0.02</v>
      </c>
      <c r="V383" s="20">
        <v>1309.95</v>
      </c>
    </row>
    <row r="384" spans="1:22" ht="16.8" x14ac:dyDescent="0.3">
      <c r="A384" s="20">
        <v>38.4</v>
      </c>
      <c r="B384" s="20">
        <v>62</v>
      </c>
      <c r="C384" s="20">
        <v>62.48</v>
      </c>
      <c r="D384" s="20">
        <v>-0.48</v>
      </c>
      <c r="E384" s="20">
        <v>0.06</v>
      </c>
      <c r="F384" s="26">
        <v>1524.65</v>
      </c>
      <c r="Q384" s="20">
        <v>38.299999999999997</v>
      </c>
      <c r="R384" s="20">
        <v>62.1</v>
      </c>
      <c r="S384" s="20">
        <v>62</v>
      </c>
      <c r="T384" s="26">
        <v>-0.1</v>
      </c>
      <c r="U384" s="26">
        <v>-0.01</v>
      </c>
      <c r="V384" s="20">
        <v>1298.74</v>
      </c>
    </row>
    <row r="385" spans="1:22" ht="16.8" x14ac:dyDescent="0.3">
      <c r="A385" s="20">
        <v>38.5</v>
      </c>
      <c r="B385" s="20">
        <v>62</v>
      </c>
      <c r="C385" s="20">
        <v>62.51</v>
      </c>
      <c r="D385" s="20">
        <v>-0.51</v>
      </c>
      <c r="E385" s="20">
        <v>-0.03</v>
      </c>
      <c r="F385" s="20">
        <v>1492.92</v>
      </c>
      <c r="Q385" s="20">
        <v>38.4</v>
      </c>
      <c r="R385" s="20">
        <v>62.11</v>
      </c>
      <c r="S385" s="26">
        <v>62</v>
      </c>
      <c r="T385" s="26">
        <v>-0.11</v>
      </c>
      <c r="U385" s="26">
        <v>-0.02</v>
      </c>
      <c r="V385" s="20">
        <v>1292.67</v>
      </c>
    </row>
    <row r="386" spans="1:22" ht="16.8" x14ac:dyDescent="0.3">
      <c r="A386" s="20">
        <v>38.6</v>
      </c>
      <c r="B386" s="20">
        <v>62</v>
      </c>
      <c r="C386" s="20">
        <v>62.52</v>
      </c>
      <c r="D386" s="20">
        <v>-0.52</v>
      </c>
      <c r="E386" s="20">
        <v>-0.01</v>
      </c>
      <c r="F386" s="26">
        <v>1484.21</v>
      </c>
      <c r="Q386" s="20">
        <v>38.5</v>
      </c>
      <c r="R386" s="20">
        <v>62.14</v>
      </c>
      <c r="S386" s="20">
        <v>62</v>
      </c>
      <c r="T386" s="26">
        <v>-0.14000000000000001</v>
      </c>
      <c r="U386" s="26">
        <v>-0.02</v>
      </c>
      <c r="V386" s="20">
        <v>1285.25</v>
      </c>
    </row>
    <row r="387" spans="1:22" ht="16.8" x14ac:dyDescent="0.3">
      <c r="A387" s="20">
        <v>38.700000000000003</v>
      </c>
      <c r="B387" s="20">
        <v>62</v>
      </c>
      <c r="C387" s="20">
        <v>62.55</v>
      </c>
      <c r="D387" s="20">
        <v>-0.55000000000000004</v>
      </c>
      <c r="E387" s="20">
        <v>-0.03</v>
      </c>
      <c r="F387" s="20">
        <v>1445.67</v>
      </c>
      <c r="Q387" s="20">
        <v>38.6</v>
      </c>
      <c r="R387" s="20">
        <v>62.1</v>
      </c>
      <c r="S387" s="26">
        <v>62</v>
      </c>
      <c r="T387" s="26">
        <v>-0.1</v>
      </c>
      <c r="U387" s="26">
        <v>0.04</v>
      </c>
      <c r="V387" s="20">
        <v>1317.31</v>
      </c>
    </row>
    <row r="388" spans="1:22" ht="16.8" x14ac:dyDescent="0.3">
      <c r="A388" s="20">
        <v>38.799999999999997</v>
      </c>
      <c r="B388" s="20">
        <v>62</v>
      </c>
      <c r="C388" s="20">
        <v>62.51</v>
      </c>
      <c r="D388" s="20">
        <v>-0.51</v>
      </c>
      <c r="E388" s="20">
        <v>0.04</v>
      </c>
      <c r="F388" s="26">
        <v>1497.14</v>
      </c>
      <c r="Q388" s="20">
        <v>38.700000000000003</v>
      </c>
      <c r="R388" s="20">
        <v>62.08</v>
      </c>
      <c r="S388" s="20">
        <v>62</v>
      </c>
      <c r="T388" s="26">
        <v>-0.08</v>
      </c>
      <c r="U388" s="26">
        <v>0.02</v>
      </c>
      <c r="V388" s="20">
        <v>1309.99</v>
      </c>
    </row>
    <row r="389" spans="1:22" ht="16.8" x14ac:dyDescent="0.3">
      <c r="A389" s="20">
        <v>38.9</v>
      </c>
      <c r="B389" s="20">
        <v>62</v>
      </c>
      <c r="C389" s="20">
        <v>62.53</v>
      </c>
      <c r="D389" s="20">
        <v>-0.53</v>
      </c>
      <c r="E389" s="20">
        <v>-0.02</v>
      </c>
      <c r="F389" s="26">
        <v>1475.14</v>
      </c>
      <c r="Q389" s="20">
        <v>38.799999999999997</v>
      </c>
      <c r="R389" s="20">
        <v>62.09</v>
      </c>
      <c r="S389" s="26">
        <v>62</v>
      </c>
      <c r="T389" s="20">
        <v>-0.09</v>
      </c>
      <c r="U389" s="26">
        <v>-0.01</v>
      </c>
      <c r="V389" s="20">
        <v>1298.81</v>
      </c>
    </row>
    <row r="390" spans="1:22" ht="16.8" x14ac:dyDescent="0.3">
      <c r="A390" s="20">
        <v>39</v>
      </c>
      <c r="B390" s="20">
        <v>62</v>
      </c>
      <c r="C390" s="20">
        <v>62.52</v>
      </c>
      <c r="D390" s="20">
        <v>-0.52</v>
      </c>
      <c r="E390" s="20">
        <v>0.01</v>
      </c>
      <c r="F390" s="20">
        <v>1484.21</v>
      </c>
      <c r="Q390" s="20">
        <v>38.9</v>
      </c>
      <c r="R390" s="20">
        <v>62.07</v>
      </c>
      <c r="S390" s="20">
        <v>62</v>
      </c>
      <c r="T390" s="26">
        <v>-7.0000000000000007E-2</v>
      </c>
      <c r="U390" s="26">
        <v>0.02</v>
      </c>
      <c r="V390" s="20">
        <v>1310.9</v>
      </c>
    </row>
    <row r="391" spans="1:22" ht="16.8" x14ac:dyDescent="0.3">
      <c r="A391" s="20">
        <v>39.1</v>
      </c>
      <c r="B391" s="20">
        <v>62</v>
      </c>
      <c r="C391" s="20">
        <v>62.51</v>
      </c>
      <c r="D391" s="20">
        <v>-0.51</v>
      </c>
      <c r="E391" s="20">
        <v>0.01</v>
      </c>
      <c r="F391" s="26">
        <v>1497.14</v>
      </c>
      <c r="Q391" s="20">
        <v>39</v>
      </c>
      <c r="R391" s="20">
        <v>62.06</v>
      </c>
      <c r="S391" s="26">
        <v>62</v>
      </c>
      <c r="T391" s="20">
        <v>-0.06</v>
      </c>
      <c r="U391" s="26">
        <v>0.01</v>
      </c>
      <c r="V391" s="20">
        <v>1308.8</v>
      </c>
    </row>
    <row r="392" spans="1:22" ht="16.8" x14ac:dyDescent="0.3">
      <c r="A392" s="20">
        <v>39.200000000000003</v>
      </c>
      <c r="B392" s="20">
        <v>62</v>
      </c>
      <c r="C392" s="20">
        <v>62.51</v>
      </c>
      <c r="D392" s="20">
        <v>-0.51</v>
      </c>
      <c r="E392" s="20">
        <v>0</v>
      </c>
      <c r="F392" s="26">
        <v>1501.27</v>
      </c>
      <c r="Q392" s="20">
        <v>39.1</v>
      </c>
      <c r="R392" s="20">
        <v>62.07</v>
      </c>
      <c r="S392" s="20">
        <v>62</v>
      </c>
      <c r="T392" s="26">
        <v>-7.0000000000000007E-2</v>
      </c>
      <c r="U392" s="26">
        <v>-0.01</v>
      </c>
      <c r="V392" s="20">
        <v>1300.8900000000001</v>
      </c>
    </row>
    <row r="393" spans="1:22" ht="16.8" x14ac:dyDescent="0.3">
      <c r="A393" s="20">
        <v>39.299999999999997</v>
      </c>
      <c r="B393" s="20">
        <v>62</v>
      </c>
      <c r="C393" s="20">
        <v>62.46</v>
      </c>
      <c r="D393" s="20">
        <v>-0.46</v>
      </c>
      <c r="E393" s="20">
        <v>0.04</v>
      </c>
      <c r="F393" s="20">
        <v>1542.46</v>
      </c>
      <c r="Q393" s="20">
        <v>39.200000000000003</v>
      </c>
      <c r="R393" s="20">
        <v>62.07</v>
      </c>
      <c r="S393" s="26">
        <v>62</v>
      </c>
      <c r="T393" s="20">
        <v>-7.0000000000000007E-2</v>
      </c>
      <c r="U393" s="26">
        <v>0</v>
      </c>
      <c r="V393" s="20">
        <v>1303.95</v>
      </c>
    </row>
    <row r="394" spans="1:22" ht="16.8" x14ac:dyDescent="0.3">
      <c r="A394" s="20">
        <v>39.4</v>
      </c>
      <c r="B394" s="20">
        <v>62</v>
      </c>
      <c r="C394" s="20">
        <v>62.49</v>
      </c>
      <c r="D394" s="20">
        <v>-0.49</v>
      </c>
      <c r="E394" s="20">
        <v>-0.03</v>
      </c>
      <c r="F394" s="26">
        <v>1517.12</v>
      </c>
      <c r="Q394" s="20">
        <v>39.299999999999997</v>
      </c>
      <c r="R394" s="20">
        <v>62.01</v>
      </c>
      <c r="S394" s="20">
        <v>62</v>
      </c>
      <c r="T394" s="20">
        <v>-0.01</v>
      </c>
      <c r="U394" s="20">
        <v>0.06</v>
      </c>
      <c r="V394" s="20">
        <v>1340.06</v>
      </c>
    </row>
    <row r="395" spans="1:22" ht="16.8" x14ac:dyDescent="0.3">
      <c r="A395" s="20">
        <v>39.5</v>
      </c>
      <c r="B395" s="20">
        <v>62</v>
      </c>
      <c r="C395" s="20">
        <v>62.45</v>
      </c>
      <c r="D395" s="20">
        <v>-0.45</v>
      </c>
      <c r="E395" s="20">
        <v>0.04</v>
      </c>
      <c r="F395" s="26">
        <v>1549.17</v>
      </c>
      <c r="Q395" s="20">
        <v>39.4</v>
      </c>
      <c r="R395" s="20">
        <v>62.06</v>
      </c>
      <c r="S395" s="20">
        <v>62</v>
      </c>
      <c r="T395" s="26">
        <v>-0.06</v>
      </c>
      <c r="U395" s="26">
        <v>-0.06</v>
      </c>
      <c r="V395" s="20">
        <v>1282.44</v>
      </c>
    </row>
    <row r="396" spans="1:22" ht="16.8" x14ac:dyDescent="0.3">
      <c r="A396" s="20">
        <v>39.6</v>
      </c>
      <c r="B396" s="20">
        <v>62</v>
      </c>
      <c r="C396" s="20">
        <v>62.47</v>
      </c>
      <c r="D396" s="20">
        <v>-0.47</v>
      </c>
      <c r="E396" s="20">
        <v>-0.02</v>
      </c>
      <c r="F396" s="20">
        <v>1535.53</v>
      </c>
      <c r="Q396" s="20">
        <v>39.5</v>
      </c>
      <c r="R396" s="20">
        <v>62.03</v>
      </c>
      <c r="S396" s="26">
        <v>62</v>
      </c>
      <c r="T396" s="20">
        <v>-0.03</v>
      </c>
      <c r="U396" s="20">
        <v>0.03</v>
      </c>
      <c r="V396" s="20">
        <v>1323.06</v>
      </c>
    </row>
    <row r="397" spans="1:22" ht="16.8" x14ac:dyDescent="0.3">
      <c r="A397" s="20">
        <v>39.700000000000003</v>
      </c>
      <c r="B397" s="20">
        <v>62</v>
      </c>
      <c r="C397" s="20">
        <v>62.49</v>
      </c>
      <c r="D397" s="20">
        <v>-0.49</v>
      </c>
      <c r="E397" s="20">
        <v>-0.02</v>
      </c>
      <c r="F397" s="26">
        <v>1517.12</v>
      </c>
      <c r="Q397" s="20">
        <v>39.6</v>
      </c>
      <c r="R397" s="20">
        <v>62.07</v>
      </c>
      <c r="S397" s="20">
        <v>62</v>
      </c>
      <c r="T397" s="26">
        <v>-7.0000000000000007E-2</v>
      </c>
      <c r="U397" s="26">
        <v>-0.04</v>
      </c>
      <c r="V397" s="20">
        <v>1287.3800000000001</v>
      </c>
    </row>
    <row r="398" spans="1:22" ht="16.8" x14ac:dyDescent="0.3">
      <c r="A398" s="20">
        <v>39.799999999999997</v>
      </c>
      <c r="B398" s="20">
        <v>62</v>
      </c>
      <c r="C398" s="20">
        <v>62.42</v>
      </c>
      <c r="D398" s="20">
        <v>-0.42</v>
      </c>
      <c r="E398" s="20">
        <v>7.0000000000000007E-2</v>
      </c>
      <c r="F398" s="20">
        <v>1577.24</v>
      </c>
      <c r="Q398" s="20">
        <v>39.700000000000003</v>
      </c>
      <c r="R398" s="20">
        <v>62.06</v>
      </c>
      <c r="S398" s="26">
        <v>62</v>
      </c>
      <c r="T398" s="26">
        <v>-0.06</v>
      </c>
      <c r="U398" s="26">
        <v>0.01</v>
      </c>
      <c r="V398" s="20">
        <v>1307.9000000000001</v>
      </c>
    </row>
    <row r="399" spans="1:22" ht="16.8" x14ac:dyDescent="0.3">
      <c r="A399" s="20">
        <v>39.9</v>
      </c>
      <c r="B399" s="20">
        <v>62</v>
      </c>
      <c r="C399" s="20">
        <v>62.46</v>
      </c>
      <c r="D399" s="20">
        <v>-0.46</v>
      </c>
      <c r="E399" s="20">
        <v>-0.04</v>
      </c>
      <c r="F399" s="26">
        <v>1545.85</v>
      </c>
      <c r="Q399" s="20">
        <v>39.799999999999997</v>
      </c>
      <c r="R399" s="20">
        <v>62.01</v>
      </c>
      <c r="S399" s="26">
        <v>62</v>
      </c>
      <c r="T399" s="20">
        <v>-0.01</v>
      </c>
      <c r="U399" s="26">
        <v>0.06</v>
      </c>
      <c r="V399" s="20">
        <v>1336.27</v>
      </c>
    </row>
    <row r="400" spans="1:22" ht="16.8" x14ac:dyDescent="0.3">
      <c r="A400" s="20">
        <v>40</v>
      </c>
      <c r="B400" s="20">
        <v>62</v>
      </c>
      <c r="C400" s="20">
        <v>62.46</v>
      </c>
      <c r="D400" s="20">
        <v>-0.46</v>
      </c>
      <c r="E400" s="20">
        <v>0</v>
      </c>
      <c r="F400" s="20">
        <v>1542.46</v>
      </c>
      <c r="Q400" s="20">
        <v>39.9</v>
      </c>
      <c r="R400" s="20">
        <v>62.05</v>
      </c>
      <c r="S400" s="20">
        <v>62</v>
      </c>
      <c r="T400" s="26">
        <v>-0.05</v>
      </c>
      <c r="U400" s="26">
        <v>-0.05</v>
      </c>
      <c r="V400" s="20">
        <v>1286.42</v>
      </c>
    </row>
    <row r="401" spans="1:22" ht="16.8" x14ac:dyDescent="0.3">
      <c r="A401" s="20">
        <v>40.1</v>
      </c>
      <c r="B401" s="20">
        <v>62</v>
      </c>
      <c r="C401" s="20">
        <v>62.4</v>
      </c>
      <c r="D401" s="20">
        <v>-0.4</v>
      </c>
      <c r="E401" s="20">
        <v>0.06</v>
      </c>
      <c r="F401" s="26">
        <v>1590.62</v>
      </c>
      <c r="Q401" s="20">
        <v>40</v>
      </c>
      <c r="R401" s="20">
        <v>62.03</v>
      </c>
      <c r="S401" s="20">
        <v>62</v>
      </c>
      <c r="T401" s="20">
        <v>-0.03</v>
      </c>
      <c r="U401" s="26">
        <v>0.02</v>
      </c>
      <c r="V401" s="20">
        <v>1319.29</v>
      </c>
    </row>
    <row r="402" spans="1:22" ht="16.8" x14ac:dyDescent="0.3">
      <c r="A402" s="20">
        <v>40.200000000000003</v>
      </c>
      <c r="B402" s="20">
        <v>62</v>
      </c>
      <c r="C402" s="20">
        <v>62.45</v>
      </c>
      <c r="D402" s="20">
        <v>-0.45</v>
      </c>
      <c r="E402" s="20">
        <v>-0.05</v>
      </c>
      <c r="F402" s="26">
        <v>1552.44</v>
      </c>
      <c r="Q402" s="20">
        <v>40.1</v>
      </c>
      <c r="R402" s="20">
        <v>62.05</v>
      </c>
      <c r="S402" s="26">
        <v>62</v>
      </c>
      <c r="T402" s="26">
        <v>-0.05</v>
      </c>
      <c r="U402" s="26">
        <v>-0.02</v>
      </c>
      <c r="V402" s="20">
        <v>1295.9000000000001</v>
      </c>
    </row>
    <row r="403" spans="1:22" ht="16.8" x14ac:dyDescent="0.3">
      <c r="A403" s="20">
        <v>40.299999999999997</v>
      </c>
      <c r="B403" s="20">
        <v>62</v>
      </c>
      <c r="C403" s="20">
        <v>62.4</v>
      </c>
      <c r="D403" s="20">
        <v>-0.4</v>
      </c>
      <c r="E403" s="20">
        <v>0.05</v>
      </c>
      <c r="F403" s="20">
        <v>1590.62</v>
      </c>
      <c r="Q403" s="20">
        <v>40.200000000000003</v>
      </c>
      <c r="R403" s="20">
        <v>62.05</v>
      </c>
      <c r="S403" s="20">
        <v>62</v>
      </c>
      <c r="T403" s="26">
        <v>-0.05</v>
      </c>
      <c r="U403" s="26">
        <v>0.01</v>
      </c>
      <c r="V403" s="20">
        <v>1310</v>
      </c>
    </row>
    <row r="404" spans="1:22" ht="16.8" x14ac:dyDescent="0.3">
      <c r="A404" s="20">
        <v>40.4</v>
      </c>
      <c r="B404" s="20">
        <v>62</v>
      </c>
      <c r="C404" s="20">
        <v>62.46</v>
      </c>
      <c r="D404" s="20">
        <v>-0.46</v>
      </c>
      <c r="E404" s="20">
        <v>-0.06</v>
      </c>
      <c r="F404" s="26">
        <v>1545.85</v>
      </c>
      <c r="Q404" s="20">
        <v>40.299999999999997</v>
      </c>
      <c r="R404" s="20">
        <v>62.02</v>
      </c>
      <c r="S404" s="26">
        <v>62</v>
      </c>
      <c r="T404" s="26">
        <v>-0.02</v>
      </c>
      <c r="U404" s="20">
        <v>0.02</v>
      </c>
      <c r="V404" s="20">
        <v>1320.27</v>
      </c>
    </row>
    <row r="405" spans="1:22" ht="16.8" x14ac:dyDescent="0.3">
      <c r="A405" s="20">
        <v>40.5</v>
      </c>
      <c r="B405" s="20">
        <v>62</v>
      </c>
      <c r="C405" s="20">
        <v>62.45</v>
      </c>
      <c r="D405" s="20">
        <v>-0.45</v>
      </c>
      <c r="E405" s="20">
        <v>0.01</v>
      </c>
      <c r="F405" s="26">
        <v>1555.69</v>
      </c>
      <c r="Q405" s="20">
        <v>40.4</v>
      </c>
      <c r="R405" s="20">
        <v>62.03</v>
      </c>
      <c r="S405" s="26">
        <v>62</v>
      </c>
      <c r="T405" s="26">
        <v>-0.03</v>
      </c>
      <c r="U405" s="26">
        <v>-0.01</v>
      </c>
      <c r="V405" s="20">
        <v>1305.99</v>
      </c>
    </row>
    <row r="406" spans="1:22" ht="16.8" x14ac:dyDescent="0.3">
      <c r="A406" s="20">
        <v>40.6</v>
      </c>
      <c r="B406" s="20">
        <v>62</v>
      </c>
      <c r="C406" s="20">
        <v>62.45</v>
      </c>
      <c r="D406" s="20">
        <v>-0.45</v>
      </c>
      <c r="E406" s="20">
        <v>0</v>
      </c>
      <c r="F406" s="20">
        <v>1555.69</v>
      </c>
      <c r="Q406" s="20">
        <v>40.5</v>
      </c>
      <c r="R406" s="20">
        <v>62.06</v>
      </c>
      <c r="S406" s="20">
        <v>62</v>
      </c>
      <c r="T406" s="26">
        <v>-0.06</v>
      </c>
      <c r="U406" s="20">
        <v>-0.03</v>
      </c>
      <c r="V406" s="20">
        <v>1291</v>
      </c>
    </row>
    <row r="407" spans="1:22" ht="16.8" x14ac:dyDescent="0.3">
      <c r="A407" s="20">
        <v>40.700000000000003</v>
      </c>
      <c r="B407" s="20">
        <v>62</v>
      </c>
      <c r="C407" s="20">
        <v>62.42</v>
      </c>
      <c r="D407" s="20">
        <v>-0.42</v>
      </c>
      <c r="E407" s="20">
        <v>0.03</v>
      </c>
      <c r="F407" s="26">
        <v>1577.24</v>
      </c>
      <c r="Q407" s="20">
        <v>40.6</v>
      </c>
      <c r="R407" s="20">
        <v>62.05</v>
      </c>
      <c r="S407" s="26">
        <v>62</v>
      </c>
      <c r="T407" s="20">
        <v>-0.05</v>
      </c>
      <c r="U407" s="26">
        <v>0.01</v>
      </c>
      <c r="V407" s="20">
        <v>1308.31</v>
      </c>
    </row>
    <row r="408" spans="1:22" ht="16.8" x14ac:dyDescent="0.3">
      <c r="A408" s="20">
        <v>40.799999999999997</v>
      </c>
      <c r="B408" s="20">
        <v>62</v>
      </c>
      <c r="C408" s="20">
        <v>62.46</v>
      </c>
      <c r="D408" s="20">
        <v>-0.46</v>
      </c>
      <c r="E408" s="20">
        <v>-0.04</v>
      </c>
      <c r="F408" s="20">
        <v>1545.85</v>
      </c>
      <c r="Q408" s="20">
        <v>40.700000000000003</v>
      </c>
      <c r="R408" s="20">
        <v>61.98</v>
      </c>
      <c r="S408" s="20">
        <v>62</v>
      </c>
      <c r="T408" s="26">
        <v>0.02</v>
      </c>
      <c r="U408" s="26">
        <v>7.0000000000000007E-2</v>
      </c>
      <c r="V408" s="20">
        <v>1345.77</v>
      </c>
    </row>
    <row r="409" spans="1:22" ht="16.8" x14ac:dyDescent="0.3">
      <c r="A409" s="20">
        <v>40.9</v>
      </c>
      <c r="B409" s="20">
        <v>62</v>
      </c>
      <c r="C409" s="20">
        <v>62.41</v>
      </c>
      <c r="D409" s="20">
        <v>-0.41</v>
      </c>
      <c r="E409" s="20">
        <v>0.04</v>
      </c>
      <c r="F409" s="26">
        <v>1580.15</v>
      </c>
      <c r="Q409" s="20">
        <v>40.799999999999997</v>
      </c>
      <c r="R409" s="20">
        <v>62.01</v>
      </c>
      <c r="S409" s="26">
        <v>62</v>
      </c>
      <c r="T409" s="26">
        <v>-0.01</v>
      </c>
      <c r="U409" s="26">
        <v>-0.03</v>
      </c>
      <c r="V409" s="20">
        <v>1298.58</v>
      </c>
    </row>
    <row r="410" spans="1:22" ht="16.8" x14ac:dyDescent="0.3">
      <c r="A410" s="20">
        <v>41</v>
      </c>
      <c r="B410" s="20">
        <v>62</v>
      </c>
      <c r="C410" s="20">
        <v>62.42</v>
      </c>
      <c r="D410" s="20">
        <v>-0.42</v>
      </c>
      <c r="E410" s="20">
        <v>-0.01</v>
      </c>
      <c r="F410" s="26">
        <v>1574.29</v>
      </c>
      <c r="Q410" s="20">
        <v>40.9</v>
      </c>
      <c r="R410" s="20">
        <v>62.01</v>
      </c>
      <c r="S410" s="20">
        <v>62</v>
      </c>
      <c r="T410" s="26">
        <v>-0.01</v>
      </c>
      <c r="U410" s="26">
        <v>0</v>
      </c>
      <c r="V410" s="20">
        <v>1311.48</v>
      </c>
    </row>
    <row r="411" spans="1:22" ht="16.8" x14ac:dyDescent="0.3">
      <c r="A411" s="20">
        <v>41.1</v>
      </c>
      <c r="B411" s="20">
        <v>62</v>
      </c>
      <c r="C411" s="20">
        <v>62.42</v>
      </c>
      <c r="D411" s="20">
        <v>-0.42</v>
      </c>
      <c r="E411" s="20">
        <v>-0.01</v>
      </c>
      <c r="F411" s="20">
        <v>1552.44</v>
      </c>
      <c r="Q411" s="20">
        <v>41</v>
      </c>
      <c r="R411" s="20">
        <v>62.04</v>
      </c>
      <c r="S411" s="20">
        <v>62</v>
      </c>
      <c r="T411" s="26">
        <v>-0.04</v>
      </c>
      <c r="U411" s="26">
        <v>-0.02</v>
      </c>
      <c r="V411" s="20">
        <v>1297.83</v>
      </c>
    </row>
    <row r="412" spans="1:22" ht="16.8" x14ac:dyDescent="0.3">
      <c r="A412" s="20">
        <v>41.2</v>
      </c>
      <c r="B412" s="20">
        <v>62</v>
      </c>
      <c r="C412" s="26">
        <v>62.46</v>
      </c>
      <c r="D412" s="20">
        <v>-0.46</v>
      </c>
      <c r="E412" s="20">
        <v>-0.01</v>
      </c>
      <c r="F412" s="26">
        <v>1542.46</v>
      </c>
      <c r="Q412" s="20">
        <v>41.1</v>
      </c>
      <c r="R412" s="20">
        <v>62.01</v>
      </c>
      <c r="S412" s="26">
        <v>62</v>
      </c>
      <c r="T412" s="26">
        <v>-0.01</v>
      </c>
      <c r="U412" s="26">
        <v>0.02</v>
      </c>
      <c r="V412" s="20">
        <v>1321.04</v>
      </c>
    </row>
    <row r="413" spans="1:22" ht="16.8" x14ac:dyDescent="0.3">
      <c r="A413" s="20">
        <v>41.3</v>
      </c>
      <c r="B413" s="20">
        <v>62</v>
      </c>
      <c r="C413" s="20">
        <v>62.46</v>
      </c>
      <c r="D413" s="20">
        <v>-0.46</v>
      </c>
      <c r="E413" s="20">
        <v>0</v>
      </c>
      <c r="F413" s="20">
        <v>1545.85</v>
      </c>
      <c r="Q413" s="20">
        <v>41.2</v>
      </c>
      <c r="R413" s="20">
        <v>62.03</v>
      </c>
      <c r="S413" s="20">
        <v>62</v>
      </c>
      <c r="T413" s="26">
        <v>-0.03</v>
      </c>
      <c r="U413" s="26">
        <v>-0.02</v>
      </c>
      <c r="V413" s="20">
        <v>1302.24</v>
      </c>
    </row>
    <row r="414" spans="1:22" ht="16.8" x14ac:dyDescent="0.3">
      <c r="A414" s="20">
        <v>41.4</v>
      </c>
      <c r="B414" s="20">
        <v>62</v>
      </c>
      <c r="C414" s="26">
        <v>62.47</v>
      </c>
      <c r="D414" s="20">
        <v>-0.47</v>
      </c>
      <c r="E414" s="20">
        <v>-0.01</v>
      </c>
      <c r="F414" s="26">
        <v>1535.53</v>
      </c>
      <c r="Q414" s="20">
        <v>41.3</v>
      </c>
      <c r="R414" s="20">
        <v>62.02</v>
      </c>
      <c r="S414" s="26">
        <v>62</v>
      </c>
      <c r="T414" s="20">
        <v>-0.02</v>
      </c>
      <c r="U414" s="26">
        <v>0.01</v>
      </c>
      <c r="V414" s="20">
        <v>1313.17</v>
      </c>
    </row>
    <row r="415" spans="1:22" ht="16.8" x14ac:dyDescent="0.3">
      <c r="A415" s="20">
        <v>41.5</v>
      </c>
      <c r="B415" s="20">
        <v>62</v>
      </c>
      <c r="C415" s="26">
        <v>62.45</v>
      </c>
      <c r="D415" s="20">
        <v>-0.45</v>
      </c>
      <c r="E415" s="20">
        <v>0.02</v>
      </c>
      <c r="F415" s="26">
        <v>1549.17</v>
      </c>
      <c r="Q415" s="20">
        <v>41.4</v>
      </c>
      <c r="R415" s="20">
        <v>62.05</v>
      </c>
      <c r="S415" s="26">
        <v>62</v>
      </c>
      <c r="T415" s="26">
        <v>-0.05</v>
      </c>
      <c r="U415" s="26">
        <v>-0.02</v>
      </c>
      <c r="V415" s="20">
        <v>1296.27</v>
      </c>
    </row>
    <row r="416" spans="1:22" ht="16.8" x14ac:dyDescent="0.3">
      <c r="A416" s="20">
        <v>41.6</v>
      </c>
      <c r="B416" s="20">
        <v>62</v>
      </c>
      <c r="C416" s="20">
        <v>62.41</v>
      </c>
      <c r="D416" s="20">
        <v>-0.41</v>
      </c>
      <c r="E416" s="20">
        <v>0.04</v>
      </c>
      <c r="F416" s="20">
        <v>1580.15</v>
      </c>
      <c r="Q416" s="20">
        <v>41.5</v>
      </c>
      <c r="R416" s="20">
        <v>62.01</v>
      </c>
      <c r="S416" s="20">
        <v>62</v>
      </c>
      <c r="T416" s="20">
        <v>-0.01</v>
      </c>
      <c r="U416" s="26">
        <v>0.04</v>
      </c>
      <c r="V416" s="20">
        <v>1328.53</v>
      </c>
    </row>
    <row r="417" spans="1:22" ht="16.8" x14ac:dyDescent="0.3">
      <c r="A417" s="20">
        <v>41.7</v>
      </c>
      <c r="B417" s="20">
        <v>62</v>
      </c>
      <c r="C417" s="26">
        <v>62.47</v>
      </c>
      <c r="D417" s="20">
        <v>-0.47</v>
      </c>
      <c r="E417" s="20">
        <v>-0.06</v>
      </c>
      <c r="F417" s="26">
        <v>1531.98</v>
      </c>
      <c r="Q417" s="20">
        <v>41.6</v>
      </c>
      <c r="R417" s="20">
        <v>61.97</v>
      </c>
      <c r="S417" s="20">
        <v>62</v>
      </c>
      <c r="T417" s="26">
        <v>0.03</v>
      </c>
      <c r="U417" s="26">
        <v>0.03</v>
      </c>
      <c r="V417" s="20">
        <v>1330.51</v>
      </c>
    </row>
    <row r="418" spans="1:22" ht="16.8" x14ac:dyDescent="0.3">
      <c r="A418" s="20">
        <v>41.8</v>
      </c>
      <c r="B418" s="20">
        <v>62</v>
      </c>
      <c r="C418" s="20">
        <v>62.45</v>
      </c>
      <c r="D418" s="20">
        <v>-0.45</v>
      </c>
      <c r="E418" s="20">
        <v>0.02</v>
      </c>
      <c r="F418" s="26">
        <v>1552.44</v>
      </c>
      <c r="Q418" s="20">
        <v>41.7</v>
      </c>
      <c r="R418" s="20">
        <v>61.97</v>
      </c>
      <c r="S418" s="26">
        <v>62</v>
      </c>
      <c r="T418" s="26">
        <v>0.03</v>
      </c>
      <c r="U418" s="26">
        <v>0</v>
      </c>
      <c r="V418" s="20">
        <v>1317.64</v>
      </c>
    </row>
    <row r="419" spans="1:22" ht="16.8" x14ac:dyDescent="0.3">
      <c r="A419" s="20">
        <v>41.9</v>
      </c>
      <c r="B419" s="20">
        <v>62</v>
      </c>
      <c r="C419" s="26">
        <v>62.45</v>
      </c>
      <c r="D419" s="20">
        <v>-0.45</v>
      </c>
      <c r="E419" s="20">
        <v>0</v>
      </c>
      <c r="F419" s="20">
        <v>1549.17</v>
      </c>
      <c r="Q419" s="20">
        <v>41.8</v>
      </c>
      <c r="R419" s="20">
        <v>61.97</v>
      </c>
      <c r="S419" s="26">
        <v>62</v>
      </c>
      <c r="T419" s="20">
        <v>0.03</v>
      </c>
      <c r="U419" s="26">
        <v>0.01</v>
      </c>
      <c r="V419" s="20">
        <v>1322.24</v>
      </c>
    </row>
    <row r="420" spans="1:22" ht="16.8" x14ac:dyDescent="0.3">
      <c r="A420" s="20">
        <v>42</v>
      </c>
      <c r="B420" s="20">
        <v>62</v>
      </c>
      <c r="C420" s="26">
        <v>62.45</v>
      </c>
      <c r="D420" s="20">
        <v>-0.45</v>
      </c>
      <c r="E420" s="20">
        <v>0</v>
      </c>
      <c r="F420" s="26">
        <v>1549.17</v>
      </c>
      <c r="Q420" s="20">
        <v>41.9</v>
      </c>
      <c r="R420" s="20">
        <v>62.04</v>
      </c>
      <c r="S420" s="20">
        <v>62</v>
      </c>
      <c r="T420" s="26">
        <v>-0.04</v>
      </c>
      <c r="U420" s="26">
        <v>-7.0000000000000007E-2</v>
      </c>
      <c r="V420" s="20">
        <v>1278.26</v>
      </c>
    </row>
    <row r="421" spans="1:22" ht="16.8" x14ac:dyDescent="0.3">
      <c r="A421" s="20">
        <v>42.1</v>
      </c>
      <c r="B421" s="20">
        <v>62</v>
      </c>
      <c r="C421" s="20">
        <v>62.42</v>
      </c>
      <c r="D421" s="20">
        <v>-0.42</v>
      </c>
      <c r="E421" s="20">
        <v>0.03</v>
      </c>
      <c r="F421" s="20">
        <v>1574.29</v>
      </c>
      <c r="Q421" s="20">
        <v>42</v>
      </c>
      <c r="R421" s="20">
        <v>62.01</v>
      </c>
      <c r="S421" s="26">
        <v>62</v>
      </c>
      <c r="T421" s="20">
        <v>-0.01</v>
      </c>
      <c r="U421" s="26">
        <v>0.03</v>
      </c>
      <c r="V421" s="20">
        <v>1325.4</v>
      </c>
    </row>
    <row r="422" spans="1:22" ht="16.8" x14ac:dyDescent="0.3">
      <c r="A422" s="20">
        <v>42.2</v>
      </c>
      <c r="B422" s="20">
        <v>62</v>
      </c>
      <c r="C422" s="26">
        <v>62.48</v>
      </c>
      <c r="D422" s="20">
        <v>-0.48</v>
      </c>
      <c r="E422" s="20">
        <v>-0.06</v>
      </c>
      <c r="F422" s="26">
        <v>1528.34</v>
      </c>
      <c r="Q422" s="20">
        <v>42.1</v>
      </c>
      <c r="R422" s="20">
        <v>62.02</v>
      </c>
      <c r="S422" s="20">
        <v>62</v>
      </c>
      <c r="T422" s="26">
        <v>-0.02</v>
      </c>
      <c r="U422" s="26">
        <v>-0.02</v>
      </c>
      <c r="V422" s="20">
        <v>1303.3900000000001</v>
      </c>
    </row>
    <row r="423" spans="1:22" ht="16.8" x14ac:dyDescent="0.3">
      <c r="A423" s="20">
        <v>42.3</v>
      </c>
      <c r="B423" s="20">
        <v>62</v>
      </c>
      <c r="C423" s="20">
        <v>62.43</v>
      </c>
      <c r="D423" s="20">
        <v>-0.43</v>
      </c>
      <c r="E423" s="20">
        <v>0.05</v>
      </c>
      <c r="F423" s="26">
        <v>1571.3</v>
      </c>
      <c r="Q423" s="20">
        <v>42.2</v>
      </c>
      <c r="R423" s="20">
        <v>62</v>
      </c>
      <c r="S423" s="20">
        <v>62</v>
      </c>
      <c r="T423" s="20">
        <v>0</v>
      </c>
      <c r="U423" s="26">
        <v>0.02</v>
      </c>
      <c r="V423" s="20">
        <v>1323.4</v>
      </c>
    </row>
    <row r="424" spans="1:22" ht="16.8" x14ac:dyDescent="0.3">
      <c r="A424" s="20">
        <v>42.4</v>
      </c>
      <c r="B424" s="20">
        <v>62</v>
      </c>
      <c r="C424" s="26">
        <v>62.47</v>
      </c>
      <c r="D424" s="20">
        <v>-0.47</v>
      </c>
      <c r="E424" s="20">
        <v>-0.05</v>
      </c>
      <c r="F424" s="20">
        <v>1531.98</v>
      </c>
      <c r="Q424" s="20">
        <v>42.3</v>
      </c>
      <c r="R424" s="20">
        <v>62.02</v>
      </c>
      <c r="S424" s="26">
        <v>62</v>
      </c>
      <c r="T424" s="26">
        <v>-0.02</v>
      </c>
      <c r="U424" s="26">
        <v>-0.02</v>
      </c>
      <c r="V424" s="20">
        <v>1300.0999999999999</v>
      </c>
    </row>
    <row r="425" spans="1:22" ht="16.8" x14ac:dyDescent="0.3">
      <c r="A425" s="20">
        <v>42.5</v>
      </c>
      <c r="B425" s="20">
        <v>62</v>
      </c>
      <c r="C425" s="26">
        <v>62.48</v>
      </c>
      <c r="D425" s="20">
        <v>-0.48</v>
      </c>
      <c r="E425" s="20">
        <v>0</v>
      </c>
      <c r="F425" s="26">
        <v>1528.34</v>
      </c>
      <c r="Q425" s="20">
        <v>42.4</v>
      </c>
      <c r="R425" s="20">
        <v>61.97</v>
      </c>
      <c r="S425" s="20">
        <v>62</v>
      </c>
      <c r="T425" s="20">
        <v>0.03</v>
      </c>
      <c r="U425" s="26">
        <v>0.06</v>
      </c>
      <c r="V425" s="20">
        <v>1341.49</v>
      </c>
    </row>
    <row r="426" spans="1:22" ht="16.8" x14ac:dyDescent="0.3">
      <c r="A426" s="20">
        <v>42.6</v>
      </c>
      <c r="B426" s="20">
        <v>62</v>
      </c>
      <c r="C426" s="20">
        <v>62.47</v>
      </c>
      <c r="D426" s="20">
        <v>-0.47</v>
      </c>
      <c r="E426" s="20">
        <v>0</v>
      </c>
      <c r="F426" s="26">
        <v>1531.98</v>
      </c>
      <c r="Q426" s="20">
        <v>42.5</v>
      </c>
      <c r="R426" s="20">
        <v>62.03</v>
      </c>
      <c r="S426" s="26">
        <v>62</v>
      </c>
      <c r="T426" s="26">
        <v>-0.03</v>
      </c>
      <c r="U426" s="26">
        <v>-0.06</v>
      </c>
      <c r="V426" s="20">
        <v>1282.67</v>
      </c>
    </row>
    <row r="427" spans="1:22" ht="16.8" x14ac:dyDescent="0.3">
      <c r="A427" s="20">
        <v>42.7</v>
      </c>
      <c r="B427" s="20">
        <v>62</v>
      </c>
      <c r="C427" s="26">
        <v>62.44</v>
      </c>
      <c r="D427" s="20">
        <v>-0.44</v>
      </c>
      <c r="E427" s="20">
        <v>0.04</v>
      </c>
      <c r="F427" s="20">
        <v>1562.04</v>
      </c>
      <c r="Q427" s="20">
        <v>42.6</v>
      </c>
      <c r="R427" s="20">
        <v>62.01</v>
      </c>
      <c r="S427" s="20">
        <v>62</v>
      </c>
      <c r="T427" s="26">
        <v>-0.01</v>
      </c>
      <c r="U427" s="26">
        <v>0.02</v>
      </c>
      <c r="V427" s="20">
        <v>1322.05</v>
      </c>
    </row>
    <row r="428" spans="1:22" ht="16.8" x14ac:dyDescent="0.3">
      <c r="A428" s="20">
        <v>42.8</v>
      </c>
      <c r="B428" s="20">
        <v>62</v>
      </c>
      <c r="C428" s="26">
        <v>62.47</v>
      </c>
      <c r="D428" s="20">
        <v>-0.47</v>
      </c>
      <c r="E428" s="20">
        <v>-0.03</v>
      </c>
      <c r="F428" s="26">
        <v>1539.03</v>
      </c>
      <c r="Q428" s="20">
        <v>42.7</v>
      </c>
      <c r="R428" s="20">
        <v>62</v>
      </c>
      <c r="S428" s="26">
        <v>62</v>
      </c>
      <c r="T428" s="20">
        <v>0</v>
      </c>
      <c r="U428" s="20">
        <v>0.01</v>
      </c>
      <c r="V428" s="20">
        <v>1316.88</v>
      </c>
    </row>
    <row r="429" spans="1:22" ht="16.8" x14ac:dyDescent="0.3">
      <c r="A429" s="20">
        <v>42.9</v>
      </c>
      <c r="B429" s="20">
        <v>62</v>
      </c>
      <c r="C429" s="20">
        <v>62.47</v>
      </c>
      <c r="D429" s="20">
        <v>-0.47</v>
      </c>
      <c r="E429" s="20">
        <v>-0.01</v>
      </c>
      <c r="F429" s="20">
        <v>1531.98</v>
      </c>
      <c r="Q429" s="20">
        <v>42.8</v>
      </c>
      <c r="R429" s="20">
        <v>61.97</v>
      </c>
      <c r="S429" s="26">
        <v>62</v>
      </c>
      <c r="T429" s="26">
        <v>0.03</v>
      </c>
      <c r="U429" s="26">
        <v>0.02</v>
      </c>
      <c r="V429" s="20">
        <v>1327.26</v>
      </c>
    </row>
    <row r="430" spans="1:22" ht="16.8" x14ac:dyDescent="0.3">
      <c r="A430" s="20">
        <v>43</v>
      </c>
      <c r="B430" s="20">
        <v>62</v>
      </c>
      <c r="C430" s="26">
        <v>62.42</v>
      </c>
      <c r="D430" s="20">
        <v>-0.42</v>
      </c>
      <c r="E430" s="20">
        <v>0.05</v>
      </c>
      <c r="F430" s="26">
        <v>1574.29</v>
      </c>
      <c r="Q430" s="20">
        <v>42.9</v>
      </c>
      <c r="R430" s="20">
        <v>61.96</v>
      </c>
      <c r="S430" s="20">
        <v>62</v>
      </c>
      <c r="T430" s="20">
        <v>0.04</v>
      </c>
      <c r="U430" s="20">
        <v>0.02</v>
      </c>
      <c r="V430" s="20">
        <v>1326.7</v>
      </c>
    </row>
    <row r="431" spans="1:22" ht="16.8" x14ac:dyDescent="0.3">
      <c r="A431" s="20">
        <v>43.1</v>
      </c>
      <c r="B431" s="20">
        <v>62</v>
      </c>
      <c r="C431" s="20">
        <v>62.43</v>
      </c>
      <c r="D431" s="20">
        <v>-0.43</v>
      </c>
      <c r="E431" s="20">
        <v>-0.01</v>
      </c>
      <c r="F431" s="20">
        <v>1565.18</v>
      </c>
      <c r="Q431" s="20">
        <v>43</v>
      </c>
      <c r="R431" s="20">
        <v>61.97</v>
      </c>
      <c r="S431" s="20">
        <v>62</v>
      </c>
      <c r="T431" s="26">
        <v>0.03</v>
      </c>
      <c r="U431" s="26">
        <v>-0.01</v>
      </c>
      <c r="V431" s="20">
        <v>1315.8</v>
      </c>
    </row>
    <row r="432" spans="1:22" ht="16.8" x14ac:dyDescent="0.3">
      <c r="A432" s="20">
        <v>43.2</v>
      </c>
      <c r="B432" s="20">
        <v>62</v>
      </c>
      <c r="C432" s="26">
        <v>62.43</v>
      </c>
      <c r="D432" s="20">
        <v>-0.43</v>
      </c>
      <c r="E432" s="20">
        <v>0.01</v>
      </c>
      <c r="F432" s="26">
        <v>1571.3</v>
      </c>
      <c r="Q432" s="20">
        <v>43.1</v>
      </c>
      <c r="R432" s="20">
        <v>61.99</v>
      </c>
      <c r="S432" s="26">
        <v>62</v>
      </c>
      <c r="T432" s="20">
        <v>0.01</v>
      </c>
      <c r="U432" s="26">
        <v>0.02</v>
      </c>
      <c r="V432" s="20">
        <v>1305.51</v>
      </c>
    </row>
    <row r="433" spans="1:22" ht="16.8" x14ac:dyDescent="0.3">
      <c r="A433" s="20">
        <v>43.3</v>
      </c>
      <c r="B433" s="20">
        <v>62</v>
      </c>
      <c r="C433" s="26">
        <v>62.46</v>
      </c>
      <c r="D433" s="20">
        <v>-0.46</v>
      </c>
      <c r="E433" s="20">
        <v>-0.03</v>
      </c>
      <c r="F433" s="26">
        <v>1545.85</v>
      </c>
      <c r="Q433" s="20">
        <v>43.2</v>
      </c>
      <c r="R433" s="20">
        <v>61.97</v>
      </c>
      <c r="S433" s="20">
        <v>62</v>
      </c>
      <c r="T433" s="26">
        <v>0.03</v>
      </c>
      <c r="U433" s="26">
        <v>0.02</v>
      </c>
      <c r="V433" s="20">
        <v>1324.29</v>
      </c>
    </row>
    <row r="434" spans="1:22" ht="16.8" x14ac:dyDescent="0.3">
      <c r="A434" s="20">
        <v>43.4</v>
      </c>
      <c r="B434" s="20">
        <v>62</v>
      </c>
      <c r="C434" s="20">
        <v>62.43</v>
      </c>
      <c r="D434" s="20">
        <v>-0.43</v>
      </c>
      <c r="E434" s="20">
        <v>0.03</v>
      </c>
      <c r="F434" s="20">
        <v>1568.26</v>
      </c>
      <c r="Q434" s="20">
        <v>43.3</v>
      </c>
      <c r="R434" s="20">
        <v>61.97</v>
      </c>
      <c r="S434" s="26">
        <v>62</v>
      </c>
      <c r="T434" s="26">
        <v>0.03</v>
      </c>
      <c r="U434" s="26">
        <v>0</v>
      </c>
      <c r="V434" s="20">
        <v>1317.89</v>
      </c>
    </row>
    <row r="435" spans="1:22" ht="16.8" x14ac:dyDescent="0.3">
      <c r="A435" s="20">
        <v>43.5</v>
      </c>
      <c r="B435" s="20">
        <v>62</v>
      </c>
      <c r="C435" s="26">
        <v>62.45</v>
      </c>
      <c r="D435" s="20">
        <v>-0.45</v>
      </c>
      <c r="E435" s="20">
        <v>-0.02</v>
      </c>
      <c r="F435" s="26">
        <v>1552.44</v>
      </c>
      <c r="Q435" s="20">
        <v>43.4</v>
      </c>
      <c r="R435" s="20">
        <v>61.97</v>
      </c>
      <c r="S435" s="20">
        <v>62</v>
      </c>
      <c r="T435" s="26">
        <v>0.03</v>
      </c>
      <c r="U435" s="20">
        <v>0.01</v>
      </c>
      <c r="V435" s="20">
        <v>1322.49</v>
      </c>
    </row>
    <row r="436" spans="1:22" ht="16.8" x14ac:dyDescent="0.3">
      <c r="A436" s="20">
        <v>43.6</v>
      </c>
      <c r="B436" s="20">
        <v>62</v>
      </c>
      <c r="C436" s="20">
        <v>62.44</v>
      </c>
      <c r="D436" s="20">
        <v>-0.44</v>
      </c>
      <c r="E436" s="20">
        <v>0.01</v>
      </c>
      <c r="F436" s="26">
        <v>1558.89</v>
      </c>
      <c r="Q436" s="20">
        <v>43.5</v>
      </c>
      <c r="R436" s="20">
        <v>61.94</v>
      </c>
      <c r="S436" s="26">
        <v>62</v>
      </c>
      <c r="T436" s="26">
        <v>0.06</v>
      </c>
      <c r="U436" s="26">
        <v>0.02</v>
      </c>
      <c r="V436" s="20">
        <v>1332.94</v>
      </c>
    </row>
    <row r="437" spans="1:22" ht="16.8" x14ac:dyDescent="0.3">
      <c r="A437" s="20">
        <v>43.7</v>
      </c>
      <c r="B437" s="20">
        <v>62</v>
      </c>
      <c r="C437" s="26">
        <v>62.47</v>
      </c>
      <c r="D437" s="20">
        <v>-0.47</v>
      </c>
      <c r="E437" s="20">
        <v>-0.02</v>
      </c>
      <c r="F437" s="20">
        <v>1539.03</v>
      </c>
      <c r="Q437" s="20">
        <v>43.6</v>
      </c>
      <c r="R437" s="20">
        <v>61.97</v>
      </c>
      <c r="S437" s="26">
        <v>62</v>
      </c>
      <c r="T437" s="20">
        <v>0.03</v>
      </c>
      <c r="U437" s="20">
        <v>-0.02</v>
      </c>
      <c r="V437" s="20">
        <v>1309.78</v>
      </c>
    </row>
    <row r="438" spans="1:22" ht="16.8" x14ac:dyDescent="0.3">
      <c r="A438" s="20">
        <v>43.8</v>
      </c>
      <c r="B438" s="20">
        <v>62</v>
      </c>
      <c r="C438" s="26">
        <v>62.45</v>
      </c>
      <c r="D438" s="20">
        <v>-0.45</v>
      </c>
      <c r="E438" s="20">
        <v>0.02</v>
      </c>
      <c r="F438" s="26">
        <v>1555.69</v>
      </c>
      <c r="Q438" s="20">
        <v>43.7</v>
      </c>
      <c r="R438" s="20">
        <v>61.99</v>
      </c>
      <c r="S438" s="20">
        <v>62</v>
      </c>
      <c r="T438" s="26">
        <v>0.01</v>
      </c>
      <c r="U438" s="26">
        <v>-0.02</v>
      </c>
      <c r="V438" s="20">
        <v>1305.95</v>
      </c>
    </row>
    <row r="439" spans="1:22" ht="16.8" x14ac:dyDescent="0.3">
      <c r="A439" s="20">
        <v>43.9</v>
      </c>
      <c r="B439" s="20">
        <v>62</v>
      </c>
      <c r="C439" s="20">
        <v>62.39</v>
      </c>
      <c r="D439" s="20">
        <v>-0.39</v>
      </c>
      <c r="E439" s="20">
        <v>0.06</v>
      </c>
      <c r="F439" s="20">
        <v>1593.77</v>
      </c>
      <c r="Q439" s="20">
        <v>43.8</v>
      </c>
      <c r="R439" s="20">
        <v>61.99</v>
      </c>
      <c r="S439" s="26">
        <v>62</v>
      </c>
      <c r="T439" s="20">
        <v>0.01</v>
      </c>
      <c r="U439" s="20">
        <v>0</v>
      </c>
      <c r="V439" s="20">
        <v>1315.67</v>
      </c>
    </row>
    <row r="440" spans="1:22" ht="16.8" x14ac:dyDescent="0.3">
      <c r="A440" s="20">
        <v>44</v>
      </c>
      <c r="B440" s="20">
        <v>62</v>
      </c>
      <c r="C440" s="26">
        <v>62.39</v>
      </c>
      <c r="D440" s="20">
        <v>-0.39</v>
      </c>
      <c r="E440" s="20">
        <v>0</v>
      </c>
      <c r="F440" s="26">
        <v>1592.18</v>
      </c>
      <c r="Q440" s="20">
        <v>43.9</v>
      </c>
      <c r="R440" s="20">
        <v>62.01</v>
      </c>
      <c r="S440" s="20">
        <v>62</v>
      </c>
      <c r="T440" s="26">
        <v>-0.01</v>
      </c>
      <c r="U440" s="26">
        <v>-0.02</v>
      </c>
      <c r="V440" s="20">
        <v>1306.6099999999999</v>
      </c>
    </row>
    <row r="441" spans="1:22" ht="16.8" x14ac:dyDescent="0.3">
      <c r="A441" s="20">
        <v>44.1</v>
      </c>
      <c r="B441" s="20">
        <v>62</v>
      </c>
      <c r="C441" s="20">
        <v>62.4</v>
      </c>
      <c r="D441" s="20">
        <v>-0.4</v>
      </c>
      <c r="E441" s="20">
        <v>0</v>
      </c>
      <c r="F441" s="26">
        <v>1590.62</v>
      </c>
      <c r="Q441" s="20">
        <v>44</v>
      </c>
      <c r="R441" s="20">
        <v>61.99</v>
      </c>
      <c r="S441" s="26">
        <v>62</v>
      </c>
      <c r="T441" s="26">
        <v>0.01</v>
      </c>
      <c r="U441" s="26">
        <v>0.02</v>
      </c>
      <c r="V441" s="20">
        <v>1322.14</v>
      </c>
    </row>
    <row r="442" spans="1:22" ht="16.8" x14ac:dyDescent="0.3">
      <c r="A442" s="20">
        <v>44.2</v>
      </c>
      <c r="B442" s="20">
        <v>62</v>
      </c>
      <c r="C442" s="26">
        <v>62.4</v>
      </c>
      <c r="D442" s="20">
        <v>-0.4</v>
      </c>
      <c r="E442" s="20">
        <v>0</v>
      </c>
      <c r="F442" s="20">
        <v>1588.62</v>
      </c>
      <c r="Q442" s="20">
        <v>44.1</v>
      </c>
      <c r="R442" s="20">
        <v>62.04</v>
      </c>
      <c r="S442" s="20">
        <v>62</v>
      </c>
      <c r="T442" s="26">
        <v>-0.04</v>
      </c>
      <c r="U442" s="20">
        <v>-0.05</v>
      </c>
      <c r="V442" s="20">
        <v>1288.47</v>
      </c>
    </row>
    <row r="443" spans="1:22" ht="16.8" x14ac:dyDescent="0.3">
      <c r="A443" s="20">
        <v>44.3</v>
      </c>
      <c r="B443" s="20">
        <v>62</v>
      </c>
      <c r="C443" s="26">
        <v>62.44</v>
      </c>
      <c r="D443" s="20">
        <v>-0.44</v>
      </c>
      <c r="E443" s="20">
        <v>-0.04</v>
      </c>
      <c r="F443" s="26">
        <v>1562.04</v>
      </c>
      <c r="Q443" s="20">
        <v>44.2</v>
      </c>
      <c r="R443" s="20">
        <v>62.02</v>
      </c>
      <c r="S443" s="26">
        <v>62</v>
      </c>
      <c r="T443" s="26">
        <v>-0.02</v>
      </c>
      <c r="U443" s="26">
        <v>0.02</v>
      </c>
      <c r="V443" s="20">
        <v>1316.85</v>
      </c>
    </row>
    <row r="444" spans="1:22" ht="16.8" x14ac:dyDescent="0.3">
      <c r="A444" s="20">
        <v>44.4</v>
      </c>
      <c r="B444" s="20">
        <v>62</v>
      </c>
      <c r="C444" s="20">
        <v>62.43</v>
      </c>
      <c r="D444" s="20">
        <v>-0.43</v>
      </c>
      <c r="E444" s="20">
        <v>0</v>
      </c>
      <c r="F444" s="26">
        <v>1565.18</v>
      </c>
      <c r="Q444" s="20">
        <v>44.3</v>
      </c>
      <c r="R444" s="20">
        <v>62.03</v>
      </c>
      <c r="S444" s="20">
        <v>62</v>
      </c>
      <c r="T444" s="26">
        <v>-0.03</v>
      </c>
      <c r="U444" s="20">
        <v>-0.01</v>
      </c>
      <c r="V444" s="20">
        <v>1305.79</v>
      </c>
    </row>
    <row r="445" spans="1:22" ht="16.8" x14ac:dyDescent="0.3">
      <c r="A445" s="20">
        <v>44.5</v>
      </c>
      <c r="B445" s="20">
        <v>62</v>
      </c>
      <c r="C445" s="26">
        <v>62.45</v>
      </c>
      <c r="D445" s="20">
        <v>-0.45</v>
      </c>
      <c r="E445" s="20">
        <v>-0.02</v>
      </c>
      <c r="F445" s="20">
        <v>1552.44</v>
      </c>
      <c r="Q445" s="20">
        <v>44.4</v>
      </c>
      <c r="R445" s="20">
        <v>62</v>
      </c>
      <c r="S445" s="26">
        <v>62</v>
      </c>
      <c r="T445" s="20">
        <v>0</v>
      </c>
      <c r="U445" s="26">
        <v>0.03</v>
      </c>
      <c r="V445" s="20">
        <v>1327.09</v>
      </c>
    </row>
    <row r="446" spans="1:22" ht="16.8" x14ac:dyDescent="0.3">
      <c r="A446" s="20">
        <v>44.6</v>
      </c>
      <c r="B446" s="20">
        <v>62</v>
      </c>
      <c r="C446" s="20">
        <v>62.45</v>
      </c>
      <c r="D446" s="20">
        <v>-0.45</v>
      </c>
      <c r="E446" s="20">
        <v>0</v>
      </c>
      <c r="F446" s="26">
        <v>1549.17</v>
      </c>
      <c r="Q446" s="20">
        <v>44.5</v>
      </c>
      <c r="R446" s="20">
        <v>62.05</v>
      </c>
      <c r="S446" s="20">
        <v>62</v>
      </c>
      <c r="T446" s="26">
        <v>-0.05</v>
      </c>
      <c r="U446" s="26">
        <v>-0.06</v>
      </c>
      <c r="V446" s="20">
        <v>1282.42</v>
      </c>
    </row>
    <row r="447" spans="1:22" ht="16.8" x14ac:dyDescent="0.3">
      <c r="A447" s="20">
        <v>44.7</v>
      </c>
      <c r="B447" s="20">
        <v>62</v>
      </c>
      <c r="C447" s="26">
        <v>62.45</v>
      </c>
      <c r="D447" s="20">
        <v>-0.45</v>
      </c>
      <c r="E447" s="20">
        <v>0</v>
      </c>
      <c r="F447" s="26">
        <v>1552.44</v>
      </c>
      <c r="Q447" s="20">
        <v>44.6</v>
      </c>
      <c r="R447" s="20">
        <v>62.01</v>
      </c>
      <c r="S447" s="26">
        <v>62</v>
      </c>
      <c r="T447" s="20">
        <v>-0.01</v>
      </c>
      <c r="U447" s="26">
        <v>0.04</v>
      </c>
      <c r="V447" s="20">
        <v>1327.59</v>
      </c>
    </row>
    <row r="448" spans="1:22" ht="16.8" x14ac:dyDescent="0.3">
      <c r="A448" s="20">
        <v>44.8</v>
      </c>
      <c r="B448" s="20">
        <v>62</v>
      </c>
      <c r="C448" s="26">
        <v>62.41</v>
      </c>
      <c r="D448" s="20">
        <v>-0.41</v>
      </c>
      <c r="E448" s="20">
        <v>0.04</v>
      </c>
      <c r="F448" s="20">
        <v>1580.15</v>
      </c>
      <c r="Q448" s="20">
        <v>44.7</v>
      </c>
      <c r="R448" s="20">
        <v>61.99</v>
      </c>
      <c r="S448" s="20">
        <v>62</v>
      </c>
      <c r="T448" s="26">
        <v>0.01</v>
      </c>
      <c r="U448" s="26">
        <v>0.02</v>
      </c>
      <c r="V448" s="20">
        <v>1325.01</v>
      </c>
    </row>
    <row r="449" spans="1:22" ht="16.8" x14ac:dyDescent="0.3">
      <c r="A449" s="20">
        <v>44.9</v>
      </c>
      <c r="B449" s="20">
        <v>62</v>
      </c>
      <c r="C449" s="20">
        <v>62.5</v>
      </c>
      <c r="D449" s="20">
        <v>-0.5</v>
      </c>
      <c r="E449" s="20">
        <v>-0.08</v>
      </c>
      <c r="F449" s="26">
        <v>1509.32</v>
      </c>
      <c r="Q449" s="20">
        <v>44.8</v>
      </c>
      <c r="R449" s="20">
        <v>61.95</v>
      </c>
      <c r="S449" s="20">
        <v>62</v>
      </c>
      <c r="T449" s="20">
        <v>0.05</v>
      </c>
      <c r="U449" s="26">
        <v>0.04</v>
      </c>
      <c r="V449" s="20">
        <v>1338.01</v>
      </c>
    </row>
    <row r="450" spans="1:22" ht="16.8" x14ac:dyDescent="0.3">
      <c r="A450" s="20">
        <v>45</v>
      </c>
      <c r="B450" s="20">
        <v>62</v>
      </c>
      <c r="C450" s="26">
        <v>62.49</v>
      </c>
      <c r="D450" s="20">
        <v>-0.49</v>
      </c>
      <c r="E450" s="20">
        <v>0</v>
      </c>
      <c r="F450" s="20">
        <v>1513.26</v>
      </c>
      <c r="Q450" s="20">
        <v>44.9</v>
      </c>
      <c r="R450" s="20">
        <v>61.97</v>
      </c>
      <c r="S450" s="26">
        <v>62</v>
      </c>
      <c r="T450" s="26">
        <v>0.03</v>
      </c>
      <c r="U450" s="26">
        <v>-0.02</v>
      </c>
      <c r="V450" s="20">
        <v>1312.91</v>
      </c>
    </row>
    <row r="451" spans="1:22" ht="16.8" x14ac:dyDescent="0.3">
      <c r="A451" s="20">
        <v>45.1</v>
      </c>
      <c r="B451" s="20">
        <v>62</v>
      </c>
      <c r="C451" s="20">
        <v>62.49</v>
      </c>
      <c r="D451" s="20">
        <v>-0.49</v>
      </c>
      <c r="E451" s="20">
        <v>0.01</v>
      </c>
      <c r="F451" s="26">
        <v>1520.92</v>
      </c>
      <c r="Q451" s="20">
        <v>45</v>
      </c>
      <c r="R451" s="20">
        <v>62.02</v>
      </c>
      <c r="S451" s="20">
        <v>62</v>
      </c>
      <c r="T451" s="20">
        <v>-0.02</v>
      </c>
      <c r="U451" s="26">
        <v>-0.06</v>
      </c>
      <c r="V451" s="20">
        <v>1287.7</v>
      </c>
    </row>
    <row r="452" spans="1:22" ht="16.8" x14ac:dyDescent="0.3">
      <c r="A452" s="20">
        <v>45.2</v>
      </c>
      <c r="B452" s="20">
        <v>62</v>
      </c>
      <c r="C452" s="26">
        <v>62.49</v>
      </c>
      <c r="D452" s="20">
        <v>-0.49</v>
      </c>
      <c r="E452" s="20">
        <v>-0.01</v>
      </c>
      <c r="F452" s="26">
        <v>1513.26</v>
      </c>
      <c r="Q452" s="20">
        <v>45.1</v>
      </c>
      <c r="R452" s="20">
        <v>62.03</v>
      </c>
      <c r="S452" s="26">
        <v>62</v>
      </c>
      <c r="T452" s="26">
        <v>-0.03</v>
      </c>
      <c r="U452" s="26">
        <v>-0.01</v>
      </c>
      <c r="V452" s="20">
        <v>1305.73</v>
      </c>
    </row>
    <row r="453" spans="1:22" ht="16.8" x14ac:dyDescent="0.3">
      <c r="A453" s="20">
        <v>45.3</v>
      </c>
      <c r="B453" s="20">
        <v>62</v>
      </c>
      <c r="C453" s="26">
        <v>62.49</v>
      </c>
      <c r="D453" s="20">
        <v>-0.49</v>
      </c>
      <c r="E453" s="20">
        <v>0</v>
      </c>
      <c r="F453" s="20">
        <v>1513.26</v>
      </c>
      <c r="Q453" s="20">
        <v>45.2</v>
      </c>
      <c r="R453" s="20">
        <v>62.02</v>
      </c>
      <c r="S453" s="20">
        <v>62</v>
      </c>
      <c r="T453" s="20">
        <v>-0.02</v>
      </c>
      <c r="U453" s="26">
        <v>0.01</v>
      </c>
      <c r="V453" s="20">
        <v>1313.42</v>
      </c>
    </row>
    <row r="454" spans="1:22" ht="16.8" x14ac:dyDescent="0.3">
      <c r="A454" s="20">
        <v>45.4</v>
      </c>
      <c r="B454" s="20">
        <v>62</v>
      </c>
      <c r="C454" s="20">
        <v>62.47</v>
      </c>
      <c r="D454" s="20">
        <v>-0.47</v>
      </c>
      <c r="E454" s="20">
        <v>0.02</v>
      </c>
      <c r="F454" s="26">
        <v>1531.98</v>
      </c>
      <c r="Q454" s="20">
        <v>45.3</v>
      </c>
      <c r="R454" s="20">
        <v>62.01</v>
      </c>
      <c r="S454" s="26">
        <v>62</v>
      </c>
      <c r="T454" s="26">
        <v>-0.01</v>
      </c>
      <c r="U454" s="26">
        <v>0.02</v>
      </c>
      <c r="V454" s="20">
        <v>1319.2</v>
      </c>
    </row>
    <row r="455" spans="1:22" ht="16.8" x14ac:dyDescent="0.3">
      <c r="A455" s="20">
        <v>45.5</v>
      </c>
      <c r="B455" s="20">
        <v>62</v>
      </c>
      <c r="C455" s="26">
        <v>62.49</v>
      </c>
      <c r="D455" s="20">
        <v>-0.49</v>
      </c>
      <c r="E455" s="20">
        <v>-0.02</v>
      </c>
      <c r="F455" s="26">
        <v>1513.26</v>
      </c>
      <c r="Q455" s="20">
        <v>45.4</v>
      </c>
      <c r="R455" s="20">
        <v>62.01</v>
      </c>
      <c r="S455" s="20">
        <v>62</v>
      </c>
      <c r="T455" s="26">
        <v>-0.01</v>
      </c>
      <c r="U455" s="26">
        <v>-0.01</v>
      </c>
      <c r="V455" s="20">
        <v>1308.19</v>
      </c>
    </row>
    <row r="456" spans="1:22" ht="16.8" x14ac:dyDescent="0.3">
      <c r="A456" s="20">
        <v>45.6</v>
      </c>
      <c r="B456" s="20">
        <v>62</v>
      </c>
      <c r="C456" s="20">
        <v>62.49</v>
      </c>
      <c r="D456" s="20">
        <v>-0.49</v>
      </c>
      <c r="E456" s="20">
        <v>0</v>
      </c>
      <c r="F456" s="20">
        <v>1517.12</v>
      </c>
      <c r="Q456" s="20">
        <v>45.5</v>
      </c>
      <c r="R456" s="20">
        <v>62.02</v>
      </c>
      <c r="S456" s="20">
        <v>62</v>
      </c>
      <c r="T456" s="20">
        <v>-0.02</v>
      </c>
      <c r="U456" s="26">
        <v>-0.01</v>
      </c>
      <c r="V456" s="20">
        <v>1306.8499999999999</v>
      </c>
    </row>
    <row r="457" spans="1:22" ht="16.8" x14ac:dyDescent="0.3">
      <c r="A457" s="20">
        <v>45.7</v>
      </c>
      <c r="B457" s="20">
        <v>62</v>
      </c>
      <c r="C457" s="26">
        <v>62.52</v>
      </c>
      <c r="D457" s="20">
        <v>-0.52</v>
      </c>
      <c r="E457" s="20">
        <v>-0.03</v>
      </c>
      <c r="F457" s="26">
        <v>1488.62</v>
      </c>
      <c r="Q457" s="20">
        <v>45.6</v>
      </c>
      <c r="R457" s="20">
        <v>62.01</v>
      </c>
      <c r="S457" s="26">
        <v>62</v>
      </c>
      <c r="T457" s="26">
        <v>-0.01</v>
      </c>
      <c r="U457" s="26">
        <v>0.02</v>
      </c>
      <c r="V457" s="20">
        <v>1319.1</v>
      </c>
    </row>
    <row r="458" spans="1:22" ht="16.8" x14ac:dyDescent="0.3">
      <c r="A458" s="20">
        <v>45.8</v>
      </c>
      <c r="B458" s="20">
        <v>62</v>
      </c>
      <c r="C458" s="26">
        <v>62.48</v>
      </c>
      <c r="D458" s="20">
        <v>-0.48</v>
      </c>
      <c r="E458" s="20">
        <v>0.04</v>
      </c>
      <c r="F458" s="20">
        <v>1528.34</v>
      </c>
      <c r="Q458" s="20">
        <v>45.7</v>
      </c>
      <c r="R458" s="20">
        <v>62.04</v>
      </c>
      <c r="S458" s="20">
        <v>62</v>
      </c>
      <c r="T458" s="20">
        <v>-0.04</v>
      </c>
      <c r="U458" s="26">
        <v>-0.03</v>
      </c>
      <c r="V458" s="20">
        <v>1294.47</v>
      </c>
    </row>
    <row r="459" spans="1:22" ht="16.8" x14ac:dyDescent="0.3">
      <c r="A459" s="20">
        <v>45.9</v>
      </c>
      <c r="B459" s="20">
        <v>62</v>
      </c>
      <c r="C459" s="20">
        <v>62.49</v>
      </c>
      <c r="D459" s="20">
        <v>-0.49</v>
      </c>
      <c r="E459" s="20">
        <v>-0.01</v>
      </c>
      <c r="F459" s="26">
        <v>1517.12</v>
      </c>
      <c r="Q459" s="20">
        <v>45.8</v>
      </c>
      <c r="R459" s="20">
        <v>61.97</v>
      </c>
      <c r="S459" s="26">
        <v>62</v>
      </c>
      <c r="T459" s="26">
        <v>0.03</v>
      </c>
      <c r="U459" s="20">
        <v>0.06</v>
      </c>
      <c r="V459" s="20">
        <v>1343.6</v>
      </c>
    </row>
    <row r="460" spans="1:22" ht="16.8" x14ac:dyDescent="0.3">
      <c r="A460" s="20">
        <v>46</v>
      </c>
      <c r="B460" s="20">
        <v>62</v>
      </c>
      <c r="C460" s="26">
        <v>62.49</v>
      </c>
      <c r="D460" s="20">
        <v>-0.49</v>
      </c>
      <c r="E460" s="20">
        <v>0</v>
      </c>
      <c r="F460" s="26">
        <v>1517.12</v>
      </c>
      <c r="Q460" s="20">
        <v>45.9</v>
      </c>
      <c r="R460" s="20">
        <v>61.93</v>
      </c>
      <c r="S460" s="20">
        <v>62</v>
      </c>
      <c r="T460" s="26">
        <v>7.0000000000000007E-2</v>
      </c>
      <c r="U460" s="26">
        <v>0.04</v>
      </c>
      <c r="V460" s="20">
        <v>1340.48</v>
      </c>
    </row>
    <row r="461" spans="1:22" ht="16.8" x14ac:dyDescent="0.3">
      <c r="A461" s="20">
        <v>46.1</v>
      </c>
      <c r="B461" s="20">
        <v>62</v>
      </c>
      <c r="C461" s="20">
        <v>62.51</v>
      </c>
      <c r="D461" s="20">
        <v>-0.51</v>
      </c>
      <c r="E461" s="20">
        <v>-0.02</v>
      </c>
      <c r="F461" s="20">
        <v>1492.92</v>
      </c>
      <c r="Q461" s="20">
        <v>46</v>
      </c>
      <c r="R461" s="20">
        <v>62.01</v>
      </c>
      <c r="S461" s="26">
        <v>62</v>
      </c>
      <c r="T461" s="26">
        <v>-0.01</v>
      </c>
      <c r="U461" s="26">
        <v>-0.08</v>
      </c>
      <c r="V461" s="20">
        <v>1279.1300000000001</v>
      </c>
    </row>
    <row r="462" spans="1:22" ht="16.8" x14ac:dyDescent="0.3">
      <c r="A462" s="20">
        <v>46.2</v>
      </c>
      <c r="B462" s="20">
        <v>62</v>
      </c>
      <c r="C462" s="26">
        <v>62.49</v>
      </c>
      <c r="D462" s="20">
        <v>-0.49</v>
      </c>
      <c r="E462" s="20">
        <v>0.02</v>
      </c>
      <c r="F462" s="26">
        <v>1513.26</v>
      </c>
      <c r="Q462" s="20">
        <v>46.1</v>
      </c>
      <c r="R462" s="20">
        <v>62.01</v>
      </c>
      <c r="S462" s="20">
        <v>62</v>
      </c>
      <c r="T462" s="20">
        <v>-0.01</v>
      </c>
      <c r="U462" s="26">
        <v>0.01</v>
      </c>
      <c r="V462" s="20">
        <v>1315.94</v>
      </c>
    </row>
    <row r="463" spans="1:22" ht="16.8" x14ac:dyDescent="0.3">
      <c r="A463" s="20">
        <v>46.3</v>
      </c>
      <c r="B463" s="20">
        <v>62</v>
      </c>
      <c r="C463" s="26">
        <v>62.47</v>
      </c>
      <c r="D463" s="20">
        <v>-0.47</v>
      </c>
      <c r="E463" s="20">
        <v>0.02</v>
      </c>
      <c r="F463" s="20">
        <v>1531.98</v>
      </c>
      <c r="Q463" s="20">
        <v>46.2</v>
      </c>
      <c r="R463" s="20">
        <v>62</v>
      </c>
      <c r="S463" s="20">
        <v>62</v>
      </c>
      <c r="T463" s="26">
        <v>0</v>
      </c>
      <c r="U463" s="26">
        <v>0.01</v>
      </c>
      <c r="V463" s="20">
        <v>1317.23</v>
      </c>
    </row>
    <row r="464" spans="1:22" ht="16.8" x14ac:dyDescent="0.3">
      <c r="A464" s="20">
        <v>46.4</v>
      </c>
      <c r="B464" s="20">
        <v>62</v>
      </c>
      <c r="C464" s="20">
        <v>62.49</v>
      </c>
      <c r="D464" s="20">
        <v>-0.49</v>
      </c>
      <c r="E464" s="20">
        <v>-0.02</v>
      </c>
      <c r="F464" s="26">
        <v>1513.26</v>
      </c>
      <c r="Q464" s="20">
        <v>46.3</v>
      </c>
      <c r="R464" s="20">
        <v>61.92</v>
      </c>
      <c r="S464" s="26">
        <v>62</v>
      </c>
      <c r="T464" s="26">
        <v>0.08</v>
      </c>
      <c r="U464" s="26">
        <v>0.08</v>
      </c>
      <c r="V464" s="20">
        <v>1359.36</v>
      </c>
    </row>
    <row r="465" spans="1:22" ht="16.8" x14ac:dyDescent="0.3">
      <c r="A465" s="20">
        <v>46.5</v>
      </c>
      <c r="B465" s="20">
        <v>62</v>
      </c>
      <c r="C465" s="26">
        <v>62.45</v>
      </c>
      <c r="D465" s="20">
        <v>-0.45</v>
      </c>
      <c r="E465" s="20">
        <v>0.04</v>
      </c>
      <c r="F465" s="26">
        <v>1552.44</v>
      </c>
      <c r="Q465" s="20">
        <v>46.4</v>
      </c>
      <c r="R465" s="20">
        <v>61.98</v>
      </c>
      <c r="S465" s="20">
        <v>62</v>
      </c>
      <c r="T465" s="26">
        <v>0.02</v>
      </c>
      <c r="U465" s="26">
        <v>-0.06</v>
      </c>
      <c r="V465" s="20">
        <v>1290.97</v>
      </c>
    </row>
    <row r="466" spans="1:22" ht="16.8" x14ac:dyDescent="0.3">
      <c r="A466" s="20">
        <v>46.6</v>
      </c>
      <c r="B466" s="20">
        <v>62</v>
      </c>
      <c r="C466" s="20">
        <v>62.46</v>
      </c>
      <c r="D466" s="20">
        <v>-0.46</v>
      </c>
      <c r="E466" s="20">
        <v>-0.01</v>
      </c>
      <c r="F466" s="20">
        <v>1545.85</v>
      </c>
      <c r="Q466" s="20">
        <v>46.5</v>
      </c>
      <c r="R466" s="20">
        <v>61.97</v>
      </c>
      <c r="S466" s="26">
        <v>62</v>
      </c>
      <c r="T466" s="26">
        <v>0.03</v>
      </c>
      <c r="U466" s="20">
        <v>0.02</v>
      </c>
      <c r="V466" s="20">
        <v>1325.92</v>
      </c>
    </row>
    <row r="467" spans="1:22" ht="16.8" x14ac:dyDescent="0.3">
      <c r="A467" s="20">
        <v>46.7</v>
      </c>
      <c r="B467" s="20">
        <v>62</v>
      </c>
      <c r="C467" s="26">
        <v>62.5</v>
      </c>
      <c r="D467" s="20">
        <v>-0.5</v>
      </c>
      <c r="E467" s="20">
        <v>-0.04</v>
      </c>
      <c r="F467" s="26">
        <v>1505.32</v>
      </c>
      <c r="Q467" s="20">
        <v>46.6</v>
      </c>
      <c r="R467" s="20">
        <v>62.02</v>
      </c>
      <c r="S467" s="20">
        <v>62</v>
      </c>
      <c r="T467" s="26">
        <v>-0.02</v>
      </c>
      <c r="U467" s="26">
        <v>-0.06</v>
      </c>
      <c r="V467" s="20">
        <v>1287.79</v>
      </c>
    </row>
    <row r="468" spans="1:22" ht="16.8" x14ac:dyDescent="0.3">
      <c r="A468" s="20">
        <v>46.8</v>
      </c>
      <c r="B468" s="20">
        <v>62</v>
      </c>
      <c r="C468" s="26">
        <v>62.45</v>
      </c>
      <c r="D468" s="20">
        <v>-0.45</v>
      </c>
      <c r="E468" s="20">
        <v>0.05</v>
      </c>
      <c r="F468" s="26">
        <v>1549.17</v>
      </c>
      <c r="Q468" s="20">
        <v>46.7</v>
      </c>
      <c r="R468" s="20">
        <v>62.02</v>
      </c>
      <c r="S468" s="26">
        <v>62</v>
      </c>
      <c r="T468" s="26">
        <v>-0.02</v>
      </c>
      <c r="U468" s="20">
        <v>0</v>
      </c>
      <c r="V468" s="20">
        <v>1310.3599999999999</v>
      </c>
    </row>
    <row r="469" spans="1:22" ht="16.8" x14ac:dyDescent="0.3">
      <c r="A469" s="20">
        <v>46.9</v>
      </c>
      <c r="B469" s="20">
        <v>62</v>
      </c>
      <c r="C469" s="20">
        <v>62.49</v>
      </c>
      <c r="D469" s="20">
        <v>-0.49</v>
      </c>
      <c r="E469" s="20">
        <v>-0.04</v>
      </c>
      <c r="F469" s="20">
        <v>1513.26</v>
      </c>
      <c r="Q469" s="20">
        <v>46.8</v>
      </c>
      <c r="R469" s="20">
        <v>62.05</v>
      </c>
      <c r="S469" s="20">
        <v>62</v>
      </c>
      <c r="T469" s="20">
        <v>-0.05</v>
      </c>
      <c r="U469" s="26">
        <v>-0.02</v>
      </c>
      <c r="V469" s="20">
        <v>1296.69</v>
      </c>
    </row>
    <row r="470" spans="1:22" ht="16.8" x14ac:dyDescent="0.3">
      <c r="A470" s="20">
        <v>47</v>
      </c>
      <c r="B470" s="20">
        <v>62</v>
      </c>
      <c r="C470" s="26">
        <v>62.51</v>
      </c>
      <c r="D470" s="20">
        <v>-0.51</v>
      </c>
      <c r="E470" s="20">
        <v>-0.02</v>
      </c>
      <c r="F470" s="26">
        <v>1497.14</v>
      </c>
      <c r="Q470" s="20">
        <v>46.9</v>
      </c>
      <c r="R470" s="20">
        <v>62.01</v>
      </c>
      <c r="S470" s="20">
        <v>62</v>
      </c>
      <c r="T470" s="26">
        <v>-0.01</v>
      </c>
      <c r="U470" s="26">
        <v>0.03</v>
      </c>
      <c r="V470" s="20">
        <v>1324.42</v>
      </c>
    </row>
    <row r="471" spans="1:22" ht="16.8" x14ac:dyDescent="0.3">
      <c r="A471" s="20">
        <v>47.1</v>
      </c>
      <c r="B471" s="20">
        <v>62</v>
      </c>
      <c r="C471" s="26">
        <v>62.44</v>
      </c>
      <c r="D471" s="20">
        <v>-0.44</v>
      </c>
      <c r="E471" s="20">
        <v>7.0000000000000007E-2</v>
      </c>
      <c r="F471" s="26">
        <v>1558.89</v>
      </c>
      <c r="Q471" s="20">
        <v>47</v>
      </c>
      <c r="R471" s="20">
        <v>61.98</v>
      </c>
      <c r="S471" s="26">
        <v>62</v>
      </c>
      <c r="T471" s="26">
        <v>0.02</v>
      </c>
      <c r="U471" s="26">
        <v>0.03</v>
      </c>
      <c r="V471" s="20">
        <v>1329.61</v>
      </c>
    </row>
    <row r="472" spans="1:22" ht="16.8" x14ac:dyDescent="0.3">
      <c r="A472" s="20">
        <v>47.2</v>
      </c>
      <c r="B472" s="20">
        <v>62</v>
      </c>
      <c r="C472" s="20">
        <v>62.49</v>
      </c>
      <c r="D472" s="20">
        <v>-0.49</v>
      </c>
      <c r="E472" s="20">
        <v>-0.05</v>
      </c>
      <c r="F472" s="20">
        <v>1517.12</v>
      </c>
      <c r="Q472" s="20">
        <v>47.1</v>
      </c>
      <c r="R472" s="20">
        <v>61.97</v>
      </c>
      <c r="S472" s="20">
        <v>62</v>
      </c>
      <c r="T472" s="26">
        <v>0.03</v>
      </c>
      <c r="U472" s="26">
        <v>0.02</v>
      </c>
      <c r="V472" s="20">
        <v>1325.79</v>
      </c>
    </row>
    <row r="473" spans="1:22" ht="16.8" x14ac:dyDescent="0.3">
      <c r="A473" s="20">
        <v>47.3</v>
      </c>
      <c r="B473" s="20">
        <v>62</v>
      </c>
      <c r="C473" s="26">
        <v>62.47</v>
      </c>
      <c r="D473" s="20">
        <v>-0.47</v>
      </c>
      <c r="E473" s="20">
        <v>0.02</v>
      </c>
      <c r="F473" s="26">
        <v>1539.03</v>
      </c>
      <c r="Q473" s="20">
        <v>47.2</v>
      </c>
      <c r="R473" s="20">
        <v>61.97</v>
      </c>
      <c r="S473" s="26">
        <v>62</v>
      </c>
      <c r="T473" s="26">
        <v>0.03</v>
      </c>
      <c r="U473" s="20">
        <v>-0.01</v>
      </c>
      <c r="V473" s="20">
        <v>1314.87</v>
      </c>
    </row>
    <row r="474" spans="1:22" ht="16.8" x14ac:dyDescent="0.3">
      <c r="A474" s="20">
        <v>47.4</v>
      </c>
      <c r="B474" s="20">
        <v>62</v>
      </c>
      <c r="C474" s="20">
        <v>62.45</v>
      </c>
      <c r="D474" s="20">
        <v>-0.45</v>
      </c>
      <c r="E474" s="20">
        <v>0.02</v>
      </c>
      <c r="F474" s="20">
        <v>1552.44</v>
      </c>
      <c r="Q474" s="20">
        <v>47.3</v>
      </c>
      <c r="R474" s="20">
        <v>62.02</v>
      </c>
      <c r="S474" s="20">
        <v>62</v>
      </c>
      <c r="T474" s="20">
        <v>-0.02</v>
      </c>
      <c r="U474" s="26">
        <v>-0.05</v>
      </c>
      <c r="V474" s="20">
        <v>1290.95</v>
      </c>
    </row>
    <row r="475" spans="1:22" ht="16.8" x14ac:dyDescent="0.3">
      <c r="A475" s="20">
        <v>47.5</v>
      </c>
      <c r="B475" s="20">
        <v>62</v>
      </c>
      <c r="C475" s="26">
        <v>62.52</v>
      </c>
      <c r="D475" s="20">
        <v>-0.52</v>
      </c>
      <c r="E475" s="20">
        <v>-7.0000000000000007E-2</v>
      </c>
      <c r="F475" s="26">
        <v>1484.21</v>
      </c>
      <c r="Q475" s="20">
        <v>47.4</v>
      </c>
      <c r="R475" s="20">
        <v>62.01</v>
      </c>
      <c r="S475" s="26">
        <v>62</v>
      </c>
      <c r="T475" s="26">
        <v>-0.01</v>
      </c>
      <c r="U475" s="26">
        <v>0.02</v>
      </c>
      <c r="V475" s="20">
        <v>1319.35</v>
      </c>
    </row>
    <row r="476" spans="1:22" ht="16.8" x14ac:dyDescent="0.3">
      <c r="A476" s="20">
        <v>47.6</v>
      </c>
      <c r="B476" s="20">
        <v>62</v>
      </c>
      <c r="C476" s="26">
        <v>62.5</v>
      </c>
      <c r="D476" s="20">
        <v>-0.5</v>
      </c>
      <c r="E476" s="20">
        <v>0.02</v>
      </c>
      <c r="F476" s="26">
        <v>1505.32</v>
      </c>
      <c r="Q476" s="20">
        <v>47.5</v>
      </c>
      <c r="R476" s="20">
        <v>62.03</v>
      </c>
      <c r="S476" s="20">
        <v>62</v>
      </c>
      <c r="T476" s="20">
        <v>-0.03</v>
      </c>
      <c r="U476" s="26">
        <v>-0.02</v>
      </c>
      <c r="V476" s="20">
        <v>1299.27</v>
      </c>
    </row>
    <row r="477" spans="1:22" ht="16.8" x14ac:dyDescent="0.3">
      <c r="A477" s="20">
        <v>47.7</v>
      </c>
      <c r="B477" s="20">
        <v>62</v>
      </c>
      <c r="C477" s="20">
        <v>62.51</v>
      </c>
      <c r="D477" s="20">
        <v>-0.51</v>
      </c>
      <c r="E477" s="20">
        <v>0</v>
      </c>
      <c r="F477" s="20">
        <v>1501.27</v>
      </c>
      <c r="Q477" s="20">
        <v>47.6</v>
      </c>
      <c r="R477" s="20">
        <v>62</v>
      </c>
      <c r="S477" s="26">
        <v>62</v>
      </c>
      <c r="T477" s="26">
        <v>0</v>
      </c>
      <c r="U477" s="26">
        <v>0.03</v>
      </c>
      <c r="V477" s="20">
        <v>1327.03</v>
      </c>
    </row>
    <row r="478" spans="1:22" ht="16.8" x14ac:dyDescent="0.3">
      <c r="A478" s="20">
        <v>47.8</v>
      </c>
      <c r="B478" s="20">
        <v>62</v>
      </c>
      <c r="C478" s="26">
        <v>62.45</v>
      </c>
      <c r="D478" s="20">
        <v>-0.45</v>
      </c>
      <c r="E478" s="20">
        <v>0.05</v>
      </c>
      <c r="F478" s="26">
        <v>1549.17</v>
      </c>
      <c r="Q478" s="20">
        <v>47.7</v>
      </c>
      <c r="R478" s="20">
        <v>61.97</v>
      </c>
      <c r="S478" s="20">
        <v>62</v>
      </c>
      <c r="T478" s="26">
        <v>0.03</v>
      </c>
      <c r="U478" s="26">
        <v>0.02</v>
      </c>
      <c r="V478" s="20">
        <v>1327.72</v>
      </c>
    </row>
    <row r="479" spans="1:22" ht="16.8" x14ac:dyDescent="0.3">
      <c r="A479" s="20">
        <v>47.9</v>
      </c>
      <c r="B479" s="20">
        <v>62</v>
      </c>
      <c r="C479" s="26">
        <v>62.49</v>
      </c>
      <c r="D479" s="20">
        <v>-0.49</v>
      </c>
      <c r="E479" s="20">
        <v>-0.03</v>
      </c>
      <c r="F479" s="26">
        <v>1520.92</v>
      </c>
      <c r="Q479" s="20">
        <v>47.8</v>
      </c>
      <c r="R479" s="20">
        <v>61.98</v>
      </c>
      <c r="S479" s="26">
        <v>62</v>
      </c>
      <c r="T479" s="26">
        <v>0.02</v>
      </c>
      <c r="U479" s="26">
        <v>-0.01</v>
      </c>
      <c r="V479" s="20">
        <v>1313.55</v>
      </c>
    </row>
    <row r="480" spans="1:22" ht="16.8" x14ac:dyDescent="0.3">
      <c r="A480" s="20">
        <v>48</v>
      </c>
      <c r="B480" s="20">
        <v>62</v>
      </c>
      <c r="C480" s="20">
        <v>62.47</v>
      </c>
      <c r="D480" s="20">
        <v>-0.47</v>
      </c>
      <c r="E480" s="20">
        <v>0.01</v>
      </c>
      <c r="F480" s="20">
        <v>1531.98</v>
      </c>
      <c r="Q480" s="20">
        <v>47.9</v>
      </c>
      <c r="R480" s="20">
        <v>61.97</v>
      </c>
      <c r="S480" s="20">
        <v>62</v>
      </c>
      <c r="T480" s="26">
        <v>0.03</v>
      </c>
      <c r="U480" s="26">
        <v>0.01</v>
      </c>
      <c r="V480" s="20">
        <v>1321.36</v>
      </c>
    </row>
    <row r="481" spans="1:22" ht="16.8" x14ac:dyDescent="0.3">
      <c r="A481" s="20">
        <v>48.1</v>
      </c>
      <c r="B481" s="20">
        <v>62</v>
      </c>
      <c r="C481" s="26">
        <v>62.5</v>
      </c>
      <c r="D481" s="20">
        <v>-0.5</v>
      </c>
      <c r="E481" s="20">
        <v>-0.02</v>
      </c>
      <c r="F481" s="26">
        <v>1509.32</v>
      </c>
      <c r="Q481" s="20">
        <v>48</v>
      </c>
      <c r="R481" s="20">
        <v>61.96</v>
      </c>
      <c r="S481" s="20">
        <v>62</v>
      </c>
      <c r="T481" s="26">
        <v>0.04</v>
      </c>
      <c r="U481" s="26">
        <v>0.02</v>
      </c>
      <c r="V481" s="20">
        <v>1327.26</v>
      </c>
    </row>
    <row r="482" spans="1:22" ht="16.8" x14ac:dyDescent="0.3">
      <c r="A482" s="20">
        <v>48.2</v>
      </c>
      <c r="B482" s="20">
        <v>62</v>
      </c>
      <c r="C482" s="20">
        <v>62.44</v>
      </c>
      <c r="D482" s="20">
        <v>-0.44</v>
      </c>
      <c r="E482" s="20">
        <v>0.06</v>
      </c>
      <c r="F482" s="20">
        <v>1558.89</v>
      </c>
      <c r="Q482" s="20">
        <v>48.1</v>
      </c>
      <c r="R482" s="20">
        <v>62.05</v>
      </c>
      <c r="S482" s="26">
        <v>62</v>
      </c>
      <c r="T482" s="26">
        <v>-0.05</v>
      </c>
      <c r="U482" s="26">
        <v>-0.09</v>
      </c>
      <c r="V482" s="20">
        <v>1271</v>
      </c>
    </row>
    <row r="483" spans="1:22" ht="16.8" x14ac:dyDescent="0.3">
      <c r="A483" s="20">
        <v>48.3</v>
      </c>
      <c r="B483" s="20">
        <v>62</v>
      </c>
      <c r="C483" s="26">
        <v>62.5</v>
      </c>
      <c r="D483" s="20">
        <v>-0.5</v>
      </c>
      <c r="E483" s="20">
        <v>-0.06</v>
      </c>
      <c r="F483" s="26">
        <v>1505.32</v>
      </c>
      <c r="Q483" s="20">
        <v>48.2</v>
      </c>
      <c r="R483" s="20">
        <v>62.01</v>
      </c>
      <c r="S483" s="20">
        <v>62</v>
      </c>
      <c r="T483" s="26">
        <v>-0.01</v>
      </c>
      <c r="U483" s="26">
        <v>0.03</v>
      </c>
      <c r="V483" s="20">
        <v>1324.58</v>
      </c>
    </row>
    <row r="484" spans="1:22" ht="16.8" x14ac:dyDescent="0.3">
      <c r="A484" s="20">
        <v>48.4</v>
      </c>
      <c r="B484" s="20">
        <v>62</v>
      </c>
      <c r="C484" s="20">
        <v>62.49</v>
      </c>
      <c r="D484" s="20">
        <v>-0.49</v>
      </c>
      <c r="E484" s="20">
        <v>0.01</v>
      </c>
      <c r="F484" s="26">
        <v>1513.26</v>
      </c>
      <c r="Q484" s="20">
        <v>48.3</v>
      </c>
      <c r="R484" s="20">
        <v>62.01</v>
      </c>
      <c r="S484" s="26">
        <v>62</v>
      </c>
      <c r="T484" s="26">
        <v>-0.01</v>
      </c>
      <c r="U484" s="26">
        <v>0</v>
      </c>
      <c r="V484" s="20">
        <v>1311.62</v>
      </c>
    </row>
    <row r="485" spans="1:22" ht="16.8" x14ac:dyDescent="0.3">
      <c r="A485" s="20">
        <v>48.5</v>
      </c>
      <c r="B485" s="20">
        <v>62</v>
      </c>
      <c r="C485" s="26">
        <v>62.49</v>
      </c>
      <c r="D485" s="20">
        <v>-0.49</v>
      </c>
      <c r="E485" s="20">
        <v>0</v>
      </c>
      <c r="F485" s="20">
        <v>1517.12</v>
      </c>
      <c r="Q485" s="20">
        <v>48.4</v>
      </c>
      <c r="R485" s="20">
        <v>61.99</v>
      </c>
      <c r="S485" s="20">
        <v>62</v>
      </c>
      <c r="T485" s="26">
        <v>0.01</v>
      </c>
      <c r="U485" s="26">
        <v>0.02</v>
      </c>
      <c r="V485" s="20">
        <v>1325.2</v>
      </c>
    </row>
    <row r="486" spans="1:22" ht="16.8" x14ac:dyDescent="0.3">
      <c r="A486" s="20">
        <v>48.6</v>
      </c>
      <c r="B486" s="20">
        <v>62</v>
      </c>
      <c r="C486" s="26">
        <v>62.49</v>
      </c>
      <c r="D486" s="20">
        <v>-0.49</v>
      </c>
      <c r="E486" s="20">
        <v>0</v>
      </c>
      <c r="F486" s="26">
        <v>1517.12</v>
      </c>
      <c r="Q486" s="20">
        <v>48.5</v>
      </c>
      <c r="R486" s="20">
        <v>62.01</v>
      </c>
      <c r="S486" s="26">
        <v>62</v>
      </c>
      <c r="T486" s="20">
        <v>-0.01</v>
      </c>
      <c r="U486" s="26">
        <v>-0.02</v>
      </c>
      <c r="V486" s="20">
        <v>1306.45</v>
      </c>
    </row>
    <row r="487" spans="1:22" ht="16.8" x14ac:dyDescent="0.3">
      <c r="A487" s="20">
        <v>48.7</v>
      </c>
      <c r="B487" s="20">
        <v>62</v>
      </c>
      <c r="C487" s="20">
        <v>62.48</v>
      </c>
      <c r="D487" s="20">
        <v>-0.48</v>
      </c>
      <c r="E487" s="20">
        <v>0.01</v>
      </c>
      <c r="F487" s="26">
        <v>1528.34</v>
      </c>
      <c r="Q487" s="20">
        <v>48.6</v>
      </c>
      <c r="R487" s="20">
        <v>62.01</v>
      </c>
      <c r="S487" s="20">
        <v>62</v>
      </c>
      <c r="T487" s="26">
        <v>-0.01</v>
      </c>
      <c r="U487" s="26">
        <v>-0.01</v>
      </c>
      <c r="V487" s="20">
        <v>1308.3599999999999</v>
      </c>
    </row>
    <row r="488" spans="1:22" ht="16.8" x14ac:dyDescent="0.3">
      <c r="A488" s="20">
        <v>48.8</v>
      </c>
      <c r="B488" s="20">
        <v>62</v>
      </c>
      <c r="C488" s="26">
        <v>62.48</v>
      </c>
      <c r="D488" s="20">
        <v>-0.48</v>
      </c>
      <c r="E488" s="20">
        <v>0</v>
      </c>
      <c r="F488" s="20">
        <v>1524.65</v>
      </c>
      <c r="Q488" s="20">
        <v>48.7</v>
      </c>
      <c r="R488" s="20">
        <v>61.99</v>
      </c>
      <c r="S488" s="26">
        <v>62</v>
      </c>
      <c r="T488" s="26">
        <v>0.01</v>
      </c>
      <c r="U488" s="20">
        <v>0.02</v>
      </c>
      <c r="V488" s="20">
        <v>1325.17</v>
      </c>
    </row>
    <row r="489" spans="1:22" ht="16.8" x14ac:dyDescent="0.3">
      <c r="A489" s="20">
        <v>48.9</v>
      </c>
      <c r="B489" s="20">
        <v>62</v>
      </c>
      <c r="C489" s="20">
        <v>62.49</v>
      </c>
      <c r="D489" s="20">
        <v>-0.49</v>
      </c>
      <c r="E489" s="20">
        <v>-0.01</v>
      </c>
      <c r="F489" s="26">
        <v>1517.12</v>
      </c>
      <c r="Q489" s="20">
        <v>48.8</v>
      </c>
      <c r="R489" s="20">
        <v>62.04</v>
      </c>
      <c r="S489" s="20">
        <v>62</v>
      </c>
      <c r="T489" s="26">
        <v>-0.04</v>
      </c>
      <c r="U489" s="26">
        <v>-0.05</v>
      </c>
      <c r="V489" s="20">
        <v>1288.27</v>
      </c>
    </row>
    <row r="490" spans="1:22" ht="16.8" x14ac:dyDescent="0.3">
      <c r="A490" s="20">
        <v>49</v>
      </c>
      <c r="B490" s="20">
        <v>62</v>
      </c>
      <c r="C490" s="26">
        <v>62.49</v>
      </c>
      <c r="D490" s="20">
        <v>-0.49</v>
      </c>
      <c r="E490" s="20">
        <v>0</v>
      </c>
      <c r="F490" s="20">
        <v>1520.92</v>
      </c>
      <c r="Q490" s="20">
        <v>48.9</v>
      </c>
      <c r="R490" s="20">
        <v>62.01</v>
      </c>
      <c r="S490" s="26">
        <v>62</v>
      </c>
      <c r="T490" s="26">
        <v>-0.01</v>
      </c>
      <c r="U490" s="20">
        <v>0.03</v>
      </c>
      <c r="V490" s="20">
        <v>1325.72</v>
      </c>
    </row>
    <row r="491" spans="1:22" ht="16.8" x14ac:dyDescent="0.3">
      <c r="A491" s="20">
        <v>49.1</v>
      </c>
      <c r="B491" s="20">
        <v>62</v>
      </c>
      <c r="C491" s="26">
        <v>62.48</v>
      </c>
      <c r="D491" s="20">
        <v>-0.48</v>
      </c>
      <c r="E491" s="20">
        <v>0</v>
      </c>
      <c r="F491" s="26">
        <v>1524.65</v>
      </c>
      <c r="Q491" s="20">
        <v>49</v>
      </c>
      <c r="R491" s="20">
        <v>61.99</v>
      </c>
      <c r="S491" s="20">
        <v>62</v>
      </c>
      <c r="T491" s="26">
        <v>0.01</v>
      </c>
      <c r="U491" s="26">
        <v>0.02</v>
      </c>
      <c r="V491" s="20">
        <v>1321.85</v>
      </c>
    </row>
    <row r="492" spans="1:22" ht="16.8" x14ac:dyDescent="0.3">
      <c r="A492" s="20">
        <v>49.2</v>
      </c>
      <c r="B492" s="20">
        <v>62</v>
      </c>
      <c r="C492" s="20">
        <v>62.47</v>
      </c>
      <c r="D492" s="20">
        <v>-0.47</v>
      </c>
      <c r="E492" s="20">
        <v>0.01</v>
      </c>
      <c r="F492" s="26">
        <v>1535.53</v>
      </c>
      <c r="Q492" s="20">
        <v>49.1</v>
      </c>
      <c r="R492" s="20">
        <v>62</v>
      </c>
      <c r="S492" s="20">
        <v>62</v>
      </c>
      <c r="T492" s="26">
        <v>0</v>
      </c>
      <c r="U492" s="26">
        <v>-0.01</v>
      </c>
      <c r="V492" s="20">
        <v>1310.87</v>
      </c>
    </row>
    <row r="493" spans="1:22" ht="16.8" x14ac:dyDescent="0.3">
      <c r="A493" s="20">
        <v>49.3</v>
      </c>
      <c r="B493" s="20">
        <v>62</v>
      </c>
      <c r="C493" s="26">
        <v>62.43</v>
      </c>
      <c r="D493" s="20">
        <v>-0.43</v>
      </c>
      <c r="E493" s="20">
        <v>0.04</v>
      </c>
      <c r="F493" s="20">
        <v>1568.26</v>
      </c>
      <c r="Q493" s="20">
        <v>49.2</v>
      </c>
      <c r="R493" s="20">
        <v>62.01</v>
      </c>
      <c r="S493" s="26">
        <v>62</v>
      </c>
      <c r="T493" s="26">
        <v>-0.01</v>
      </c>
      <c r="U493" s="26">
        <v>-0.02</v>
      </c>
      <c r="V493" s="20">
        <v>1305.04</v>
      </c>
    </row>
    <row r="494" spans="1:22" ht="16.8" x14ac:dyDescent="0.3">
      <c r="A494" s="20">
        <v>49.4</v>
      </c>
      <c r="B494" s="20">
        <v>62</v>
      </c>
      <c r="C494" s="20">
        <v>62.49</v>
      </c>
      <c r="D494" s="20">
        <v>-0.49</v>
      </c>
      <c r="E494" s="20">
        <v>-0.06</v>
      </c>
      <c r="F494" s="26">
        <v>1513.26</v>
      </c>
      <c r="Q494" s="20">
        <v>49.3</v>
      </c>
      <c r="R494" s="20">
        <v>62</v>
      </c>
      <c r="S494" s="20">
        <v>62</v>
      </c>
      <c r="T494" s="26">
        <v>0</v>
      </c>
      <c r="U494" s="26">
        <v>0.02</v>
      </c>
      <c r="V494" s="20">
        <v>1320.53</v>
      </c>
    </row>
    <row r="495" spans="1:22" ht="16.8" x14ac:dyDescent="0.3">
      <c r="A495" s="20">
        <v>49.5</v>
      </c>
      <c r="B495" s="20">
        <v>62</v>
      </c>
      <c r="C495" s="26">
        <v>62.45</v>
      </c>
      <c r="D495" s="20">
        <v>-0.45</v>
      </c>
      <c r="E495" s="20">
        <v>0.04</v>
      </c>
      <c r="F495" s="26">
        <v>1552.44</v>
      </c>
      <c r="Q495" s="20">
        <v>49.4</v>
      </c>
      <c r="R495" s="20">
        <v>62.07</v>
      </c>
      <c r="S495" s="26">
        <v>62</v>
      </c>
      <c r="T495" s="26">
        <v>-7.0000000000000007E-2</v>
      </c>
      <c r="U495" s="26">
        <v>-7.0000000000000007E-2</v>
      </c>
      <c r="V495" s="20">
        <v>1273.25</v>
      </c>
    </row>
    <row r="496" spans="1:22" ht="16.8" x14ac:dyDescent="0.3">
      <c r="A496" s="20">
        <v>49.6</v>
      </c>
      <c r="B496" s="20">
        <v>62</v>
      </c>
      <c r="C496" s="26">
        <v>62.47</v>
      </c>
      <c r="D496" s="20">
        <v>-0.47</v>
      </c>
      <c r="E496" s="20">
        <v>-0.02</v>
      </c>
      <c r="F496" s="20">
        <v>1539.03</v>
      </c>
      <c r="Q496" s="20">
        <v>49.5</v>
      </c>
      <c r="R496" s="20">
        <v>61.99</v>
      </c>
      <c r="S496" s="20">
        <v>62</v>
      </c>
      <c r="T496" s="26">
        <v>0.01</v>
      </c>
      <c r="U496" s="26">
        <v>0.08</v>
      </c>
      <c r="V496" s="20">
        <v>1347.53</v>
      </c>
    </row>
    <row r="497" spans="1:22" ht="16.8" x14ac:dyDescent="0.3">
      <c r="A497" s="20">
        <v>49.7</v>
      </c>
      <c r="B497" s="20">
        <v>62</v>
      </c>
      <c r="C497" s="20">
        <v>62.47</v>
      </c>
      <c r="D497" s="20">
        <v>-0.47</v>
      </c>
      <c r="E497" s="20">
        <v>0</v>
      </c>
      <c r="F497" s="26">
        <v>1535.53</v>
      </c>
      <c r="Q497" s="20">
        <v>49.6</v>
      </c>
      <c r="R497" s="20">
        <v>62.03</v>
      </c>
      <c r="S497" s="26">
        <v>62</v>
      </c>
      <c r="T497" s="26">
        <v>-0.03</v>
      </c>
      <c r="U497" s="26">
        <v>-0.04</v>
      </c>
      <c r="V497" s="20">
        <v>1292.55</v>
      </c>
    </row>
    <row r="498" spans="1:22" ht="16.8" x14ac:dyDescent="0.3">
      <c r="A498" s="20">
        <v>49.8</v>
      </c>
      <c r="B498" s="20">
        <v>62</v>
      </c>
      <c r="C498" s="26">
        <v>62.46</v>
      </c>
      <c r="D498" s="20">
        <v>-0.46</v>
      </c>
      <c r="E498" s="20">
        <v>0.01</v>
      </c>
      <c r="F498" s="26">
        <v>1545.85</v>
      </c>
      <c r="Q498" s="20">
        <v>49.7</v>
      </c>
      <c r="R498" s="20">
        <v>61.99</v>
      </c>
      <c r="S498" s="20">
        <v>62</v>
      </c>
      <c r="T498" s="20">
        <v>0.01</v>
      </c>
      <c r="U498" s="26">
        <v>0.04</v>
      </c>
      <c r="V498" s="20">
        <v>1331.32</v>
      </c>
    </row>
    <row r="499" spans="1:22" ht="16.8" x14ac:dyDescent="0.3">
      <c r="A499" s="20">
        <v>49.9</v>
      </c>
      <c r="B499" s="20">
        <v>62</v>
      </c>
      <c r="C499" s="26">
        <v>62.46</v>
      </c>
      <c r="D499" s="20">
        <v>-0.46</v>
      </c>
      <c r="E499" s="20">
        <v>0</v>
      </c>
      <c r="F499" s="20">
        <v>1545.85</v>
      </c>
      <c r="Q499" s="20">
        <v>49.8</v>
      </c>
      <c r="R499" s="20">
        <v>62.05</v>
      </c>
      <c r="S499" s="26">
        <v>62</v>
      </c>
      <c r="T499" s="26">
        <v>-0.05</v>
      </c>
      <c r="U499" s="20">
        <v>-0.06</v>
      </c>
      <c r="V499" s="20">
        <v>1283.42</v>
      </c>
    </row>
    <row r="500" spans="1:22" ht="16.8" x14ac:dyDescent="0.3">
      <c r="A500" s="20">
        <v>50</v>
      </c>
      <c r="B500" s="20">
        <v>62</v>
      </c>
      <c r="C500" s="20">
        <v>62.41</v>
      </c>
      <c r="D500" s="20">
        <v>-0.41</v>
      </c>
      <c r="E500" s="20">
        <v>0.05</v>
      </c>
      <c r="F500" s="26">
        <v>1585.83</v>
      </c>
      <c r="Q500" s="20">
        <v>49.9</v>
      </c>
      <c r="R500" s="20">
        <v>62.04</v>
      </c>
      <c r="S500" s="20">
        <v>62</v>
      </c>
      <c r="T500" s="26">
        <v>-0.04</v>
      </c>
      <c r="U500" s="26">
        <v>0.01</v>
      </c>
      <c r="V500" s="20">
        <v>1310.47</v>
      </c>
    </row>
    <row r="501" spans="1:22" ht="16.8" x14ac:dyDescent="0.3">
      <c r="A501" s="20">
        <v>50.1</v>
      </c>
      <c r="B501" s="20">
        <v>62</v>
      </c>
      <c r="C501" s="26">
        <v>62.41</v>
      </c>
      <c r="D501" s="20">
        <v>-0.41</v>
      </c>
      <c r="E501" s="20">
        <v>0</v>
      </c>
      <c r="F501" s="26">
        <v>1585.83</v>
      </c>
      <c r="Q501" s="20">
        <v>50</v>
      </c>
      <c r="R501" s="20">
        <v>62.03</v>
      </c>
      <c r="S501" s="26">
        <v>62</v>
      </c>
      <c r="T501" s="26">
        <v>-0.03</v>
      </c>
      <c r="U501" s="26">
        <v>0.01</v>
      </c>
      <c r="V501" s="20">
        <v>1311.69</v>
      </c>
    </row>
    <row r="502" spans="1:22" ht="16.8" x14ac:dyDescent="0.3">
      <c r="A502" s="20">
        <v>50.2</v>
      </c>
      <c r="B502" s="20">
        <v>62</v>
      </c>
      <c r="C502" s="20">
        <v>62.41</v>
      </c>
      <c r="D502" s="20">
        <v>-0.41</v>
      </c>
      <c r="E502" s="20">
        <v>0</v>
      </c>
      <c r="F502" s="20">
        <v>1585.83</v>
      </c>
      <c r="Q502" s="20">
        <v>50.1</v>
      </c>
      <c r="R502" s="20">
        <v>62.05</v>
      </c>
      <c r="S502" s="20">
        <v>62</v>
      </c>
      <c r="T502" s="26">
        <v>-0.05</v>
      </c>
      <c r="U502" s="26">
        <v>-0.02</v>
      </c>
      <c r="V502" s="20">
        <v>1294.77</v>
      </c>
    </row>
    <row r="503" spans="1:22" ht="16.8" x14ac:dyDescent="0.3">
      <c r="A503" s="20">
        <v>50.3</v>
      </c>
      <c r="B503" s="20">
        <v>62</v>
      </c>
      <c r="C503" s="26">
        <v>62.4</v>
      </c>
      <c r="D503" s="20">
        <v>-0.4</v>
      </c>
      <c r="E503" s="20">
        <v>0.01</v>
      </c>
      <c r="F503" s="26">
        <v>1590.62</v>
      </c>
      <c r="Q503" s="20">
        <v>50.2</v>
      </c>
      <c r="R503" s="20">
        <v>62.01</v>
      </c>
      <c r="S503" s="26">
        <v>62</v>
      </c>
      <c r="T503" s="26">
        <v>-0.01</v>
      </c>
      <c r="U503" s="26">
        <v>0.05</v>
      </c>
      <c r="V503" s="20">
        <v>1331.55</v>
      </c>
    </row>
    <row r="504" spans="1:22" ht="16.8" x14ac:dyDescent="0.3">
      <c r="A504" s="20">
        <v>50.4</v>
      </c>
      <c r="B504" s="20">
        <v>62</v>
      </c>
      <c r="C504" s="20">
        <v>62.44</v>
      </c>
      <c r="D504" s="20">
        <v>-0.44</v>
      </c>
      <c r="E504" s="20">
        <v>-0.04</v>
      </c>
      <c r="F504" s="20">
        <v>1558.89</v>
      </c>
      <c r="Q504" s="20">
        <v>50.3</v>
      </c>
      <c r="R504" s="20">
        <v>62.04</v>
      </c>
      <c r="S504" s="20">
        <v>62</v>
      </c>
      <c r="T504" s="26">
        <v>-0.04</v>
      </c>
      <c r="U504" s="26">
        <v>-0.03</v>
      </c>
      <c r="V504" s="20">
        <v>1294</v>
      </c>
    </row>
    <row r="505" spans="1:22" ht="16.8" x14ac:dyDescent="0.3">
      <c r="A505" s="20">
        <v>50.5</v>
      </c>
      <c r="B505" s="20">
        <v>62</v>
      </c>
      <c r="C505" s="26">
        <v>62.44</v>
      </c>
      <c r="D505" s="20">
        <v>-0.44</v>
      </c>
      <c r="E505" s="20">
        <v>0</v>
      </c>
      <c r="F505" s="26">
        <v>1562.04</v>
      </c>
      <c r="Q505" s="20">
        <v>50.4</v>
      </c>
      <c r="R505" s="20">
        <v>62.01</v>
      </c>
      <c r="S505" s="20">
        <v>62</v>
      </c>
      <c r="T505" s="20">
        <v>-0.01</v>
      </c>
      <c r="U505" s="20">
        <v>0.03</v>
      </c>
      <c r="V505" s="20">
        <v>1324.98</v>
      </c>
    </row>
    <row r="506" spans="1:22" ht="16.8" x14ac:dyDescent="0.3">
      <c r="A506" s="20">
        <v>50.6</v>
      </c>
      <c r="B506" s="20">
        <v>62</v>
      </c>
      <c r="C506" s="26">
        <v>62.39</v>
      </c>
      <c r="D506" s="20">
        <v>-0.39</v>
      </c>
      <c r="E506" s="20">
        <v>0.05</v>
      </c>
      <c r="F506" s="26">
        <v>1593.77</v>
      </c>
      <c r="Q506" s="20">
        <v>50.5</v>
      </c>
      <c r="R506" s="20">
        <v>62.01</v>
      </c>
      <c r="S506" s="26">
        <v>62</v>
      </c>
      <c r="T506" s="26">
        <v>-0.01</v>
      </c>
      <c r="U506" s="26">
        <v>-0.01</v>
      </c>
      <c r="V506" s="20">
        <v>1307.5</v>
      </c>
    </row>
    <row r="507" spans="1:22" ht="16.8" x14ac:dyDescent="0.3">
      <c r="A507" s="20">
        <v>50.7</v>
      </c>
      <c r="B507" s="20">
        <v>62</v>
      </c>
      <c r="C507" s="20">
        <v>62.41</v>
      </c>
      <c r="D507" s="20">
        <v>-0.41</v>
      </c>
      <c r="E507" s="20">
        <v>-0.02</v>
      </c>
      <c r="F507" s="20">
        <v>1580.15</v>
      </c>
      <c r="Q507" s="20">
        <v>50.6</v>
      </c>
      <c r="R507" s="20">
        <v>62.03</v>
      </c>
      <c r="S507" s="20">
        <v>62</v>
      </c>
      <c r="T507" s="20">
        <v>-0.03</v>
      </c>
      <c r="U507" s="26">
        <v>-0.02</v>
      </c>
      <c r="V507" s="20">
        <v>1301.6300000000001</v>
      </c>
    </row>
    <row r="508" spans="1:22" ht="16.8" x14ac:dyDescent="0.3">
      <c r="A508" s="20">
        <v>50.8</v>
      </c>
      <c r="B508" s="20">
        <v>62</v>
      </c>
      <c r="C508" s="26">
        <v>62.42</v>
      </c>
      <c r="D508" s="20">
        <v>-0.42</v>
      </c>
      <c r="E508" s="20">
        <v>0</v>
      </c>
      <c r="F508" s="26">
        <v>1577.24</v>
      </c>
      <c r="Q508" s="20">
        <v>50.7</v>
      </c>
      <c r="R508" s="20">
        <v>62.02</v>
      </c>
      <c r="S508" s="26">
        <v>62</v>
      </c>
      <c r="T508" s="26">
        <v>-0.02</v>
      </c>
      <c r="U508" s="26">
        <v>0.01</v>
      </c>
      <c r="V508" s="20">
        <v>1312.55</v>
      </c>
    </row>
    <row r="509" spans="1:22" ht="16.8" x14ac:dyDescent="0.3">
      <c r="A509" s="20">
        <v>50.9</v>
      </c>
      <c r="B509" s="20">
        <v>62</v>
      </c>
      <c r="C509" s="26">
        <v>62.45</v>
      </c>
      <c r="D509" s="20">
        <v>-0.45</v>
      </c>
      <c r="E509" s="20">
        <v>-0.03</v>
      </c>
      <c r="F509" s="20">
        <v>1555.69</v>
      </c>
      <c r="Q509" s="20">
        <v>50.8</v>
      </c>
      <c r="R509" s="20">
        <v>61.98</v>
      </c>
      <c r="S509" s="20">
        <v>62</v>
      </c>
      <c r="T509" s="20">
        <v>0.02</v>
      </c>
      <c r="U509" s="26">
        <v>0.04</v>
      </c>
      <c r="V509" s="20">
        <v>1331.95</v>
      </c>
    </row>
    <row r="510" spans="1:22" ht="16.8" x14ac:dyDescent="0.3">
      <c r="A510" s="20">
        <v>51</v>
      </c>
      <c r="B510" s="20">
        <v>62</v>
      </c>
      <c r="C510" s="20">
        <v>62.46</v>
      </c>
      <c r="D510" s="20">
        <v>-0.46</v>
      </c>
      <c r="E510" s="20">
        <v>-0.02</v>
      </c>
      <c r="F510" s="26">
        <v>1542.46</v>
      </c>
      <c r="Q510" s="20">
        <v>50.9</v>
      </c>
      <c r="R510" s="20">
        <v>62.01</v>
      </c>
      <c r="S510" s="26">
        <v>62</v>
      </c>
      <c r="T510" s="26">
        <v>-0.01</v>
      </c>
      <c r="U510" s="26">
        <v>-0.02</v>
      </c>
      <c r="V510" s="20">
        <v>1302.22</v>
      </c>
    </row>
    <row r="511" spans="1:22" ht="16.8" x14ac:dyDescent="0.3">
      <c r="A511" s="20">
        <v>51.1</v>
      </c>
      <c r="B511" s="20">
        <v>62</v>
      </c>
      <c r="C511" s="26">
        <v>62.42</v>
      </c>
      <c r="D511" s="20">
        <v>-0.42</v>
      </c>
      <c r="E511" s="20">
        <v>0.04</v>
      </c>
      <c r="F511" s="26">
        <v>1574.29</v>
      </c>
      <c r="Q511" s="20">
        <v>51</v>
      </c>
      <c r="R511" s="20">
        <v>62.01</v>
      </c>
      <c r="S511" s="20">
        <v>62</v>
      </c>
      <c r="T511" s="20">
        <v>-0.01</v>
      </c>
      <c r="U511" s="26">
        <v>-0.01</v>
      </c>
      <c r="V511" s="20">
        <v>1307.3599999999999</v>
      </c>
    </row>
    <row r="512" spans="1:22" ht="16.8" x14ac:dyDescent="0.3">
      <c r="A512" s="20">
        <v>51.2</v>
      </c>
      <c r="B512" s="20">
        <v>62</v>
      </c>
      <c r="C512" s="20">
        <v>62.43</v>
      </c>
      <c r="D512" s="20">
        <v>-0.43</v>
      </c>
      <c r="E512" s="20">
        <v>-0.01</v>
      </c>
      <c r="F512" s="20">
        <v>1565.18</v>
      </c>
      <c r="Q512" s="20">
        <v>51.1</v>
      </c>
      <c r="R512" s="20">
        <v>62.01</v>
      </c>
      <c r="S512" s="26">
        <v>62</v>
      </c>
      <c r="T512" s="26">
        <v>-0.01</v>
      </c>
      <c r="U512" s="26">
        <v>0</v>
      </c>
      <c r="V512" s="20">
        <v>1310.56</v>
      </c>
    </row>
    <row r="513" spans="1:22" ht="16.8" x14ac:dyDescent="0.3">
      <c r="A513" s="20">
        <v>51.3</v>
      </c>
      <c r="B513" s="20">
        <v>62</v>
      </c>
      <c r="C513" s="26">
        <v>62.49</v>
      </c>
      <c r="D513" s="20">
        <v>-0.49</v>
      </c>
      <c r="E513" s="20">
        <v>-0.05</v>
      </c>
      <c r="F513" s="26">
        <v>1520.92</v>
      </c>
      <c r="Q513" s="20">
        <v>51.2</v>
      </c>
      <c r="R513" s="20">
        <v>62.02</v>
      </c>
      <c r="S513" s="20">
        <v>62</v>
      </c>
      <c r="T513" s="26">
        <v>-0.02</v>
      </c>
      <c r="U513" s="26">
        <v>-0.01</v>
      </c>
      <c r="V513" s="20">
        <v>1305.99</v>
      </c>
    </row>
    <row r="514" spans="1:22" ht="16.8" x14ac:dyDescent="0.3">
      <c r="A514" s="20">
        <v>51.4</v>
      </c>
      <c r="B514" s="20">
        <v>62</v>
      </c>
      <c r="C514" s="26">
        <v>62.48</v>
      </c>
      <c r="D514" s="20">
        <v>-0.48</v>
      </c>
      <c r="E514" s="20">
        <v>0</v>
      </c>
      <c r="F514" s="26">
        <v>1524.65</v>
      </c>
      <c r="Q514" s="20">
        <v>51.3</v>
      </c>
      <c r="R514" s="20">
        <v>62.01</v>
      </c>
      <c r="S514" s="20">
        <v>62</v>
      </c>
      <c r="T514" s="26">
        <v>-0.01</v>
      </c>
      <c r="U514" s="20">
        <v>0.01</v>
      </c>
      <c r="V514" s="20">
        <v>1313.7</v>
      </c>
    </row>
    <row r="515" spans="1:22" ht="16.8" x14ac:dyDescent="0.3">
      <c r="A515" s="20">
        <v>51.5</v>
      </c>
      <c r="B515" s="20">
        <v>62</v>
      </c>
      <c r="C515" s="20">
        <v>62.49</v>
      </c>
      <c r="D515" s="20">
        <v>-0.49</v>
      </c>
      <c r="E515" s="20">
        <v>-0.01</v>
      </c>
      <c r="F515" s="20">
        <v>1517.12</v>
      </c>
      <c r="Q515" s="20">
        <v>51.4</v>
      </c>
      <c r="R515" s="20">
        <v>62.01</v>
      </c>
      <c r="S515" s="26">
        <v>62</v>
      </c>
      <c r="T515" s="26">
        <v>-0.01</v>
      </c>
      <c r="U515" s="26">
        <v>0</v>
      </c>
      <c r="V515" s="20">
        <v>1310.43</v>
      </c>
    </row>
    <row r="516" spans="1:22" ht="16.8" x14ac:dyDescent="0.3">
      <c r="A516" s="20">
        <v>51.6</v>
      </c>
      <c r="B516" s="20">
        <v>62</v>
      </c>
      <c r="C516" s="26">
        <v>62.47</v>
      </c>
      <c r="D516" s="20">
        <v>-0.47</v>
      </c>
      <c r="E516" s="20">
        <v>0.02</v>
      </c>
      <c r="F516" s="26">
        <v>1539.03</v>
      </c>
      <c r="Q516" s="20">
        <v>51.5</v>
      </c>
      <c r="R516" s="20">
        <v>62.09</v>
      </c>
      <c r="S516" s="20">
        <v>62</v>
      </c>
      <c r="T516" s="20">
        <v>-0.09</v>
      </c>
      <c r="U516" s="20">
        <v>-7.0000000000000007E-2</v>
      </c>
      <c r="V516" s="20">
        <v>1269.57</v>
      </c>
    </row>
    <row r="517" spans="1:22" ht="16.8" x14ac:dyDescent="0.3">
      <c r="A517" s="20">
        <v>51.7</v>
      </c>
      <c r="B517" s="20">
        <v>62</v>
      </c>
      <c r="C517" s="26">
        <v>62.52</v>
      </c>
      <c r="D517" s="20">
        <v>-0.52</v>
      </c>
      <c r="E517" s="20">
        <v>-0.05</v>
      </c>
      <c r="F517" s="20">
        <v>1488.62</v>
      </c>
      <c r="Q517" s="20">
        <v>51.6</v>
      </c>
      <c r="R517" s="20">
        <v>62.01</v>
      </c>
      <c r="S517" s="26">
        <v>62</v>
      </c>
      <c r="T517" s="26">
        <v>-0.01</v>
      </c>
      <c r="U517" s="26">
        <v>0.08</v>
      </c>
      <c r="V517" s="20">
        <v>1343.81</v>
      </c>
    </row>
    <row r="518" spans="1:22" ht="16.8" x14ac:dyDescent="0.3">
      <c r="A518" s="20">
        <v>51.8</v>
      </c>
      <c r="B518" s="20">
        <v>62</v>
      </c>
      <c r="C518" s="20">
        <v>62.53</v>
      </c>
      <c r="D518" s="20">
        <v>-0.53</v>
      </c>
      <c r="E518" s="20">
        <v>-0.02</v>
      </c>
      <c r="F518" s="26">
        <v>1470.49</v>
      </c>
      <c r="Q518" s="20">
        <v>51.7</v>
      </c>
      <c r="R518" s="20">
        <v>62.03</v>
      </c>
      <c r="S518" s="20">
        <v>62</v>
      </c>
      <c r="T518" s="20">
        <v>-0.03</v>
      </c>
      <c r="U518" s="20">
        <v>-0.02</v>
      </c>
      <c r="V518" s="20">
        <v>1297.8699999999999</v>
      </c>
    </row>
    <row r="519" spans="1:22" ht="16.8" x14ac:dyDescent="0.3">
      <c r="A519" s="20">
        <v>51.9</v>
      </c>
      <c r="B519" s="20">
        <v>62</v>
      </c>
      <c r="C519" s="26">
        <v>62.54</v>
      </c>
      <c r="D519" s="20">
        <v>-0.54</v>
      </c>
      <c r="E519" s="20">
        <v>0</v>
      </c>
      <c r="F519" s="26">
        <v>1465.73</v>
      </c>
      <c r="Q519" s="20">
        <v>51.8</v>
      </c>
      <c r="R519" s="20">
        <v>62.1</v>
      </c>
      <c r="S519" s="26">
        <v>62</v>
      </c>
      <c r="T519" s="26">
        <v>-0.1</v>
      </c>
      <c r="U519" s="26">
        <v>-0.06</v>
      </c>
      <c r="V519" s="20">
        <v>1271.2</v>
      </c>
    </row>
    <row r="520" spans="1:22" ht="16.8" x14ac:dyDescent="0.3">
      <c r="A520" s="20">
        <v>52</v>
      </c>
      <c r="B520" s="20">
        <v>62</v>
      </c>
      <c r="C520" s="20">
        <v>62.49</v>
      </c>
      <c r="D520" s="20">
        <v>-0.49</v>
      </c>
      <c r="E520" s="20">
        <v>0.05</v>
      </c>
      <c r="F520" s="20">
        <v>1520.92</v>
      </c>
      <c r="Q520" s="20">
        <v>51.9</v>
      </c>
      <c r="R520" s="20">
        <v>62.18</v>
      </c>
      <c r="S520" s="20">
        <v>62</v>
      </c>
      <c r="T520" s="26">
        <v>-0.18</v>
      </c>
      <c r="U520" s="26">
        <v>-0.08</v>
      </c>
      <c r="V520" s="20">
        <v>1251.46</v>
      </c>
    </row>
    <row r="521" spans="1:22" ht="16.8" x14ac:dyDescent="0.3">
      <c r="A521" s="20">
        <v>52.1</v>
      </c>
      <c r="B521" s="20">
        <v>62</v>
      </c>
      <c r="C521" s="26">
        <v>62.53</v>
      </c>
      <c r="D521" s="20">
        <v>-0.53</v>
      </c>
      <c r="E521" s="20">
        <v>-0.04</v>
      </c>
      <c r="F521" s="26">
        <v>1479.73</v>
      </c>
      <c r="Q521" s="20">
        <v>52</v>
      </c>
      <c r="R521" s="20">
        <v>62.26</v>
      </c>
      <c r="S521" s="26">
        <v>62</v>
      </c>
      <c r="T521" s="26">
        <v>-0.26</v>
      </c>
      <c r="U521" s="20">
        <v>-0.09</v>
      </c>
      <c r="V521" s="20">
        <v>1233.46</v>
      </c>
    </row>
    <row r="522" spans="1:22" ht="16.8" x14ac:dyDescent="0.3">
      <c r="A522" s="20">
        <v>52.2</v>
      </c>
      <c r="B522" s="20">
        <v>62</v>
      </c>
      <c r="C522" s="26">
        <v>62.53</v>
      </c>
      <c r="D522" s="20">
        <v>-0.53</v>
      </c>
      <c r="E522" s="20">
        <v>-0.01</v>
      </c>
      <c r="F522" s="26">
        <v>1470.49</v>
      </c>
      <c r="Q522" s="20">
        <v>52.1</v>
      </c>
      <c r="R522" s="20">
        <v>62.35</v>
      </c>
      <c r="S522" s="20">
        <v>62</v>
      </c>
      <c r="T522" s="26">
        <v>-0.35</v>
      </c>
      <c r="U522" s="26">
        <v>-0.08</v>
      </c>
      <c r="V522" s="20">
        <v>1223.01</v>
      </c>
    </row>
    <row r="523" spans="1:22" ht="16.8" x14ac:dyDescent="0.3">
      <c r="A523" s="20">
        <v>52.3</v>
      </c>
      <c r="B523" s="20">
        <v>62</v>
      </c>
      <c r="C523" s="20">
        <v>62.53</v>
      </c>
      <c r="D523" s="20">
        <v>-0.53</v>
      </c>
      <c r="E523" s="20">
        <v>0</v>
      </c>
      <c r="F523" s="20">
        <v>1470.49</v>
      </c>
      <c r="Q523" s="20">
        <v>52.2</v>
      </c>
      <c r="R523" s="20">
        <v>62.39</v>
      </c>
      <c r="S523" s="20">
        <v>62</v>
      </c>
      <c r="T523" s="26">
        <v>-0.39</v>
      </c>
      <c r="U523" s="20">
        <v>-0.05</v>
      </c>
      <c r="V523" s="20">
        <v>1227.28</v>
      </c>
    </row>
    <row r="524" spans="1:22" ht="16.8" x14ac:dyDescent="0.3">
      <c r="A524" s="20">
        <v>52.4</v>
      </c>
      <c r="B524" s="20">
        <v>62</v>
      </c>
      <c r="C524" s="26">
        <v>62.52</v>
      </c>
      <c r="D524" s="20">
        <v>-0.52</v>
      </c>
      <c r="E524" s="20">
        <v>0.01</v>
      </c>
      <c r="F524" s="26">
        <v>1484.21</v>
      </c>
      <c r="Q524" s="20">
        <v>52.3</v>
      </c>
      <c r="R524" s="20">
        <v>62.51</v>
      </c>
      <c r="S524" s="26">
        <v>62</v>
      </c>
      <c r="T524" s="26">
        <v>-0.51</v>
      </c>
      <c r="U524" s="26">
        <v>-0.11</v>
      </c>
      <c r="V524" s="20">
        <v>1182.22</v>
      </c>
    </row>
    <row r="525" spans="1:22" ht="16.8" x14ac:dyDescent="0.3">
      <c r="A525" s="20">
        <v>52.5</v>
      </c>
      <c r="B525" s="20">
        <v>62</v>
      </c>
      <c r="C525" s="20">
        <v>62.5</v>
      </c>
      <c r="D525" s="20">
        <v>-0.5</v>
      </c>
      <c r="E525" s="20">
        <v>0.02</v>
      </c>
      <c r="F525" s="20">
        <v>1509.32</v>
      </c>
      <c r="Q525" s="20">
        <v>52.4</v>
      </c>
      <c r="R525" s="20">
        <v>62.52</v>
      </c>
      <c r="S525" s="20">
        <v>62</v>
      </c>
      <c r="T525" s="20">
        <v>-0.52</v>
      </c>
      <c r="U525" s="20">
        <v>-0.02</v>
      </c>
      <c r="V525" s="20">
        <v>1217.17</v>
      </c>
    </row>
    <row r="526" spans="1:22" ht="16.8" x14ac:dyDescent="0.3">
      <c r="A526" s="20">
        <v>52.6</v>
      </c>
      <c r="B526" s="20">
        <v>62</v>
      </c>
      <c r="C526" s="26">
        <v>62.53</v>
      </c>
      <c r="D526" s="20">
        <v>-0.53</v>
      </c>
      <c r="E526" s="20">
        <v>-0.03</v>
      </c>
      <c r="F526" s="26">
        <v>1475.14</v>
      </c>
      <c r="Q526" s="20">
        <v>52.5</v>
      </c>
      <c r="R526" s="20">
        <v>62.61</v>
      </c>
      <c r="S526" s="26">
        <v>62</v>
      </c>
      <c r="T526" s="26">
        <v>-0.61</v>
      </c>
      <c r="U526" s="26">
        <v>-0.09</v>
      </c>
      <c r="V526" s="20">
        <v>1172.49</v>
      </c>
    </row>
    <row r="527" spans="1:22" ht="16.8" x14ac:dyDescent="0.3">
      <c r="A527" s="20">
        <v>52.7</v>
      </c>
      <c r="B527" s="20">
        <v>62</v>
      </c>
      <c r="C527" s="26">
        <v>62.49</v>
      </c>
      <c r="D527" s="20">
        <v>-0.49</v>
      </c>
      <c r="E527" s="20">
        <v>0.04</v>
      </c>
      <c r="F527" s="26">
        <v>1517.12</v>
      </c>
      <c r="Q527" s="20">
        <v>52.6</v>
      </c>
      <c r="R527" s="20">
        <v>62.59</v>
      </c>
      <c r="S527" s="20">
        <v>62</v>
      </c>
      <c r="T527" s="26">
        <v>-0.59</v>
      </c>
      <c r="U527" s="26">
        <v>0.02</v>
      </c>
      <c r="V527" s="20">
        <v>1220.17</v>
      </c>
    </row>
    <row r="528" spans="1:22" ht="16.8" x14ac:dyDescent="0.3">
      <c r="A528" s="20">
        <v>52.8</v>
      </c>
      <c r="B528" s="20">
        <v>62</v>
      </c>
      <c r="C528" s="20">
        <v>62.49</v>
      </c>
      <c r="D528" s="20">
        <v>-0.49</v>
      </c>
      <c r="E528" s="20">
        <v>0</v>
      </c>
      <c r="F528" s="20">
        <v>1517.12</v>
      </c>
      <c r="Q528" s="20">
        <v>52.7</v>
      </c>
      <c r="R528" s="20">
        <v>62.63</v>
      </c>
      <c r="S528" s="26">
        <v>62</v>
      </c>
      <c r="T528" s="26">
        <v>-0.63</v>
      </c>
      <c r="U528" s="26">
        <v>-0.04</v>
      </c>
      <c r="V528" s="20">
        <v>1186.3900000000001</v>
      </c>
    </row>
    <row r="529" spans="1:22" ht="16.8" x14ac:dyDescent="0.3">
      <c r="A529" s="20">
        <v>52.9</v>
      </c>
      <c r="B529" s="20">
        <v>62</v>
      </c>
      <c r="C529" s="26">
        <v>62.53</v>
      </c>
      <c r="D529" s="20">
        <v>-0.53</v>
      </c>
      <c r="E529" s="20">
        <v>-0.04</v>
      </c>
      <c r="F529" s="26">
        <v>1475.14</v>
      </c>
      <c r="Q529" s="20">
        <v>52.8</v>
      </c>
      <c r="R529" s="20">
        <v>62.58</v>
      </c>
      <c r="S529" s="20">
        <v>62</v>
      </c>
      <c r="T529" s="26">
        <v>-0.57999999999999996</v>
      </c>
      <c r="U529" s="26">
        <v>0.05</v>
      </c>
      <c r="V529" s="20">
        <v>1228.25</v>
      </c>
    </row>
    <row r="530" spans="1:22" ht="16.8" x14ac:dyDescent="0.3">
      <c r="A530" s="20">
        <v>53</v>
      </c>
      <c r="B530" s="20">
        <v>62</v>
      </c>
      <c r="C530" s="26">
        <v>62.51</v>
      </c>
      <c r="D530" s="20">
        <v>-0.51</v>
      </c>
      <c r="E530" s="20">
        <v>0.02</v>
      </c>
      <c r="F530" s="26">
        <v>1497.14</v>
      </c>
      <c r="Q530" s="20">
        <v>52.9</v>
      </c>
      <c r="R530" s="20">
        <v>62.64</v>
      </c>
      <c r="S530" s="26">
        <v>62</v>
      </c>
      <c r="T530" s="26">
        <v>-0.64</v>
      </c>
      <c r="U530" s="20">
        <v>-0.06</v>
      </c>
      <c r="V530" s="20">
        <v>1171.19</v>
      </c>
    </row>
    <row r="531" spans="1:22" ht="16.8" x14ac:dyDescent="0.3">
      <c r="A531" s="20">
        <v>53.1</v>
      </c>
      <c r="B531" s="20">
        <v>62</v>
      </c>
      <c r="C531" s="20">
        <v>62.51</v>
      </c>
      <c r="D531" s="20">
        <v>-0.51</v>
      </c>
      <c r="E531" s="20">
        <v>0</v>
      </c>
      <c r="F531" s="20">
        <v>1497.14</v>
      </c>
      <c r="Q531" s="20">
        <v>53</v>
      </c>
      <c r="R531" s="20">
        <v>62.63</v>
      </c>
      <c r="S531" s="20">
        <v>62</v>
      </c>
      <c r="T531" s="26">
        <v>-0.63</v>
      </c>
      <c r="U531" s="26">
        <v>0.02</v>
      </c>
      <c r="V531" s="20">
        <v>1204.58</v>
      </c>
    </row>
    <row r="532" spans="1:22" ht="16.8" x14ac:dyDescent="0.3">
      <c r="A532" s="20">
        <v>53.2</v>
      </c>
      <c r="B532" s="20">
        <v>62</v>
      </c>
      <c r="C532" s="26">
        <v>62.52</v>
      </c>
      <c r="D532" s="20">
        <v>-0.52</v>
      </c>
      <c r="E532" s="20">
        <v>-0.01</v>
      </c>
      <c r="F532" s="26">
        <v>1488.62</v>
      </c>
      <c r="Q532" s="20">
        <v>53.1</v>
      </c>
      <c r="R532" s="20">
        <v>62.58</v>
      </c>
      <c r="S532" s="26">
        <v>62</v>
      </c>
      <c r="T532" s="26">
        <v>-0.57999999999999996</v>
      </c>
      <c r="U532" s="20">
        <v>0.05</v>
      </c>
      <c r="V532" s="20">
        <v>1223.82</v>
      </c>
    </row>
    <row r="533" spans="1:22" ht="16.8" x14ac:dyDescent="0.3">
      <c r="A533" s="20">
        <v>53.3</v>
      </c>
      <c r="B533" s="20">
        <v>62</v>
      </c>
      <c r="C533" s="20">
        <v>62.52</v>
      </c>
      <c r="D533" s="20">
        <v>-0.52</v>
      </c>
      <c r="E533" s="20">
        <v>0</v>
      </c>
      <c r="F533" s="20">
        <v>1488.62</v>
      </c>
      <c r="Q533" s="20">
        <v>53.2</v>
      </c>
      <c r="R533" s="20">
        <v>62.63</v>
      </c>
      <c r="S533" s="20">
        <v>62</v>
      </c>
      <c r="T533" s="26">
        <v>-0.63</v>
      </c>
      <c r="U533" s="26">
        <v>-0.05</v>
      </c>
      <c r="V533" s="20">
        <v>1175.83</v>
      </c>
    </row>
    <row r="534" spans="1:22" ht="16.8" x14ac:dyDescent="0.3">
      <c r="A534" s="20">
        <v>53.4</v>
      </c>
      <c r="B534" s="20">
        <v>62</v>
      </c>
      <c r="C534" s="26">
        <v>62.47</v>
      </c>
      <c r="D534" s="20">
        <v>-0.47</v>
      </c>
      <c r="E534" s="20">
        <v>0.04</v>
      </c>
      <c r="F534" s="26">
        <v>1531.98</v>
      </c>
      <c r="Q534" s="20">
        <v>53.3</v>
      </c>
      <c r="R534" s="20">
        <v>62.6</v>
      </c>
      <c r="S534" s="26">
        <v>62</v>
      </c>
      <c r="T534" s="26">
        <v>-0.6</v>
      </c>
      <c r="U534" s="20">
        <v>0.02</v>
      </c>
      <c r="V534" s="20">
        <v>1207.32</v>
      </c>
    </row>
    <row r="535" spans="1:22" ht="16.8" x14ac:dyDescent="0.3">
      <c r="A535" s="20">
        <v>53.5</v>
      </c>
      <c r="B535" s="20">
        <v>62</v>
      </c>
      <c r="C535" s="20">
        <v>62.43</v>
      </c>
      <c r="D535" s="20">
        <v>-0.43</v>
      </c>
      <c r="E535" s="20">
        <v>0.04</v>
      </c>
      <c r="F535" s="26">
        <v>1568.26</v>
      </c>
      <c r="Q535" s="20">
        <v>53.4</v>
      </c>
      <c r="R535" s="20">
        <v>62.58</v>
      </c>
      <c r="S535" s="20">
        <v>62</v>
      </c>
      <c r="T535" s="20">
        <v>-0.57999999999999996</v>
      </c>
      <c r="U535" s="26">
        <v>0.02</v>
      </c>
      <c r="V535" s="20">
        <v>1209.79</v>
      </c>
    </row>
    <row r="536" spans="1:22" ht="16.8" x14ac:dyDescent="0.3">
      <c r="A536" s="20">
        <v>53.6</v>
      </c>
      <c r="B536" s="20">
        <v>62</v>
      </c>
      <c r="C536" s="26">
        <v>62.46</v>
      </c>
      <c r="D536" s="20">
        <v>-0.46</v>
      </c>
      <c r="E536" s="20">
        <v>-0.03</v>
      </c>
      <c r="F536" s="20">
        <v>1545.85</v>
      </c>
      <c r="Q536" s="20">
        <v>53.5</v>
      </c>
      <c r="R536" s="20">
        <v>62.57</v>
      </c>
      <c r="S536" s="20">
        <v>62</v>
      </c>
      <c r="T536" s="26">
        <v>-0.56999999999999995</v>
      </c>
      <c r="U536" s="26">
        <v>0.01</v>
      </c>
      <c r="V536" s="20">
        <v>1203.24</v>
      </c>
    </row>
    <row r="537" spans="1:22" ht="16.8" x14ac:dyDescent="0.3">
      <c r="A537" s="20">
        <v>53.7</v>
      </c>
      <c r="B537" s="20">
        <v>62</v>
      </c>
      <c r="C537" s="26">
        <v>62.49</v>
      </c>
      <c r="D537" s="20">
        <v>-0.49</v>
      </c>
      <c r="E537" s="20">
        <v>-0.03</v>
      </c>
      <c r="F537" s="26">
        <v>1520.92</v>
      </c>
      <c r="Q537" s="20">
        <v>53.6</v>
      </c>
      <c r="R537" s="20">
        <v>62.58</v>
      </c>
      <c r="S537" s="26">
        <v>62</v>
      </c>
      <c r="T537" s="20">
        <v>-0.57999999999999996</v>
      </c>
      <c r="U537" s="26">
        <v>-0.01</v>
      </c>
      <c r="V537" s="20">
        <v>1194.1099999999999</v>
      </c>
    </row>
    <row r="538" spans="1:22" ht="16.8" x14ac:dyDescent="0.3">
      <c r="A538" s="20">
        <v>53.8</v>
      </c>
      <c r="B538" s="20">
        <v>62</v>
      </c>
      <c r="C538" s="20">
        <v>62.51</v>
      </c>
      <c r="D538" s="20">
        <v>-0.51</v>
      </c>
      <c r="E538" s="20">
        <v>-0.02</v>
      </c>
      <c r="F538" s="20">
        <v>1501.27</v>
      </c>
      <c r="Q538" s="20">
        <v>53.7</v>
      </c>
      <c r="R538" s="20">
        <v>62.55</v>
      </c>
      <c r="S538" s="20">
        <v>62</v>
      </c>
      <c r="T538" s="26">
        <v>-0.55000000000000004</v>
      </c>
      <c r="U538" s="26">
        <v>0.02</v>
      </c>
      <c r="V538" s="20">
        <v>1209.56</v>
      </c>
    </row>
    <row r="539" spans="1:22" ht="16.8" x14ac:dyDescent="0.3">
      <c r="A539" s="20">
        <v>53.9</v>
      </c>
      <c r="B539" s="20">
        <v>62</v>
      </c>
      <c r="C539" s="26">
        <v>62.47</v>
      </c>
      <c r="D539" s="20">
        <v>-0.47</v>
      </c>
      <c r="E539" s="20">
        <v>0.03</v>
      </c>
      <c r="F539" s="26">
        <v>1531.98</v>
      </c>
      <c r="Q539" s="20">
        <v>53.8</v>
      </c>
      <c r="R539" s="20">
        <v>62.55</v>
      </c>
      <c r="S539" s="26">
        <v>62</v>
      </c>
      <c r="T539" s="20">
        <v>-0.55000000000000004</v>
      </c>
      <c r="U539" s="26">
        <v>0.01</v>
      </c>
      <c r="V539" s="20">
        <v>1203.07</v>
      </c>
    </row>
    <row r="540" spans="1:22" ht="16.8" x14ac:dyDescent="0.3">
      <c r="A540" s="20">
        <v>54</v>
      </c>
      <c r="B540" s="20">
        <v>62</v>
      </c>
      <c r="C540" s="26">
        <v>62.44</v>
      </c>
      <c r="D540" s="20">
        <v>-0.44</v>
      </c>
      <c r="E540" s="20">
        <v>0.04</v>
      </c>
      <c r="F540" s="26">
        <v>1562.04</v>
      </c>
      <c r="Q540" s="20">
        <v>53.9</v>
      </c>
      <c r="R540" s="20">
        <v>62.51</v>
      </c>
      <c r="S540" s="20">
        <v>62</v>
      </c>
      <c r="T540" s="26">
        <v>-0.51</v>
      </c>
      <c r="U540" s="26">
        <v>0.03</v>
      </c>
      <c r="V540" s="20">
        <v>1216.67</v>
      </c>
    </row>
    <row r="541" spans="1:22" ht="16.8" x14ac:dyDescent="0.3">
      <c r="A541" s="20">
        <v>54.1</v>
      </c>
      <c r="B541" s="20">
        <v>62</v>
      </c>
      <c r="C541" s="20">
        <v>62.49</v>
      </c>
      <c r="D541" s="20">
        <v>-0.49</v>
      </c>
      <c r="E541" s="20">
        <v>-0.05</v>
      </c>
      <c r="F541" s="20">
        <v>1520.92</v>
      </c>
      <c r="Q541" s="20">
        <v>54</v>
      </c>
      <c r="R541" s="20">
        <v>62.5</v>
      </c>
      <c r="S541" s="26">
        <v>62</v>
      </c>
      <c r="T541" s="20">
        <v>-0.5</v>
      </c>
      <c r="U541" s="20">
        <v>0.02</v>
      </c>
      <c r="V541" s="20">
        <v>1211.58</v>
      </c>
    </row>
    <row r="542" spans="1:22" ht="16.8" x14ac:dyDescent="0.3">
      <c r="A542" s="20">
        <v>54.2</v>
      </c>
      <c r="B542" s="20">
        <v>62</v>
      </c>
      <c r="C542" s="26">
        <v>62.43</v>
      </c>
      <c r="D542" s="20">
        <v>-0.43</v>
      </c>
      <c r="E542" s="20">
        <v>0.06</v>
      </c>
      <c r="F542" s="26">
        <v>1571.3</v>
      </c>
      <c r="Q542" s="20">
        <v>54.1</v>
      </c>
      <c r="R542" s="20">
        <v>62.46</v>
      </c>
      <c r="S542" s="20">
        <v>62</v>
      </c>
      <c r="T542" s="26">
        <v>-0.46</v>
      </c>
      <c r="U542" s="26">
        <v>0.04</v>
      </c>
      <c r="V542" s="20">
        <v>1226.6099999999999</v>
      </c>
    </row>
    <row r="543" spans="1:22" ht="16.8" x14ac:dyDescent="0.3">
      <c r="A543" s="20">
        <v>54.3</v>
      </c>
      <c r="B543" s="20">
        <v>62</v>
      </c>
      <c r="C543" s="20">
        <v>62.45</v>
      </c>
      <c r="D543" s="20">
        <v>-0.45</v>
      </c>
      <c r="E543" s="20">
        <v>-0.02</v>
      </c>
      <c r="F543" s="26">
        <v>1552.44</v>
      </c>
      <c r="Q543" s="20">
        <v>54.2</v>
      </c>
      <c r="R543" s="20">
        <v>62.48</v>
      </c>
      <c r="S543" s="26">
        <v>62</v>
      </c>
      <c r="T543" s="26">
        <v>-0.48</v>
      </c>
      <c r="U543" s="26">
        <v>-0.02</v>
      </c>
      <c r="V543" s="20">
        <v>1195.74</v>
      </c>
    </row>
    <row r="544" spans="1:22" ht="16.8" x14ac:dyDescent="0.3">
      <c r="A544" s="20">
        <v>54.4</v>
      </c>
      <c r="B544" s="20">
        <v>62</v>
      </c>
      <c r="C544" s="26">
        <v>62.47</v>
      </c>
      <c r="D544" s="20">
        <v>-0.47</v>
      </c>
      <c r="E544" s="20">
        <v>-0.02</v>
      </c>
      <c r="F544" s="20">
        <v>1539.03</v>
      </c>
      <c r="Q544" s="20">
        <v>54.3</v>
      </c>
      <c r="R544" s="20">
        <v>62.44</v>
      </c>
      <c r="S544" s="20">
        <v>62</v>
      </c>
      <c r="T544" s="26">
        <v>-0.44</v>
      </c>
      <c r="U544" s="26">
        <v>0.04</v>
      </c>
      <c r="V544" s="20">
        <v>1226.96</v>
      </c>
    </row>
    <row r="545" spans="1:22" ht="16.8" x14ac:dyDescent="0.3">
      <c r="A545" s="20">
        <v>54.5</v>
      </c>
      <c r="B545" s="20">
        <v>62</v>
      </c>
      <c r="C545" s="26">
        <v>62.49</v>
      </c>
      <c r="D545" s="20">
        <v>-0.49</v>
      </c>
      <c r="E545" s="20">
        <v>-0.02</v>
      </c>
      <c r="F545" s="26">
        <v>1520.92</v>
      </c>
      <c r="Q545" s="20">
        <v>54.4</v>
      </c>
      <c r="R545" s="20">
        <v>62.44</v>
      </c>
      <c r="S545" s="20">
        <v>62</v>
      </c>
      <c r="T545" s="26">
        <v>-0.44</v>
      </c>
      <c r="U545" s="26">
        <v>0</v>
      </c>
      <c r="V545" s="20">
        <v>1209.74</v>
      </c>
    </row>
    <row r="546" spans="1:22" ht="16.8" x14ac:dyDescent="0.3">
      <c r="A546" s="20">
        <v>54.6</v>
      </c>
      <c r="B546" s="20">
        <v>62</v>
      </c>
      <c r="C546" s="20">
        <v>62.5</v>
      </c>
      <c r="D546" s="20">
        <v>-0.5</v>
      </c>
      <c r="E546" s="20">
        <v>-0.01</v>
      </c>
      <c r="F546" s="20">
        <v>1509.32</v>
      </c>
      <c r="Q546" s="20">
        <v>54.5</v>
      </c>
      <c r="R546" s="20">
        <v>62.43</v>
      </c>
      <c r="S546" s="26">
        <v>62</v>
      </c>
      <c r="T546" s="26">
        <v>-0.43</v>
      </c>
      <c r="U546" s="26">
        <v>0.01</v>
      </c>
      <c r="V546" s="20">
        <v>1213.23</v>
      </c>
    </row>
    <row r="547" spans="1:22" ht="16.8" x14ac:dyDescent="0.3">
      <c r="A547" s="20">
        <v>54.7</v>
      </c>
      <c r="B547" s="20">
        <v>62</v>
      </c>
      <c r="C547" s="26">
        <v>62.51</v>
      </c>
      <c r="D547" s="20">
        <v>-0.51</v>
      </c>
      <c r="E547" s="20">
        <v>-0.01</v>
      </c>
      <c r="F547" s="26">
        <v>1501.27</v>
      </c>
      <c r="Q547" s="20">
        <v>54.6</v>
      </c>
      <c r="R547" s="20">
        <v>62.43</v>
      </c>
      <c r="S547" s="20">
        <v>62</v>
      </c>
      <c r="T547" s="26">
        <v>-0.43</v>
      </c>
      <c r="U547" s="26">
        <v>0.01</v>
      </c>
      <c r="V547" s="20">
        <v>1213.48</v>
      </c>
    </row>
    <row r="548" spans="1:22" ht="16.8" x14ac:dyDescent="0.3">
      <c r="A548" s="20">
        <v>54.8</v>
      </c>
      <c r="B548" s="20">
        <v>62</v>
      </c>
      <c r="C548" s="20">
        <v>62.53</v>
      </c>
      <c r="D548" s="20">
        <v>-0.53</v>
      </c>
      <c r="E548" s="20">
        <v>-0.02</v>
      </c>
      <c r="F548" s="26">
        <v>1475.14</v>
      </c>
      <c r="Q548" s="20">
        <v>54.7</v>
      </c>
      <c r="R548" s="20">
        <v>62.39</v>
      </c>
      <c r="S548" s="26">
        <v>62</v>
      </c>
      <c r="T548" s="26">
        <v>-0.39</v>
      </c>
      <c r="U548" s="26">
        <v>0.03</v>
      </c>
      <c r="V548" s="20">
        <v>1227.3699999999999</v>
      </c>
    </row>
    <row r="549" spans="1:22" ht="16.8" x14ac:dyDescent="0.3">
      <c r="A549" s="20">
        <v>54.9</v>
      </c>
      <c r="B549" s="20">
        <v>62</v>
      </c>
      <c r="C549" s="26">
        <v>62.48</v>
      </c>
      <c r="D549" s="20">
        <v>-0.48</v>
      </c>
      <c r="E549" s="20">
        <v>0.05</v>
      </c>
      <c r="F549" s="20">
        <v>1528.34</v>
      </c>
      <c r="Q549" s="20">
        <v>54.8</v>
      </c>
      <c r="R549" s="20">
        <v>62.4</v>
      </c>
      <c r="S549" s="20">
        <v>62</v>
      </c>
      <c r="T549" s="26">
        <v>-0.4</v>
      </c>
      <c r="U549" s="26">
        <v>-0.01</v>
      </c>
      <c r="V549" s="20">
        <v>1208.97</v>
      </c>
    </row>
    <row r="550" spans="1:22" ht="16.8" x14ac:dyDescent="0.3">
      <c r="A550" s="20">
        <v>55</v>
      </c>
      <c r="B550" s="20">
        <v>62</v>
      </c>
      <c r="C550" s="26">
        <v>62.53</v>
      </c>
      <c r="D550" s="20">
        <v>-0.53</v>
      </c>
      <c r="E550" s="20">
        <v>-0.06</v>
      </c>
      <c r="F550" s="26">
        <v>1470.49</v>
      </c>
      <c r="Q550" s="20">
        <v>54.9</v>
      </c>
      <c r="R550" s="20">
        <v>62.39</v>
      </c>
      <c r="S550" s="26">
        <v>62</v>
      </c>
      <c r="T550" s="20">
        <v>-0.39</v>
      </c>
      <c r="U550" s="20">
        <v>0.02</v>
      </c>
      <c r="V550" s="20">
        <v>1220.31</v>
      </c>
    </row>
    <row r="551" spans="1:22" ht="16.8" x14ac:dyDescent="0.3">
      <c r="A551" s="20">
        <v>55.1</v>
      </c>
      <c r="B551" s="20">
        <v>62</v>
      </c>
      <c r="C551" s="20">
        <v>62.48</v>
      </c>
      <c r="D551" s="20">
        <v>-0.48</v>
      </c>
      <c r="E551" s="20">
        <v>0.06</v>
      </c>
      <c r="F551" s="26">
        <v>1528.34</v>
      </c>
      <c r="Q551" s="20">
        <v>55</v>
      </c>
      <c r="R551" s="20">
        <v>62.38</v>
      </c>
      <c r="S551" s="20">
        <v>62</v>
      </c>
      <c r="T551" s="26">
        <v>-0.38</v>
      </c>
      <c r="U551" s="26">
        <v>0.01</v>
      </c>
      <c r="V551" s="20">
        <v>1217.46</v>
      </c>
    </row>
    <row r="552" spans="1:22" ht="16.8" x14ac:dyDescent="0.3">
      <c r="A552" s="20">
        <v>55.2</v>
      </c>
      <c r="B552" s="20">
        <v>62</v>
      </c>
      <c r="C552" s="26">
        <v>62.51</v>
      </c>
      <c r="D552" s="20">
        <v>-0.51</v>
      </c>
      <c r="E552" s="20">
        <v>-0.04</v>
      </c>
      <c r="F552" s="20">
        <v>1492.92</v>
      </c>
      <c r="Q552" s="20">
        <v>55.1</v>
      </c>
      <c r="R552" s="20">
        <v>62.35</v>
      </c>
      <c r="S552" s="26">
        <v>62</v>
      </c>
      <c r="T552" s="20">
        <v>-0.35</v>
      </c>
      <c r="U552" s="26">
        <v>0.03</v>
      </c>
      <c r="V552" s="20">
        <v>1231.47</v>
      </c>
    </row>
    <row r="553" spans="1:22" ht="16.8" x14ac:dyDescent="0.3">
      <c r="A553" s="20">
        <v>55.3</v>
      </c>
      <c r="B553" s="20">
        <v>62</v>
      </c>
      <c r="C553" s="26">
        <v>62.52</v>
      </c>
      <c r="D553" s="20">
        <v>-0.52</v>
      </c>
      <c r="E553" s="20">
        <v>-0.01</v>
      </c>
      <c r="F553" s="26">
        <v>1484.21</v>
      </c>
      <c r="Q553" s="20">
        <v>55.2</v>
      </c>
      <c r="R553" s="20">
        <v>62.35</v>
      </c>
      <c r="S553" s="20">
        <v>62</v>
      </c>
      <c r="T553" s="26">
        <v>-0.35</v>
      </c>
      <c r="U553" s="26">
        <v>0</v>
      </c>
      <c r="V553" s="20">
        <v>1217.71</v>
      </c>
    </row>
    <row r="554" spans="1:22" ht="16.8" x14ac:dyDescent="0.3">
      <c r="A554" s="20">
        <v>55.4</v>
      </c>
      <c r="B554" s="20">
        <v>62</v>
      </c>
      <c r="C554" s="20">
        <v>62.53</v>
      </c>
      <c r="D554" s="20">
        <v>-0.53</v>
      </c>
      <c r="E554" s="20">
        <v>0</v>
      </c>
      <c r="F554" s="20">
        <v>1479.73</v>
      </c>
      <c r="Q554" s="20">
        <v>55.3</v>
      </c>
      <c r="R554" s="20">
        <v>62.32</v>
      </c>
      <c r="S554" s="26">
        <v>62</v>
      </c>
      <c r="T554" s="26">
        <v>-0.32</v>
      </c>
      <c r="U554" s="26">
        <v>0.02</v>
      </c>
      <c r="V554" s="20">
        <v>1230.49</v>
      </c>
    </row>
    <row r="555" spans="1:22" ht="16.8" x14ac:dyDescent="0.3">
      <c r="A555" s="20">
        <v>55.5</v>
      </c>
      <c r="B555" s="20">
        <v>62</v>
      </c>
      <c r="C555" s="26">
        <v>62.54</v>
      </c>
      <c r="D555" s="20">
        <v>-0.54</v>
      </c>
      <c r="E555" s="20">
        <v>-0.01</v>
      </c>
      <c r="F555" s="26">
        <v>1465.73</v>
      </c>
      <c r="Q555" s="20">
        <v>55.4</v>
      </c>
      <c r="R555" s="20">
        <v>62.3</v>
      </c>
      <c r="S555" s="20">
        <v>62</v>
      </c>
      <c r="T555" s="26">
        <v>-0.3</v>
      </c>
      <c r="U555" s="26">
        <v>0.02</v>
      </c>
      <c r="V555" s="20">
        <v>1233.6400000000001</v>
      </c>
    </row>
    <row r="556" spans="1:22" ht="16.8" x14ac:dyDescent="0.3">
      <c r="A556" s="20">
        <v>55.6</v>
      </c>
      <c r="B556" s="20">
        <v>62</v>
      </c>
      <c r="C556" s="20">
        <v>62.48</v>
      </c>
      <c r="D556" s="20">
        <v>-0.48</v>
      </c>
      <c r="E556" s="20">
        <v>0.06</v>
      </c>
      <c r="F556" s="26">
        <v>1528.34</v>
      </c>
      <c r="Q556" s="20">
        <v>55.5</v>
      </c>
      <c r="R556" s="20">
        <v>62.31</v>
      </c>
      <c r="S556" s="26">
        <v>62</v>
      </c>
      <c r="T556" s="26">
        <v>-0.31</v>
      </c>
      <c r="U556" s="26">
        <v>-0.02</v>
      </c>
      <c r="V556" s="20">
        <v>1214.1600000000001</v>
      </c>
    </row>
    <row r="557" spans="1:22" ht="16.8" x14ac:dyDescent="0.3">
      <c r="A557" s="20">
        <v>55.7</v>
      </c>
      <c r="B557" s="20">
        <v>62</v>
      </c>
      <c r="C557" s="26">
        <v>62.48</v>
      </c>
      <c r="D557" s="20">
        <v>-0.48</v>
      </c>
      <c r="E557" s="20">
        <v>0</v>
      </c>
      <c r="F557" s="20">
        <v>1528.34</v>
      </c>
      <c r="Q557" s="20">
        <v>55.6</v>
      </c>
      <c r="R557" s="20">
        <v>62.26</v>
      </c>
      <c r="S557" s="20">
        <v>62</v>
      </c>
      <c r="T557" s="26">
        <v>-0.26</v>
      </c>
      <c r="U557" s="26">
        <v>0.05</v>
      </c>
      <c r="V557" s="20">
        <v>1247.0899999999999</v>
      </c>
    </row>
    <row r="558" spans="1:22" ht="16.8" x14ac:dyDescent="0.3">
      <c r="A558" s="20">
        <v>55.8</v>
      </c>
      <c r="B558" s="20">
        <v>62</v>
      </c>
      <c r="C558" s="26">
        <v>62.53</v>
      </c>
      <c r="D558" s="20">
        <v>-0.53</v>
      </c>
      <c r="E558" s="20">
        <v>-0.06</v>
      </c>
      <c r="F558" s="26">
        <v>1470.49</v>
      </c>
      <c r="Q558" s="20">
        <v>55.7</v>
      </c>
      <c r="R558" s="20">
        <v>62.26</v>
      </c>
      <c r="S558" s="26">
        <v>62</v>
      </c>
      <c r="T558" s="26">
        <v>-0.26</v>
      </c>
      <c r="U558" s="26">
        <v>0</v>
      </c>
      <c r="V558" s="20">
        <v>1227.07</v>
      </c>
    </row>
    <row r="559" spans="1:22" ht="16.8" x14ac:dyDescent="0.3">
      <c r="A559" s="20">
        <v>55.9</v>
      </c>
      <c r="B559" s="20">
        <v>62</v>
      </c>
      <c r="C559" s="20">
        <v>62.51</v>
      </c>
      <c r="D559" s="20">
        <v>-0.51</v>
      </c>
      <c r="E559" s="20">
        <v>0.02</v>
      </c>
      <c r="F559" s="26">
        <v>1492.92</v>
      </c>
      <c r="Q559" s="20">
        <v>55.8</v>
      </c>
      <c r="R559" s="20">
        <v>62.22</v>
      </c>
      <c r="S559" s="20">
        <v>62</v>
      </c>
      <c r="T559" s="26">
        <v>-0.22</v>
      </c>
      <c r="U559" s="26">
        <v>0.05</v>
      </c>
      <c r="V559" s="20">
        <v>1253.6500000000001</v>
      </c>
    </row>
    <row r="560" spans="1:22" ht="16.8" x14ac:dyDescent="0.3">
      <c r="A560" s="20">
        <v>56</v>
      </c>
      <c r="B560" s="20">
        <v>62</v>
      </c>
      <c r="C560" s="26">
        <v>62.47</v>
      </c>
      <c r="D560" s="20">
        <v>-0.47</v>
      </c>
      <c r="E560" s="20">
        <v>0.04</v>
      </c>
      <c r="F560" s="20">
        <v>1531.98</v>
      </c>
      <c r="Q560" s="20">
        <v>55.9</v>
      </c>
      <c r="R560" s="20">
        <v>62.22</v>
      </c>
      <c r="S560" s="20">
        <v>62</v>
      </c>
      <c r="T560" s="26">
        <v>-0.22</v>
      </c>
      <c r="U560" s="26">
        <v>0</v>
      </c>
      <c r="V560" s="20">
        <v>1233.74</v>
      </c>
    </row>
    <row r="561" spans="1:22" ht="16.8" x14ac:dyDescent="0.3">
      <c r="A561" s="20">
        <v>56.1</v>
      </c>
      <c r="B561" s="20">
        <v>62</v>
      </c>
      <c r="C561" s="26">
        <v>62.51</v>
      </c>
      <c r="D561" s="20">
        <v>-0.51</v>
      </c>
      <c r="E561" s="20">
        <v>-0.03</v>
      </c>
      <c r="F561" s="26">
        <v>1501.27</v>
      </c>
      <c r="Q561" s="20">
        <v>56</v>
      </c>
      <c r="R561" s="20">
        <v>62.14</v>
      </c>
      <c r="S561" s="26">
        <v>62</v>
      </c>
      <c r="T561" s="20">
        <v>-0.14000000000000001</v>
      </c>
      <c r="U561" s="26">
        <v>7.0000000000000007E-2</v>
      </c>
      <c r="V561" s="20">
        <v>1274.05</v>
      </c>
    </row>
    <row r="562" spans="1:22" ht="16.8" x14ac:dyDescent="0.3">
      <c r="A562" s="20">
        <v>56.2</v>
      </c>
      <c r="B562" s="20">
        <v>62</v>
      </c>
      <c r="C562" s="20">
        <v>62.51</v>
      </c>
      <c r="D562" s="20">
        <v>-0.51</v>
      </c>
      <c r="E562" s="20">
        <v>0</v>
      </c>
      <c r="F562" s="20">
        <v>1497.14</v>
      </c>
      <c r="Q562" s="20">
        <v>56.1</v>
      </c>
      <c r="R562" s="20">
        <v>62.17</v>
      </c>
      <c r="S562" s="20">
        <v>62</v>
      </c>
      <c r="T562" s="26">
        <v>-0.17</v>
      </c>
      <c r="U562" s="20">
        <v>-0.02</v>
      </c>
      <c r="V562" s="20">
        <v>1231.01</v>
      </c>
    </row>
    <row r="563" spans="1:22" ht="16.8" x14ac:dyDescent="0.3">
      <c r="A563" s="20">
        <v>56.3</v>
      </c>
      <c r="B563" s="20">
        <v>62</v>
      </c>
      <c r="C563" s="26">
        <v>62.5</v>
      </c>
      <c r="D563" s="20">
        <v>-0.5</v>
      </c>
      <c r="E563" s="20">
        <v>0.01</v>
      </c>
      <c r="F563" s="26">
        <v>1509.32</v>
      </c>
      <c r="Q563" s="20">
        <v>56.2</v>
      </c>
      <c r="R563" s="20">
        <v>62.18</v>
      </c>
      <c r="S563" s="26">
        <v>62</v>
      </c>
      <c r="T563" s="26">
        <v>-0.18</v>
      </c>
      <c r="U563" s="26">
        <v>-0.01</v>
      </c>
      <c r="V563" s="20">
        <v>1235.77</v>
      </c>
    </row>
    <row r="564" spans="1:22" ht="16.8" x14ac:dyDescent="0.3">
      <c r="A564" s="20">
        <v>56.4</v>
      </c>
      <c r="B564" s="20">
        <v>62</v>
      </c>
      <c r="C564" s="20">
        <v>62.51</v>
      </c>
      <c r="D564" s="20">
        <v>-0.51</v>
      </c>
      <c r="E564" s="20">
        <v>-0.01</v>
      </c>
      <c r="F564" s="26">
        <v>1497.14</v>
      </c>
      <c r="Q564" s="20">
        <v>56.3</v>
      </c>
      <c r="R564" s="20">
        <v>62.14</v>
      </c>
      <c r="S564" s="20">
        <v>62</v>
      </c>
      <c r="T564" s="26">
        <v>-0.14000000000000001</v>
      </c>
      <c r="U564" s="20">
        <v>0.04</v>
      </c>
      <c r="V564" s="20">
        <v>1261.26</v>
      </c>
    </row>
    <row r="565" spans="1:22" ht="16.8" x14ac:dyDescent="0.3">
      <c r="A565" s="20">
        <v>56.5</v>
      </c>
      <c r="B565" s="20">
        <v>62</v>
      </c>
      <c r="C565" s="26">
        <v>62.47</v>
      </c>
      <c r="D565" s="20">
        <v>-0.47</v>
      </c>
      <c r="E565" s="20">
        <v>0.04</v>
      </c>
      <c r="F565" s="20">
        <v>1531.98</v>
      </c>
      <c r="Q565" s="20">
        <v>56.4</v>
      </c>
      <c r="R565" s="20">
        <v>62.11</v>
      </c>
      <c r="S565" s="26">
        <v>62</v>
      </c>
      <c r="T565" s="26">
        <v>-0.11</v>
      </c>
      <c r="U565" s="26">
        <v>0.02</v>
      </c>
      <c r="V565" s="20">
        <v>1258.3900000000001</v>
      </c>
    </row>
    <row r="566" spans="1:22" ht="16.8" x14ac:dyDescent="0.3">
      <c r="A566" s="20">
        <v>56.6</v>
      </c>
      <c r="B566" s="20">
        <v>62</v>
      </c>
      <c r="C566" s="26">
        <v>62.47</v>
      </c>
      <c r="D566" s="20">
        <v>-0.47</v>
      </c>
      <c r="E566" s="20">
        <v>0</v>
      </c>
      <c r="F566" s="26">
        <v>1535.53</v>
      </c>
      <c r="Q566" s="20">
        <v>56.5</v>
      </c>
      <c r="R566" s="20">
        <v>62.09</v>
      </c>
      <c r="S566" s="20">
        <v>62</v>
      </c>
      <c r="T566" s="26">
        <v>-0.09</v>
      </c>
      <c r="U566" s="20">
        <v>0.02</v>
      </c>
      <c r="V566" s="20">
        <v>1262.03</v>
      </c>
    </row>
    <row r="567" spans="1:22" ht="16.8" x14ac:dyDescent="0.3">
      <c r="A567" s="20">
        <v>56.7</v>
      </c>
      <c r="B567" s="20">
        <v>62</v>
      </c>
      <c r="C567" s="20">
        <v>62.41</v>
      </c>
      <c r="D567" s="20">
        <v>-0.41</v>
      </c>
      <c r="E567" s="20">
        <v>0.06</v>
      </c>
      <c r="F567" s="26">
        <v>1580.15</v>
      </c>
      <c r="Q567" s="20">
        <v>56.6</v>
      </c>
      <c r="R567" s="20">
        <v>62.12</v>
      </c>
      <c r="S567" s="26">
        <v>62</v>
      </c>
      <c r="T567" s="20">
        <v>-0.12</v>
      </c>
      <c r="U567" s="26">
        <v>-0.03</v>
      </c>
      <c r="V567" s="20">
        <v>1233.98</v>
      </c>
    </row>
    <row r="568" spans="1:22" ht="16.8" x14ac:dyDescent="0.3">
      <c r="A568" s="20">
        <v>56.8</v>
      </c>
      <c r="B568" s="20">
        <v>62</v>
      </c>
      <c r="C568" s="26">
        <v>62.42</v>
      </c>
      <c r="D568" s="20">
        <v>-0.42</v>
      </c>
      <c r="E568" s="20">
        <v>0</v>
      </c>
      <c r="F568" s="20">
        <v>1577.24</v>
      </c>
      <c r="Q568" s="20">
        <v>56.7</v>
      </c>
      <c r="R568" s="20">
        <v>62.12</v>
      </c>
      <c r="S568" s="20">
        <v>62</v>
      </c>
      <c r="T568" s="26">
        <v>-0.12</v>
      </c>
      <c r="U568" s="26">
        <v>0</v>
      </c>
      <c r="V568" s="20">
        <v>1246.6199999999999</v>
      </c>
    </row>
    <row r="569" spans="1:22" ht="16.8" x14ac:dyDescent="0.3">
      <c r="A569" s="20">
        <v>56.9</v>
      </c>
      <c r="B569" s="20">
        <v>62</v>
      </c>
      <c r="C569" s="20">
        <v>62.42</v>
      </c>
      <c r="D569" s="20">
        <v>-0.42</v>
      </c>
      <c r="E569" s="20">
        <v>0</v>
      </c>
      <c r="F569" s="26">
        <v>1577.24</v>
      </c>
      <c r="Q569" s="20">
        <v>56.8</v>
      </c>
      <c r="R569" s="20">
        <v>62.12</v>
      </c>
      <c r="S569" s="20">
        <v>62</v>
      </c>
      <c r="T569" s="20">
        <v>-0.12</v>
      </c>
      <c r="U569" s="26">
        <v>0</v>
      </c>
      <c r="V569" s="20">
        <v>1246.3399999999999</v>
      </c>
    </row>
    <row r="570" spans="1:22" ht="16.8" x14ac:dyDescent="0.3">
      <c r="A570" s="20">
        <v>57</v>
      </c>
      <c r="B570" s="20">
        <v>62</v>
      </c>
      <c r="C570" s="26">
        <v>62.4</v>
      </c>
      <c r="D570" s="20">
        <v>-0.4</v>
      </c>
      <c r="E570" s="20">
        <v>0.02</v>
      </c>
      <c r="F570" s="26">
        <v>1588.62</v>
      </c>
      <c r="Q570" s="20">
        <v>56.9</v>
      </c>
      <c r="R570" s="20">
        <v>62.1</v>
      </c>
      <c r="S570" s="26">
        <v>62</v>
      </c>
      <c r="T570" s="26">
        <v>-0.1</v>
      </c>
      <c r="U570" s="26">
        <v>0.02</v>
      </c>
      <c r="V570" s="20">
        <v>1255.1300000000001</v>
      </c>
    </row>
    <row r="571" spans="1:22" ht="16.8" x14ac:dyDescent="0.3">
      <c r="A571" s="20">
        <v>57.1</v>
      </c>
      <c r="B571" s="20">
        <v>62</v>
      </c>
      <c r="C571" s="26">
        <v>62.45</v>
      </c>
      <c r="D571" s="20">
        <v>-0.45</v>
      </c>
      <c r="E571" s="20">
        <v>-0.05</v>
      </c>
      <c r="F571" s="20">
        <v>1552.44</v>
      </c>
      <c r="Q571" s="20">
        <v>57</v>
      </c>
      <c r="R571" s="20">
        <v>62.11</v>
      </c>
      <c r="S571" s="20">
        <v>62</v>
      </c>
      <c r="T571" s="20">
        <v>-0.11</v>
      </c>
      <c r="U571" s="20">
        <v>-0.01</v>
      </c>
      <c r="V571" s="20">
        <v>1243.8800000000001</v>
      </c>
    </row>
    <row r="572" spans="1:22" ht="16.8" x14ac:dyDescent="0.3">
      <c r="A572" s="20">
        <v>57.2</v>
      </c>
      <c r="B572" s="20">
        <v>62</v>
      </c>
      <c r="C572" s="26">
        <v>62.4</v>
      </c>
      <c r="D572" s="20">
        <v>-0.4</v>
      </c>
      <c r="E572" s="20">
        <v>0.05</v>
      </c>
      <c r="F572" s="26">
        <v>1590.62</v>
      </c>
      <c r="Q572" s="20">
        <v>57.1</v>
      </c>
      <c r="R572" s="20">
        <v>62.12</v>
      </c>
      <c r="S572" s="26">
        <v>62</v>
      </c>
      <c r="T572" s="26">
        <v>-0.12</v>
      </c>
      <c r="U572" s="26">
        <v>-0.01</v>
      </c>
      <c r="V572" s="20">
        <v>1242.3</v>
      </c>
    </row>
    <row r="573" spans="1:22" ht="16.8" x14ac:dyDescent="0.3">
      <c r="A573" s="20">
        <v>57.3</v>
      </c>
      <c r="B573" s="20">
        <v>62</v>
      </c>
      <c r="C573" s="20">
        <v>62.45</v>
      </c>
      <c r="D573" s="20">
        <v>-0.45</v>
      </c>
      <c r="E573" s="20">
        <v>-0.05</v>
      </c>
      <c r="F573" s="20">
        <v>1555.69</v>
      </c>
      <c r="Q573" s="20">
        <v>57.2</v>
      </c>
      <c r="R573" s="20">
        <v>62.11</v>
      </c>
      <c r="S573" s="20">
        <v>62</v>
      </c>
      <c r="T573" s="26">
        <v>-0.11</v>
      </c>
      <c r="U573" s="20">
        <v>0.01</v>
      </c>
      <c r="V573" s="20">
        <v>1249.79</v>
      </c>
    </row>
    <row r="574" spans="1:22" ht="16.8" x14ac:dyDescent="0.3">
      <c r="A574" s="20">
        <v>57.4</v>
      </c>
      <c r="B574" s="20">
        <v>62</v>
      </c>
      <c r="C574" s="26">
        <v>62.42</v>
      </c>
      <c r="D574" s="20">
        <v>-0.42</v>
      </c>
      <c r="E574" s="20">
        <v>0.03</v>
      </c>
      <c r="F574" s="26">
        <v>1577.24</v>
      </c>
      <c r="Q574" s="20">
        <v>57.3</v>
      </c>
      <c r="R574" s="20">
        <v>62.1</v>
      </c>
      <c r="S574" s="26">
        <v>62</v>
      </c>
      <c r="T574" s="26">
        <v>-0.1</v>
      </c>
      <c r="U574" s="26">
        <v>0.01</v>
      </c>
      <c r="V574" s="20">
        <v>1250.82</v>
      </c>
    </row>
    <row r="575" spans="1:22" ht="16.8" x14ac:dyDescent="0.3">
      <c r="A575" s="20">
        <v>57.5</v>
      </c>
      <c r="B575" s="20">
        <v>62</v>
      </c>
      <c r="C575" s="26">
        <v>62.45</v>
      </c>
      <c r="D575" s="20">
        <v>-0.45</v>
      </c>
      <c r="E575" s="20">
        <v>-0.03</v>
      </c>
      <c r="F575" s="26">
        <v>1552.44</v>
      </c>
      <c r="Q575" s="20">
        <v>57.4</v>
      </c>
      <c r="R575" s="20">
        <v>62.1</v>
      </c>
      <c r="S575" s="20">
        <v>62</v>
      </c>
      <c r="T575" s="26">
        <v>-0.1</v>
      </c>
      <c r="U575" s="20">
        <v>0.01</v>
      </c>
      <c r="V575" s="20">
        <v>1251.8800000000001</v>
      </c>
    </row>
    <row r="576" spans="1:22" ht="16.8" x14ac:dyDescent="0.3">
      <c r="A576" s="20">
        <v>57.6</v>
      </c>
      <c r="B576" s="20">
        <v>62</v>
      </c>
      <c r="C576" s="20">
        <v>62.41</v>
      </c>
      <c r="D576" s="20">
        <v>-0.41</v>
      </c>
      <c r="E576" s="20">
        <v>0.04</v>
      </c>
      <c r="F576" s="20">
        <v>1583.02</v>
      </c>
      <c r="Q576" s="20">
        <v>57.5</v>
      </c>
      <c r="R576" s="20">
        <v>62.1</v>
      </c>
      <c r="S576" s="26">
        <v>62</v>
      </c>
      <c r="T576" s="20">
        <v>-0.1</v>
      </c>
      <c r="U576" s="26">
        <v>0</v>
      </c>
      <c r="V576" s="20">
        <v>1248.42</v>
      </c>
    </row>
    <row r="577" spans="1:22" ht="16.8" x14ac:dyDescent="0.3">
      <c r="A577" s="20">
        <v>57.7</v>
      </c>
      <c r="B577" s="20">
        <v>62</v>
      </c>
      <c r="C577" s="26">
        <v>62.47</v>
      </c>
      <c r="D577" s="20">
        <v>-0.47</v>
      </c>
      <c r="E577" s="20">
        <v>-0.06</v>
      </c>
      <c r="F577" s="26">
        <v>1539.03</v>
      </c>
      <c r="Q577" s="20">
        <v>57.6</v>
      </c>
      <c r="R577" s="20">
        <v>62.07</v>
      </c>
      <c r="S577" s="20">
        <v>62</v>
      </c>
      <c r="T577" s="26">
        <v>-7.0000000000000007E-2</v>
      </c>
      <c r="U577" s="26">
        <v>0.02</v>
      </c>
      <c r="V577" s="20">
        <v>1261.8</v>
      </c>
    </row>
    <row r="578" spans="1:22" ht="16.8" x14ac:dyDescent="0.3">
      <c r="A578" s="20">
        <v>57.8</v>
      </c>
      <c r="B578" s="20">
        <v>62</v>
      </c>
      <c r="C578" s="20">
        <v>62.43</v>
      </c>
      <c r="D578" s="20">
        <v>-0.43</v>
      </c>
      <c r="E578" s="20">
        <v>0.04</v>
      </c>
      <c r="F578" s="26">
        <v>1571.3</v>
      </c>
      <c r="Q578" s="20">
        <v>57.7</v>
      </c>
      <c r="R578" s="20">
        <v>62.09</v>
      </c>
      <c r="S578" s="26">
        <v>62</v>
      </c>
      <c r="T578" s="20">
        <v>-0.09</v>
      </c>
      <c r="U578" s="26">
        <v>-0.02</v>
      </c>
      <c r="V578" s="20">
        <v>1242.8599999999999</v>
      </c>
    </row>
    <row r="579" spans="1:22" ht="16.8" x14ac:dyDescent="0.3">
      <c r="A579" s="20">
        <v>57.9</v>
      </c>
      <c r="B579" s="20">
        <v>62</v>
      </c>
      <c r="C579" s="26">
        <v>62.45</v>
      </c>
      <c r="D579" s="20">
        <v>-0.45</v>
      </c>
      <c r="E579" s="20">
        <v>-0.03</v>
      </c>
      <c r="F579" s="20">
        <v>1549.17</v>
      </c>
      <c r="Q579" s="20">
        <v>57.8</v>
      </c>
      <c r="R579" s="20">
        <v>62.08</v>
      </c>
      <c r="S579" s="20">
        <v>62</v>
      </c>
      <c r="T579" s="26">
        <v>-0.08</v>
      </c>
      <c r="U579" s="26">
        <v>0.01</v>
      </c>
      <c r="V579" s="20">
        <v>1253.6500000000001</v>
      </c>
    </row>
    <row r="580" spans="1:22" ht="16.8" x14ac:dyDescent="0.3">
      <c r="A580" s="20">
        <v>58</v>
      </c>
      <c r="B580" s="20">
        <v>62</v>
      </c>
      <c r="C580" s="26">
        <v>62.43</v>
      </c>
      <c r="D580" s="20">
        <v>-0.43</v>
      </c>
      <c r="E580" s="20">
        <v>0.03</v>
      </c>
      <c r="F580" s="26">
        <v>1571.3</v>
      </c>
      <c r="Q580" s="20">
        <v>57.9</v>
      </c>
      <c r="R580" s="20">
        <v>62.06</v>
      </c>
      <c r="S580" s="20">
        <v>62</v>
      </c>
      <c r="T580" s="26">
        <v>-0.06</v>
      </c>
      <c r="U580" s="26">
        <v>0.02</v>
      </c>
      <c r="V580" s="20">
        <v>1259.31</v>
      </c>
    </row>
    <row r="581" spans="1:22" ht="16.8" x14ac:dyDescent="0.3">
      <c r="A581" s="20">
        <v>58.1</v>
      </c>
      <c r="B581" s="20">
        <v>62</v>
      </c>
      <c r="C581" s="20">
        <v>62.44</v>
      </c>
      <c r="D581" s="20">
        <v>-0.44</v>
      </c>
      <c r="E581" s="20">
        <v>-0.02</v>
      </c>
      <c r="F581" s="26">
        <v>1558.89</v>
      </c>
      <c r="Q581" s="20">
        <v>58</v>
      </c>
      <c r="R581" s="20">
        <v>62.07</v>
      </c>
      <c r="S581" s="26">
        <v>62</v>
      </c>
      <c r="T581" s="26">
        <v>-7.0000000000000007E-2</v>
      </c>
      <c r="U581" s="26">
        <v>-0.01</v>
      </c>
      <c r="V581" s="20">
        <v>1248.1600000000001</v>
      </c>
    </row>
    <row r="582" spans="1:22" ht="16.8" x14ac:dyDescent="0.3">
      <c r="A582" s="20">
        <v>58.2</v>
      </c>
      <c r="B582" s="20">
        <v>62</v>
      </c>
      <c r="C582" s="26">
        <v>62.45</v>
      </c>
      <c r="D582" s="20">
        <v>-0.45</v>
      </c>
      <c r="E582" s="20">
        <v>-0.01</v>
      </c>
      <c r="F582" s="20">
        <v>1549.17</v>
      </c>
      <c r="Q582" s="20">
        <v>58.1</v>
      </c>
      <c r="R582" s="20">
        <v>62.01</v>
      </c>
      <c r="S582" s="20">
        <v>62</v>
      </c>
      <c r="T582" s="26">
        <v>-0.01</v>
      </c>
      <c r="U582" s="26">
        <v>0.06</v>
      </c>
      <c r="V582" s="20">
        <v>1282.97</v>
      </c>
    </row>
    <row r="583" spans="1:22" ht="16.8" x14ac:dyDescent="0.3">
      <c r="A583" s="20">
        <v>58.3</v>
      </c>
      <c r="B583" s="20">
        <v>62</v>
      </c>
      <c r="C583" s="26">
        <v>62.47</v>
      </c>
      <c r="D583" s="20">
        <v>-0.47</v>
      </c>
      <c r="E583" s="20">
        <v>-0.02</v>
      </c>
      <c r="F583" s="26">
        <v>1531.98</v>
      </c>
      <c r="Q583" s="20">
        <v>58.2</v>
      </c>
      <c r="R583" s="20">
        <v>62.03</v>
      </c>
      <c r="S583" s="26">
        <v>62</v>
      </c>
      <c r="T583" s="26">
        <v>-0.03</v>
      </c>
      <c r="U583" s="26">
        <v>-0.02</v>
      </c>
      <c r="V583" s="20">
        <v>1251.24</v>
      </c>
    </row>
    <row r="584" spans="1:22" ht="16.8" x14ac:dyDescent="0.3">
      <c r="A584" s="20">
        <v>58.4</v>
      </c>
      <c r="B584" s="20">
        <v>62</v>
      </c>
      <c r="C584" s="20">
        <v>62.46</v>
      </c>
      <c r="D584" s="20">
        <v>-0.46</v>
      </c>
      <c r="E584" s="20">
        <v>0.01</v>
      </c>
      <c r="F584" s="20">
        <v>1542.46</v>
      </c>
      <c r="Q584" s="20">
        <v>58.3</v>
      </c>
      <c r="R584" s="20">
        <v>62.05</v>
      </c>
      <c r="S584" s="20">
        <v>62</v>
      </c>
      <c r="T584" s="26">
        <v>-0.05</v>
      </c>
      <c r="U584" s="26">
        <v>-0.02</v>
      </c>
      <c r="V584" s="20">
        <v>1248.55</v>
      </c>
    </row>
    <row r="585" spans="1:22" ht="16.8" x14ac:dyDescent="0.3">
      <c r="A585" s="20">
        <v>58.5</v>
      </c>
      <c r="B585" s="20">
        <v>62</v>
      </c>
      <c r="C585" s="26">
        <v>62.47</v>
      </c>
      <c r="D585" s="20">
        <v>-0.47</v>
      </c>
      <c r="E585" s="20">
        <v>-0.01</v>
      </c>
      <c r="F585" s="26">
        <v>1531.98</v>
      </c>
      <c r="Q585" s="20">
        <v>58.4</v>
      </c>
      <c r="R585" s="20">
        <v>62.05</v>
      </c>
      <c r="S585" s="20">
        <v>62</v>
      </c>
      <c r="T585" s="26">
        <v>-0.05</v>
      </c>
      <c r="U585" s="26">
        <v>-0.01</v>
      </c>
      <c r="V585" s="20">
        <v>1250.3699999999999</v>
      </c>
    </row>
    <row r="586" spans="1:22" ht="16.8" x14ac:dyDescent="0.3">
      <c r="A586" s="20">
        <v>58.6</v>
      </c>
      <c r="B586" s="20">
        <v>62</v>
      </c>
      <c r="C586" s="20">
        <v>62.47</v>
      </c>
      <c r="D586" s="20">
        <v>-0.47</v>
      </c>
      <c r="E586" s="20">
        <v>0</v>
      </c>
      <c r="F586" s="26">
        <v>1535.53</v>
      </c>
      <c r="Q586" s="20">
        <v>58.5</v>
      </c>
      <c r="R586" s="20">
        <v>62.02</v>
      </c>
      <c r="S586" s="26">
        <v>62</v>
      </c>
      <c r="T586" s="26">
        <v>-0.02</v>
      </c>
      <c r="U586" s="26">
        <v>0.03</v>
      </c>
      <c r="V586" s="20">
        <v>1271.6199999999999</v>
      </c>
    </row>
    <row r="587" spans="1:22" ht="16.8" x14ac:dyDescent="0.3">
      <c r="A587" s="20">
        <v>58.7</v>
      </c>
      <c r="B587" s="20">
        <v>62</v>
      </c>
      <c r="C587" s="26">
        <v>62.49</v>
      </c>
      <c r="D587" s="20">
        <v>-0.49</v>
      </c>
      <c r="E587" s="20">
        <v>-0.02</v>
      </c>
      <c r="F587" s="20">
        <v>1513.26</v>
      </c>
      <c r="Q587" s="20">
        <v>58.6</v>
      </c>
      <c r="R587" s="20">
        <v>62.05</v>
      </c>
      <c r="S587" s="20">
        <v>62</v>
      </c>
      <c r="T587" s="20">
        <v>-0.05</v>
      </c>
      <c r="U587" s="26">
        <v>-0.03</v>
      </c>
      <c r="V587" s="20">
        <v>1240.49</v>
      </c>
    </row>
    <row r="588" spans="1:22" ht="16.8" x14ac:dyDescent="0.3">
      <c r="A588" s="20">
        <v>58.8</v>
      </c>
      <c r="B588" s="20">
        <v>62</v>
      </c>
      <c r="C588" s="26">
        <v>62.51</v>
      </c>
      <c r="D588" s="20">
        <v>-0.51</v>
      </c>
      <c r="E588" s="20">
        <v>-0.02</v>
      </c>
      <c r="F588" s="26">
        <v>1497.14</v>
      </c>
      <c r="Q588" s="20">
        <v>58.7</v>
      </c>
      <c r="R588" s="20">
        <v>62.01</v>
      </c>
      <c r="S588" s="26">
        <v>62</v>
      </c>
      <c r="T588" s="26">
        <v>-0.01</v>
      </c>
      <c r="U588" s="26">
        <v>0.04</v>
      </c>
      <c r="V588" s="20">
        <v>1275.97</v>
      </c>
    </row>
    <row r="589" spans="1:22" ht="16.8" x14ac:dyDescent="0.3">
      <c r="A589" s="20">
        <v>58.9</v>
      </c>
      <c r="B589" s="20">
        <v>62</v>
      </c>
      <c r="C589" s="20">
        <v>62.53</v>
      </c>
      <c r="D589" s="20">
        <v>-0.53</v>
      </c>
      <c r="E589" s="20">
        <v>-0.02</v>
      </c>
      <c r="F589" s="26">
        <v>1479.73</v>
      </c>
      <c r="Q589" s="20">
        <v>58.8</v>
      </c>
      <c r="R589" s="20">
        <v>62.01</v>
      </c>
      <c r="S589" s="20">
        <v>62</v>
      </c>
      <c r="T589" s="20">
        <v>-0.01</v>
      </c>
      <c r="U589" s="26">
        <v>0</v>
      </c>
      <c r="V589" s="20">
        <v>1259.77</v>
      </c>
    </row>
    <row r="590" spans="1:22" ht="16.8" x14ac:dyDescent="0.3">
      <c r="A590" s="20">
        <v>59</v>
      </c>
      <c r="B590" s="20">
        <v>62</v>
      </c>
      <c r="C590" s="26">
        <v>62.47</v>
      </c>
      <c r="D590" s="20">
        <v>-0.47</v>
      </c>
      <c r="E590" s="20">
        <v>0.06</v>
      </c>
      <c r="F590" s="20">
        <v>1535.53</v>
      </c>
      <c r="Q590" s="20">
        <v>58.9</v>
      </c>
      <c r="R590" s="20">
        <v>61.98</v>
      </c>
      <c r="S590" s="26">
        <v>62</v>
      </c>
      <c r="T590" s="26">
        <v>0.02</v>
      </c>
      <c r="U590" s="26">
        <v>0.03</v>
      </c>
      <c r="V590" s="20">
        <v>1277.8800000000001</v>
      </c>
    </row>
    <row r="591" spans="1:22" ht="16.8" x14ac:dyDescent="0.3">
      <c r="A591" s="20">
        <v>59.1</v>
      </c>
      <c r="B591" s="20">
        <v>62</v>
      </c>
      <c r="C591" s="20">
        <v>62.47</v>
      </c>
      <c r="D591" s="20">
        <v>-0.47</v>
      </c>
      <c r="E591" s="20">
        <v>0</v>
      </c>
      <c r="F591" s="26">
        <v>1535.53</v>
      </c>
      <c r="Q591" s="20">
        <v>59</v>
      </c>
      <c r="R591" s="20">
        <v>62.01</v>
      </c>
      <c r="S591" s="20">
        <v>62</v>
      </c>
      <c r="T591" s="20">
        <v>-0.01</v>
      </c>
      <c r="U591" s="26">
        <v>-0.03</v>
      </c>
      <c r="V591" s="20">
        <v>1246.8499999999999</v>
      </c>
    </row>
    <row r="592" spans="1:22" ht="16.8" x14ac:dyDescent="0.3">
      <c r="A592" s="20">
        <v>59.2</v>
      </c>
      <c r="B592" s="20">
        <v>62</v>
      </c>
      <c r="C592" s="26">
        <v>62.52</v>
      </c>
      <c r="D592" s="20">
        <v>-0.52</v>
      </c>
      <c r="E592" s="20">
        <v>-0.05</v>
      </c>
      <c r="F592" s="20">
        <v>1484.21</v>
      </c>
      <c r="Q592" s="20">
        <v>59.1</v>
      </c>
      <c r="R592" s="20">
        <v>62.04</v>
      </c>
      <c r="S592" s="26">
        <v>62</v>
      </c>
      <c r="T592" s="20">
        <v>-0.04</v>
      </c>
      <c r="U592" s="20">
        <v>-0.02</v>
      </c>
      <c r="V592" s="20">
        <v>1246.1300000000001</v>
      </c>
    </row>
    <row r="593" spans="1:22" ht="16.8" x14ac:dyDescent="0.3">
      <c r="A593" s="20">
        <v>59.3</v>
      </c>
      <c r="B593" s="20">
        <v>62</v>
      </c>
      <c r="C593" s="26">
        <v>62.53</v>
      </c>
      <c r="D593" s="20">
        <v>-0.53</v>
      </c>
      <c r="E593" s="20">
        <v>-0.01</v>
      </c>
      <c r="F593" s="26">
        <v>1470.49</v>
      </c>
      <c r="Q593" s="20">
        <v>59.2</v>
      </c>
      <c r="R593" s="20">
        <v>62.05</v>
      </c>
      <c r="S593" s="20">
        <v>62</v>
      </c>
      <c r="T593" s="26">
        <v>-0.05</v>
      </c>
      <c r="U593" s="26">
        <v>-0.01</v>
      </c>
      <c r="V593" s="20">
        <v>1251.2</v>
      </c>
    </row>
    <row r="594" spans="1:22" ht="16.8" x14ac:dyDescent="0.3">
      <c r="A594" s="20">
        <v>59.4</v>
      </c>
      <c r="B594" s="20">
        <v>62</v>
      </c>
      <c r="C594" s="20">
        <v>62.5</v>
      </c>
      <c r="D594" s="20">
        <v>-0.5</v>
      </c>
      <c r="E594" s="20">
        <v>0.03</v>
      </c>
      <c r="F594" s="26">
        <v>1505.32</v>
      </c>
      <c r="Q594" s="20">
        <v>59.3</v>
      </c>
      <c r="R594" s="20">
        <v>62.01</v>
      </c>
      <c r="S594" s="26">
        <v>62</v>
      </c>
      <c r="T594" s="20">
        <v>-0.01</v>
      </c>
      <c r="U594" s="20">
        <v>0.04</v>
      </c>
      <c r="V594" s="20">
        <v>1277</v>
      </c>
    </row>
    <row r="595" spans="1:22" ht="16.8" x14ac:dyDescent="0.3">
      <c r="A595" s="20">
        <v>59.5</v>
      </c>
      <c r="B595" s="20">
        <v>62</v>
      </c>
      <c r="C595" s="26">
        <v>62.49</v>
      </c>
      <c r="D595" s="20">
        <v>-0.49</v>
      </c>
      <c r="E595" s="20">
        <v>0.01</v>
      </c>
      <c r="F595" s="20">
        <v>1517.12</v>
      </c>
      <c r="Q595" s="20">
        <v>59.4</v>
      </c>
      <c r="R595" s="20">
        <v>62.04</v>
      </c>
      <c r="S595" s="20">
        <v>62</v>
      </c>
      <c r="T595" s="26">
        <v>-0.04</v>
      </c>
      <c r="U595" s="26">
        <v>-0.03</v>
      </c>
      <c r="V595" s="20">
        <v>1242.68</v>
      </c>
    </row>
    <row r="596" spans="1:22" ht="16.8" x14ac:dyDescent="0.3">
      <c r="A596" s="20">
        <v>59.6</v>
      </c>
      <c r="B596" s="20">
        <v>62</v>
      </c>
      <c r="C596" s="26">
        <v>62.53</v>
      </c>
      <c r="D596" s="20">
        <v>-0.53</v>
      </c>
      <c r="E596" s="20">
        <v>-0.04</v>
      </c>
      <c r="F596" s="26">
        <v>1470.49</v>
      </c>
      <c r="Q596" s="20">
        <v>59.5</v>
      </c>
      <c r="R596" s="20">
        <v>61.99</v>
      </c>
      <c r="S596" s="20">
        <v>62</v>
      </c>
      <c r="T596" s="20">
        <v>0.01</v>
      </c>
      <c r="U596" s="20">
        <v>0.05</v>
      </c>
      <c r="V596" s="20">
        <v>1282.74</v>
      </c>
    </row>
    <row r="597" spans="1:22" ht="16.8" x14ac:dyDescent="0.3">
      <c r="A597" s="20">
        <v>59.7</v>
      </c>
      <c r="B597" s="20">
        <v>62</v>
      </c>
      <c r="C597" s="20">
        <v>62.47</v>
      </c>
      <c r="D597" s="20">
        <v>-0.47</v>
      </c>
      <c r="E597" s="20">
        <v>0.06</v>
      </c>
      <c r="F597" s="26">
        <v>1531.98</v>
      </c>
      <c r="Q597" s="20">
        <v>59.6</v>
      </c>
      <c r="R597" s="20">
        <v>62.02</v>
      </c>
      <c r="S597" s="26">
        <v>62</v>
      </c>
      <c r="T597" s="26">
        <v>-0.02</v>
      </c>
      <c r="U597" s="26">
        <v>-0.03</v>
      </c>
      <c r="V597" s="20">
        <v>1245.22</v>
      </c>
    </row>
    <row r="598" spans="1:22" ht="16.8" x14ac:dyDescent="0.3">
      <c r="A598" s="20">
        <v>59.8</v>
      </c>
      <c r="B598" s="20">
        <v>62</v>
      </c>
      <c r="C598" s="26">
        <v>62.51</v>
      </c>
      <c r="D598" s="20">
        <v>-0.51</v>
      </c>
      <c r="E598" s="20">
        <v>-0.04</v>
      </c>
      <c r="F598" s="20">
        <v>1492.92</v>
      </c>
      <c r="Q598" s="20">
        <v>59.7</v>
      </c>
      <c r="R598" s="20">
        <v>62.01</v>
      </c>
      <c r="S598" s="20">
        <v>62</v>
      </c>
      <c r="T598" s="20">
        <v>-0.01</v>
      </c>
      <c r="U598" s="26">
        <v>0.01</v>
      </c>
      <c r="V598" s="20">
        <v>1262.6300000000001</v>
      </c>
    </row>
    <row r="599" spans="1:22" ht="16.8" x14ac:dyDescent="0.3">
      <c r="A599" s="20">
        <v>59.9</v>
      </c>
      <c r="B599" s="20">
        <v>62</v>
      </c>
      <c r="C599" s="26">
        <v>62.49</v>
      </c>
      <c r="D599" s="20">
        <v>-0.49</v>
      </c>
      <c r="E599" s="20">
        <v>0.03</v>
      </c>
      <c r="F599" s="26">
        <v>1520.92</v>
      </c>
      <c r="Q599" s="20">
        <v>59.8</v>
      </c>
      <c r="R599" s="20">
        <v>62</v>
      </c>
      <c r="S599" s="26">
        <v>62</v>
      </c>
      <c r="T599" s="26">
        <v>0</v>
      </c>
      <c r="U599" s="26">
        <v>0.02</v>
      </c>
      <c r="V599" s="20">
        <v>1268.43</v>
      </c>
    </row>
    <row r="600" spans="1:22" ht="16.8" x14ac:dyDescent="0.3">
      <c r="A600" s="20">
        <v>60</v>
      </c>
      <c r="B600" s="20">
        <v>62</v>
      </c>
      <c r="C600" s="20">
        <v>62.53</v>
      </c>
      <c r="D600" s="20">
        <v>-0.53</v>
      </c>
      <c r="E600" s="20">
        <v>-0.05</v>
      </c>
      <c r="F600" s="20">
        <v>1470.49</v>
      </c>
      <c r="Q600" s="20">
        <v>59.9</v>
      </c>
      <c r="R600" s="20">
        <v>62.01</v>
      </c>
      <c r="S600" s="20">
        <v>62</v>
      </c>
      <c r="T600" s="20">
        <v>-0.01</v>
      </c>
      <c r="U600" s="26">
        <v>-0.01</v>
      </c>
      <c r="V600" s="20">
        <v>1257.44</v>
      </c>
    </row>
    <row r="601" spans="1:22" ht="16.8" x14ac:dyDescent="0.3">
      <c r="A601" s="24">
        <v>60.1</v>
      </c>
      <c r="B601" s="24">
        <v>62</v>
      </c>
      <c r="C601" s="25">
        <v>62.47</v>
      </c>
      <c r="D601" s="24">
        <v>-0.47</v>
      </c>
      <c r="E601" s="24">
        <v>7.0000000000000007E-2</v>
      </c>
      <c r="F601" s="25">
        <v>1539.03</v>
      </c>
      <c r="Q601" s="20">
        <v>60</v>
      </c>
      <c r="R601" s="20">
        <v>62.02</v>
      </c>
      <c r="S601" s="26">
        <v>62</v>
      </c>
      <c r="T601" s="26">
        <v>-0.02</v>
      </c>
      <c r="U601" s="20">
        <v>-0.02</v>
      </c>
      <c r="V601" s="20">
        <v>1251.5899999999999</v>
      </c>
    </row>
    <row r="602" spans="1:22" ht="16.8" x14ac:dyDescent="0.3">
      <c r="A602" s="24">
        <v>60.1</v>
      </c>
      <c r="B602" s="24">
        <v>62</v>
      </c>
      <c r="C602" s="24">
        <v>61.67</v>
      </c>
      <c r="D602" s="24">
        <v>0.33</v>
      </c>
      <c r="E602" s="24">
        <v>0.06</v>
      </c>
      <c r="F602" s="24">
        <v>1448.1</v>
      </c>
      <c r="Q602" s="24">
        <v>60.1</v>
      </c>
      <c r="R602" s="24">
        <v>62.01</v>
      </c>
      <c r="S602" s="24">
        <v>62</v>
      </c>
      <c r="T602" s="25">
        <v>-0.01</v>
      </c>
      <c r="U602" s="25">
        <v>0.02</v>
      </c>
      <c r="V602" s="24">
        <v>1267.06</v>
      </c>
    </row>
  </sheetData>
  <mergeCells count="22">
    <mergeCell ref="H28:I28"/>
    <mergeCell ref="H18:K18"/>
    <mergeCell ref="J19:K19"/>
    <mergeCell ref="J20:K20"/>
    <mergeCell ref="H22:J22"/>
    <mergeCell ref="H23:J23"/>
    <mergeCell ref="X18:AA18"/>
    <mergeCell ref="Z19:AA19"/>
    <mergeCell ref="Z20:AA20"/>
    <mergeCell ref="X22:Z22"/>
    <mergeCell ref="X23:Z23"/>
    <mergeCell ref="X35:Z35"/>
    <mergeCell ref="H29:I29"/>
    <mergeCell ref="H31:I31"/>
    <mergeCell ref="H32:I32"/>
    <mergeCell ref="H34:J34"/>
    <mergeCell ref="H35:J35"/>
    <mergeCell ref="X28:Y28"/>
    <mergeCell ref="X29:Y29"/>
    <mergeCell ref="X31:Y31"/>
    <mergeCell ref="X32:Y32"/>
    <mergeCell ref="X34:Z34"/>
  </mergeCells>
  <dataValidations count="6">
    <dataValidation allowBlank="1" showInputMessage="1" showErrorMessage="1" prompt="TBL_HST[CH6]" sqref="V2:V602 F2:F602" xr:uid="{007E8793-DCF4-4B63-99F0-51867B2F914A}"/>
    <dataValidation allowBlank="1" showInputMessage="1" showErrorMessage="1" prompt="TBL_HST[CH5]" sqref="U2:U602 E2:E602" xr:uid="{17A37A82-E390-4CF0-9728-2DD64B3C7DEA}"/>
    <dataValidation allowBlank="1" showInputMessage="1" showErrorMessage="1" prompt="TBL_HST[CH4]" sqref="T2:T602 D2:D602" xr:uid="{492CEDD0-6D48-44C6-8494-8A4EAF1C854D}"/>
    <dataValidation allowBlank="1" showInputMessage="1" showErrorMessage="1" prompt="TBL_HST[CH3]" sqref="S2:S602 C2:C602" xr:uid="{9669998B-C695-433C-8B8C-5517295EE4A1}"/>
    <dataValidation allowBlank="1" showInputMessage="1" showErrorMessage="1" prompt="TBL_HST[CH2]" sqref="R2:R602 B2:B602" xr:uid="{5145B43C-0AFA-4E88-BFDE-0674546CEA8B}"/>
    <dataValidation allowBlank="1" showInputMessage="1" showErrorMessage="1" prompt="TBL_HST[CH1]" sqref="Q2:Q602 A2:A602" xr:uid="{0A90EB43-D488-4BD1-89BF-B9906DE3EE4A}"/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CFE81-79A3-4320-B0E3-473A703A80A2}">
  <dimension ref="A1:AA602"/>
  <sheetViews>
    <sheetView topLeftCell="G1" zoomScale="74" workbookViewId="0">
      <selection activeCell="J20" sqref="J20"/>
    </sheetView>
  </sheetViews>
  <sheetFormatPr defaultRowHeight="14.4" x14ac:dyDescent="0.3"/>
  <cols>
    <col min="1" max="5" width="9" style="29" bestFit="1" customWidth="1"/>
    <col min="6" max="6" width="10.21875" style="29" bestFit="1" customWidth="1"/>
    <col min="8" max="8" width="20.109375" customWidth="1"/>
    <col min="9" max="9" width="19.77734375" customWidth="1"/>
    <col min="11" max="11" width="22.33203125" customWidth="1"/>
    <col min="17" max="20" width="9" bestFit="1" customWidth="1"/>
    <col min="22" max="22" width="13.44140625" customWidth="1"/>
    <col min="24" max="24" width="19.88671875" customWidth="1"/>
    <col min="25" max="25" width="19.21875" customWidth="1"/>
    <col min="27" max="27" width="14.44140625" customWidth="1"/>
  </cols>
  <sheetData>
    <row r="1" spans="1:22" x14ac:dyDescent="0.3">
      <c r="A1" s="29" t="s">
        <v>36</v>
      </c>
      <c r="B1" s="29" t="s">
        <v>37</v>
      </c>
      <c r="C1" s="29" t="s">
        <v>38</v>
      </c>
      <c r="D1" s="29" t="s">
        <v>39</v>
      </c>
      <c r="E1" s="29" t="s">
        <v>40</v>
      </c>
      <c r="F1" s="29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65</v>
      </c>
      <c r="C2" s="20">
        <v>29.03</v>
      </c>
      <c r="D2" s="20">
        <v>35.97</v>
      </c>
      <c r="E2" s="20">
        <v>6</v>
      </c>
      <c r="F2" s="26">
        <v>2048</v>
      </c>
      <c r="Q2" s="20">
        <v>0.1</v>
      </c>
      <c r="R2" s="20">
        <v>35.14</v>
      </c>
      <c r="S2" s="26">
        <v>65</v>
      </c>
      <c r="T2" s="20">
        <v>29.86</v>
      </c>
      <c r="U2" s="26">
        <v>29.86</v>
      </c>
      <c r="V2" s="20">
        <v>4095</v>
      </c>
    </row>
    <row r="3" spans="1:22" ht="16.8" x14ac:dyDescent="0.3">
      <c r="A3" s="20">
        <v>0.2</v>
      </c>
      <c r="B3" s="20">
        <v>65</v>
      </c>
      <c r="C3" s="26">
        <v>29.05</v>
      </c>
      <c r="D3" s="20">
        <v>35.950000000000003</v>
      </c>
      <c r="E3" s="20">
        <v>-0.02</v>
      </c>
      <c r="F3" s="20">
        <v>3434.91</v>
      </c>
      <c r="Q3" s="20">
        <v>0.2</v>
      </c>
      <c r="R3" s="20">
        <v>36.06</v>
      </c>
      <c r="S3" s="26">
        <v>65</v>
      </c>
      <c r="T3" s="26">
        <v>28.94</v>
      </c>
      <c r="U3" s="26">
        <v>-0.92</v>
      </c>
      <c r="V3" s="26">
        <v>4095</v>
      </c>
    </row>
    <row r="4" spans="1:22" ht="16.8" x14ac:dyDescent="0.3">
      <c r="A4" s="20">
        <v>0.3</v>
      </c>
      <c r="B4" s="20">
        <v>65</v>
      </c>
      <c r="C4" s="26">
        <v>29.2</v>
      </c>
      <c r="D4" s="20">
        <v>35.799999999999997</v>
      </c>
      <c r="E4" s="20">
        <v>-0.15</v>
      </c>
      <c r="F4" s="26">
        <v>3413.9</v>
      </c>
      <c r="Q4" s="20">
        <v>0.3</v>
      </c>
      <c r="R4" s="20">
        <v>36.119999999999997</v>
      </c>
      <c r="S4" s="26">
        <v>65</v>
      </c>
      <c r="T4" s="20">
        <v>28.88</v>
      </c>
      <c r="U4" s="26">
        <v>-0.06</v>
      </c>
      <c r="V4" s="20">
        <v>4095</v>
      </c>
    </row>
    <row r="5" spans="1:22" ht="16.8" x14ac:dyDescent="0.3">
      <c r="A5" s="20">
        <v>0.4</v>
      </c>
      <c r="B5" s="20">
        <v>65</v>
      </c>
      <c r="C5" s="20">
        <v>29.16</v>
      </c>
      <c r="D5" s="20">
        <v>35.840000000000003</v>
      </c>
      <c r="E5" s="20">
        <v>0.04</v>
      </c>
      <c r="F5" s="20">
        <v>3434.91</v>
      </c>
      <c r="Q5" s="20">
        <v>0.4</v>
      </c>
      <c r="R5" s="20">
        <v>36.229999999999997</v>
      </c>
      <c r="S5" s="26">
        <v>65</v>
      </c>
      <c r="T5" s="26">
        <v>28.77</v>
      </c>
      <c r="U5" s="26">
        <v>-0.1</v>
      </c>
      <c r="V5" s="20">
        <v>4095</v>
      </c>
    </row>
    <row r="6" spans="1:22" ht="16.8" x14ac:dyDescent="0.3">
      <c r="A6" s="20">
        <v>0.5</v>
      </c>
      <c r="B6" s="20">
        <v>65</v>
      </c>
      <c r="C6" s="26">
        <v>29.25</v>
      </c>
      <c r="D6" s="20">
        <v>35.75</v>
      </c>
      <c r="E6" s="20">
        <v>-0.08</v>
      </c>
      <c r="F6" s="26">
        <v>3429.62</v>
      </c>
      <c r="Q6" s="20">
        <v>0.5</v>
      </c>
      <c r="R6" s="20">
        <v>36.32</v>
      </c>
      <c r="S6" s="26">
        <v>65</v>
      </c>
      <c r="T6" s="20">
        <v>28.68</v>
      </c>
      <c r="U6" s="26">
        <v>-0.09</v>
      </c>
      <c r="V6" s="26">
        <v>4095</v>
      </c>
    </row>
    <row r="7" spans="1:22" ht="16.8" x14ac:dyDescent="0.3">
      <c r="A7" s="20">
        <v>0.6</v>
      </c>
      <c r="B7" s="20">
        <v>65</v>
      </c>
      <c r="C7" s="20">
        <v>29.36</v>
      </c>
      <c r="D7" s="20">
        <v>35.64</v>
      </c>
      <c r="E7" s="20">
        <v>-0.11</v>
      </c>
      <c r="F7" s="26">
        <v>3423.78</v>
      </c>
      <c r="Q7" s="20">
        <v>0.6</v>
      </c>
      <c r="R7" s="20">
        <v>36.549999999999997</v>
      </c>
      <c r="S7" s="26">
        <v>65</v>
      </c>
      <c r="T7" s="26">
        <v>28.45</v>
      </c>
      <c r="U7" s="26">
        <v>-0.23</v>
      </c>
      <c r="V7" s="20">
        <v>4095</v>
      </c>
    </row>
    <row r="8" spans="1:22" ht="16.8" x14ac:dyDescent="0.3">
      <c r="A8" s="20">
        <v>0.7</v>
      </c>
      <c r="B8" s="20">
        <v>65</v>
      </c>
      <c r="C8" s="26">
        <v>29.51</v>
      </c>
      <c r="D8" s="20">
        <v>35.49</v>
      </c>
      <c r="E8" s="20">
        <v>-0.16</v>
      </c>
      <c r="F8" s="20">
        <v>3411.91</v>
      </c>
      <c r="Q8" s="20">
        <v>0.7</v>
      </c>
      <c r="R8" s="20">
        <v>36.83</v>
      </c>
      <c r="S8" s="26">
        <v>65</v>
      </c>
      <c r="T8" s="26">
        <v>28.17</v>
      </c>
      <c r="U8" s="26">
        <v>-0.28000000000000003</v>
      </c>
      <c r="V8" s="26">
        <v>4095</v>
      </c>
    </row>
    <row r="9" spans="1:22" ht="16.8" x14ac:dyDescent="0.3">
      <c r="A9" s="20">
        <v>0.8</v>
      </c>
      <c r="B9" s="20">
        <v>65</v>
      </c>
      <c r="C9" s="26">
        <v>29.74</v>
      </c>
      <c r="D9" s="20">
        <v>35.26</v>
      </c>
      <c r="E9" s="20">
        <v>-0.23</v>
      </c>
      <c r="F9" s="26">
        <v>3394.72</v>
      </c>
      <c r="Q9" s="20">
        <v>0.8</v>
      </c>
      <c r="R9" s="20">
        <v>37.25</v>
      </c>
      <c r="S9" s="26">
        <v>65</v>
      </c>
      <c r="T9" s="26">
        <v>27.75</v>
      </c>
      <c r="U9" s="26">
        <v>-0.42</v>
      </c>
      <c r="V9" s="20">
        <v>4095</v>
      </c>
    </row>
    <row r="10" spans="1:22" ht="16.8" x14ac:dyDescent="0.3">
      <c r="A10" s="20">
        <v>0.9</v>
      </c>
      <c r="B10" s="20">
        <v>65</v>
      </c>
      <c r="C10" s="20">
        <v>29.95</v>
      </c>
      <c r="D10" s="20">
        <v>35.049999999999997</v>
      </c>
      <c r="E10" s="20">
        <v>-0.21</v>
      </c>
      <c r="F10" s="20">
        <v>3397.78</v>
      </c>
      <c r="Q10" s="20">
        <v>0.9</v>
      </c>
      <c r="R10" s="20">
        <v>37.729999999999997</v>
      </c>
      <c r="S10" s="26">
        <v>65</v>
      </c>
      <c r="T10" s="26">
        <v>27.27</v>
      </c>
      <c r="U10" s="26">
        <v>-0.48</v>
      </c>
      <c r="V10" s="26">
        <v>4095</v>
      </c>
    </row>
    <row r="11" spans="1:22" ht="16.8" x14ac:dyDescent="0.3">
      <c r="A11" s="20">
        <v>1</v>
      </c>
      <c r="B11" s="20">
        <v>65</v>
      </c>
      <c r="C11" s="26">
        <v>30.32</v>
      </c>
      <c r="D11" s="20">
        <v>34.68</v>
      </c>
      <c r="E11" s="20">
        <v>-0.37</v>
      </c>
      <c r="F11" s="26">
        <v>3383.14</v>
      </c>
      <c r="Q11" s="20">
        <v>1</v>
      </c>
      <c r="R11" s="20">
        <v>38.22</v>
      </c>
      <c r="S11" s="26">
        <v>65</v>
      </c>
      <c r="T11" s="26">
        <v>26.78</v>
      </c>
      <c r="U11" s="26">
        <v>-0.49</v>
      </c>
      <c r="V11" s="20">
        <v>4043.06</v>
      </c>
    </row>
    <row r="12" spans="1:22" ht="16.8" x14ac:dyDescent="0.3">
      <c r="A12" s="20">
        <v>1.1000000000000001</v>
      </c>
      <c r="B12" s="20">
        <v>65</v>
      </c>
      <c r="C12" s="26">
        <v>30.74</v>
      </c>
      <c r="D12" s="20">
        <v>34.26</v>
      </c>
      <c r="E12" s="20">
        <v>-0.42</v>
      </c>
      <c r="F12" s="26">
        <v>3391.56</v>
      </c>
      <c r="Q12" s="32">
        <v>1.1000000000000001</v>
      </c>
      <c r="R12" s="32">
        <v>38.78</v>
      </c>
      <c r="S12" s="34">
        <v>65</v>
      </c>
      <c r="T12" s="32">
        <v>26.22</v>
      </c>
      <c r="U12" s="34">
        <v>-0.56000000000000005</v>
      </c>
      <c r="V12" s="34">
        <v>3967.78</v>
      </c>
    </row>
    <row r="13" spans="1:22" ht="16.8" x14ac:dyDescent="0.3">
      <c r="A13" s="20">
        <v>1.2</v>
      </c>
      <c r="B13" s="20">
        <v>65</v>
      </c>
      <c r="C13" s="20">
        <v>31.13</v>
      </c>
      <c r="D13" s="20">
        <v>33.869999999999997</v>
      </c>
      <c r="E13" s="20">
        <v>-0.39</v>
      </c>
      <c r="F13" s="20">
        <v>3387.67</v>
      </c>
      <c r="Q13" s="32">
        <v>1.2</v>
      </c>
      <c r="R13" s="32">
        <v>39.36</v>
      </c>
      <c r="S13" s="34">
        <v>65</v>
      </c>
      <c r="T13" s="34">
        <v>25.64</v>
      </c>
      <c r="U13" s="34">
        <v>-0.57999999999999996</v>
      </c>
      <c r="V13" s="32">
        <v>3925.53</v>
      </c>
    </row>
    <row r="14" spans="1:22" ht="16.8" x14ac:dyDescent="0.3">
      <c r="A14" s="20">
        <v>1.3</v>
      </c>
      <c r="B14" s="20">
        <v>65</v>
      </c>
      <c r="C14" s="26">
        <v>31.59</v>
      </c>
      <c r="D14" s="20">
        <v>33.409999999999997</v>
      </c>
      <c r="E14" s="20">
        <v>-0.45</v>
      </c>
      <c r="F14" s="26">
        <v>3396.68</v>
      </c>
      <c r="Q14" s="32">
        <v>1.3</v>
      </c>
      <c r="R14" s="32">
        <v>39.99</v>
      </c>
      <c r="S14" s="34">
        <v>65</v>
      </c>
      <c r="T14" s="32">
        <v>25.01</v>
      </c>
      <c r="U14" s="34">
        <v>-0.63</v>
      </c>
      <c r="V14" s="34">
        <v>3852.87</v>
      </c>
    </row>
    <row r="15" spans="1:22" ht="16.8" x14ac:dyDescent="0.3">
      <c r="A15" s="20">
        <v>1.4</v>
      </c>
      <c r="B15" s="20">
        <v>65</v>
      </c>
      <c r="C15" s="20">
        <v>32.130000000000003</v>
      </c>
      <c r="D15" s="20">
        <v>32.869999999999997</v>
      </c>
      <c r="E15" s="20">
        <v>-0.54</v>
      </c>
      <c r="F15" s="20">
        <v>3411.19</v>
      </c>
      <c r="Q15" s="32">
        <v>1.4</v>
      </c>
      <c r="R15" s="32">
        <v>40.69</v>
      </c>
      <c r="S15" s="34">
        <v>65</v>
      </c>
      <c r="T15" s="34">
        <v>24.31</v>
      </c>
      <c r="U15" s="34">
        <v>-0.7</v>
      </c>
      <c r="V15" s="32">
        <v>3751</v>
      </c>
    </row>
    <row r="16" spans="1:22" ht="16.8" x14ac:dyDescent="0.3">
      <c r="A16" s="20">
        <v>1.5</v>
      </c>
      <c r="B16" s="20">
        <v>65</v>
      </c>
      <c r="C16" s="26">
        <v>32.61</v>
      </c>
      <c r="D16" s="20">
        <v>32.39</v>
      </c>
      <c r="E16" s="20">
        <v>-0.48</v>
      </c>
      <c r="F16" s="26">
        <v>3401.13</v>
      </c>
      <c r="Q16" s="32">
        <v>1.5</v>
      </c>
      <c r="R16" s="32">
        <v>41.34</v>
      </c>
      <c r="S16" s="34">
        <v>65</v>
      </c>
      <c r="T16" s="34">
        <v>23.66</v>
      </c>
      <c r="U16" s="34">
        <v>-0.65</v>
      </c>
      <c r="V16" s="32">
        <v>3734.64</v>
      </c>
    </row>
    <row r="17" spans="1:27" ht="16.8" x14ac:dyDescent="0.3">
      <c r="A17" s="20">
        <v>1.6</v>
      </c>
      <c r="B17" s="20">
        <v>65</v>
      </c>
      <c r="C17" s="26">
        <v>33.22</v>
      </c>
      <c r="D17" s="20">
        <v>31.78</v>
      </c>
      <c r="E17" s="20">
        <v>-0.61</v>
      </c>
      <c r="F17" s="26">
        <v>3421.73</v>
      </c>
      <c r="H17" s="55" t="s">
        <v>46</v>
      </c>
      <c r="I17" s="56"/>
      <c r="J17" s="56"/>
      <c r="K17" s="57"/>
      <c r="Q17" s="32">
        <v>1.6</v>
      </c>
      <c r="R17" s="32">
        <v>42.08</v>
      </c>
      <c r="S17" s="34">
        <v>65</v>
      </c>
      <c r="T17" s="34">
        <v>22.92</v>
      </c>
      <c r="U17" s="34">
        <v>-0.73</v>
      </c>
      <c r="V17" s="34">
        <v>3618.99</v>
      </c>
    </row>
    <row r="18" spans="1:27" ht="16.8" x14ac:dyDescent="0.3">
      <c r="A18" s="20">
        <v>1.7</v>
      </c>
      <c r="B18" s="20">
        <v>65</v>
      </c>
      <c r="C18" s="20">
        <v>33.770000000000003</v>
      </c>
      <c r="D18" s="20">
        <v>31.23</v>
      </c>
      <c r="E18" s="20">
        <v>-0.54</v>
      </c>
      <c r="F18" s="20">
        <v>3411.19</v>
      </c>
      <c r="H18" s="30" t="s">
        <v>47</v>
      </c>
      <c r="I18" s="30" t="s">
        <v>48</v>
      </c>
      <c r="J18" s="55" t="s">
        <v>49</v>
      </c>
      <c r="K18" s="57"/>
      <c r="Q18" s="32">
        <v>1.7</v>
      </c>
      <c r="R18" s="32">
        <v>42.84</v>
      </c>
      <c r="S18" s="34">
        <v>65</v>
      </c>
      <c r="T18" s="34">
        <v>22.16</v>
      </c>
      <c r="U18" s="34">
        <v>-0.76</v>
      </c>
      <c r="V18" s="32">
        <v>3534.65</v>
      </c>
      <c r="X18" s="55" t="s">
        <v>46</v>
      </c>
      <c r="Y18" s="56"/>
      <c r="Z18" s="56"/>
      <c r="AA18" s="57"/>
    </row>
    <row r="19" spans="1:27" ht="16.8" x14ac:dyDescent="0.3">
      <c r="A19" s="20">
        <v>1.8</v>
      </c>
      <c r="B19" s="20">
        <v>65</v>
      </c>
      <c r="C19" s="26">
        <v>34.28</v>
      </c>
      <c r="D19" s="20">
        <v>30.72</v>
      </c>
      <c r="E19" s="20">
        <v>-0.52</v>
      </c>
      <c r="F19" s="26">
        <v>3407.43</v>
      </c>
      <c r="H19" s="30">
        <f>C2+0.1*(B4-C2)</f>
        <v>32.627000000000002</v>
      </c>
      <c r="I19" s="30">
        <f>C2+0.9*(B4-C2)</f>
        <v>61.402999999999999</v>
      </c>
      <c r="J19" s="55">
        <f>A78-A26</f>
        <v>5.2</v>
      </c>
      <c r="K19" s="57"/>
      <c r="Q19" s="32">
        <v>1.8</v>
      </c>
      <c r="R19" s="32">
        <v>43.49</v>
      </c>
      <c r="S19" s="34">
        <v>65</v>
      </c>
      <c r="T19" s="32">
        <v>21.51</v>
      </c>
      <c r="U19" s="32">
        <v>-0.65</v>
      </c>
      <c r="V19" s="34">
        <v>3550.15</v>
      </c>
      <c r="X19" s="30" t="s">
        <v>47</v>
      </c>
      <c r="Y19" s="30" t="s">
        <v>48</v>
      </c>
      <c r="Z19" s="55" t="s">
        <v>49</v>
      </c>
      <c r="AA19" s="57"/>
    </row>
    <row r="20" spans="1:27" ht="16.8" x14ac:dyDescent="0.3">
      <c r="A20" s="20">
        <v>1.9</v>
      </c>
      <c r="B20" s="20">
        <v>65</v>
      </c>
      <c r="C20" s="26">
        <v>34.89</v>
      </c>
      <c r="D20" s="20">
        <v>30.11</v>
      </c>
      <c r="E20" s="20">
        <v>-0.6</v>
      </c>
      <c r="F20" s="20">
        <v>3420.5</v>
      </c>
      <c r="Q20" s="32">
        <v>1.9</v>
      </c>
      <c r="R20" s="32">
        <v>44.21</v>
      </c>
      <c r="S20" s="34">
        <v>65</v>
      </c>
      <c r="T20" s="34">
        <v>20.79</v>
      </c>
      <c r="U20" s="34">
        <v>-0.73</v>
      </c>
      <c r="V20" s="32">
        <v>3435.96</v>
      </c>
      <c r="X20" s="30">
        <f>R2+0.1*(S2-R2)</f>
        <v>38.125999999999998</v>
      </c>
      <c r="Y20" s="30">
        <f>R2+0.9*(S2-R2)</f>
        <v>62.013999999999996</v>
      </c>
      <c r="Z20" s="55">
        <f>Q62-Q12</f>
        <v>5</v>
      </c>
      <c r="AA20" s="57"/>
    </row>
    <row r="21" spans="1:27" ht="16.8" x14ac:dyDescent="0.3">
      <c r="A21" s="20">
        <v>2</v>
      </c>
      <c r="B21" s="20">
        <v>65</v>
      </c>
      <c r="C21" s="20">
        <v>35.46</v>
      </c>
      <c r="D21" s="20">
        <v>29.54</v>
      </c>
      <c r="E21" s="20">
        <v>-0.56999999999999995</v>
      </c>
      <c r="F21" s="26">
        <v>3415.55</v>
      </c>
      <c r="H21" s="55" t="s">
        <v>50</v>
      </c>
      <c r="I21" s="56"/>
      <c r="J21" s="57"/>
      <c r="Q21" s="32">
        <v>2</v>
      </c>
      <c r="R21" s="32">
        <v>44.95</v>
      </c>
      <c r="S21" s="34">
        <v>65</v>
      </c>
      <c r="T21" s="32">
        <v>20.05</v>
      </c>
      <c r="U21" s="32">
        <v>-0.73</v>
      </c>
      <c r="V21" s="34">
        <v>3361.01</v>
      </c>
    </row>
    <row r="22" spans="1:27" ht="16.8" x14ac:dyDescent="0.3">
      <c r="A22" s="20">
        <v>2.1</v>
      </c>
      <c r="B22" s="20">
        <v>65</v>
      </c>
      <c r="C22" s="26">
        <v>36.04</v>
      </c>
      <c r="D22" s="20">
        <v>28.96</v>
      </c>
      <c r="E22" s="20">
        <v>-0.57999999999999996</v>
      </c>
      <c r="F22" s="26">
        <v>3416.78</v>
      </c>
      <c r="H22" s="58">
        <f>((MAX(C1:C141)-65)/65)*100</f>
        <v>1.9538461538461478</v>
      </c>
      <c r="I22" s="58"/>
      <c r="J22" s="58"/>
      <c r="Q22" s="32">
        <v>2.1</v>
      </c>
      <c r="R22" s="32">
        <v>45.6</v>
      </c>
      <c r="S22" s="32">
        <v>65</v>
      </c>
      <c r="T22" s="34">
        <v>19.399999999999999</v>
      </c>
      <c r="U22" s="34">
        <v>-0.65</v>
      </c>
      <c r="V22" s="32">
        <v>3355.57</v>
      </c>
      <c r="X22" s="55" t="s">
        <v>50</v>
      </c>
      <c r="Y22" s="56"/>
      <c r="Z22" s="57"/>
    </row>
    <row r="23" spans="1:27" ht="16.8" x14ac:dyDescent="0.3">
      <c r="A23" s="20">
        <v>2.2000000000000002</v>
      </c>
      <c r="B23" s="20">
        <v>65</v>
      </c>
      <c r="C23" s="26">
        <v>36.630000000000003</v>
      </c>
      <c r="D23" s="20">
        <v>28.37</v>
      </c>
      <c r="E23" s="20">
        <v>-0.59</v>
      </c>
      <c r="F23" s="20">
        <v>3418.02</v>
      </c>
      <c r="Q23" s="32">
        <v>2.2000000000000002</v>
      </c>
      <c r="R23" s="32">
        <v>46.25</v>
      </c>
      <c r="S23" s="34">
        <v>65</v>
      </c>
      <c r="T23" s="34">
        <v>18.75</v>
      </c>
      <c r="U23" s="34">
        <v>-0.65</v>
      </c>
      <c r="V23" s="34">
        <v>3295.73</v>
      </c>
      <c r="X23" s="58">
        <f>((MAX(R2:R265)-65)/65)*100</f>
        <v>1.5538461538461616</v>
      </c>
      <c r="Y23" s="58"/>
      <c r="Z23" s="58"/>
    </row>
    <row r="24" spans="1:27" ht="16.8" x14ac:dyDescent="0.3">
      <c r="A24" s="20">
        <v>2.2999999999999998</v>
      </c>
      <c r="B24" s="20">
        <v>65</v>
      </c>
      <c r="C24" s="20">
        <v>37.18</v>
      </c>
      <c r="D24" s="20">
        <v>27.82</v>
      </c>
      <c r="E24" s="20">
        <v>-0.55000000000000004</v>
      </c>
      <c r="F24" s="26">
        <v>3412.44</v>
      </c>
      <c r="H24" s="29" t="s">
        <v>51</v>
      </c>
      <c r="I24" s="29">
        <f>ABS(AVERAGE(C301:C602))</f>
        <v>65.30894039735108</v>
      </c>
      <c r="Q24" s="32">
        <v>2.2999999999999998</v>
      </c>
      <c r="R24" s="32">
        <v>46.9</v>
      </c>
      <c r="S24" s="34">
        <v>65</v>
      </c>
      <c r="T24" s="34">
        <v>18.100000000000001</v>
      </c>
      <c r="U24" s="34">
        <v>-0.64</v>
      </c>
      <c r="V24" s="32">
        <v>3240.9</v>
      </c>
    </row>
    <row r="25" spans="1:27" ht="16.8" x14ac:dyDescent="0.3">
      <c r="A25" s="20">
        <v>2.4</v>
      </c>
      <c r="B25" s="20">
        <v>65</v>
      </c>
      <c r="C25" s="26">
        <v>37.74</v>
      </c>
      <c r="D25" s="20">
        <v>27.26</v>
      </c>
      <c r="E25" s="20">
        <v>-0.56000000000000005</v>
      </c>
      <c r="F25" s="20">
        <v>3413.05</v>
      </c>
      <c r="H25" s="29" t="s">
        <v>52</v>
      </c>
      <c r="I25" s="29">
        <f>ABS((I24-65)/65)*100</f>
        <v>0.47529291900166121</v>
      </c>
      <c r="Q25" s="32">
        <v>2.4</v>
      </c>
      <c r="R25" s="32">
        <v>47.58</v>
      </c>
      <c r="S25" s="34">
        <v>65</v>
      </c>
      <c r="T25" s="34">
        <v>17.420000000000002</v>
      </c>
      <c r="U25" s="34">
        <v>-0.68</v>
      </c>
      <c r="V25" s="32">
        <v>3146.25</v>
      </c>
      <c r="X25" s="29" t="s">
        <v>51</v>
      </c>
      <c r="Y25" s="29">
        <f>ABS(AVERAGE(R301:R602))</f>
        <v>65.124834437086093</v>
      </c>
    </row>
    <row r="26" spans="1:27" ht="16.8" x14ac:dyDescent="0.3">
      <c r="A26" s="45">
        <v>2.5</v>
      </c>
      <c r="B26" s="20">
        <v>65</v>
      </c>
      <c r="C26" s="20">
        <v>38.33</v>
      </c>
      <c r="D26" s="20">
        <v>26.67</v>
      </c>
      <c r="E26" s="20">
        <v>-0.6</v>
      </c>
      <c r="F26" s="26">
        <v>3419.25</v>
      </c>
      <c r="Q26" s="32">
        <v>2.5</v>
      </c>
      <c r="R26" s="32">
        <v>48.2</v>
      </c>
      <c r="S26" s="34">
        <v>65</v>
      </c>
      <c r="T26" s="32">
        <v>16.8</v>
      </c>
      <c r="U26" s="34">
        <v>-0.62</v>
      </c>
      <c r="V26" s="34">
        <v>3129.19</v>
      </c>
      <c r="X26" s="29" t="s">
        <v>52</v>
      </c>
      <c r="Y26" s="29">
        <f>((Y25-65)/65)*100</f>
        <v>0.19205298013245142</v>
      </c>
    </row>
    <row r="27" spans="1:27" ht="16.8" x14ac:dyDescent="0.3">
      <c r="A27" s="20">
        <v>2.6</v>
      </c>
      <c r="B27" s="20">
        <v>65</v>
      </c>
      <c r="C27" s="26">
        <v>38.979999999999997</v>
      </c>
      <c r="D27" s="20">
        <v>26.02</v>
      </c>
      <c r="E27" s="20">
        <v>-0.64</v>
      </c>
      <c r="F27" s="26">
        <v>3426.63</v>
      </c>
      <c r="H27" s="58" t="s">
        <v>53</v>
      </c>
      <c r="I27" s="58"/>
      <c r="Q27" s="32">
        <v>2.6</v>
      </c>
      <c r="R27" s="32">
        <v>48.81</v>
      </c>
      <c r="S27" s="34">
        <v>65</v>
      </c>
      <c r="T27" s="34">
        <v>16.190000000000001</v>
      </c>
      <c r="U27" s="34">
        <v>-0.61</v>
      </c>
      <c r="V27" s="32">
        <v>3074.94</v>
      </c>
    </row>
    <row r="28" spans="1:27" ht="16.8" x14ac:dyDescent="0.3">
      <c r="A28" s="20">
        <v>2.7</v>
      </c>
      <c r="B28" s="20">
        <v>65</v>
      </c>
      <c r="C28" s="26">
        <v>39.49</v>
      </c>
      <c r="D28" s="20">
        <v>25.51</v>
      </c>
      <c r="E28" s="20">
        <v>-0.51</v>
      </c>
      <c r="F28" s="20">
        <v>3405.55</v>
      </c>
      <c r="H28" s="58" cm="1">
        <f t="array" ref="H28">SUMPRODUCT(ABS(D2:D602)*0.1)</f>
        <v>168.70299999999929</v>
      </c>
      <c r="I28" s="58"/>
      <c r="Q28" s="32">
        <v>2.7</v>
      </c>
      <c r="R28" s="32">
        <v>49.43</v>
      </c>
      <c r="S28" s="34">
        <v>65</v>
      </c>
      <c r="T28" s="34">
        <v>15.57</v>
      </c>
      <c r="U28" s="34">
        <v>-0.61</v>
      </c>
      <c r="V28" s="34">
        <v>3013.93</v>
      </c>
      <c r="X28" s="58" t="s">
        <v>53</v>
      </c>
      <c r="Y28" s="58"/>
    </row>
    <row r="29" spans="1:27" ht="16.8" x14ac:dyDescent="0.3">
      <c r="A29" s="20">
        <v>2.8</v>
      </c>
      <c r="B29" s="20">
        <v>65</v>
      </c>
      <c r="C29" s="20">
        <v>40.08</v>
      </c>
      <c r="D29" s="20">
        <v>24.92</v>
      </c>
      <c r="E29" s="20">
        <v>-0.59</v>
      </c>
      <c r="F29" s="26">
        <v>3418.67</v>
      </c>
      <c r="Q29" s="32">
        <v>2.8</v>
      </c>
      <c r="R29" s="32">
        <v>49.99</v>
      </c>
      <c r="S29" s="34">
        <v>65</v>
      </c>
      <c r="T29" s="34">
        <v>15.01</v>
      </c>
      <c r="U29" s="34">
        <v>-0.56000000000000005</v>
      </c>
      <c r="V29" s="32">
        <v>2991.07</v>
      </c>
      <c r="X29" s="58" cm="1">
        <f t="array" ref="X29">SUMPRODUCT(ABS(T2:T602)*0.1)</f>
        <v>110.82600000000018</v>
      </c>
      <c r="Y29" s="58"/>
    </row>
    <row r="30" spans="1:27" ht="16.8" x14ac:dyDescent="0.3">
      <c r="A30" s="20">
        <v>2.9</v>
      </c>
      <c r="B30" s="20">
        <v>65</v>
      </c>
      <c r="C30" s="26">
        <v>40.64</v>
      </c>
      <c r="D30" s="20">
        <v>24.36</v>
      </c>
      <c r="E30" s="20">
        <v>-0.56000000000000005</v>
      </c>
      <c r="F30" s="26">
        <v>3413.06</v>
      </c>
      <c r="H30" s="58" t="s">
        <v>54</v>
      </c>
      <c r="I30" s="58"/>
      <c r="Q30" s="32">
        <v>2.9</v>
      </c>
      <c r="R30" s="32">
        <v>50.57</v>
      </c>
      <c r="S30" s="34">
        <v>65</v>
      </c>
      <c r="T30" s="34">
        <v>14.43</v>
      </c>
      <c r="U30" s="34">
        <v>-0.57999999999999996</v>
      </c>
      <c r="V30" s="34">
        <v>2921.93</v>
      </c>
    </row>
    <row r="31" spans="1:27" ht="16.8" x14ac:dyDescent="0.3">
      <c r="A31" s="20">
        <v>3</v>
      </c>
      <c r="B31" s="20">
        <v>65</v>
      </c>
      <c r="C31" s="26">
        <v>41.13</v>
      </c>
      <c r="D31" s="20">
        <v>23.87</v>
      </c>
      <c r="E31" s="20">
        <v>-0.5</v>
      </c>
      <c r="F31" s="20">
        <v>3403.66</v>
      </c>
      <c r="H31" s="58" cm="1">
        <f t="array" ref="H31">SUMPRODUCT(((D2:D602)^2)*0.1)</f>
        <v>3866.483030000019</v>
      </c>
      <c r="I31" s="58"/>
      <c r="Q31" s="32">
        <v>3</v>
      </c>
      <c r="R31" s="32">
        <v>51.15</v>
      </c>
      <c r="S31" s="32">
        <v>65</v>
      </c>
      <c r="T31" s="34">
        <v>13.85</v>
      </c>
      <c r="U31" s="34">
        <v>-0.57999999999999996</v>
      </c>
      <c r="V31" s="32">
        <v>2861.97</v>
      </c>
      <c r="X31" s="58" t="s">
        <v>54</v>
      </c>
      <c r="Y31" s="58"/>
    </row>
    <row r="32" spans="1:27" ht="16.8" x14ac:dyDescent="0.3">
      <c r="A32" s="20">
        <v>3.1</v>
      </c>
      <c r="B32" s="20">
        <v>65</v>
      </c>
      <c r="C32" s="20">
        <v>41.72</v>
      </c>
      <c r="D32" s="20">
        <v>23.28</v>
      </c>
      <c r="E32" s="20">
        <v>-0.59</v>
      </c>
      <c r="F32" s="26">
        <v>3418.63</v>
      </c>
      <c r="Q32" s="32">
        <v>3.1</v>
      </c>
      <c r="R32" s="32">
        <v>51.68</v>
      </c>
      <c r="S32" s="34">
        <v>65</v>
      </c>
      <c r="T32" s="32">
        <v>13.32</v>
      </c>
      <c r="U32" s="32">
        <v>-0.53</v>
      </c>
      <c r="V32" s="34">
        <v>2840.2</v>
      </c>
      <c r="X32" s="58" cm="1">
        <f t="array" ref="X32">SUMPRODUCT(((T2:T603)^2)*0.1)</f>
        <v>1836.8468199999973</v>
      </c>
      <c r="Y32" s="58"/>
    </row>
    <row r="33" spans="1:26" ht="16.8" x14ac:dyDescent="0.3">
      <c r="A33" s="20">
        <v>3.2</v>
      </c>
      <c r="B33" s="20">
        <v>65</v>
      </c>
      <c r="C33" s="26">
        <v>42.26</v>
      </c>
      <c r="D33" s="20">
        <v>22.74</v>
      </c>
      <c r="E33" s="20">
        <v>-0.54</v>
      </c>
      <c r="F33" s="26">
        <v>3409.94</v>
      </c>
      <c r="H33" s="58" t="s">
        <v>55</v>
      </c>
      <c r="I33" s="58"/>
      <c r="J33" s="58"/>
      <c r="Q33" s="32">
        <v>3.2</v>
      </c>
      <c r="R33" s="32">
        <v>52.2</v>
      </c>
      <c r="S33" s="34">
        <v>65</v>
      </c>
      <c r="T33" s="34">
        <v>12.8</v>
      </c>
      <c r="U33" s="34">
        <v>-0.52</v>
      </c>
      <c r="V33" s="34">
        <v>2798.67</v>
      </c>
    </row>
    <row r="34" spans="1:26" ht="16.8" x14ac:dyDescent="0.3">
      <c r="A34" s="20">
        <v>3.3</v>
      </c>
      <c r="B34" s="20">
        <v>65</v>
      </c>
      <c r="C34" s="26">
        <v>42.87</v>
      </c>
      <c r="D34" s="20">
        <v>22.13</v>
      </c>
      <c r="E34" s="20">
        <v>-0.61</v>
      </c>
      <c r="F34" s="20">
        <v>3421.71</v>
      </c>
      <c r="H34" s="58" cm="1">
        <f t="array" ref="H34">SUMPRODUCT(A2:A602 * ABS(D2:D602) * 0.1)</f>
        <v>961.04400000000066</v>
      </c>
      <c r="I34" s="58"/>
      <c r="J34" s="58"/>
      <c r="Q34" s="32">
        <v>3.3</v>
      </c>
      <c r="R34" s="32">
        <v>52.72</v>
      </c>
      <c r="S34" s="34">
        <v>65</v>
      </c>
      <c r="T34" s="32">
        <v>12.28</v>
      </c>
      <c r="U34" s="32">
        <v>-0.52</v>
      </c>
      <c r="V34" s="34">
        <v>2738.7</v>
      </c>
      <c r="X34" s="58" t="s">
        <v>55</v>
      </c>
      <c r="Y34" s="58"/>
      <c r="Z34" s="58"/>
    </row>
    <row r="35" spans="1:26" ht="16.8" x14ac:dyDescent="0.3">
      <c r="A35" s="20">
        <v>3.4</v>
      </c>
      <c r="B35" s="20">
        <v>65</v>
      </c>
      <c r="C35" s="20">
        <v>43.36</v>
      </c>
      <c r="D35" s="20">
        <v>21.64</v>
      </c>
      <c r="E35" s="20">
        <v>-0.49</v>
      </c>
      <c r="F35" s="26">
        <v>3403.02</v>
      </c>
      <c r="Q35" s="32">
        <v>3.4</v>
      </c>
      <c r="R35" s="32">
        <v>53.21</v>
      </c>
      <c r="S35" s="34">
        <v>65</v>
      </c>
      <c r="T35" s="34">
        <v>11.79</v>
      </c>
      <c r="U35" s="34">
        <v>-0.49</v>
      </c>
      <c r="V35" s="32">
        <v>2709.16</v>
      </c>
      <c r="X35" s="58" cm="1">
        <f t="array" ref="X35">SUMPRODUCT(Q2:Q603 * ABS(T2:T603) * 0.1)</f>
        <v>682.04750000000001</v>
      </c>
      <c r="Y35" s="58"/>
      <c r="Z35" s="58"/>
    </row>
    <row r="36" spans="1:26" ht="16.8" x14ac:dyDescent="0.3">
      <c r="A36" s="20">
        <v>3.5</v>
      </c>
      <c r="B36" s="20">
        <v>65</v>
      </c>
      <c r="C36" s="26">
        <v>43.92</v>
      </c>
      <c r="D36" s="20">
        <v>21.08</v>
      </c>
      <c r="E36" s="20">
        <v>-0.56000000000000005</v>
      </c>
      <c r="F36" s="20">
        <v>3413.06</v>
      </c>
      <c r="Q36" s="32">
        <v>3.5</v>
      </c>
      <c r="R36" s="32">
        <v>53.67</v>
      </c>
      <c r="S36" s="34">
        <v>65</v>
      </c>
      <c r="T36" s="32">
        <v>11.33</v>
      </c>
      <c r="U36" s="32">
        <v>-0.45</v>
      </c>
      <c r="V36" s="34">
        <v>2690.33</v>
      </c>
    </row>
    <row r="37" spans="1:26" ht="16.8" x14ac:dyDescent="0.3">
      <c r="A37" s="20">
        <v>3.6</v>
      </c>
      <c r="B37" s="20">
        <v>65</v>
      </c>
      <c r="C37" s="26">
        <v>44.48</v>
      </c>
      <c r="D37" s="20">
        <v>20.52</v>
      </c>
      <c r="E37" s="20">
        <v>-0.56000000000000005</v>
      </c>
      <c r="F37" s="26">
        <v>3413.08</v>
      </c>
      <c r="Q37" s="32">
        <v>3.6</v>
      </c>
      <c r="R37" s="32">
        <v>54.13</v>
      </c>
      <c r="S37" s="34">
        <v>65</v>
      </c>
      <c r="T37" s="34">
        <v>10.87</v>
      </c>
      <c r="U37" s="32">
        <v>-0.47</v>
      </c>
      <c r="V37" s="32">
        <v>2630.76</v>
      </c>
    </row>
    <row r="38" spans="1:26" ht="16.8" x14ac:dyDescent="0.3">
      <c r="A38" s="20">
        <v>3.7</v>
      </c>
      <c r="B38" s="20">
        <v>65</v>
      </c>
      <c r="C38" s="20">
        <v>44.99</v>
      </c>
      <c r="D38" s="20">
        <v>20.010000000000002</v>
      </c>
      <c r="E38" s="20">
        <v>-0.51</v>
      </c>
      <c r="F38" s="26">
        <v>3406.18</v>
      </c>
      <c r="Q38" s="32">
        <v>3.7</v>
      </c>
      <c r="R38" s="32">
        <v>54.62</v>
      </c>
      <c r="S38" s="34">
        <v>65</v>
      </c>
      <c r="T38" s="34">
        <v>10.38</v>
      </c>
      <c r="U38" s="34">
        <v>-0.49</v>
      </c>
      <c r="V38" s="34">
        <v>2560.8200000000002</v>
      </c>
    </row>
    <row r="39" spans="1:26" ht="16.8" x14ac:dyDescent="0.3">
      <c r="A39" s="20">
        <v>3.8</v>
      </c>
      <c r="B39" s="20">
        <v>65</v>
      </c>
      <c r="C39" s="26">
        <v>45.53</v>
      </c>
      <c r="D39" s="20">
        <v>19.47</v>
      </c>
      <c r="E39" s="20">
        <v>-0.55000000000000004</v>
      </c>
      <c r="F39" s="20">
        <v>3411.84</v>
      </c>
      <c r="Q39" s="32">
        <v>3.8</v>
      </c>
      <c r="R39" s="32">
        <v>55.02</v>
      </c>
      <c r="S39" s="34">
        <v>65</v>
      </c>
      <c r="T39" s="34">
        <v>9.98</v>
      </c>
      <c r="U39" s="32">
        <v>-0.39</v>
      </c>
      <c r="V39" s="32">
        <v>2584.81</v>
      </c>
    </row>
    <row r="40" spans="1:26" ht="16.8" x14ac:dyDescent="0.3">
      <c r="A40" s="20">
        <v>3.9</v>
      </c>
      <c r="B40" s="20">
        <v>65</v>
      </c>
      <c r="C40" s="26">
        <v>46.03</v>
      </c>
      <c r="D40" s="20">
        <v>18.97</v>
      </c>
      <c r="E40" s="20">
        <v>-0.49</v>
      </c>
      <c r="F40" s="26">
        <v>3403.03</v>
      </c>
      <c r="Q40" s="32">
        <v>3.9</v>
      </c>
      <c r="R40" s="32">
        <v>55.45</v>
      </c>
      <c r="S40" s="34">
        <v>65</v>
      </c>
      <c r="T40" s="34">
        <v>9.5500000000000007</v>
      </c>
      <c r="U40" s="34">
        <v>-0.44</v>
      </c>
      <c r="V40" s="32">
        <v>2511.37</v>
      </c>
    </row>
    <row r="41" spans="1:26" ht="16.8" x14ac:dyDescent="0.3">
      <c r="A41" s="20">
        <v>4</v>
      </c>
      <c r="B41" s="20">
        <v>65</v>
      </c>
      <c r="C41" s="20">
        <v>46.55</v>
      </c>
      <c r="D41" s="20">
        <v>18.45</v>
      </c>
      <c r="E41" s="20">
        <v>-0.52</v>
      </c>
      <c r="F41" s="26">
        <v>3407.44</v>
      </c>
      <c r="Q41" s="32">
        <v>4</v>
      </c>
      <c r="R41" s="32">
        <v>55.94</v>
      </c>
      <c r="S41" s="34">
        <v>65</v>
      </c>
      <c r="T41" s="34">
        <v>9.06</v>
      </c>
      <c r="U41" s="32">
        <v>-0.48</v>
      </c>
      <c r="V41" s="34">
        <v>2423.7399999999998</v>
      </c>
    </row>
    <row r="42" spans="1:26" ht="16.8" x14ac:dyDescent="0.3">
      <c r="A42" s="20">
        <v>4.0999999999999996</v>
      </c>
      <c r="B42" s="20">
        <v>65</v>
      </c>
      <c r="C42" s="26">
        <v>47.07</v>
      </c>
      <c r="D42" s="20">
        <v>17.93</v>
      </c>
      <c r="E42" s="20">
        <v>-0.53</v>
      </c>
      <c r="F42" s="20">
        <v>3408.68</v>
      </c>
      <c r="Q42" s="32">
        <v>4.0999999999999996</v>
      </c>
      <c r="R42" s="32">
        <v>56.29</v>
      </c>
      <c r="S42" s="34">
        <v>65</v>
      </c>
      <c r="T42" s="32">
        <v>8.7100000000000009</v>
      </c>
      <c r="U42" s="34">
        <v>-0.35</v>
      </c>
      <c r="V42" s="32">
        <v>2472.27</v>
      </c>
    </row>
    <row r="43" spans="1:26" ht="16.8" x14ac:dyDescent="0.3">
      <c r="A43" s="20">
        <v>4.2</v>
      </c>
      <c r="B43" s="20">
        <v>65</v>
      </c>
      <c r="C43" s="20">
        <v>47.53</v>
      </c>
      <c r="D43" s="20">
        <v>17.47</v>
      </c>
      <c r="E43" s="20">
        <v>-0.45</v>
      </c>
      <c r="F43" s="26">
        <v>3348.06</v>
      </c>
      <c r="Q43" s="32">
        <v>4.2</v>
      </c>
      <c r="R43" s="32">
        <v>56.68</v>
      </c>
      <c r="S43" s="34">
        <v>65</v>
      </c>
      <c r="T43" s="34">
        <v>8.32</v>
      </c>
      <c r="U43" s="34">
        <v>-0.39</v>
      </c>
      <c r="V43" s="34">
        <v>2408.96</v>
      </c>
    </row>
    <row r="44" spans="1:26" ht="16.8" x14ac:dyDescent="0.3">
      <c r="A44" s="20">
        <v>4.3</v>
      </c>
      <c r="B44" s="20">
        <v>65</v>
      </c>
      <c r="C44" s="26">
        <v>48.08</v>
      </c>
      <c r="D44" s="20">
        <v>16.920000000000002</v>
      </c>
      <c r="E44" s="20">
        <v>-0.55000000000000004</v>
      </c>
      <c r="F44" s="20">
        <v>3412.44</v>
      </c>
      <c r="Q44" s="32">
        <v>4.3</v>
      </c>
      <c r="R44" s="32">
        <v>57.09</v>
      </c>
      <c r="S44" s="34">
        <v>65</v>
      </c>
      <c r="T44" s="34">
        <v>8.32</v>
      </c>
      <c r="U44" s="34">
        <v>-0.41</v>
      </c>
      <c r="V44" s="32">
        <v>2346.0700000000002</v>
      </c>
    </row>
    <row r="45" spans="1:26" ht="16.8" x14ac:dyDescent="0.3">
      <c r="A45" s="20">
        <v>4.4000000000000004</v>
      </c>
      <c r="B45" s="20">
        <v>65</v>
      </c>
      <c r="C45" s="26">
        <v>48.52</v>
      </c>
      <c r="D45" s="20">
        <v>16.48</v>
      </c>
      <c r="E45" s="20">
        <v>-0.45</v>
      </c>
      <c r="F45" s="26">
        <v>3320.17</v>
      </c>
      <c r="Q45" s="32">
        <v>4.4000000000000004</v>
      </c>
      <c r="R45" s="32">
        <v>57.45</v>
      </c>
      <c r="S45" s="34">
        <v>65</v>
      </c>
      <c r="T45" s="34">
        <v>7.55</v>
      </c>
      <c r="U45" s="34">
        <v>-0.35</v>
      </c>
      <c r="V45" s="34">
        <v>2344.25</v>
      </c>
    </row>
    <row r="46" spans="1:26" ht="16.8" x14ac:dyDescent="0.3">
      <c r="A46" s="20">
        <v>4.5</v>
      </c>
      <c r="B46" s="20">
        <v>65</v>
      </c>
      <c r="C46" s="20">
        <v>49.02</v>
      </c>
      <c r="D46" s="20">
        <v>15.98</v>
      </c>
      <c r="E46" s="20">
        <v>-0.49</v>
      </c>
      <c r="F46" s="26">
        <v>3390.84</v>
      </c>
      <c r="Q46" s="32">
        <v>4.5</v>
      </c>
      <c r="R46" s="32">
        <v>57.83</v>
      </c>
      <c r="S46" s="34">
        <v>65</v>
      </c>
      <c r="T46" s="34">
        <v>7.17</v>
      </c>
      <c r="U46" s="34">
        <v>-0.39</v>
      </c>
      <c r="V46" s="32">
        <v>2278.19</v>
      </c>
    </row>
    <row r="47" spans="1:26" ht="16.8" x14ac:dyDescent="0.3">
      <c r="A47" s="20">
        <v>4.5999999999999996</v>
      </c>
      <c r="B47" s="20">
        <v>65</v>
      </c>
      <c r="C47" s="26">
        <v>49.54</v>
      </c>
      <c r="D47" s="20">
        <v>15.46</v>
      </c>
      <c r="E47" s="20">
        <v>-0.52</v>
      </c>
      <c r="F47" s="20">
        <v>3407.43</v>
      </c>
      <c r="Q47" s="32">
        <v>4.5999999999999996</v>
      </c>
      <c r="R47" s="32">
        <v>58.1</v>
      </c>
      <c r="S47" s="34">
        <v>65</v>
      </c>
      <c r="T47" s="34">
        <v>6.9</v>
      </c>
      <c r="U47" s="34">
        <v>-0.27</v>
      </c>
      <c r="V47" s="34">
        <v>2331.3200000000002</v>
      </c>
    </row>
    <row r="48" spans="1:26" ht="16.8" x14ac:dyDescent="0.3">
      <c r="A48" s="20">
        <v>4.7</v>
      </c>
      <c r="B48" s="20">
        <v>65</v>
      </c>
      <c r="C48" s="20">
        <v>50.01</v>
      </c>
      <c r="D48" s="20">
        <v>14.99</v>
      </c>
      <c r="E48" s="20">
        <v>-0.47</v>
      </c>
      <c r="F48" s="26">
        <v>3358.65</v>
      </c>
      <c r="Q48" s="32">
        <v>4.7</v>
      </c>
      <c r="R48" s="32">
        <v>58.48</v>
      </c>
      <c r="S48" s="34">
        <v>65</v>
      </c>
      <c r="T48" s="34">
        <v>6.52</v>
      </c>
      <c r="U48" s="32">
        <v>-0.39</v>
      </c>
      <c r="V48" s="32">
        <v>2205.54</v>
      </c>
    </row>
    <row r="49" spans="1:22" ht="16.8" x14ac:dyDescent="0.3">
      <c r="A49" s="20">
        <v>4.8</v>
      </c>
      <c r="B49" s="20">
        <v>65</v>
      </c>
      <c r="C49" s="26">
        <v>50.45</v>
      </c>
      <c r="D49" s="20">
        <v>14.55</v>
      </c>
      <c r="E49" s="20">
        <v>-0.44</v>
      </c>
      <c r="F49" s="26">
        <v>3313.8</v>
      </c>
      <c r="Q49" s="32">
        <v>4.8</v>
      </c>
      <c r="R49" s="32">
        <v>58.8</v>
      </c>
      <c r="S49" s="34">
        <v>65</v>
      </c>
      <c r="T49" s="34">
        <v>6.2</v>
      </c>
      <c r="U49" s="34">
        <v>-0.31</v>
      </c>
      <c r="V49" s="32">
        <v>2217.5100000000002</v>
      </c>
    </row>
    <row r="50" spans="1:22" ht="16.8" x14ac:dyDescent="0.3">
      <c r="A50" s="20">
        <v>4.9000000000000004</v>
      </c>
      <c r="B50" s="20">
        <v>65</v>
      </c>
      <c r="C50" s="26">
        <v>50.97</v>
      </c>
      <c r="D50" s="20">
        <v>14.03</v>
      </c>
      <c r="E50" s="20">
        <v>-0.52</v>
      </c>
      <c r="F50" s="20">
        <v>3388.92</v>
      </c>
      <c r="Q50" s="32">
        <v>4.9000000000000004</v>
      </c>
      <c r="R50" s="32">
        <v>59.11</v>
      </c>
      <c r="S50" s="34">
        <v>65</v>
      </c>
      <c r="T50" s="34">
        <v>5.89</v>
      </c>
      <c r="U50" s="34">
        <v>-0.31</v>
      </c>
      <c r="V50" s="34">
        <v>2187.7600000000002</v>
      </c>
    </row>
    <row r="51" spans="1:22" ht="16.8" x14ac:dyDescent="0.3">
      <c r="A51" s="20">
        <v>5</v>
      </c>
      <c r="B51" s="20">
        <v>65</v>
      </c>
      <c r="C51" s="20">
        <v>51.45</v>
      </c>
      <c r="D51" s="20">
        <v>13.55</v>
      </c>
      <c r="E51" s="20">
        <v>-0.47</v>
      </c>
      <c r="F51" s="26">
        <v>3352.45</v>
      </c>
      <c r="Q51" s="32">
        <v>5</v>
      </c>
      <c r="R51" s="32">
        <v>59.4</v>
      </c>
      <c r="S51" s="34">
        <v>65</v>
      </c>
      <c r="T51" s="32">
        <v>5.6</v>
      </c>
      <c r="U51" s="34">
        <v>-0.28999999999999998</v>
      </c>
      <c r="V51" s="32">
        <v>2165.1799999999998</v>
      </c>
    </row>
    <row r="52" spans="1:22" ht="16.8" x14ac:dyDescent="0.3">
      <c r="A52" s="20">
        <v>5.0999999999999996</v>
      </c>
      <c r="B52" s="20">
        <v>65</v>
      </c>
      <c r="C52" s="26">
        <v>51.86</v>
      </c>
      <c r="D52" s="20">
        <v>13.14</v>
      </c>
      <c r="E52" s="20">
        <v>-0.42</v>
      </c>
      <c r="F52" s="20">
        <v>3269.08</v>
      </c>
      <c r="Q52" s="32">
        <v>5.0999999999999996</v>
      </c>
      <c r="R52" s="32">
        <v>59.66</v>
      </c>
      <c r="S52" s="34">
        <v>65</v>
      </c>
      <c r="T52" s="34">
        <v>5.34</v>
      </c>
      <c r="U52" s="34">
        <v>-0.27</v>
      </c>
      <c r="V52" s="34">
        <v>2151.14</v>
      </c>
    </row>
    <row r="53" spans="1:22" ht="16.8" x14ac:dyDescent="0.3">
      <c r="A53" s="20">
        <v>5.2</v>
      </c>
      <c r="B53" s="20">
        <v>65</v>
      </c>
      <c r="C53" s="20">
        <v>52.36</v>
      </c>
      <c r="D53" s="20">
        <v>12.64</v>
      </c>
      <c r="E53" s="20">
        <v>-0.5</v>
      </c>
      <c r="F53" s="26">
        <v>3403.76</v>
      </c>
      <c r="Q53" s="32">
        <v>5.2</v>
      </c>
      <c r="R53" s="32">
        <v>59.96</v>
      </c>
      <c r="S53" s="34">
        <v>65</v>
      </c>
      <c r="T53" s="32">
        <v>5.04</v>
      </c>
      <c r="U53" s="34">
        <v>-0.3</v>
      </c>
      <c r="V53" s="32">
        <v>2094.21</v>
      </c>
    </row>
    <row r="54" spans="1:22" ht="16.8" x14ac:dyDescent="0.3">
      <c r="A54" s="20">
        <v>5.3</v>
      </c>
      <c r="B54" s="20">
        <v>65</v>
      </c>
      <c r="C54" s="26">
        <v>52.81</v>
      </c>
      <c r="D54" s="20">
        <v>12.19</v>
      </c>
      <c r="E54" s="20">
        <v>-0.45</v>
      </c>
      <c r="F54" s="26">
        <v>3326.6</v>
      </c>
      <c r="Q54" s="32">
        <v>5.3</v>
      </c>
      <c r="R54" s="32">
        <v>60.28</v>
      </c>
      <c r="S54" s="34">
        <v>65</v>
      </c>
      <c r="T54" s="34">
        <v>4.72</v>
      </c>
      <c r="U54" s="34">
        <v>-0.32</v>
      </c>
      <c r="V54" s="34">
        <v>2037.89</v>
      </c>
    </row>
    <row r="55" spans="1:22" ht="16.8" x14ac:dyDescent="0.3">
      <c r="A55" s="20">
        <v>5.4</v>
      </c>
      <c r="B55" s="20">
        <v>65</v>
      </c>
      <c r="C55" s="26">
        <v>53.27</v>
      </c>
      <c r="D55" s="20">
        <v>11.73</v>
      </c>
      <c r="E55" s="20">
        <v>-0.46</v>
      </c>
      <c r="F55" s="20">
        <v>3332.98</v>
      </c>
      <c r="Q55" s="32">
        <v>5.4</v>
      </c>
      <c r="R55" s="32">
        <v>60.49</v>
      </c>
      <c r="S55" s="34">
        <v>65</v>
      </c>
      <c r="T55" s="32">
        <v>4.51</v>
      </c>
      <c r="U55" s="34">
        <v>-0.21</v>
      </c>
      <c r="V55" s="32">
        <v>2089.0700000000002</v>
      </c>
    </row>
    <row r="56" spans="1:22" ht="16.8" x14ac:dyDescent="0.3">
      <c r="A56" s="20">
        <v>5.5</v>
      </c>
      <c r="B56" s="20">
        <v>65</v>
      </c>
      <c r="C56" s="20">
        <v>53.75</v>
      </c>
      <c r="D56" s="20">
        <v>11.25</v>
      </c>
      <c r="E56" s="20">
        <v>-0.48</v>
      </c>
      <c r="F56" s="26">
        <v>3371.52</v>
      </c>
      <c r="Q56" s="32">
        <v>5.5</v>
      </c>
      <c r="R56" s="32">
        <v>60.75</v>
      </c>
      <c r="S56" s="34">
        <v>65</v>
      </c>
      <c r="T56" s="34">
        <v>4.25</v>
      </c>
      <c r="U56" s="34">
        <v>-0.26</v>
      </c>
      <c r="V56" s="34">
        <v>2026.14</v>
      </c>
    </row>
    <row r="57" spans="1:22" ht="16.8" x14ac:dyDescent="0.3">
      <c r="A57" s="20">
        <v>5.6</v>
      </c>
      <c r="B57" s="20">
        <v>65</v>
      </c>
      <c r="C57" s="26">
        <v>54.15</v>
      </c>
      <c r="D57" s="20">
        <v>10.85</v>
      </c>
      <c r="E57" s="20">
        <v>-0.4</v>
      </c>
      <c r="F57" s="26">
        <v>3249.99</v>
      </c>
      <c r="Q57" s="32">
        <v>5.6</v>
      </c>
      <c r="R57" s="32">
        <v>61</v>
      </c>
      <c r="S57" s="34">
        <v>65</v>
      </c>
      <c r="T57" s="34">
        <v>4</v>
      </c>
      <c r="U57" s="34">
        <v>-0.25</v>
      </c>
      <c r="V57" s="32">
        <v>2000.9</v>
      </c>
    </row>
    <row r="58" spans="1:22" ht="16.8" x14ac:dyDescent="0.3">
      <c r="A58" s="20">
        <v>5.7</v>
      </c>
      <c r="B58" s="20">
        <v>65</v>
      </c>
      <c r="C58" s="20">
        <v>54.6</v>
      </c>
      <c r="D58" s="20">
        <v>10.4</v>
      </c>
      <c r="E58" s="20">
        <v>-0.45</v>
      </c>
      <c r="F58" s="20">
        <v>3326.56</v>
      </c>
      <c r="Q58" s="32">
        <v>5.7</v>
      </c>
      <c r="R58" s="32">
        <v>61.22</v>
      </c>
      <c r="S58" s="34">
        <v>65</v>
      </c>
      <c r="T58" s="34">
        <v>3.78</v>
      </c>
      <c r="U58" s="34">
        <v>-0.23</v>
      </c>
      <c r="V58" s="32">
        <v>1989.58</v>
      </c>
    </row>
    <row r="59" spans="1:22" ht="16.8" x14ac:dyDescent="0.3">
      <c r="A59" s="20">
        <v>5.8</v>
      </c>
      <c r="B59" s="20">
        <v>65</v>
      </c>
      <c r="C59" s="26">
        <v>55.06</v>
      </c>
      <c r="D59" s="20">
        <v>9.94</v>
      </c>
      <c r="E59" s="20">
        <v>-0.46</v>
      </c>
      <c r="F59" s="26">
        <v>3345.81</v>
      </c>
      <c r="Q59" s="32">
        <v>5.8</v>
      </c>
      <c r="R59" s="32">
        <v>61.43</v>
      </c>
      <c r="S59" s="34">
        <v>65</v>
      </c>
      <c r="T59" s="32">
        <v>3.57</v>
      </c>
      <c r="U59" s="32">
        <v>-0.2</v>
      </c>
      <c r="V59" s="34">
        <v>1981.65</v>
      </c>
    </row>
    <row r="60" spans="1:22" ht="16.8" x14ac:dyDescent="0.3">
      <c r="A60" s="20">
        <v>5.9</v>
      </c>
      <c r="B60" s="20">
        <v>65</v>
      </c>
      <c r="C60" s="26">
        <v>55.44</v>
      </c>
      <c r="D60" s="20">
        <v>9.56</v>
      </c>
      <c r="E60" s="20">
        <v>-0.38</v>
      </c>
      <c r="F60" s="26">
        <v>3211.77</v>
      </c>
      <c r="Q60" s="32">
        <v>5.9</v>
      </c>
      <c r="R60" s="32">
        <v>61.67</v>
      </c>
      <c r="S60" s="34">
        <v>65</v>
      </c>
      <c r="T60" s="34">
        <v>3.33</v>
      </c>
      <c r="U60" s="34">
        <v>-0.24</v>
      </c>
      <c r="V60" s="32">
        <v>1924.39</v>
      </c>
    </row>
    <row r="61" spans="1:22" ht="16.8" x14ac:dyDescent="0.3">
      <c r="A61" s="20">
        <v>6</v>
      </c>
      <c r="B61" s="20">
        <v>65</v>
      </c>
      <c r="C61" s="20">
        <v>55.89</v>
      </c>
      <c r="D61" s="20">
        <v>9.11</v>
      </c>
      <c r="E61" s="20">
        <v>-0.45</v>
      </c>
      <c r="F61" s="20">
        <v>3326.59</v>
      </c>
      <c r="Q61" s="32">
        <v>6</v>
      </c>
      <c r="R61" s="32">
        <v>61.81</v>
      </c>
      <c r="S61" s="34">
        <v>65</v>
      </c>
      <c r="T61" s="32">
        <v>3.19</v>
      </c>
      <c r="U61" s="32">
        <v>-0.15</v>
      </c>
      <c r="V61" s="34">
        <v>1972.17</v>
      </c>
    </row>
    <row r="62" spans="1:22" ht="16.8" x14ac:dyDescent="0.3">
      <c r="A62" s="20">
        <v>6.1</v>
      </c>
      <c r="B62" s="20">
        <v>65</v>
      </c>
      <c r="C62" s="26">
        <v>56.33</v>
      </c>
      <c r="D62" s="20">
        <v>8.67</v>
      </c>
      <c r="E62" s="20">
        <v>-0.43</v>
      </c>
      <c r="F62" s="26">
        <v>3294.6</v>
      </c>
      <c r="Q62" s="32">
        <v>6.1</v>
      </c>
      <c r="R62" s="32">
        <v>62.06</v>
      </c>
      <c r="S62" s="34">
        <v>65</v>
      </c>
      <c r="T62" s="34">
        <v>2.94</v>
      </c>
      <c r="U62" s="34">
        <v>-0.25</v>
      </c>
      <c r="V62" s="32">
        <v>1870.38</v>
      </c>
    </row>
    <row r="63" spans="1:22" ht="16.8" x14ac:dyDescent="0.3">
      <c r="A63" s="20">
        <v>6.2</v>
      </c>
      <c r="B63" s="20">
        <v>65</v>
      </c>
      <c r="C63" s="20">
        <v>56.71</v>
      </c>
      <c r="D63" s="20">
        <v>8.2899999999999991</v>
      </c>
      <c r="E63" s="20">
        <v>-0.38</v>
      </c>
      <c r="F63" s="20">
        <v>3218.12</v>
      </c>
      <c r="Q63" s="20">
        <v>6.2</v>
      </c>
      <c r="R63" s="20">
        <v>62.2</v>
      </c>
      <c r="S63" s="26">
        <v>65</v>
      </c>
      <c r="T63" s="26">
        <v>2.8</v>
      </c>
      <c r="U63" s="26">
        <v>-0.14000000000000001</v>
      </c>
      <c r="V63" s="26">
        <v>1929.1</v>
      </c>
    </row>
    <row r="64" spans="1:22" ht="16.8" x14ac:dyDescent="0.3">
      <c r="A64" s="20">
        <v>6.3</v>
      </c>
      <c r="B64" s="20">
        <v>65</v>
      </c>
      <c r="C64" s="26">
        <v>57.14</v>
      </c>
      <c r="D64" s="20">
        <v>7.86</v>
      </c>
      <c r="E64" s="20">
        <v>-0.43</v>
      </c>
      <c r="F64" s="26">
        <v>3294.63</v>
      </c>
      <c r="Q64" s="20">
        <v>6.3</v>
      </c>
      <c r="R64" s="20">
        <v>62.4</v>
      </c>
      <c r="S64" s="26">
        <v>65</v>
      </c>
      <c r="T64" s="26" t="s">
        <v>56</v>
      </c>
      <c r="U64" s="26">
        <v>-0.2</v>
      </c>
      <c r="V64" s="26">
        <v>1929.1</v>
      </c>
    </row>
    <row r="65" spans="1:22" ht="16.8" x14ac:dyDescent="0.3">
      <c r="A65" s="20">
        <v>6.4</v>
      </c>
      <c r="B65" s="20">
        <v>65</v>
      </c>
      <c r="C65" s="26">
        <v>57.56</v>
      </c>
      <c r="D65" s="20">
        <v>7.44</v>
      </c>
      <c r="E65" s="20">
        <v>-0.42</v>
      </c>
      <c r="F65" s="26">
        <v>3275.45</v>
      </c>
      <c r="Q65" s="20">
        <v>6.4</v>
      </c>
      <c r="R65" s="20">
        <v>62.59</v>
      </c>
      <c r="S65" s="26">
        <v>65</v>
      </c>
      <c r="T65" s="26">
        <v>2.41</v>
      </c>
      <c r="U65" s="26">
        <v>-0.19</v>
      </c>
      <c r="V65" s="26">
        <v>1847.28</v>
      </c>
    </row>
    <row r="66" spans="1:22" ht="16.8" x14ac:dyDescent="0.3">
      <c r="A66" s="20">
        <v>6.5</v>
      </c>
      <c r="B66" s="20">
        <v>65</v>
      </c>
      <c r="C66" s="20">
        <v>57.88</v>
      </c>
      <c r="D66" s="20">
        <v>7.12</v>
      </c>
      <c r="E66" s="20">
        <v>-0.33</v>
      </c>
      <c r="F66" s="20">
        <v>3128.75</v>
      </c>
      <c r="Q66" s="20">
        <v>6.5</v>
      </c>
      <c r="R66" s="20">
        <v>62.72</v>
      </c>
      <c r="S66" s="26">
        <v>65</v>
      </c>
      <c r="T66" s="20">
        <v>2.2799999999999998</v>
      </c>
      <c r="U66" s="26">
        <v>-0.14000000000000001</v>
      </c>
      <c r="V66" s="20">
        <v>1862.46</v>
      </c>
    </row>
    <row r="67" spans="1:22" ht="16.8" x14ac:dyDescent="0.3">
      <c r="A67" s="20">
        <v>6.6</v>
      </c>
      <c r="B67" s="20">
        <v>65</v>
      </c>
      <c r="C67" s="26">
        <v>58.35</v>
      </c>
      <c r="D67" s="20">
        <v>6.65</v>
      </c>
      <c r="E67" s="20">
        <v>-0.47</v>
      </c>
      <c r="F67" s="26">
        <v>3352.19</v>
      </c>
      <c r="Q67" s="20">
        <v>6.6</v>
      </c>
      <c r="R67" s="20">
        <v>62.96</v>
      </c>
      <c r="S67" s="26">
        <v>65</v>
      </c>
      <c r="T67" s="26">
        <v>2.04</v>
      </c>
      <c r="U67" s="26">
        <v>-0.23</v>
      </c>
      <c r="V67" s="26">
        <v>1766.39</v>
      </c>
    </row>
    <row r="68" spans="1:22" ht="16.8" x14ac:dyDescent="0.3">
      <c r="A68" s="20">
        <v>6.7</v>
      </c>
      <c r="B68" s="20">
        <v>65</v>
      </c>
      <c r="C68" s="26">
        <v>58.73</v>
      </c>
      <c r="D68" s="20">
        <v>6.27</v>
      </c>
      <c r="E68" s="20">
        <v>-0.38</v>
      </c>
      <c r="F68" s="26">
        <v>3218.14</v>
      </c>
      <c r="Q68" s="20">
        <v>6.7</v>
      </c>
      <c r="R68" s="20">
        <v>63.09</v>
      </c>
      <c r="S68" s="26">
        <v>65</v>
      </c>
      <c r="T68" s="20">
        <v>1.91</v>
      </c>
      <c r="U68" s="26">
        <v>-0.14000000000000001</v>
      </c>
      <c r="V68" s="20">
        <v>1812.4</v>
      </c>
    </row>
    <row r="69" spans="1:22" ht="16.8" x14ac:dyDescent="0.3">
      <c r="A69" s="20">
        <v>6.8</v>
      </c>
      <c r="B69" s="20">
        <v>65</v>
      </c>
      <c r="C69" s="20">
        <v>59.15</v>
      </c>
      <c r="D69" s="20">
        <v>5.85</v>
      </c>
      <c r="E69" s="20">
        <v>-0.41</v>
      </c>
      <c r="F69" s="20">
        <v>3262.73</v>
      </c>
      <c r="Q69" s="20">
        <v>6.8</v>
      </c>
      <c r="R69" s="20">
        <v>63.23</v>
      </c>
      <c r="S69" s="26">
        <v>65</v>
      </c>
      <c r="T69" s="26">
        <v>1.77</v>
      </c>
      <c r="U69" s="26">
        <v>-0.14000000000000001</v>
      </c>
      <c r="V69" s="26">
        <v>1794.64</v>
      </c>
    </row>
    <row r="70" spans="1:22" ht="16.8" x14ac:dyDescent="0.3">
      <c r="A70" s="20">
        <v>6.9</v>
      </c>
      <c r="B70" s="20">
        <v>65</v>
      </c>
      <c r="C70" s="26">
        <v>59.47</v>
      </c>
      <c r="D70" s="20">
        <v>5.53</v>
      </c>
      <c r="E70" s="20">
        <v>-0.32</v>
      </c>
      <c r="F70" s="26">
        <v>3122.31</v>
      </c>
      <c r="Q70" s="20">
        <v>6.9</v>
      </c>
      <c r="R70" s="20">
        <v>63.37</v>
      </c>
      <c r="S70" s="26">
        <v>65</v>
      </c>
      <c r="T70" s="26">
        <v>1.63</v>
      </c>
      <c r="U70" s="26">
        <v>-0.14000000000000001</v>
      </c>
      <c r="V70" s="20">
        <v>1776.54</v>
      </c>
    </row>
    <row r="71" spans="1:22" ht="16.8" x14ac:dyDescent="0.3">
      <c r="A71" s="20">
        <v>7</v>
      </c>
      <c r="B71" s="20">
        <v>65</v>
      </c>
      <c r="C71" s="26">
        <v>59.84</v>
      </c>
      <c r="D71" s="20">
        <v>5.16</v>
      </c>
      <c r="E71" s="20">
        <v>-0.37</v>
      </c>
      <c r="F71" s="26">
        <v>3198.98</v>
      </c>
      <c r="Q71" s="20">
        <v>7</v>
      </c>
      <c r="R71" s="20">
        <v>63.57</v>
      </c>
      <c r="S71" s="26">
        <v>65</v>
      </c>
      <c r="T71" s="26">
        <v>1.43</v>
      </c>
      <c r="U71" s="26">
        <v>-0.2</v>
      </c>
      <c r="V71" s="20">
        <v>1705.33</v>
      </c>
    </row>
    <row r="72" spans="1:22" ht="16.8" x14ac:dyDescent="0.3">
      <c r="A72" s="20">
        <v>7.1</v>
      </c>
      <c r="B72" s="20">
        <v>65</v>
      </c>
      <c r="C72" s="20">
        <v>60.19</v>
      </c>
      <c r="D72" s="20">
        <v>4.8099999999999996</v>
      </c>
      <c r="E72" s="20">
        <v>-0.35</v>
      </c>
      <c r="F72" s="20">
        <v>3173.5</v>
      </c>
      <c r="Q72" s="20">
        <v>7.1</v>
      </c>
      <c r="R72" s="20">
        <v>63.67</v>
      </c>
      <c r="S72" s="26">
        <v>65</v>
      </c>
      <c r="T72" s="26">
        <v>1.33</v>
      </c>
      <c r="U72" s="26">
        <v>-0.1</v>
      </c>
      <c r="V72" s="26">
        <v>1761.73</v>
      </c>
    </row>
    <row r="73" spans="1:22" ht="16.8" x14ac:dyDescent="0.3">
      <c r="A73" s="20">
        <v>7.2</v>
      </c>
      <c r="B73" s="20">
        <v>65</v>
      </c>
      <c r="C73" s="26">
        <v>60.57</v>
      </c>
      <c r="D73" s="20">
        <v>4.43</v>
      </c>
      <c r="E73" s="20">
        <v>-0.38</v>
      </c>
      <c r="F73" s="26">
        <v>3211.72</v>
      </c>
      <c r="Q73" s="20">
        <v>7.2</v>
      </c>
      <c r="R73" s="20">
        <v>63.76</v>
      </c>
      <c r="S73" s="26">
        <v>65</v>
      </c>
      <c r="T73" s="26">
        <v>1.24</v>
      </c>
      <c r="U73" s="26">
        <v>-0.1</v>
      </c>
      <c r="V73" s="20">
        <v>1749.16</v>
      </c>
    </row>
    <row r="74" spans="1:22" ht="16.8" x14ac:dyDescent="0.3">
      <c r="A74" s="20">
        <v>7.3</v>
      </c>
      <c r="B74" s="20">
        <v>65</v>
      </c>
      <c r="C74" s="20">
        <v>60.94</v>
      </c>
      <c r="D74" s="20">
        <v>4.0599999999999996</v>
      </c>
      <c r="E74" s="20">
        <v>-0.37</v>
      </c>
      <c r="F74" s="20">
        <v>3199.02</v>
      </c>
      <c r="Q74" s="20">
        <v>7.3</v>
      </c>
      <c r="R74" s="20">
        <v>63.9</v>
      </c>
      <c r="S74" s="26">
        <v>65</v>
      </c>
      <c r="T74" s="26">
        <v>1.1000000000000001</v>
      </c>
      <c r="U74" s="26">
        <v>-0.14000000000000001</v>
      </c>
      <c r="V74" s="26">
        <v>1703.36</v>
      </c>
    </row>
    <row r="75" spans="1:22" ht="16.8" x14ac:dyDescent="0.3">
      <c r="A75" s="20">
        <v>7.4</v>
      </c>
      <c r="B75" s="20">
        <v>65</v>
      </c>
      <c r="C75" s="26">
        <v>61.28</v>
      </c>
      <c r="D75" s="20">
        <v>3.72</v>
      </c>
      <c r="E75" s="20">
        <v>-0.33</v>
      </c>
      <c r="F75" s="26">
        <v>3141.51</v>
      </c>
      <c r="Q75" s="20">
        <v>7.4</v>
      </c>
      <c r="R75" s="20">
        <v>64.02</v>
      </c>
      <c r="S75" s="26">
        <v>65</v>
      </c>
      <c r="T75" s="20">
        <v>0.98</v>
      </c>
      <c r="U75" s="26">
        <v>-0.12</v>
      </c>
      <c r="V75" s="20">
        <v>1696.87</v>
      </c>
    </row>
    <row r="76" spans="1:22" ht="16.8" x14ac:dyDescent="0.3">
      <c r="A76" s="20">
        <v>7.5</v>
      </c>
      <c r="B76" s="20">
        <v>65</v>
      </c>
      <c r="C76" s="26">
        <v>61.62</v>
      </c>
      <c r="D76" s="20">
        <v>3.38</v>
      </c>
      <c r="E76" s="20">
        <v>-0.34</v>
      </c>
      <c r="F76" s="26">
        <v>3147.97</v>
      </c>
      <c r="Q76" s="20">
        <v>7.5</v>
      </c>
      <c r="R76" s="20">
        <v>64.08</v>
      </c>
      <c r="S76" s="26">
        <v>65</v>
      </c>
      <c r="T76" s="26">
        <v>0.92</v>
      </c>
      <c r="U76" s="26">
        <v>-0.06</v>
      </c>
      <c r="V76" s="26">
        <v>1732.33</v>
      </c>
    </row>
    <row r="77" spans="1:22" ht="16.8" x14ac:dyDescent="0.3">
      <c r="A77" s="20">
        <v>7.6</v>
      </c>
      <c r="B77" s="20">
        <v>65</v>
      </c>
      <c r="C77" s="20">
        <v>61.99</v>
      </c>
      <c r="D77" s="20">
        <v>3.01</v>
      </c>
      <c r="E77" s="20">
        <v>-0.37</v>
      </c>
      <c r="F77" s="20">
        <v>3198.98</v>
      </c>
      <c r="Q77" s="20">
        <v>7.6</v>
      </c>
      <c r="R77" s="20">
        <v>64.27</v>
      </c>
      <c r="S77" s="26">
        <v>65</v>
      </c>
      <c r="T77" s="26">
        <v>0.73</v>
      </c>
      <c r="U77" s="26">
        <v>-0.19</v>
      </c>
      <c r="V77" s="20">
        <v>1613.14</v>
      </c>
    </row>
    <row r="78" spans="1:22" ht="16.8" x14ac:dyDescent="0.3">
      <c r="A78" s="45">
        <v>7.7</v>
      </c>
      <c r="B78" s="20">
        <v>65</v>
      </c>
      <c r="C78" s="26">
        <v>62.28</v>
      </c>
      <c r="D78" s="20">
        <v>2.72</v>
      </c>
      <c r="E78" s="20">
        <v>-0.28999999999999998</v>
      </c>
      <c r="F78" s="26">
        <v>3068.59</v>
      </c>
      <c r="Q78" s="20">
        <v>7.7</v>
      </c>
      <c r="R78" s="20">
        <v>64.34</v>
      </c>
      <c r="S78" s="26">
        <v>65</v>
      </c>
      <c r="T78" s="26">
        <v>0.66</v>
      </c>
      <c r="U78" s="26">
        <v>-7.0000000000000007E-2</v>
      </c>
      <c r="V78" s="26">
        <v>1682.36</v>
      </c>
    </row>
    <row r="79" spans="1:22" ht="16.8" x14ac:dyDescent="0.3">
      <c r="A79" s="20">
        <v>7.8</v>
      </c>
      <c r="B79" s="20">
        <v>65</v>
      </c>
      <c r="C79" s="20">
        <v>62.64</v>
      </c>
      <c r="D79" s="20">
        <v>2.36</v>
      </c>
      <c r="E79" s="20">
        <v>-0.37</v>
      </c>
      <c r="F79" s="26">
        <v>3119.5</v>
      </c>
      <c r="Q79" s="20">
        <v>7.8</v>
      </c>
      <c r="R79" s="20">
        <v>64.44</v>
      </c>
      <c r="S79" s="26">
        <v>65</v>
      </c>
      <c r="T79" s="20">
        <v>0.56000000000000005</v>
      </c>
      <c r="U79" s="26">
        <v>-0.1</v>
      </c>
      <c r="V79" s="20">
        <v>1652.31</v>
      </c>
    </row>
    <row r="80" spans="1:22" ht="16.8" x14ac:dyDescent="0.3">
      <c r="A80" s="20">
        <v>7.9</v>
      </c>
      <c r="B80" s="20">
        <v>65</v>
      </c>
      <c r="C80" s="26">
        <v>62.99</v>
      </c>
      <c r="D80" s="20">
        <v>2.0099999999999998</v>
      </c>
      <c r="E80" s="20">
        <v>-0.35</v>
      </c>
      <c r="F80" s="20">
        <v>3047.22</v>
      </c>
      <c r="Q80" s="20">
        <v>7.9</v>
      </c>
      <c r="R80" s="20">
        <v>64.55</v>
      </c>
      <c r="S80" s="26">
        <v>65</v>
      </c>
      <c r="T80" s="26">
        <v>0.45</v>
      </c>
      <c r="U80" s="26">
        <v>-0.11</v>
      </c>
      <c r="V80" s="26">
        <v>1624.69</v>
      </c>
    </row>
    <row r="81" spans="1:22" ht="16.8" x14ac:dyDescent="0.3">
      <c r="A81" s="20">
        <v>8</v>
      </c>
      <c r="B81" s="20">
        <v>65</v>
      </c>
      <c r="C81" s="26">
        <v>63.32</v>
      </c>
      <c r="D81" s="20">
        <v>1.68</v>
      </c>
      <c r="E81" s="20">
        <v>-0.33</v>
      </c>
      <c r="F81" s="26">
        <v>2806.19</v>
      </c>
      <c r="Q81" s="20">
        <v>8</v>
      </c>
      <c r="R81" s="20">
        <v>64.599999999999994</v>
      </c>
      <c r="S81" s="26">
        <v>65</v>
      </c>
      <c r="T81" s="20">
        <v>0.4</v>
      </c>
      <c r="U81" s="26">
        <v>-0.05</v>
      </c>
      <c r="V81" s="20">
        <v>1660.18</v>
      </c>
    </row>
    <row r="82" spans="1:22" ht="16.8" x14ac:dyDescent="0.3">
      <c r="A82" s="20">
        <v>8.1</v>
      </c>
      <c r="B82" s="20">
        <v>65</v>
      </c>
      <c r="C82" s="20">
        <v>63.61</v>
      </c>
      <c r="D82" s="20">
        <v>1.39</v>
      </c>
      <c r="E82" s="20">
        <v>-0.28999999999999998</v>
      </c>
      <c r="F82" s="20">
        <v>2550</v>
      </c>
      <c r="Q82" s="20">
        <v>8.1</v>
      </c>
      <c r="R82" s="20">
        <v>64.69</v>
      </c>
      <c r="S82" s="26">
        <v>65</v>
      </c>
      <c r="T82" s="26">
        <v>0.31</v>
      </c>
      <c r="U82" s="26">
        <v>-0.09</v>
      </c>
      <c r="V82" s="26">
        <v>1620.25</v>
      </c>
    </row>
    <row r="83" spans="1:22" ht="16.8" x14ac:dyDescent="0.3">
      <c r="A83" s="20">
        <v>8.1999999999999993</v>
      </c>
      <c r="B83" s="20">
        <v>65</v>
      </c>
      <c r="C83" s="26">
        <v>63.95</v>
      </c>
      <c r="D83" s="20">
        <v>1.05</v>
      </c>
      <c r="E83" s="20">
        <v>-0.34</v>
      </c>
      <c r="F83" s="26">
        <v>2550</v>
      </c>
      <c r="Q83" s="20">
        <v>8.1999999999999993</v>
      </c>
      <c r="R83" s="20">
        <v>64.75</v>
      </c>
      <c r="S83" s="26">
        <v>65</v>
      </c>
      <c r="T83" s="20">
        <v>0.25</v>
      </c>
      <c r="U83" s="26">
        <v>-0.06</v>
      </c>
      <c r="V83" s="20">
        <v>1626.34</v>
      </c>
    </row>
    <row r="84" spans="1:22" ht="16.8" x14ac:dyDescent="0.3">
      <c r="A84" s="20">
        <v>8.3000000000000007</v>
      </c>
      <c r="B84" s="20">
        <v>65</v>
      </c>
      <c r="C84" s="26">
        <v>64.239999999999995</v>
      </c>
      <c r="D84" s="20">
        <v>0.76</v>
      </c>
      <c r="E84" s="20">
        <v>-0.28999999999999998</v>
      </c>
      <c r="F84" s="26">
        <v>2475.25</v>
      </c>
      <c r="Q84" s="20">
        <v>8.3000000000000007</v>
      </c>
      <c r="R84" s="20">
        <v>64.84</v>
      </c>
      <c r="S84" s="26">
        <v>65</v>
      </c>
      <c r="T84" s="26">
        <v>0.16</v>
      </c>
      <c r="U84" s="26">
        <v>-0.09</v>
      </c>
      <c r="V84" s="20">
        <v>1596.62</v>
      </c>
    </row>
    <row r="85" spans="1:22" ht="16.8" x14ac:dyDescent="0.3">
      <c r="A85" s="20">
        <v>8.4</v>
      </c>
      <c r="B85" s="20">
        <v>65</v>
      </c>
      <c r="C85" s="20">
        <v>64.569999999999993</v>
      </c>
      <c r="D85" s="20">
        <v>0.43</v>
      </c>
      <c r="E85" s="20">
        <v>-0.33</v>
      </c>
      <c r="F85" s="20">
        <v>2141.52</v>
      </c>
      <c r="Q85" s="20">
        <v>8.4</v>
      </c>
      <c r="R85" s="20">
        <v>64.95</v>
      </c>
      <c r="S85" s="26">
        <v>65</v>
      </c>
      <c r="T85" s="26">
        <v>0.05</v>
      </c>
      <c r="U85" s="26">
        <v>-0.1</v>
      </c>
      <c r="V85" s="26">
        <v>1569.35</v>
      </c>
    </row>
    <row r="86" spans="1:22" ht="16.8" x14ac:dyDescent="0.3">
      <c r="A86" s="20">
        <v>8.5</v>
      </c>
      <c r="B86" s="20">
        <v>65</v>
      </c>
      <c r="C86" s="26">
        <v>64.83</v>
      </c>
      <c r="D86" s="20">
        <v>0.17</v>
      </c>
      <c r="E86" s="20">
        <v>-0.26</v>
      </c>
      <c r="F86" s="26">
        <v>1975.76</v>
      </c>
      <c r="Q86" s="20">
        <v>8.5</v>
      </c>
      <c r="R86" s="20">
        <v>65.010000000000005</v>
      </c>
      <c r="S86" s="26">
        <v>65</v>
      </c>
      <c r="T86" s="26">
        <v>-0.01</v>
      </c>
      <c r="U86" s="26">
        <v>-0.06</v>
      </c>
      <c r="V86" s="20">
        <v>1585.4</v>
      </c>
    </row>
    <row r="87" spans="1:22" ht="16.8" x14ac:dyDescent="0.3">
      <c r="A87" s="20">
        <v>8.6</v>
      </c>
      <c r="B87" s="20">
        <v>65</v>
      </c>
      <c r="C87" s="20">
        <v>65.11</v>
      </c>
      <c r="D87" s="20">
        <v>-0.11</v>
      </c>
      <c r="E87" s="20">
        <v>-0.28000000000000003</v>
      </c>
      <c r="F87" s="26">
        <v>1722.97</v>
      </c>
      <c r="Q87" s="20">
        <v>8.6</v>
      </c>
      <c r="R87" s="20">
        <v>65.02</v>
      </c>
      <c r="S87" s="26">
        <v>65</v>
      </c>
      <c r="T87" s="26">
        <v>-0.02</v>
      </c>
      <c r="U87" s="26">
        <v>-0.01</v>
      </c>
      <c r="V87" s="26">
        <v>1621.05</v>
      </c>
    </row>
    <row r="88" spans="1:22" ht="16.8" x14ac:dyDescent="0.3">
      <c r="A88" s="20">
        <v>8.6999999999999993</v>
      </c>
      <c r="B88" s="20">
        <v>65</v>
      </c>
      <c r="C88" s="26">
        <v>65.14</v>
      </c>
      <c r="D88" s="20">
        <v>-0.14000000000000001</v>
      </c>
      <c r="E88" s="20">
        <v>-0.03</v>
      </c>
      <c r="F88" s="20">
        <v>1732.18</v>
      </c>
      <c r="Q88" s="20">
        <v>8.6999999999999993</v>
      </c>
      <c r="R88" s="20">
        <v>65.14</v>
      </c>
      <c r="S88" s="26">
        <v>65</v>
      </c>
      <c r="T88" s="26">
        <v>-0.14000000000000001</v>
      </c>
      <c r="U88" s="26">
        <v>-0.12</v>
      </c>
      <c r="V88" s="20">
        <v>1527.3</v>
      </c>
    </row>
    <row r="89" spans="1:22" ht="16.8" x14ac:dyDescent="0.3">
      <c r="A89" s="20">
        <v>8.8000000000000007</v>
      </c>
      <c r="B89" s="20">
        <v>65</v>
      </c>
      <c r="C89" s="26">
        <v>65.34</v>
      </c>
      <c r="D89" s="20">
        <v>-0.34</v>
      </c>
      <c r="E89" s="20">
        <v>-0.21</v>
      </c>
      <c r="F89" s="26">
        <v>1626.18</v>
      </c>
      <c r="Q89" s="20">
        <v>8.8000000000000007</v>
      </c>
      <c r="R89" s="20">
        <v>65.180000000000007</v>
      </c>
      <c r="S89" s="26">
        <v>65</v>
      </c>
      <c r="T89" s="26">
        <v>-0.18</v>
      </c>
      <c r="U89" s="26">
        <v>-0.04</v>
      </c>
      <c r="V89" s="26">
        <v>1573.26</v>
      </c>
    </row>
    <row r="90" spans="1:22" ht="16.8" x14ac:dyDescent="0.3">
      <c r="A90" s="20">
        <v>8.9</v>
      </c>
      <c r="B90" s="20">
        <v>65</v>
      </c>
      <c r="C90" s="20">
        <v>65.56</v>
      </c>
      <c r="D90" s="20">
        <v>-0.56000000000000005</v>
      </c>
      <c r="E90" s="20">
        <v>-0.22</v>
      </c>
      <c r="F90" s="26">
        <v>1437.94</v>
      </c>
      <c r="Q90" s="20">
        <v>8.9</v>
      </c>
      <c r="R90" s="20">
        <v>65.27</v>
      </c>
      <c r="S90" s="26">
        <v>65</v>
      </c>
      <c r="T90" s="26">
        <v>-0.27</v>
      </c>
      <c r="U90" s="26">
        <v>-0.09</v>
      </c>
      <c r="V90" s="20">
        <v>1526.64</v>
      </c>
    </row>
    <row r="91" spans="1:22" ht="16.8" x14ac:dyDescent="0.3">
      <c r="A91" s="20">
        <v>9</v>
      </c>
      <c r="B91" s="20">
        <v>65</v>
      </c>
      <c r="C91" s="26">
        <v>65.77</v>
      </c>
      <c r="D91" s="20">
        <v>-0.77</v>
      </c>
      <c r="E91" s="20">
        <v>-0.21</v>
      </c>
      <c r="F91" s="20">
        <v>618.52</v>
      </c>
      <c r="Q91" s="20">
        <v>9</v>
      </c>
      <c r="R91" s="20">
        <v>65.319999999999993</v>
      </c>
      <c r="S91" s="26">
        <v>65</v>
      </c>
      <c r="T91" s="26">
        <v>-0.32</v>
      </c>
      <c r="U91" s="26">
        <v>-0.05</v>
      </c>
      <c r="V91" s="26">
        <v>1544.56</v>
      </c>
    </row>
    <row r="92" spans="1:22" ht="16.8" x14ac:dyDescent="0.3">
      <c r="A92" s="20">
        <v>9.1</v>
      </c>
      <c r="B92" s="20">
        <v>65</v>
      </c>
      <c r="C92" s="26">
        <v>65.900000000000006</v>
      </c>
      <c r="D92" s="20">
        <v>-0.9</v>
      </c>
      <c r="E92" s="20">
        <v>-0.13</v>
      </c>
      <c r="F92" s="26">
        <v>223.73</v>
      </c>
      <c r="Q92" s="20">
        <v>9.1</v>
      </c>
      <c r="R92" s="20">
        <v>65.31</v>
      </c>
      <c r="S92" s="26">
        <v>65</v>
      </c>
      <c r="T92" s="26">
        <v>-0.31</v>
      </c>
      <c r="U92" s="26">
        <v>0.01</v>
      </c>
      <c r="V92" s="20">
        <v>1582.11</v>
      </c>
    </row>
    <row r="93" spans="1:22" ht="16.8" x14ac:dyDescent="0.3">
      <c r="A93" s="20">
        <v>9.1999999999999993</v>
      </c>
      <c r="B93" s="20">
        <v>65</v>
      </c>
      <c r="C93" s="20">
        <v>66.05</v>
      </c>
      <c r="D93" s="20">
        <v>-1.05</v>
      </c>
      <c r="E93" s="20">
        <v>-0.15</v>
      </c>
      <c r="F93" s="20">
        <v>223.58</v>
      </c>
      <c r="Q93" s="20">
        <v>9.1999999999999993</v>
      </c>
      <c r="R93" s="20">
        <v>65.37</v>
      </c>
      <c r="S93" s="26">
        <v>65</v>
      </c>
      <c r="T93" s="26">
        <v>-0.37</v>
      </c>
      <c r="U93" s="20">
        <v>-0.06</v>
      </c>
      <c r="V93" s="26">
        <v>1529.88</v>
      </c>
    </row>
    <row r="94" spans="1:22" ht="16.8" x14ac:dyDescent="0.3">
      <c r="A94" s="20">
        <v>9.3000000000000007</v>
      </c>
      <c r="B94" s="20">
        <v>65</v>
      </c>
      <c r="C94" s="26">
        <v>66.16</v>
      </c>
      <c r="D94" s="20">
        <v>-1.1599999999999999</v>
      </c>
      <c r="E94" s="20">
        <v>-0.12</v>
      </c>
      <c r="F94" s="26">
        <v>223.49</v>
      </c>
      <c r="Q94" s="20">
        <v>9.3000000000000007</v>
      </c>
      <c r="R94" s="20">
        <v>65.45</v>
      </c>
      <c r="S94" s="26">
        <v>65</v>
      </c>
      <c r="T94" s="26">
        <v>-0.45</v>
      </c>
      <c r="U94" s="26">
        <v>-0.08</v>
      </c>
      <c r="V94" s="20">
        <v>1500</v>
      </c>
    </row>
    <row r="95" spans="1:22" ht="16.8" x14ac:dyDescent="0.3">
      <c r="A95" s="20">
        <v>9.4</v>
      </c>
      <c r="B95" s="20">
        <v>65</v>
      </c>
      <c r="C95" s="20">
        <v>66.23</v>
      </c>
      <c r="D95" s="20">
        <v>-1.23</v>
      </c>
      <c r="E95" s="20">
        <v>-7.0000000000000007E-2</v>
      </c>
      <c r="F95" s="26">
        <v>223.44</v>
      </c>
      <c r="Q95" s="20">
        <v>9.4</v>
      </c>
      <c r="R95" s="20">
        <v>65.52</v>
      </c>
      <c r="S95" s="26">
        <v>65</v>
      </c>
      <c r="T95" s="26">
        <v>-0.52</v>
      </c>
      <c r="U95" s="26">
        <v>-7.0000000000000007E-2</v>
      </c>
      <c r="V95" s="26">
        <v>1492.39</v>
      </c>
    </row>
    <row r="96" spans="1:22" ht="16.8" x14ac:dyDescent="0.3">
      <c r="A96" s="20">
        <v>9.5</v>
      </c>
      <c r="B96" s="20">
        <v>65</v>
      </c>
      <c r="C96" s="26">
        <v>66.239999999999995</v>
      </c>
      <c r="D96" s="20">
        <v>-1.24</v>
      </c>
      <c r="E96" s="20">
        <v>0</v>
      </c>
      <c r="F96" s="20">
        <v>223.44</v>
      </c>
      <c r="Q96" s="20">
        <v>9.5</v>
      </c>
      <c r="R96" s="20">
        <v>65.540000000000006</v>
      </c>
      <c r="S96" s="26">
        <v>65</v>
      </c>
      <c r="T96" s="26">
        <v>-0.54</v>
      </c>
      <c r="U96" s="26">
        <v>-0.02</v>
      </c>
      <c r="V96" s="20">
        <v>1525.53</v>
      </c>
    </row>
    <row r="97" spans="1:22" ht="16.8" x14ac:dyDescent="0.3">
      <c r="A97" s="20">
        <v>9.6</v>
      </c>
      <c r="B97" s="20">
        <v>65</v>
      </c>
      <c r="C97" s="26">
        <v>66.27</v>
      </c>
      <c r="D97" s="20">
        <v>-1.27</v>
      </c>
      <c r="E97" s="20">
        <v>-0.04</v>
      </c>
      <c r="F97" s="26">
        <v>223.42</v>
      </c>
      <c r="Q97" s="20">
        <v>9.6</v>
      </c>
      <c r="R97" s="20">
        <v>65.58</v>
      </c>
      <c r="S97" s="26">
        <v>65</v>
      </c>
      <c r="T97" s="26">
        <v>-0.57999999999999996</v>
      </c>
      <c r="U97" s="26">
        <v>-0.04</v>
      </c>
      <c r="V97" s="26">
        <v>1501.81</v>
      </c>
    </row>
    <row r="98" spans="1:22" ht="16.8" x14ac:dyDescent="0.3">
      <c r="A98" s="20">
        <v>9.6999999999999993</v>
      </c>
      <c r="B98" s="20">
        <v>65</v>
      </c>
      <c r="C98" s="20">
        <v>66.22</v>
      </c>
      <c r="D98" s="20">
        <v>-1.22</v>
      </c>
      <c r="E98" s="20">
        <v>0.05</v>
      </c>
      <c r="F98" s="26">
        <v>223.45</v>
      </c>
      <c r="Q98" s="20">
        <v>9.6999999999999993</v>
      </c>
      <c r="R98" s="20">
        <v>65.63</v>
      </c>
      <c r="S98" s="26">
        <v>65</v>
      </c>
      <c r="T98" s="26">
        <v>-0.63</v>
      </c>
      <c r="U98" s="26">
        <v>-0.06</v>
      </c>
      <c r="V98" s="20">
        <v>1480.65</v>
      </c>
    </row>
    <row r="99" spans="1:22" ht="16.8" x14ac:dyDescent="0.3">
      <c r="A99" s="20">
        <v>9.8000000000000007</v>
      </c>
      <c r="B99" s="20">
        <v>65</v>
      </c>
      <c r="C99" s="26">
        <v>66.13</v>
      </c>
      <c r="D99" s="20">
        <v>-1.1299999999999999</v>
      </c>
      <c r="E99" s="20">
        <v>0.09</v>
      </c>
      <c r="F99" s="20">
        <v>223.51</v>
      </c>
      <c r="Q99" s="20">
        <v>9.8000000000000007</v>
      </c>
      <c r="R99" s="20">
        <v>65.66</v>
      </c>
      <c r="S99" s="26">
        <v>65</v>
      </c>
      <c r="T99" s="20">
        <v>-0.66</v>
      </c>
      <c r="U99" s="26">
        <v>-0.02</v>
      </c>
      <c r="V99" s="26">
        <v>1496.35</v>
      </c>
    </row>
    <row r="100" spans="1:22" ht="16.8" x14ac:dyDescent="0.3">
      <c r="A100" s="20">
        <v>9.9</v>
      </c>
      <c r="B100" s="20">
        <v>65</v>
      </c>
      <c r="C100" s="20">
        <v>66.02</v>
      </c>
      <c r="D100" s="20">
        <v>-1.02</v>
      </c>
      <c r="E100" s="20">
        <v>0.11</v>
      </c>
      <c r="F100" s="26">
        <v>223.61</v>
      </c>
      <c r="Q100" s="20">
        <v>9.9</v>
      </c>
      <c r="R100" s="20">
        <v>65.650000000000006</v>
      </c>
      <c r="S100" s="26">
        <v>65</v>
      </c>
      <c r="T100" s="26">
        <v>-0.65</v>
      </c>
      <c r="U100" s="26">
        <v>0.01</v>
      </c>
      <c r="V100" s="20">
        <v>1517.23</v>
      </c>
    </row>
    <row r="101" spans="1:22" ht="16.8" x14ac:dyDescent="0.3">
      <c r="A101" s="20">
        <v>10</v>
      </c>
      <c r="B101" s="20">
        <v>65</v>
      </c>
      <c r="C101" s="26">
        <v>65.8</v>
      </c>
      <c r="D101" s="20">
        <v>-0.8</v>
      </c>
      <c r="E101" s="20">
        <v>0.22</v>
      </c>
      <c r="F101" s="20">
        <v>259.75</v>
      </c>
      <c r="Q101" s="20">
        <v>10</v>
      </c>
      <c r="R101" s="20">
        <v>65.680000000000007</v>
      </c>
      <c r="S101" s="26">
        <v>65</v>
      </c>
      <c r="T101" s="20">
        <v>-0.68</v>
      </c>
      <c r="U101" s="26">
        <v>-0.03</v>
      </c>
      <c r="V101" s="26">
        <v>1483.98</v>
      </c>
    </row>
    <row r="102" spans="1:22" ht="16.8" x14ac:dyDescent="0.3">
      <c r="A102" s="20">
        <v>10.1</v>
      </c>
      <c r="B102" s="20">
        <v>65</v>
      </c>
      <c r="C102" s="26">
        <v>65.62</v>
      </c>
      <c r="D102" s="20">
        <v>-0.62</v>
      </c>
      <c r="E102" s="20">
        <v>0.18</v>
      </c>
      <c r="F102" s="26">
        <v>1339.63</v>
      </c>
      <c r="Q102" s="20">
        <v>10.1</v>
      </c>
      <c r="R102" s="20">
        <v>65.75</v>
      </c>
      <c r="S102" s="26">
        <v>65</v>
      </c>
      <c r="T102" s="26">
        <v>-0.75</v>
      </c>
      <c r="U102" s="26">
        <v>-7.0000000000000007E-2</v>
      </c>
      <c r="V102" s="20">
        <v>1444.1</v>
      </c>
    </row>
    <row r="103" spans="1:22" ht="16.8" x14ac:dyDescent="0.3">
      <c r="A103" s="20">
        <v>10.199999999999999</v>
      </c>
      <c r="B103" s="20">
        <v>65</v>
      </c>
      <c r="C103" s="20">
        <v>65.44</v>
      </c>
      <c r="D103" s="20">
        <v>-0.44</v>
      </c>
      <c r="E103" s="20">
        <v>0.18</v>
      </c>
      <c r="F103" s="26">
        <v>1557.45</v>
      </c>
      <c r="Q103" s="20">
        <v>10.199999999999999</v>
      </c>
      <c r="R103" s="20">
        <v>65.78</v>
      </c>
      <c r="S103" s="26">
        <v>65</v>
      </c>
      <c r="T103" s="20">
        <v>-0.78</v>
      </c>
      <c r="U103" s="26">
        <v>-0.02</v>
      </c>
      <c r="V103" s="20">
        <v>1470.07</v>
      </c>
    </row>
    <row r="104" spans="1:22" ht="16.8" x14ac:dyDescent="0.3">
      <c r="A104" s="20">
        <v>10.3</v>
      </c>
      <c r="B104" s="20">
        <v>65</v>
      </c>
      <c r="C104" s="26">
        <v>65.25</v>
      </c>
      <c r="D104" s="20">
        <v>-0.25</v>
      </c>
      <c r="E104" s="20">
        <v>0.19</v>
      </c>
      <c r="F104" s="20">
        <v>1670.04</v>
      </c>
      <c r="Q104" s="20">
        <v>10.3</v>
      </c>
      <c r="R104" s="20">
        <v>65.790000000000006</v>
      </c>
      <c r="S104" s="26">
        <v>65</v>
      </c>
      <c r="T104" s="26">
        <v>-0.79</v>
      </c>
      <c r="U104" s="20">
        <v>-0.01</v>
      </c>
      <c r="V104" s="26">
        <v>1477.45</v>
      </c>
    </row>
    <row r="105" spans="1:22" ht="16.8" x14ac:dyDescent="0.3">
      <c r="A105" s="20">
        <v>10.4</v>
      </c>
      <c r="B105" s="20">
        <v>65</v>
      </c>
      <c r="C105" s="20">
        <v>65.09</v>
      </c>
      <c r="D105" s="20">
        <v>-0.09</v>
      </c>
      <c r="E105" s="20">
        <v>0.16</v>
      </c>
      <c r="F105" s="26">
        <v>1751.01</v>
      </c>
      <c r="Q105" s="20">
        <v>10.4</v>
      </c>
      <c r="R105" s="20">
        <v>65.819999999999993</v>
      </c>
      <c r="S105" s="26">
        <v>65</v>
      </c>
      <c r="T105" s="26">
        <v>-0.82</v>
      </c>
      <c r="U105" s="26">
        <v>-0.03</v>
      </c>
      <c r="V105" s="20">
        <v>1454.46</v>
      </c>
    </row>
    <row r="106" spans="1:22" ht="16.8" x14ac:dyDescent="0.3">
      <c r="A106" s="20">
        <v>10.5</v>
      </c>
      <c r="B106" s="20">
        <v>65</v>
      </c>
      <c r="C106" s="26">
        <v>64.87</v>
      </c>
      <c r="D106" s="20">
        <v>0.13</v>
      </c>
      <c r="E106" s="20">
        <v>0.22</v>
      </c>
      <c r="F106" s="26">
        <v>1930.92</v>
      </c>
      <c r="Q106" s="20">
        <v>10.5</v>
      </c>
      <c r="R106" s="20">
        <v>65.83</v>
      </c>
      <c r="S106" s="26">
        <v>65</v>
      </c>
      <c r="T106" s="26">
        <v>-0.83</v>
      </c>
      <c r="U106" s="26">
        <v>-0.02</v>
      </c>
      <c r="V106" s="26">
        <v>1460.44</v>
      </c>
    </row>
    <row r="107" spans="1:22" ht="16.8" x14ac:dyDescent="0.3">
      <c r="A107" s="20">
        <v>10.6</v>
      </c>
      <c r="B107" s="20">
        <v>65</v>
      </c>
      <c r="C107" s="26">
        <v>64.709999999999994</v>
      </c>
      <c r="D107" s="20">
        <v>0.28999999999999998</v>
      </c>
      <c r="E107" s="20">
        <v>0.15</v>
      </c>
      <c r="F107" s="20">
        <v>2019.11</v>
      </c>
      <c r="Q107" s="20">
        <v>10.6</v>
      </c>
      <c r="R107" s="20">
        <v>65.86</v>
      </c>
      <c r="S107" s="26">
        <v>65</v>
      </c>
      <c r="T107" s="26">
        <v>-0.86</v>
      </c>
      <c r="U107" s="26">
        <v>-0.02</v>
      </c>
      <c r="V107" s="20">
        <v>1449.22</v>
      </c>
    </row>
    <row r="108" spans="1:22" ht="16.8" x14ac:dyDescent="0.3">
      <c r="A108" s="20">
        <v>10.7</v>
      </c>
      <c r="B108" s="20">
        <v>65</v>
      </c>
      <c r="C108" s="20">
        <v>64.650000000000006</v>
      </c>
      <c r="D108" s="20">
        <v>0.35</v>
      </c>
      <c r="E108" s="20">
        <v>0.06</v>
      </c>
      <c r="F108" s="26">
        <v>2060.96</v>
      </c>
      <c r="Q108" s="20">
        <v>10.7</v>
      </c>
      <c r="R108" s="20">
        <v>65.819999999999993</v>
      </c>
      <c r="S108" s="26">
        <v>65</v>
      </c>
      <c r="T108" s="20">
        <v>-0.82</v>
      </c>
      <c r="U108" s="26">
        <v>0.04</v>
      </c>
      <c r="V108" s="26">
        <v>1496.01</v>
      </c>
    </row>
    <row r="109" spans="1:22" ht="16.8" x14ac:dyDescent="0.3">
      <c r="A109" s="20">
        <v>10.8</v>
      </c>
      <c r="B109" s="20">
        <v>65</v>
      </c>
      <c r="C109" s="26">
        <v>64.62</v>
      </c>
      <c r="D109" s="20">
        <v>0.38</v>
      </c>
      <c r="E109" s="20">
        <v>0.03</v>
      </c>
      <c r="F109" s="20">
        <v>2083.79</v>
      </c>
      <c r="Q109" s="20">
        <v>10.8</v>
      </c>
      <c r="R109" s="20">
        <v>65.86</v>
      </c>
      <c r="S109" s="26">
        <v>65</v>
      </c>
      <c r="T109" s="26">
        <v>-0.86</v>
      </c>
      <c r="U109" s="26">
        <v>-0.04</v>
      </c>
      <c r="V109" s="20">
        <v>1434.62</v>
      </c>
    </row>
    <row r="110" spans="1:22" ht="16.8" x14ac:dyDescent="0.3">
      <c r="A110" s="20">
        <v>10.9</v>
      </c>
      <c r="B110" s="20">
        <v>65</v>
      </c>
      <c r="C110" s="20">
        <v>64.53</v>
      </c>
      <c r="D110" s="20">
        <v>0.47</v>
      </c>
      <c r="E110" s="20">
        <v>0.09</v>
      </c>
      <c r="F110" s="26">
        <v>2150.36</v>
      </c>
      <c r="Q110" s="20">
        <v>10.9</v>
      </c>
      <c r="R110" s="20">
        <v>65.900000000000006</v>
      </c>
      <c r="S110" s="26">
        <v>65</v>
      </c>
      <c r="T110" s="20">
        <v>-0.9</v>
      </c>
      <c r="U110" s="26">
        <v>-0.04</v>
      </c>
      <c r="V110" s="26">
        <v>1425.98</v>
      </c>
    </row>
    <row r="111" spans="1:22" ht="16.8" x14ac:dyDescent="0.3">
      <c r="A111" s="20">
        <v>11</v>
      </c>
      <c r="B111" s="20">
        <v>65</v>
      </c>
      <c r="C111" s="26">
        <v>64.45</v>
      </c>
      <c r="D111" s="20">
        <v>0.55000000000000004</v>
      </c>
      <c r="E111" s="20">
        <v>0.08</v>
      </c>
      <c r="F111" s="26">
        <v>2223.1</v>
      </c>
      <c r="Q111" s="20">
        <v>11</v>
      </c>
      <c r="R111" s="20">
        <v>65.92</v>
      </c>
      <c r="S111" s="26">
        <v>65</v>
      </c>
      <c r="T111" s="26">
        <v>-0.92</v>
      </c>
      <c r="U111" s="26">
        <v>-0.02</v>
      </c>
      <c r="V111" s="20">
        <v>1437.07</v>
      </c>
    </row>
    <row r="112" spans="1:22" ht="16.8" x14ac:dyDescent="0.3">
      <c r="A112" s="20">
        <v>11.1</v>
      </c>
      <c r="B112" s="20">
        <v>65</v>
      </c>
      <c r="C112" s="26">
        <v>64.45</v>
      </c>
      <c r="D112" s="20">
        <v>0.55000000000000004</v>
      </c>
      <c r="E112" s="20">
        <v>0</v>
      </c>
      <c r="F112" s="20">
        <v>2219.34</v>
      </c>
      <c r="Q112" s="20">
        <v>11.1</v>
      </c>
      <c r="R112" s="20">
        <v>65.95</v>
      </c>
      <c r="S112" s="26">
        <v>65</v>
      </c>
      <c r="T112" s="26">
        <v>-0.95</v>
      </c>
      <c r="U112" s="26">
        <v>-0.03</v>
      </c>
      <c r="V112" s="26">
        <v>1419.04</v>
      </c>
    </row>
    <row r="113" spans="1:22" ht="16.8" x14ac:dyDescent="0.3">
      <c r="A113" s="20">
        <v>11.2</v>
      </c>
      <c r="B113" s="20">
        <v>65</v>
      </c>
      <c r="C113" s="20">
        <v>64.34</v>
      </c>
      <c r="D113" s="20">
        <v>0.66</v>
      </c>
      <c r="E113" s="20">
        <v>0.11</v>
      </c>
      <c r="F113" s="26">
        <v>2340.34</v>
      </c>
      <c r="Q113" s="20">
        <v>11.2</v>
      </c>
      <c r="R113" s="20">
        <v>65.930000000000007</v>
      </c>
      <c r="S113" s="26">
        <v>65</v>
      </c>
      <c r="T113" s="26">
        <v>-0.93</v>
      </c>
      <c r="U113" s="26">
        <v>0.02</v>
      </c>
      <c r="V113" s="20">
        <v>1451.12</v>
      </c>
    </row>
    <row r="114" spans="1:22" ht="16.8" x14ac:dyDescent="0.3">
      <c r="A114" s="20">
        <v>11.3</v>
      </c>
      <c r="B114" s="20">
        <v>65</v>
      </c>
      <c r="C114" s="26">
        <v>64.400000000000006</v>
      </c>
      <c r="D114" s="20">
        <v>0.6</v>
      </c>
      <c r="E114" s="20">
        <v>-0.06</v>
      </c>
      <c r="F114" s="20">
        <v>2275.62</v>
      </c>
      <c r="Q114" s="20">
        <v>11.3</v>
      </c>
      <c r="R114" s="20">
        <v>65.94</v>
      </c>
      <c r="S114" s="20">
        <v>65</v>
      </c>
      <c r="T114" s="26">
        <v>-0.94</v>
      </c>
      <c r="U114" s="26">
        <v>-0.01</v>
      </c>
      <c r="V114" s="20">
        <v>1431.71</v>
      </c>
    </row>
    <row r="115" spans="1:22" ht="16.8" x14ac:dyDescent="0.3">
      <c r="A115" s="20">
        <v>11.4</v>
      </c>
      <c r="B115" s="20">
        <v>65</v>
      </c>
      <c r="C115" s="26">
        <v>64.36</v>
      </c>
      <c r="D115" s="20">
        <v>0.64</v>
      </c>
      <c r="E115" s="20">
        <v>0.04</v>
      </c>
      <c r="F115" s="26">
        <v>2316.16</v>
      </c>
      <c r="Q115" s="20">
        <v>11.4</v>
      </c>
      <c r="R115" s="20">
        <v>65.959999999999994</v>
      </c>
      <c r="S115" s="26">
        <v>65</v>
      </c>
      <c r="T115" s="26">
        <v>-0.96</v>
      </c>
      <c r="U115" s="26">
        <v>-0.02</v>
      </c>
      <c r="V115" s="26">
        <v>1414.94</v>
      </c>
    </row>
    <row r="116" spans="1:22" ht="16.8" x14ac:dyDescent="0.3">
      <c r="A116" s="20">
        <v>11.5</v>
      </c>
      <c r="B116" s="20">
        <v>65</v>
      </c>
      <c r="C116" s="20">
        <v>64.42</v>
      </c>
      <c r="D116" s="20">
        <v>0.57999999999999996</v>
      </c>
      <c r="E116" s="20">
        <v>-0.06</v>
      </c>
      <c r="F116" s="26">
        <v>2246.5</v>
      </c>
      <c r="Q116" s="20">
        <v>11.5</v>
      </c>
      <c r="R116" s="20">
        <v>65.94</v>
      </c>
      <c r="S116" s="20">
        <v>65</v>
      </c>
      <c r="T116" s="26">
        <v>-0.94</v>
      </c>
      <c r="U116" s="26">
        <v>0.02</v>
      </c>
      <c r="V116" s="20">
        <v>1448.29</v>
      </c>
    </row>
    <row r="117" spans="1:22" ht="16.8" x14ac:dyDescent="0.3">
      <c r="A117" s="20">
        <v>11.6</v>
      </c>
      <c r="B117" s="20">
        <v>65</v>
      </c>
      <c r="C117" s="26">
        <v>64.52</v>
      </c>
      <c r="D117" s="20">
        <v>0.48</v>
      </c>
      <c r="E117" s="20">
        <v>-0.09</v>
      </c>
      <c r="F117" s="20">
        <v>2163.33</v>
      </c>
      <c r="Q117" s="20">
        <v>11.6</v>
      </c>
      <c r="R117" s="20">
        <v>65.930000000000007</v>
      </c>
      <c r="S117" s="26">
        <v>65</v>
      </c>
      <c r="T117" s="26">
        <v>-0.93</v>
      </c>
      <c r="U117" s="26">
        <v>0.01</v>
      </c>
      <c r="V117" s="26">
        <v>1436.78</v>
      </c>
    </row>
    <row r="118" spans="1:22" ht="16.8" x14ac:dyDescent="0.3">
      <c r="A118" s="20">
        <v>11.7</v>
      </c>
      <c r="B118" s="20">
        <v>65</v>
      </c>
      <c r="C118" s="20">
        <v>64.52</v>
      </c>
      <c r="D118" s="20">
        <v>0.48</v>
      </c>
      <c r="E118" s="20">
        <v>-0.01</v>
      </c>
      <c r="F118" s="26">
        <v>2156.8000000000002</v>
      </c>
      <c r="Q118" s="20">
        <v>11.7</v>
      </c>
      <c r="R118" s="20">
        <v>65.92</v>
      </c>
      <c r="S118" s="26">
        <v>65</v>
      </c>
      <c r="T118" s="26">
        <v>-0.92</v>
      </c>
      <c r="U118" s="26">
        <v>0.01</v>
      </c>
      <c r="V118" s="20">
        <v>1435.86</v>
      </c>
    </row>
    <row r="119" spans="1:22" ht="16.8" x14ac:dyDescent="0.3">
      <c r="A119" s="20">
        <v>11.8</v>
      </c>
      <c r="B119" s="20">
        <v>65</v>
      </c>
      <c r="C119" s="26">
        <v>64.650000000000006</v>
      </c>
      <c r="D119" s="20">
        <v>0.35</v>
      </c>
      <c r="E119" s="20">
        <v>-0.12</v>
      </c>
      <c r="F119" s="26">
        <v>2063.79</v>
      </c>
      <c r="Q119" s="20">
        <v>11.8</v>
      </c>
      <c r="R119" s="20">
        <v>65.959999999999994</v>
      </c>
      <c r="S119" s="26">
        <v>65</v>
      </c>
      <c r="T119" s="26">
        <v>-0.96</v>
      </c>
      <c r="U119" s="26">
        <v>-0.03</v>
      </c>
      <c r="V119" s="26">
        <v>1401.96</v>
      </c>
    </row>
    <row r="120" spans="1:22" ht="16.8" x14ac:dyDescent="0.3">
      <c r="A120" s="20">
        <v>11.9</v>
      </c>
      <c r="B120" s="20">
        <v>65</v>
      </c>
      <c r="C120" s="26">
        <v>64.56</v>
      </c>
      <c r="D120" s="20">
        <v>0.44</v>
      </c>
      <c r="E120" s="20">
        <v>0.09</v>
      </c>
      <c r="F120" s="20">
        <v>2128.42</v>
      </c>
      <c r="Q120" s="20">
        <v>11.9</v>
      </c>
      <c r="R120" s="20">
        <v>65.959999999999994</v>
      </c>
      <c r="S120" s="26">
        <v>65</v>
      </c>
      <c r="T120" s="26">
        <v>-0.96</v>
      </c>
      <c r="U120" s="26">
        <v>0</v>
      </c>
      <c r="V120" s="20">
        <v>1420.81</v>
      </c>
    </row>
    <row r="121" spans="1:22" ht="16.8" x14ac:dyDescent="0.3">
      <c r="A121" s="20">
        <v>12</v>
      </c>
      <c r="B121" s="20">
        <v>65</v>
      </c>
      <c r="C121" s="20">
        <v>64.790000000000006</v>
      </c>
      <c r="D121" s="20">
        <v>0.21</v>
      </c>
      <c r="E121" s="20">
        <v>-0.23</v>
      </c>
      <c r="F121" s="26">
        <v>1989.7</v>
      </c>
      <c r="Q121" s="20">
        <v>12</v>
      </c>
      <c r="R121" s="20">
        <v>65.959999999999994</v>
      </c>
      <c r="S121" s="26">
        <v>65</v>
      </c>
      <c r="T121" s="26">
        <v>-0.96</v>
      </c>
      <c r="U121" s="26">
        <v>-0.01</v>
      </c>
      <c r="V121" s="26">
        <v>1411.92</v>
      </c>
    </row>
    <row r="122" spans="1:22" ht="16.8" x14ac:dyDescent="0.3">
      <c r="A122" s="20">
        <v>12.1</v>
      </c>
      <c r="B122" s="20">
        <v>65</v>
      </c>
      <c r="C122" s="26">
        <v>64.72</v>
      </c>
      <c r="D122" s="20">
        <v>0.28000000000000003</v>
      </c>
      <c r="E122" s="20">
        <v>7.0000000000000007E-2</v>
      </c>
      <c r="F122" s="20">
        <v>2016.33</v>
      </c>
      <c r="Q122" s="20">
        <v>12.1</v>
      </c>
      <c r="R122" s="20">
        <v>65.959999999999994</v>
      </c>
      <c r="S122" s="26">
        <v>65</v>
      </c>
      <c r="T122" s="26">
        <v>-0.96</v>
      </c>
      <c r="U122" s="26">
        <v>0</v>
      </c>
      <c r="V122" s="20">
        <v>1414.89</v>
      </c>
    </row>
    <row r="123" spans="1:22" ht="16.8" x14ac:dyDescent="0.3">
      <c r="A123" s="20">
        <v>12.2</v>
      </c>
      <c r="B123" s="20">
        <v>65</v>
      </c>
      <c r="C123" s="20">
        <v>64.8</v>
      </c>
      <c r="D123" s="20">
        <v>0.2</v>
      </c>
      <c r="E123" s="20">
        <v>-0.08</v>
      </c>
      <c r="F123" s="26">
        <v>1957.75</v>
      </c>
      <c r="Q123" s="20">
        <v>12.2</v>
      </c>
      <c r="R123" s="20">
        <v>65.98</v>
      </c>
      <c r="S123" s="26">
        <v>65</v>
      </c>
      <c r="T123" s="26">
        <v>-0.98</v>
      </c>
      <c r="U123" s="26">
        <v>-0.02</v>
      </c>
      <c r="V123" s="26">
        <v>1399.39</v>
      </c>
    </row>
    <row r="124" spans="1:22" ht="16.8" x14ac:dyDescent="0.3">
      <c r="A124" s="20">
        <v>12.3</v>
      </c>
      <c r="B124" s="20">
        <v>65</v>
      </c>
      <c r="C124" s="26">
        <v>64.900000000000006</v>
      </c>
      <c r="D124" s="20">
        <v>0.1</v>
      </c>
      <c r="E124" s="20">
        <v>-0.09</v>
      </c>
      <c r="F124" s="26">
        <v>1890.98</v>
      </c>
      <c r="Q124" s="20">
        <v>12.3</v>
      </c>
      <c r="R124" s="20">
        <v>65.959999999999994</v>
      </c>
      <c r="S124" s="26">
        <v>65</v>
      </c>
      <c r="T124" s="26">
        <v>-0.96</v>
      </c>
      <c r="U124" s="26">
        <v>0.02</v>
      </c>
      <c r="V124" s="20">
        <v>1427.4</v>
      </c>
    </row>
    <row r="125" spans="1:22" ht="16.8" x14ac:dyDescent="0.3">
      <c r="A125" s="20">
        <v>12.4</v>
      </c>
      <c r="B125" s="20">
        <v>65</v>
      </c>
      <c r="C125" s="26">
        <v>65.010000000000005</v>
      </c>
      <c r="D125" s="20">
        <v>-0.01</v>
      </c>
      <c r="E125" s="20">
        <v>-0.12</v>
      </c>
      <c r="F125" s="20">
        <v>1793.17</v>
      </c>
      <c r="Q125" s="20">
        <v>12.4</v>
      </c>
      <c r="R125" s="20">
        <v>65.989999999999995</v>
      </c>
      <c r="S125" s="26">
        <v>65</v>
      </c>
      <c r="T125" s="26">
        <v>-0.99</v>
      </c>
      <c r="U125" s="26">
        <v>-0.03</v>
      </c>
      <c r="V125" s="26">
        <v>1382.85</v>
      </c>
    </row>
    <row r="126" spans="1:22" ht="16.8" x14ac:dyDescent="0.3">
      <c r="A126" s="20">
        <v>12.5</v>
      </c>
      <c r="B126" s="20">
        <v>65</v>
      </c>
      <c r="C126" s="20">
        <v>65.11</v>
      </c>
      <c r="D126" s="20">
        <v>-0.11</v>
      </c>
      <c r="E126" s="20">
        <v>-0.1</v>
      </c>
      <c r="F126" s="26">
        <v>1744.65</v>
      </c>
      <c r="Q126" s="20">
        <v>12.5</v>
      </c>
      <c r="R126" s="20">
        <v>66</v>
      </c>
      <c r="S126" s="26">
        <v>65</v>
      </c>
      <c r="T126" s="26">
        <v>-1</v>
      </c>
      <c r="U126" s="26">
        <v>-0.01</v>
      </c>
      <c r="V126" s="20">
        <v>1395.03</v>
      </c>
    </row>
    <row r="127" spans="1:22" ht="16.8" x14ac:dyDescent="0.3">
      <c r="A127" s="20">
        <v>12.6</v>
      </c>
      <c r="B127" s="20">
        <v>65</v>
      </c>
      <c r="C127" s="26">
        <v>65.19</v>
      </c>
      <c r="D127" s="20">
        <v>-0.19</v>
      </c>
      <c r="E127" s="20">
        <v>-0.08</v>
      </c>
      <c r="F127" s="26">
        <v>1705.01</v>
      </c>
      <c r="Q127" s="20">
        <v>12.6</v>
      </c>
      <c r="R127" s="20">
        <v>65.98</v>
      </c>
      <c r="S127" s="26">
        <v>65</v>
      </c>
      <c r="T127" s="26">
        <v>-0.98</v>
      </c>
      <c r="U127" s="26">
        <v>0.02</v>
      </c>
      <c r="V127" s="20">
        <v>1411.14</v>
      </c>
    </row>
    <row r="128" spans="1:22" ht="16.8" x14ac:dyDescent="0.3">
      <c r="A128" s="20">
        <v>12.7</v>
      </c>
      <c r="B128" s="20">
        <v>65</v>
      </c>
      <c r="C128" s="20">
        <v>65.31</v>
      </c>
      <c r="D128" s="20">
        <v>-0.31</v>
      </c>
      <c r="E128" s="20">
        <v>-0.11</v>
      </c>
      <c r="F128" s="20">
        <v>1647.01</v>
      </c>
      <c r="Q128" s="20">
        <v>12.7</v>
      </c>
      <c r="R128" s="20">
        <v>66.010000000000005</v>
      </c>
      <c r="S128" s="26">
        <v>65</v>
      </c>
      <c r="T128" s="20">
        <v>-1.01</v>
      </c>
      <c r="U128" s="20">
        <v>-0.03</v>
      </c>
      <c r="V128" s="26">
        <v>1371.8</v>
      </c>
    </row>
    <row r="129" spans="1:22" ht="16.8" x14ac:dyDescent="0.3">
      <c r="A129" s="20">
        <v>12.8</v>
      </c>
      <c r="B129" s="20">
        <v>65</v>
      </c>
      <c r="C129" s="26">
        <v>65.34</v>
      </c>
      <c r="D129" s="20">
        <v>-0.34</v>
      </c>
      <c r="E129" s="20">
        <v>-0.04</v>
      </c>
      <c r="F129" s="26">
        <v>1626.18</v>
      </c>
      <c r="Q129" s="20">
        <v>12.8</v>
      </c>
      <c r="R129" s="20">
        <v>65.98</v>
      </c>
      <c r="S129" s="26">
        <v>65</v>
      </c>
      <c r="T129" s="26">
        <v>-0.98</v>
      </c>
      <c r="U129" s="26">
        <v>0.03</v>
      </c>
      <c r="V129" s="20">
        <v>1416.93</v>
      </c>
    </row>
    <row r="130" spans="1:22" ht="16.8" x14ac:dyDescent="0.3">
      <c r="A130" s="20">
        <v>12.9</v>
      </c>
      <c r="B130" s="20">
        <v>65</v>
      </c>
      <c r="C130" s="26">
        <v>65.42</v>
      </c>
      <c r="D130" s="20">
        <v>-0.42</v>
      </c>
      <c r="E130" s="20">
        <v>-0.08</v>
      </c>
      <c r="F130" s="20">
        <v>1572.94</v>
      </c>
      <c r="Q130" s="20">
        <v>12.9</v>
      </c>
      <c r="R130" s="20">
        <v>65.959999999999994</v>
      </c>
      <c r="S130" s="26">
        <v>65</v>
      </c>
      <c r="T130" s="20">
        <v>-0.96</v>
      </c>
      <c r="U130" s="20">
        <v>0.02</v>
      </c>
      <c r="V130" s="26">
        <v>1413.23</v>
      </c>
    </row>
    <row r="131" spans="1:22" ht="16.8" x14ac:dyDescent="0.3">
      <c r="A131" s="20">
        <v>13</v>
      </c>
      <c r="B131" s="20">
        <v>65</v>
      </c>
      <c r="C131" s="20">
        <v>65.53</v>
      </c>
      <c r="D131" s="20">
        <v>-0.53</v>
      </c>
      <c r="E131" s="20">
        <v>-0.1</v>
      </c>
      <c r="F131" s="26">
        <v>1477.66</v>
      </c>
      <c r="Q131" s="20">
        <v>13</v>
      </c>
      <c r="R131" s="20">
        <v>65.98</v>
      </c>
      <c r="S131" s="26">
        <v>65</v>
      </c>
      <c r="T131" s="26">
        <v>-0.98</v>
      </c>
      <c r="U131" s="26">
        <v>-0.02</v>
      </c>
      <c r="V131" s="20">
        <v>1375.28</v>
      </c>
    </row>
    <row r="132" spans="1:22" ht="16.8" x14ac:dyDescent="0.3">
      <c r="A132" s="20">
        <v>13.1</v>
      </c>
      <c r="B132" s="20">
        <v>65</v>
      </c>
      <c r="C132" s="26">
        <v>65.5</v>
      </c>
      <c r="D132" s="20">
        <v>-0.5</v>
      </c>
      <c r="E132" s="20">
        <v>0.02</v>
      </c>
      <c r="F132" s="26">
        <v>1503.49</v>
      </c>
      <c r="Q132" s="20">
        <v>13.1</v>
      </c>
      <c r="R132" s="20">
        <v>65.959999999999994</v>
      </c>
      <c r="S132" s="26">
        <v>65</v>
      </c>
      <c r="T132" s="26">
        <v>-0.96</v>
      </c>
      <c r="U132" s="26">
        <v>0.02</v>
      </c>
      <c r="V132" s="26">
        <v>1408.58</v>
      </c>
    </row>
    <row r="133" spans="1:22" ht="16.8" x14ac:dyDescent="0.3">
      <c r="A133" s="20">
        <v>13.2</v>
      </c>
      <c r="B133" s="20">
        <v>65</v>
      </c>
      <c r="C133" s="26">
        <v>65.59</v>
      </c>
      <c r="D133" s="20">
        <v>-0.59</v>
      </c>
      <c r="E133" s="20">
        <v>-0.09</v>
      </c>
      <c r="F133" s="20">
        <v>1390.26</v>
      </c>
      <c r="Q133" s="20">
        <v>13.2</v>
      </c>
      <c r="R133" s="20">
        <v>65.959999999999994</v>
      </c>
      <c r="S133" s="26">
        <v>65</v>
      </c>
      <c r="T133" s="26">
        <v>-0.96</v>
      </c>
      <c r="U133" s="26">
        <v>0</v>
      </c>
      <c r="V133" s="20">
        <v>1390.44</v>
      </c>
    </row>
    <row r="134" spans="1:22" ht="16.8" x14ac:dyDescent="0.3">
      <c r="A134" s="20">
        <v>13.3</v>
      </c>
      <c r="B134" s="20">
        <v>65</v>
      </c>
      <c r="C134" s="20">
        <v>65.62</v>
      </c>
      <c r="D134" s="20">
        <v>-0.62</v>
      </c>
      <c r="E134" s="20">
        <v>-0.03</v>
      </c>
      <c r="F134" s="26">
        <v>1339.63</v>
      </c>
      <c r="Q134" s="20">
        <v>13.3</v>
      </c>
      <c r="R134" s="20">
        <v>66.010000000000005</v>
      </c>
      <c r="S134" s="26">
        <v>65</v>
      </c>
      <c r="T134" s="26">
        <v>-1.01</v>
      </c>
      <c r="U134" s="26">
        <v>-0.06</v>
      </c>
      <c r="V134" s="26">
        <v>1341.94</v>
      </c>
    </row>
    <row r="135" spans="1:22" ht="16.8" x14ac:dyDescent="0.3">
      <c r="A135" s="20">
        <v>13.4</v>
      </c>
      <c r="B135" s="20">
        <v>65</v>
      </c>
      <c r="C135" s="26">
        <v>65.67</v>
      </c>
      <c r="D135" s="20">
        <v>-0.67</v>
      </c>
      <c r="E135" s="20">
        <v>-0.05</v>
      </c>
      <c r="F135" s="26">
        <v>1211.1099999999999</v>
      </c>
      <c r="Q135" s="20">
        <v>13.4</v>
      </c>
      <c r="R135" s="20">
        <v>65.95</v>
      </c>
      <c r="S135" s="26">
        <v>65</v>
      </c>
      <c r="T135" s="26">
        <v>-0.95</v>
      </c>
      <c r="U135" s="26">
        <v>0.06</v>
      </c>
      <c r="V135" s="20">
        <v>1429.32</v>
      </c>
    </row>
    <row r="136" spans="1:22" ht="16.8" x14ac:dyDescent="0.3">
      <c r="A136" s="20">
        <v>13.5</v>
      </c>
      <c r="B136" s="20">
        <v>65</v>
      </c>
      <c r="C136" s="20">
        <v>65.7</v>
      </c>
      <c r="D136" s="20">
        <v>-0.7</v>
      </c>
      <c r="E136" s="20">
        <v>-0.03</v>
      </c>
      <c r="F136" s="20">
        <v>1111.8699999999999</v>
      </c>
      <c r="Q136" s="20">
        <v>13.5</v>
      </c>
      <c r="R136" s="20">
        <v>65.91</v>
      </c>
      <c r="S136" s="26">
        <v>65</v>
      </c>
      <c r="T136" s="26">
        <v>-0.91</v>
      </c>
      <c r="U136" s="26">
        <v>0.04</v>
      </c>
      <c r="V136" s="26">
        <v>1417.76</v>
      </c>
    </row>
    <row r="137" spans="1:22" ht="16.8" x14ac:dyDescent="0.3">
      <c r="A137" s="20">
        <v>13.6</v>
      </c>
      <c r="B137" s="20">
        <v>65</v>
      </c>
      <c r="C137" s="26">
        <v>65.709999999999994</v>
      </c>
      <c r="D137" s="20">
        <v>-0.71</v>
      </c>
      <c r="E137" s="20">
        <v>0</v>
      </c>
      <c r="F137" s="26">
        <v>1095.1600000000001</v>
      </c>
      <c r="Q137" s="20">
        <v>13.6</v>
      </c>
      <c r="R137" s="20">
        <v>65.92</v>
      </c>
      <c r="S137" s="26">
        <v>65</v>
      </c>
      <c r="T137" s="26">
        <v>-0.92</v>
      </c>
      <c r="U137" s="26">
        <v>-0.01</v>
      </c>
      <c r="V137" s="20">
        <v>1382.55</v>
      </c>
    </row>
    <row r="138" spans="1:22" ht="16.8" x14ac:dyDescent="0.3">
      <c r="A138" s="20">
        <v>13.7</v>
      </c>
      <c r="B138" s="20">
        <v>65</v>
      </c>
      <c r="C138" s="26">
        <v>65.73</v>
      </c>
      <c r="D138" s="20">
        <v>-0.73</v>
      </c>
      <c r="E138" s="20">
        <v>-0.03</v>
      </c>
      <c r="F138" s="20">
        <v>952.64</v>
      </c>
      <c r="Q138" s="20">
        <v>13.7</v>
      </c>
      <c r="R138" s="20">
        <v>65.92</v>
      </c>
      <c r="S138" s="26">
        <v>65</v>
      </c>
      <c r="T138" s="26">
        <v>-0.92</v>
      </c>
      <c r="U138" s="26">
        <v>-0.01</v>
      </c>
      <c r="V138" s="26">
        <v>1379.04</v>
      </c>
    </row>
    <row r="139" spans="1:22" ht="16.8" x14ac:dyDescent="0.3">
      <c r="A139" s="20">
        <v>13.8</v>
      </c>
      <c r="B139" s="20">
        <v>65</v>
      </c>
      <c r="C139" s="20">
        <v>65.69</v>
      </c>
      <c r="D139" s="20">
        <v>-0.69</v>
      </c>
      <c r="E139" s="20">
        <v>0.04</v>
      </c>
      <c r="F139" s="26">
        <v>1157.95</v>
      </c>
      <c r="Q139" s="20">
        <v>13.8</v>
      </c>
      <c r="R139" s="20">
        <v>65.930000000000007</v>
      </c>
      <c r="S139" s="26">
        <v>65</v>
      </c>
      <c r="T139" s="26">
        <v>-0.93</v>
      </c>
      <c r="U139" s="26">
        <v>-0.01</v>
      </c>
      <c r="V139" s="20">
        <v>1375.52</v>
      </c>
    </row>
    <row r="140" spans="1:22" ht="16.8" x14ac:dyDescent="0.3">
      <c r="A140" s="20">
        <v>13.9</v>
      </c>
      <c r="B140" s="20">
        <v>65</v>
      </c>
      <c r="C140" s="26">
        <v>65.67</v>
      </c>
      <c r="D140" s="20">
        <v>-0.67</v>
      </c>
      <c r="E140" s="20">
        <v>0.02</v>
      </c>
      <c r="F140" s="26">
        <v>1234.79</v>
      </c>
      <c r="Q140" s="20">
        <v>13.9</v>
      </c>
      <c r="R140" s="20">
        <v>65.92</v>
      </c>
      <c r="S140" s="26">
        <v>65</v>
      </c>
      <c r="T140" s="26">
        <v>-0.92</v>
      </c>
      <c r="U140" s="26">
        <v>0.01</v>
      </c>
      <c r="V140" s="20">
        <v>1385.17</v>
      </c>
    </row>
    <row r="141" spans="1:22" ht="16.8" x14ac:dyDescent="0.3">
      <c r="A141" s="20">
        <v>14</v>
      </c>
      <c r="B141" s="20">
        <v>65</v>
      </c>
      <c r="C141" s="20">
        <v>65.64</v>
      </c>
      <c r="D141" s="20">
        <v>-0.64</v>
      </c>
      <c r="E141" s="20">
        <v>0.03</v>
      </c>
      <c r="F141" s="20">
        <v>1305.76</v>
      </c>
      <c r="Q141" s="20">
        <v>14</v>
      </c>
      <c r="R141" s="20">
        <v>65.89</v>
      </c>
      <c r="S141" s="26">
        <v>65</v>
      </c>
      <c r="T141" s="26">
        <v>-0.89</v>
      </c>
      <c r="U141" s="26">
        <v>0.03</v>
      </c>
      <c r="V141" s="26">
        <v>1404.06</v>
      </c>
    </row>
    <row r="142" spans="1:22" ht="16.8" x14ac:dyDescent="0.3">
      <c r="A142" s="20">
        <v>14.1</v>
      </c>
      <c r="B142" s="20">
        <v>65</v>
      </c>
      <c r="C142" s="26">
        <v>65.56</v>
      </c>
      <c r="D142" s="20">
        <v>-0.56000000000000005</v>
      </c>
      <c r="E142" s="20">
        <v>0.08</v>
      </c>
      <c r="F142" s="26">
        <v>1443.28</v>
      </c>
      <c r="Q142" s="20">
        <v>14.1</v>
      </c>
      <c r="R142" s="20">
        <v>65.900000000000006</v>
      </c>
      <c r="S142" s="26">
        <v>65</v>
      </c>
      <c r="T142" s="20">
        <v>-0.9</v>
      </c>
      <c r="U142" s="20">
        <v>-0.01</v>
      </c>
      <c r="V142" s="20">
        <v>1374.18</v>
      </c>
    </row>
    <row r="143" spans="1:22" ht="16.8" x14ac:dyDescent="0.3">
      <c r="A143" s="20">
        <v>14.2</v>
      </c>
      <c r="B143" s="20">
        <v>65</v>
      </c>
      <c r="C143" s="26">
        <v>65.5</v>
      </c>
      <c r="D143" s="20">
        <v>-0.5</v>
      </c>
      <c r="E143" s="20">
        <v>0.06</v>
      </c>
      <c r="F143" s="26">
        <v>1511.47</v>
      </c>
      <c r="Q143" s="20">
        <v>14.2</v>
      </c>
      <c r="R143" s="20">
        <v>65.91</v>
      </c>
      <c r="S143" s="26">
        <v>65</v>
      </c>
      <c r="T143" s="26">
        <v>-0.91</v>
      </c>
      <c r="U143" s="26">
        <v>-0.01</v>
      </c>
      <c r="V143" s="26">
        <v>1370.71</v>
      </c>
    </row>
    <row r="144" spans="1:22" ht="16.8" x14ac:dyDescent="0.3">
      <c r="A144" s="20">
        <v>14.3</v>
      </c>
      <c r="B144" s="20">
        <v>65</v>
      </c>
      <c r="C144" s="20">
        <v>65.400000000000006</v>
      </c>
      <c r="D144" s="20">
        <v>-0.4</v>
      </c>
      <c r="E144" s="20">
        <v>0.1</v>
      </c>
      <c r="F144" s="20">
        <v>1590.12</v>
      </c>
      <c r="Q144" s="20">
        <v>14.3</v>
      </c>
      <c r="R144" s="20">
        <v>65.87</v>
      </c>
      <c r="S144" s="26">
        <v>65</v>
      </c>
      <c r="T144" s="26">
        <v>-0.87</v>
      </c>
      <c r="U144" s="26">
        <v>0.04</v>
      </c>
      <c r="V144" s="20">
        <v>1406.82</v>
      </c>
    </row>
    <row r="145" spans="1:22" ht="16.8" x14ac:dyDescent="0.3">
      <c r="A145" s="20">
        <v>14.4</v>
      </c>
      <c r="B145" s="20">
        <v>65</v>
      </c>
      <c r="C145" s="26">
        <v>65.41</v>
      </c>
      <c r="D145" s="20">
        <v>-0.41</v>
      </c>
      <c r="E145" s="20">
        <v>-0.01</v>
      </c>
      <c r="F145" s="26">
        <v>1581.72</v>
      </c>
      <c r="Q145" s="20">
        <v>14.4</v>
      </c>
      <c r="R145" s="20">
        <v>65.89</v>
      </c>
      <c r="S145" s="26">
        <v>65</v>
      </c>
      <c r="T145" s="26">
        <v>-0.89</v>
      </c>
      <c r="U145" s="26">
        <v>-0.02</v>
      </c>
      <c r="V145" s="26">
        <v>1358.51</v>
      </c>
    </row>
    <row r="146" spans="1:22" ht="16.8" x14ac:dyDescent="0.3">
      <c r="A146" s="20">
        <v>14.5</v>
      </c>
      <c r="B146" s="20">
        <v>65</v>
      </c>
      <c r="C146" s="26">
        <v>65.28</v>
      </c>
      <c r="D146" s="20">
        <v>-0.28000000000000003</v>
      </c>
      <c r="E146" s="20">
        <v>0.13</v>
      </c>
      <c r="F146" s="20">
        <v>1662.33</v>
      </c>
      <c r="Q146" s="20">
        <v>14.5</v>
      </c>
      <c r="R146" s="20">
        <v>65.849999999999994</v>
      </c>
      <c r="S146" s="26">
        <v>65</v>
      </c>
      <c r="T146" s="26">
        <v>-0.85</v>
      </c>
      <c r="U146" s="26">
        <v>0.04</v>
      </c>
      <c r="V146" s="20">
        <v>1405.24</v>
      </c>
    </row>
    <row r="147" spans="1:22" ht="16.8" x14ac:dyDescent="0.3">
      <c r="A147" s="20">
        <v>14.6</v>
      </c>
      <c r="B147" s="20">
        <v>65</v>
      </c>
      <c r="C147" s="20">
        <v>65.239999999999995</v>
      </c>
      <c r="D147" s="20">
        <v>-0.24</v>
      </c>
      <c r="E147" s="20">
        <v>0.04</v>
      </c>
      <c r="F147" s="26">
        <v>1683.11</v>
      </c>
      <c r="Q147" s="20">
        <v>14.6</v>
      </c>
      <c r="R147" s="20">
        <v>65.89</v>
      </c>
      <c r="S147" s="26">
        <v>65</v>
      </c>
      <c r="T147" s="26">
        <v>-0.89</v>
      </c>
      <c r="U147" s="26">
        <v>-0.04</v>
      </c>
      <c r="V147" s="20">
        <v>1343.76</v>
      </c>
    </row>
    <row r="148" spans="1:22" ht="16.8" x14ac:dyDescent="0.3">
      <c r="A148" s="20">
        <v>14.7</v>
      </c>
      <c r="B148" s="20">
        <v>65</v>
      </c>
      <c r="C148" s="26">
        <v>65.16</v>
      </c>
      <c r="D148" s="20">
        <v>-0.16</v>
      </c>
      <c r="E148" s="20">
        <v>0.08</v>
      </c>
      <c r="F148" s="26">
        <v>1720.55</v>
      </c>
      <c r="Q148" s="20">
        <v>14.7</v>
      </c>
      <c r="R148" s="20">
        <v>65.87</v>
      </c>
      <c r="S148" s="26">
        <v>65</v>
      </c>
      <c r="T148" s="26">
        <v>-0.87</v>
      </c>
      <c r="U148" s="20">
        <v>0.02</v>
      </c>
      <c r="V148" s="26">
        <v>1381.25</v>
      </c>
    </row>
    <row r="149" spans="1:22" ht="16.8" x14ac:dyDescent="0.3">
      <c r="A149" s="20">
        <v>14.8</v>
      </c>
      <c r="B149" s="20">
        <v>65</v>
      </c>
      <c r="C149" s="26">
        <v>65.06</v>
      </c>
      <c r="D149" s="20">
        <v>-0.06</v>
      </c>
      <c r="E149" s="20">
        <v>0.1</v>
      </c>
      <c r="F149" s="20">
        <v>1770.01</v>
      </c>
      <c r="Q149" s="20">
        <v>14.8</v>
      </c>
      <c r="R149" s="20">
        <v>65.88</v>
      </c>
      <c r="S149" s="26">
        <v>65</v>
      </c>
      <c r="T149" s="26">
        <v>-0.88</v>
      </c>
      <c r="U149" s="26">
        <v>-0.01</v>
      </c>
      <c r="V149" s="20">
        <v>1361.99</v>
      </c>
    </row>
    <row r="150" spans="1:22" ht="16.8" x14ac:dyDescent="0.3">
      <c r="A150" s="20">
        <v>14.9</v>
      </c>
      <c r="B150" s="20">
        <v>65</v>
      </c>
      <c r="C150" s="20">
        <v>65.09</v>
      </c>
      <c r="D150" s="20">
        <v>-0.09</v>
      </c>
      <c r="E150" s="20">
        <v>-0.04</v>
      </c>
      <c r="F150" s="26">
        <v>1753.36</v>
      </c>
      <c r="Q150" s="20">
        <v>14.9</v>
      </c>
      <c r="R150" s="20">
        <v>65.84</v>
      </c>
      <c r="S150" s="26">
        <v>65</v>
      </c>
      <c r="T150" s="26">
        <v>-0.84</v>
      </c>
      <c r="U150" s="26">
        <v>0.04</v>
      </c>
      <c r="V150" s="26">
        <v>1398.16</v>
      </c>
    </row>
    <row r="151" spans="1:22" ht="16.8" x14ac:dyDescent="0.3">
      <c r="A151" s="20">
        <v>15</v>
      </c>
      <c r="B151" s="20">
        <v>65</v>
      </c>
      <c r="C151" s="26">
        <v>64.989999999999995</v>
      </c>
      <c r="D151" s="20">
        <v>0.01</v>
      </c>
      <c r="E151" s="20">
        <v>0.1</v>
      </c>
      <c r="F151" s="26">
        <v>1811.58</v>
      </c>
      <c r="Q151" s="20">
        <v>15</v>
      </c>
      <c r="R151" s="20">
        <v>65.83</v>
      </c>
      <c r="S151" s="26">
        <v>65</v>
      </c>
      <c r="T151" s="26">
        <v>-0.83</v>
      </c>
      <c r="U151" s="26">
        <v>0.01</v>
      </c>
      <c r="V151" s="20">
        <v>1376.3</v>
      </c>
    </row>
    <row r="152" spans="1:22" ht="16.8" x14ac:dyDescent="0.3">
      <c r="A152" s="20">
        <v>15.1</v>
      </c>
      <c r="B152" s="20">
        <v>65</v>
      </c>
      <c r="C152" s="20">
        <v>64.95</v>
      </c>
      <c r="D152" s="20">
        <v>0.05</v>
      </c>
      <c r="E152" s="20">
        <v>0.04</v>
      </c>
      <c r="F152" s="20">
        <v>1844.02</v>
      </c>
      <c r="Q152" s="20">
        <v>15.1</v>
      </c>
      <c r="R152" s="20">
        <v>65.819999999999993</v>
      </c>
      <c r="S152" s="26">
        <v>65</v>
      </c>
      <c r="T152" s="26">
        <v>-0.82</v>
      </c>
      <c r="U152" s="26">
        <v>0.02</v>
      </c>
      <c r="V152" s="26">
        <v>1382.21</v>
      </c>
    </row>
    <row r="153" spans="1:22" ht="16.8" x14ac:dyDescent="0.3">
      <c r="A153" s="20">
        <v>15.2</v>
      </c>
      <c r="B153" s="20">
        <v>65</v>
      </c>
      <c r="C153" s="26">
        <v>64.989999999999995</v>
      </c>
      <c r="D153" s="20">
        <v>0.01</v>
      </c>
      <c r="E153" s="20">
        <v>-0.04</v>
      </c>
      <c r="F153" s="26">
        <v>1811.25</v>
      </c>
      <c r="Q153" s="20">
        <v>15.2</v>
      </c>
      <c r="R153" s="20">
        <v>65.819999999999993</v>
      </c>
      <c r="S153" s="26">
        <v>65</v>
      </c>
      <c r="T153" s="26">
        <v>-0.82</v>
      </c>
      <c r="U153" s="26">
        <v>0</v>
      </c>
      <c r="V153" s="20">
        <v>1369.68</v>
      </c>
    </row>
    <row r="154" spans="1:22" ht="16.8" x14ac:dyDescent="0.3">
      <c r="A154" s="20">
        <v>15.3</v>
      </c>
      <c r="B154" s="20">
        <v>65</v>
      </c>
      <c r="C154" s="26">
        <v>64.959999999999994</v>
      </c>
      <c r="D154" s="20">
        <v>0.04</v>
      </c>
      <c r="E154" s="20">
        <v>0.02</v>
      </c>
      <c r="F154" s="26">
        <v>1833.44</v>
      </c>
      <c r="Q154" s="20">
        <v>15.3</v>
      </c>
      <c r="R154" s="20">
        <v>65.790000000000006</v>
      </c>
      <c r="S154" s="26">
        <v>65</v>
      </c>
      <c r="T154" s="26">
        <v>-0.79</v>
      </c>
      <c r="U154" s="26">
        <v>0.02</v>
      </c>
      <c r="V154" s="26">
        <v>1387.51</v>
      </c>
    </row>
    <row r="155" spans="1:22" ht="16.8" x14ac:dyDescent="0.3">
      <c r="A155" s="20">
        <v>15.4</v>
      </c>
      <c r="B155" s="20">
        <v>65</v>
      </c>
      <c r="C155" s="20">
        <v>64.900000000000006</v>
      </c>
      <c r="D155" s="20">
        <v>0.1</v>
      </c>
      <c r="E155" s="20">
        <v>0.06</v>
      </c>
      <c r="F155" s="20">
        <v>1883.32</v>
      </c>
      <c r="Q155" s="20">
        <v>15.4</v>
      </c>
      <c r="R155" s="20">
        <v>65.89</v>
      </c>
      <c r="S155" s="26">
        <v>65</v>
      </c>
      <c r="T155" s="20">
        <v>-0.89</v>
      </c>
      <c r="U155" s="26">
        <v>-0.1</v>
      </c>
      <c r="V155" s="20">
        <v>1290.55</v>
      </c>
    </row>
    <row r="156" spans="1:22" ht="16.8" x14ac:dyDescent="0.3">
      <c r="A156" s="20">
        <v>15.5</v>
      </c>
      <c r="B156" s="20">
        <v>65</v>
      </c>
      <c r="C156" s="26">
        <v>64.930000000000007</v>
      </c>
      <c r="D156" s="20">
        <v>7.0000000000000007E-2</v>
      </c>
      <c r="E156" s="20">
        <v>-0.02</v>
      </c>
      <c r="F156" s="26">
        <v>1864.25</v>
      </c>
      <c r="Q156" s="20">
        <v>15.5</v>
      </c>
      <c r="R156" s="20">
        <v>65.8</v>
      </c>
      <c r="S156" s="26">
        <v>65</v>
      </c>
      <c r="T156" s="26">
        <v>-0.8</v>
      </c>
      <c r="U156" s="26">
        <v>0.09</v>
      </c>
      <c r="V156" s="26">
        <v>1424.45</v>
      </c>
    </row>
    <row r="157" spans="1:22" ht="16.8" x14ac:dyDescent="0.3">
      <c r="A157" s="20">
        <v>15.6</v>
      </c>
      <c r="B157" s="20">
        <v>65</v>
      </c>
      <c r="C157" s="26">
        <v>64.900000000000006</v>
      </c>
      <c r="D157" s="20">
        <v>0.1</v>
      </c>
      <c r="E157" s="20">
        <v>0.03</v>
      </c>
      <c r="F157" s="26">
        <v>1886.4</v>
      </c>
      <c r="Q157" s="20">
        <v>15.6</v>
      </c>
      <c r="R157" s="20">
        <v>65.77</v>
      </c>
      <c r="S157" s="26">
        <v>65</v>
      </c>
      <c r="T157" s="20">
        <v>-0.77</v>
      </c>
      <c r="U157" s="26">
        <v>0.03</v>
      </c>
      <c r="V157" s="20">
        <v>1390.78</v>
      </c>
    </row>
    <row r="158" spans="1:22" ht="16.8" x14ac:dyDescent="0.3">
      <c r="A158" s="20">
        <v>15.7</v>
      </c>
      <c r="B158" s="20">
        <v>65</v>
      </c>
      <c r="C158" s="20">
        <v>64.930000000000007</v>
      </c>
      <c r="D158" s="20">
        <v>7.0000000000000007E-2</v>
      </c>
      <c r="E158" s="20">
        <v>-0.03</v>
      </c>
      <c r="F158" s="20">
        <v>1864.25</v>
      </c>
      <c r="Q158" s="20">
        <v>15.7</v>
      </c>
      <c r="R158" s="20">
        <v>65.760000000000005</v>
      </c>
      <c r="S158" s="26">
        <v>65</v>
      </c>
      <c r="T158" s="26">
        <v>-0.76</v>
      </c>
      <c r="U158" s="26">
        <v>0.01</v>
      </c>
      <c r="V158" s="20">
        <v>1374.38</v>
      </c>
    </row>
    <row r="159" spans="1:22" ht="16.8" x14ac:dyDescent="0.3">
      <c r="A159" s="20">
        <v>15.8</v>
      </c>
      <c r="B159" s="20">
        <v>65</v>
      </c>
      <c r="C159" s="26">
        <v>64.95</v>
      </c>
      <c r="D159" s="20">
        <v>0.05</v>
      </c>
      <c r="E159" s="20">
        <v>-0.02</v>
      </c>
      <c r="F159" s="26">
        <v>1844.02</v>
      </c>
      <c r="Q159" s="20">
        <v>15.8</v>
      </c>
      <c r="R159" s="20">
        <v>65.77</v>
      </c>
      <c r="S159" s="26">
        <v>65</v>
      </c>
      <c r="T159" s="26">
        <v>-0.77</v>
      </c>
      <c r="U159" s="26">
        <v>-0.01</v>
      </c>
      <c r="V159" s="26">
        <v>1360.67</v>
      </c>
    </row>
    <row r="160" spans="1:22" ht="16.8" x14ac:dyDescent="0.3">
      <c r="A160" s="20">
        <v>15.9</v>
      </c>
      <c r="B160" s="20">
        <v>65</v>
      </c>
      <c r="C160" s="26">
        <v>64.97</v>
      </c>
      <c r="D160" s="20">
        <v>0.03</v>
      </c>
      <c r="E160" s="20">
        <v>-0.02</v>
      </c>
      <c r="F160" s="26">
        <v>1826.21</v>
      </c>
      <c r="Q160" s="20">
        <v>15.9</v>
      </c>
      <c r="R160" s="20">
        <v>65.78</v>
      </c>
      <c r="S160" s="26">
        <v>65</v>
      </c>
      <c r="T160" s="26">
        <v>-0.78</v>
      </c>
      <c r="U160" s="26">
        <v>-0.01</v>
      </c>
      <c r="V160" s="20">
        <v>1357.51</v>
      </c>
    </row>
    <row r="161" spans="1:22" ht="16.8" x14ac:dyDescent="0.3">
      <c r="A161" s="20">
        <v>16</v>
      </c>
      <c r="B161" s="20">
        <v>65</v>
      </c>
      <c r="C161" s="20">
        <v>64.989999999999995</v>
      </c>
      <c r="D161" s="20">
        <v>0.01</v>
      </c>
      <c r="E161" s="20">
        <v>-0.02</v>
      </c>
      <c r="F161" s="20">
        <v>1807.42</v>
      </c>
      <c r="Q161" s="20">
        <v>16</v>
      </c>
      <c r="R161" s="20">
        <v>65.75</v>
      </c>
      <c r="S161" s="26">
        <v>65</v>
      </c>
      <c r="T161" s="26">
        <v>-0.75</v>
      </c>
      <c r="U161" s="26">
        <v>0.02</v>
      </c>
      <c r="V161" s="26">
        <v>1380.72</v>
      </c>
    </row>
    <row r="162" spans="1:22" ht="16.8" x14ac:dyDescent="0.3">
      <c r="A162" s="20">
        <v>16.100000000000001</v>
      </c>
      <c r="B162" s="20">
        <v>65</v>
      </c>
      <c r="C162" s="26">
        <v>65.02</v>
      </c>
      <c r="D162" s="20">
        <v>-0.02</v>
      </c>
      <c r="E162" s="20">
        <v>-0.03</v>
      </c>
      <c r="F162" s="26">
        <v>1787.14</v>
      </c>
      <c r="Q162" s="20">
        <v>16.100000000000001</v>
      </c>
      <c r="R162" s="20">
        <v>65.7</v>
      </c>
      <c r="S162" s="26">
        <v>65</v>
      </c>
      <c r="T162" s="20">
        <v>-0.7</v>
      </c>
      <c r="U162" s="20">
        <v>0.06</v>
      </c>
      <c r="V162" s="20">
        <v>1409.26</v>
      </c>
    </row>
    <row r="163" spans="1:22" ht="16.8" x14ac:dyDescent="0.3">
      <c r="A163" s="20">
        <v>16.2</v>
      </c>
      <c r="B163" s="20">
        <v>65</v>
      </c>
      <c r="C163" s="20">
        <v>65.03</v>
      </c>
      <c r="D163" s="20">
        <v>-0.03</v>
      </c>
      <c r="E163" s="20">
        <v>-0.01</v>
      </c>
      <c r="F163" s="20">
        <v>1783.03</v>
      </c>
      <c r="Q163" s="20">
        <v>16.2</v>
      </c>
      <c r="R163" s="20">
        <v>65.7</v>
      </c>
      <c r="S163" s="26">
        <v>65</v>
      </c>
      <c r="T163" s="26">
        <v>-0.7</v>
      </c>
      <c r="U163" s="26">
        <v>0</v>
      </c>
      <c r="V163" s="26">
        <v>1370.58</v>
      </c>
    </row>
    <row r="164" spans="1:22" ht="16.8" x14ac:dyDescent="0.3">
      <c r="A164" s="20">
        <v>16.3</v>
      </c>
      <c r="B164" s="20">
        <v>65</v>
      </c>
      <c r="C164" s="26">
        <v>65.08</v>
      </c>
      <c r="D164" s="20">
        <v>-0.08</v>
      </c>
      <c r="E164" s="20">
        <v>-0.04</v>
      </c>
      <c r="F164" s="26">
        <v>1761.05</v>
      </c>
      <c r="Q164" s="20">
        <v>16.3</v>
      </c>
      <c r="R164" s="20">
        <v>65.680000000000007</v>
      </c>
      <c r="S164" s="26">
        <v>65</v>
      </c>
      <c r="T164" s="20">
        <v>-0.68</v>
      </c>
      <c r="U164" s="20">
        <v>0.02</v>
      </c>
      <c r="V164" s="20">
        <v>1382.1</v>
      </c>
    </row>
    <row r="165" spans="1:22" ht="16.8" x14ac:dyDescent="0.3">
      <c r="A165" s="20">
        <v>16.399999999999999</v>
      </c>
      <c r="B165" s="20">
        <v>65</v>
      </c>
      <c r="C165" s="26">
        <v>65.08</v>
      </c>
      <c r="D165" s="20">
        <v>-0.08</v>
      </c>
      <c r="E165" s="20">
        <v>-0.01</v>
      </c>
      <c r="F165" s="26">
        <v>1757.19</v>
      </c>
      <c r="Q165" s="20">
        <v>16.399999999999999</v>
      </c>
      <c r="R165" s="20">
        <v>65.67</v>
      </c>
      <c r="S165" s="26">
        <v>65</v>
      </c>
      <c r="T165" s="26">
        <v>-0.67</v>
      </c>
      <c r="U165" s="26">
        <v>0.01</v>
      </c>
      <c r="V165" s="26">
        <v>1376.5</v>
      </c>
    </row>
    <row r="166" spans="1:22" ht="16.8" x14ac:dyDescent="0.3">
      <c r="A166" s="20">
        <v>16.5</v>
      </c>
      <c r="B166" s="20">
        <v>65</v>
      </c>
      <c r="C166" s="20">
        <v>65.16</v>
      </c>
      <c r="D166" s="20">
        <v>-0.16</v>
      </c>
      <c r="E166" s="20">
        <v>-7.0000000000000007E-2</v>
      </c>
      <c r="F166" s="20">
        <v>1722.48</v>
      </c>
      <c r="Q166" s="20">
        <v>16.5</v>
      </c>
      <c r="R166" s="20">
        <v>65.64</v>
      </c>
      <c r="S166" s="26">
        <v>65</v>
      </c>
      <c r="T166" s="26">
        <v>-0.64</v>
      </c>
      <c r="U166" s="26">
        <v>0.03</v>
      </c>
      <c r="V166" s="20">
        <v>1396</v>
      </c>
    </row>
    <row r="167" spans="1:22" ht="16.8" x14ac:dyDescent="0.3">
      <c r="A167" s="20">
        <v>16.600000000000001</v>
      </c>
      <c r="B167" s="20">
        <v>65</v>
      </c>
      <c r="C167" s="26">
        <v>65.14</v>
      </c>
      <c r="D167" s="20">
        <v>-0.14000000000000001</v>
      </c>
      <c r="E167" s="20">
        <v>0.02</v>
      </c>
      <c r="F167" s="26">
        <v>1730.24</v>
      </c>
      <c r="Q167" s="20">
        <v>16.600000000000001</v>
      </c>
      <c r="R167" s="20">
        <v>65.650000000000006</v>
      </c>
      <c r="S167" s="26">
        <v>65</v>
      </c>
      <c r="T167" s="26">
        <v>-0.65</v>
      </c>
      <c r="U167" s="26">
        <v>-0.01</v>
      </c>
      <c r="V167" s="20">
        <v>1366.71</v>
      </c>
    </row>
    <row r="168" spans="1:22" ht="16.8" x14ac:dyDescent="0.3">
      <c r="A168" s="20">
        <v>16.7</v>
      </c>
      <c r="B168" s="20">
        <v>65</v>
      </c>
      <c r="C168" s="20">
        <v>65.22</v>
      </c>
      <c r="D168" s="20">
        <v>-0.22</v>
      </c>
      <c r="E168" s="20">
        <v>-0.08</v>
      </c>
      <c r="F168" s="26">
        <v>1691.18</v>
      </c>
      <c r="Q168" s="20">
        <v>16.7</v>
      </c>
      <c r="R168" s="20">
        <v>65.62</v>
      </c>
      <c r="S168" s="26">
        <v>65</v>
      </c>
      <c r="T168" s="26">
        <v>-0.62</v>
      </c>
      <c r="U168" s="26">
        <v>0.02</v>
      </c>
      <c r="V168" s="26">
        <v>1390.24</v>
      </c>
    </row>
    <row r="169" spans="1:22" ht="16.8" x14ac:dyDescent="0.3">
      <c r="A169" s="20">
        <v>16.8</v>
      </c>
      <c r="B169" s="20">
        <v>65</v>
      </c>
      <c r="C169" s="26">
        <v>65.25</v>
      </c>
      <c r="D169" s="20">
        <v>-0.25</v>
      </c>
      <c r="E169" s="20">
        <v>-0.02</v>
      </c>
      <c r="F169" s="20">
        <v>1678.99</v>
      </c>
      <c r="Q169" s="20">
        <v>16.8</v>
      </c>
      <c r="R169" s="20">
        <v>65.66</v>
      </c>
      <c r="S169" s="26">
        <v>65</v>
      </c>
      <c r="T169" s="26">
        <v>-0.66</v>
      </c>
      <c r="U169" s="26">
        <v>-0.03</v>
      </c>
      <c r="V169" s="20">
        <v>1346.49</v>
      </c>
    </row>
    <row r="170" spans="1:22" ht="16.8" x14ac:dyDescent="0.3">
      <c r="A170" s="20">
        <v>16.899999999999999</v>
      </c>
      <c r="B170" s="20">
        <v>65</v>
      </c>
      <c r="C170" s="26">
        <v>65.239999999999995</v>
      </c>
      <c r="D170" s="20">
        <v>-0.24</v>
      </c>
      <c r="E170" s="20">
        <v>0</v>
      </c>
      <c r="F170" s="26">
        <v>1681.06</v>
      </c>
      <c r="Q170" s="20">
        <v>16.899999999999999</v>
      </c>
      <c r="R170" s="20">
        <v>65.2</v>
      </c>
      <c r="S170" s="26">
        <v>65</v>
      </c>
      <c r="T170" s="26">
        <v>-0.2</v>
      </c>
      <c r="U170" s="26">
        <v>0.46</v>
      </c>
      <c r="V170" s="26">
        <v>1742.26</v>
      </c>
    </row>
    <row r="171" spans="1:22" ht="16.8" x14ac:dyDescent="0.3">
      <c r="A171" s="20">
        <v>17</v>
      </c>
      <c r="B171" s="20">
        <v>65</v>
      </c>
      <c r="C171" s="20">
        <v>65.290000000000006</v>
      </c>
      <c r="D171" s="20">
        <v>-0.28999999999999998</v>
      </c>
      <c r="E171" s="20">
        <v>-0.04</v>
      </c>
      <c r="F171" s="20">
        <v>1658.02</v>
      </c>
      <c r="Q171" s="20">
        <v>17</v>
      </c>
      <c r="R171" s="20">
        <v>65.61</v>
      </c>
      <c r="S171" s="26">
        <v>65</v>
      </c>
      <c r="T171" s="26">
        <v>-0.61</v>
      </c>
      <c r="U171" s="26">
        <v>-0.41</v>
      </c>
      <c r="V171" s="20">
        <v>1103.8499999999999</v>
      </c>
    </row>
    <row r="172" spans="1:22" ht="16.8" x14ac:dyDescent="0.3">
      <c r="A172" s="20">
        <v>17.100000000000001</v>
      </c>
      <c r="B172" s="20">
        <v>65</v>
      </c>
      <c r="C172" s="26">
        <v>65.3</v>
      </c>
      <c r="D172" s="20">
        <v>-0.3</v>
      </c>
      <c r="E172" s="20">
        <v>-0.01</v>
      </c>
      <c r="F172" s="26">
        <v>1651.41</v>
      </c>
      <c r="Q172" s="20">
        <v>17.100000000000001</v>
      </c>
      <c r="R172" s="20">
        <v>64.7</v>
      </c>
      <c r="S172" s="26">
        <v>65</v>
      </c>
      <c r="T172" s="26">
        <v>0.3</v>
      </c>
      <c r="U172" s="26">
        <v>0.91</v>
      </c>
      <c r="V172" s="26">
        <v>2117.8000000000002</v>
      </c>
    </row>
    <row r="173" spans="1:22" ht="16.8" x14ac:dyDescent="0.3">
      <c r="A173" s="20">
        <v>17.2</v>
      </c>
      <c r="B173" s="20">
        <v>65</v>
      </c>
      <c r="C173" s="26">
        <v>65.34</v>
      </c>
      <c r="D173" s="20">
        <v>-0.34</v>
      </c>
      <c r="E173" s="20">
        <v>-0.04</v>
      </c>
      <c r="F173" s="26">
        <v>1628.6</v>
      </c>
      <c r="Q173" s="20">
        <v>17.2</v>
      </c>
      <c r="R173" s="20">
        <v>65.59</v>
      </c>
      <c r="S173" s="26">
        <v>65</v>
      </c>
      <c r="T173" s="26">
        <v>-0.59</v>
      </c>
      <c r="U173" s="26">
        <v>-0.89</v>
      </c>
      <c r="V173" s="20">
        <v>788.55</v>
      </c>
    </row>
    <row r="174" spans="1:22" ht="16.8" x14ac:dyDescent="0.3">
      <c r="A174" s="20">
        <v>17.3</v>
      </c>
      <c r="B174" s="20">
        <v>65</v>
      </c>
      <c r="C174" s="20">
        <v>65.37</v>
      </c>
      <c r="D174" s="20">
        <v>-0.37</v>
      </c>
      <c r="E174" s="20">
        <v>-0.03</v>
      </c>
      <c r="F174" s="20">
        <v>1608.86</v>
      </c>
      <c r="Q174" s="20">
        <v>17.3</v>
      </c>
      <c r="R174" s="20">
        <v>64.66</v>
      </c>
      <c r="S174" s="26">
        <v>65</v>
      </c>
      <c r="T174" s="26">
        <v>0.34</v>
      </c>
      <c r="U174" s="26">
        <v>0.93</v>
      </c>
      <c r="V174" s="26">
        <v>2139.5300000000002</v>
      </c>
    </row>
    <row r="175" spans="1:22" ht="16.8" x14ac:dyDescent="0.3">
      <c r="A175" s="20">
        <v>17.399999999999999</v>
      </c>
      <c r="B175" s="20">
        <v>65</v>
      </c>
      <c r="C175" s="26">
        <v>65.33</v>
      </c>
      <c r="D175" s="20">
        <v>-0.33</v>
      </c>
      <c r="E175" s="20">
        <v>0.04</v>
      </c>
      <c r="F175" s="26">
        <v>1635.68</v>
      </c>
      <c r="Q175" s="20">
        <v>17.399999999999999</v>
      </c>
      <c r="R175" s="20">
        <v>65.59</v>
      </c>
      <c r="S175" s="26">
        <v>65</v>
      </c>
      <c r="T175" s="26">
        <v>-0.59</v>
      </c>
      <c r="U175" s="26">
        <v>-0.93</v>
      </c>
      <c r="V175" s="20">
        <v>761.52</v>
      </c>
    </row>
    <row r="176" spans="1:22" ht="16.8" x14ac:dyDescent="0.3">
      <c r="A176" s="20">
        <v>17.5</v>
      </c>
      <c r="B176" s="20">
        <v>65</v>
      </c>
      <c r="C176" s="20">
        <v>65.38</v>
      </c>
      <c r="D176" s="20">
        <v>-0.38</v>
      </c>
      <c r="E176" s="20">
        <v>-0.05</v>
      </c>
      <c r="F176" s="26">
        <v>1603.66</v>
      </c>
      <c r="Q176" s="20">
        <v>17.5</v>
      </c>
      <c r="R176" s="20">
        <v>64.67</v>
      </c>
      <c r="S176" s="26">
        <v>65</v>
      </c>
      <c r="T176" s="26">
        <v>0.33</v>
      </c>
      <c r="U176" s="26">
        <v>0.93</v>
      </c>
      <c r="V176" s="26">
        <v>2132.33</v>
      </c>
    </row>
    <row r="177" spans="1:22" ht="16.8" x14ac:dyDescent="0.3">
      <c r="A177" s="20">
        <v>17.600000000000001</v>
      </c>
      <c r="B177" s="20">
        <v>65</v>
      </c>
      <c r="C177" s="26">
        <v>65.349999999999994</v>
      </c>
      <c r="D177" s="20">
        <v>-0.35</v>
      </c>
      <c r="E177" s="20">
        <v>0.03</v>
      </c>
      <c r="F177" s="20">
        <v>1623.75</v>
      </c>
      <c r="Q177" s="20">
        <v>17.600000000000001</v>
      </c>
      <c r="R177" s="20">
        <v>65.599999999999994</v>
      </c>
      <c r="S177" s="26">
        <v>65</v>
      </c>
      <c r="T177" s="20">
        <v>-0.6</v>
      </c>
      <c r="U177" s="26">
        <v>-0.93</v>
      </c>
      <c r="V177" s="20">
        <v>759.59</v>
      </c>
    </row>
    <row r="178" spans="1:22" ht="16.8" x14ac:dyDescent="0.3">
      <c r="A178" s="20">
        <v>17.7</v>
      </c>
      <c r="B178" s="20">
        <v>65</v>
      </c>
      <c r="C178" s="26">
        <v>65.39</v>
      </c>
      <c r="D178" s="20">
        <v>-0.39</v>
      </c>
      <c r="E178" s="20">
        <v>-0.04</v>
      </c>
      <c r="F178" s="26">
        <v>1598.33</v>
      </c>
      <c r="Q178" s="20">
        <v>17.7</v>
      </c>
      <c r="R178" s="20">
        <v>64.69</v>
      </c>
      <c r="S178" s="26">
        <v>65</v>
      </c>
      <c r="T178" s="26">
        <v>0.31</v>
      </c>
      <c r="U178" s="26">
        <v>0.91</v>
      </c>
      <c r="V178" s="20">
        <v>2117.1799999999998</v>
      </c>
    </row>
    <row r="179" spans="1:22" ht="16.8" x14ac:dyDescent="0.3">
      <c r="A179" s="20">
        <v>17.8</v>
      </c>
      <c r="B179" s="20">
        <v>65</v>
      </c>
      <c r="C179" s="20">
        <v>65.400000000000006</v>
      </c>
      <c r="D179" s="20">
        <v>-0.4</v>
      </c>
      <c r="E179" s="20">
        <v>-0.01</v>
      </c>
      <c r="F179" s="20">
        <v>1590.12</v>
      </c>
      <c r="Q179" s="20">
        <v>17.8</v>
      </c>
      <c r="R179" s="20">
        <v>65.599999999999994</v>
      </c>
      <c r="S179" s="26">
        <v>65</v>
      </c>
      <c r="T179" s="20">
        <v>-0.6</v>
      </c>
      <c r="U179" s="26">
        <v>-0.91</v>
      </c>
      <c r="V179" s="26">
        <v>774.75</v>
      </c>
    </row>
    <row r="180" spans="1:22" ht="16.8" x14ac:dyDescent="0.3">
      <c r="A180" s="20">
        <v>17.899999999999999</v>
      </c>
      <c r="B180" s="20">
        <v>65</v>
      </c>
      <c r="C180" s="26">
        <v>65.41</v>
      </c>
      <c r="D180" s="20">
        <v>-0.41</v>
      </c>
      <c r="E180" s="20">
        <v>-0.01</v>
      </c>
      <c r="F180" s="26">
        <v>1584.56</v>
      </c>
      <c r="Q180" s="20">
        <v>17.899999999999999</v>
      </c>
      <c r="R180" s="20">
        <v>64.709999999999994</v>
      </c>
      <c r="S180" s="26">
        <v>65</v>
      </c>
      <c r="T180" s="26">
        <v>0.28999999999999998</v>
      </c>
      <c r="U180" s="26">
        <v>0.89</v>
      </c>
      <c r="V180" s="20">
        <v>2096.6799999999998</v>
      </c>
    </row>
    <row r="181" spans="1:22" ht="16.8" x14ac:dyDescent="0.3">
      <c r="A181" s="20">
        <v>18</v>
      </c>
      <c r="B181" s="20">
        <v>65</v>
      </c>
      <c r="C181" s="20">
        <v>65.400000000000006</v>
      </c>
      <c r="D181" s="20">
        <v>-0.4</v>
      </c>
      <c r="E181" s="20">
        <v>0</v>
      </c>
      <c r="F181" s="26">
        <v>1587.36</v>
      </c>
      <c r="Q181" s="20">
        <v>18</v>
      </c>
      <c r="R181" s="20">
        <v>65.64</v>
      </c>
      <c r="S181" s="26">
        <v>65</v>
      </c>
      <c r="T181" s="26">
        <v>-0.64</v>
      </c>
      <c r="U181" s="26">
        <v>-0.93</v>
      </c>
      <c r="V181" s="26">
        <v>756.85</v>
      </c>
    </row>
    <row r="182" spans="1:22" ht="16.8" x14ac:dyDescent="0.3">
      <c r="A182" s="20">
        <v>18.100000000000001</v>
      </c>
      <c r="B182" s="20">
        <v>65</v>
      </c>
      <c r="C182" s="26">
        <v>65.37</v>
      </c>
      <c r="D182" s="20">
        <v>-0.37</v>
      </c>
      <c r="E182" s="20">
        <v>0.04</v>
      </c>
      <c r="F182" s="20">
        <v>1611.42</v>
      </c>
      <c r="Q182" s="20">
        <v>18.100000000000001</v>
      </c>
      <c r="R182" s="20">
        <v>64.72</v>
      </c>
      <c r="S182" s="26">
        <v>65</v>
      </c>
      <c r="T182" s="26">
        <v>0.28000000000000003</v>
      </c>
      <c r="U182" s="26">
        <v>0.92</v>
      </c>
      <c r="V182" s="20">
        <v>2115.67</v>
      </c>
    </row>
    <row r="183" spans="1:22" ht="16.8" x14ac:dyDescent="0.3">
      <c r="A183" s="20">
        <v>18.2</v>
      </c>
      <c r="B183" s="20">
        <v>65</v>
      </c>
      <c r="C183" s="26">
        <v>65.36</v>
      </c>
      <c r="D183" s="20">
        <v>-0.36</v>
      </c>
      <c r="E183" s="20">
        <v>0</v>
      </c>
      <c r="F183" s="26">
        <v>1613.93</v>
      </c>
      <c r="Q183" s="20">
        <v>18.2</v>
      </c>
      <c r="R183" s="20">
        <v>65.64</v>
      </c>
      <c r="S183" s="26">
        <v>65</v>
      </c>
      <c r="T183" s="26">
        <v>-0.64</v>
      </c>
      <c r="U183" s="26">
        <v>-0.92</v>
      </c>
      <c r="V183" s="26">
        <v>761.26</v>
      </c>
    </row>
    <row r="184" spans="1:22" ht="16.8" x14ac:dyDescent="0.3">
      <c r="A184" s="20">
        <v>18.3</v>
      </c>
      <c r="B184" s="20">
        <v>65</v>
      </c>
      <c r="C184" s="20">
        <v>65.400000000000006</v>
      </c>
      <c r="D184" s="20">
        <v>-0.4</v>
      </c>
      <c r="E184" s="20">
        <v>-0.04</v>
      </c>
      <c r="F184" s="20">
        <v>1587.36</v>
      </c>
      <c r="Q184" s="20">
        <v>18.3</v>
      </c>
      <c r="R184" s="20">
        <v>64.67</v>
      </c>
      <c r="S184" s="26">
        <v>65</v>
      </c>
      <c r="T184" s="20">
        <v>0.33</v>
      </c>
      <c r="U184" s="20">
        <v>0.97</v>
      </c>
      <c r="V184" s="20">
        <v>2154.39</v>
      </c>
    </row>
    <row r="185" spans="1:22" ht="16.8" x14ac:dyDescent="0.3">
      <c r="A185" s="20">
        <v>18.399999999999999</v>
      </c>
      <c r="B185" s="20">
        <v>65</v>
      </c>
      <c r="C185" s="26">
        <v>65.400000000000006</v>
      </c>
      <c r="D185" s="20">
        <v>-0.4</v>
      </c>
      <c r="E185" s="20">
        <v>0.01</v>
      </c>
      <c r="F185" s="26">
        <v>1592.88</v>
      </c>
      <c r="Q185" s="20">
        <v>18.399999999999999</v>
      </c>
      <c r="R185" s="20">
        <v>65.66</v>
      </c>
      <c r="S185" s="26">
        <v>65</v>
      </c>
      <c r="T185" s="26">
        <v>-0.66</v>
      </c>
      <c r="U185" s="26">
        <v>-0.98</v>
      </c>
      <c r="V185" s="26">
        <v>715.59</v>
      </c>
    </row>
    <row r="186" spans="1:22" ht="16.8" x14ac:dyDescent="0.3">
      <c r="A186" s="20">
        <v>18.5</v>
      </c>
      <c r="B186" s="20">
        <v>65</v>
      </c>
      <c r="C186" s="26">
        <v>65.39</v>
      </c>
      <c r="D186" s="20">
        <v>-0.39</v>
      </c>
      <c r="E186" s="20">
        <v>0.01</v>
      </c>
      <c r="F186" s="26">
        <v>1598.33</v>
      </c>
      <c r="Q186" s="20">
        <v>18.5</v>
      </c>
      <c r="R186" s="20">
        <v>64.680000000000007</v>
      </c>
      <c r="S186" s="26">
        <v>65</v>
      </c>
      <c r="T186" s="20">
        <v>0.32</v>
      </c>
      <c r="U186" s="20">
        <v>0.98</v>
      </c>
      <c r="V186" s="20">
        <v>2157.5700000000002</v>
      </c>
    </row>
    <row r="187" spans="1:22" ht="16.8" x14ac:dyDescent="0.3">
      <c r="A187" s="20">
        <v>18.600000000000001</v>
      </c>
      <c r="B187" s="20">
        <v>65</v>
      </c>
      <c r="C187" s="20">
        <v>65.319999999999993</v>
      </c>
      <c r="D187" s="20">
        <v>-0.32</v>
      </c>
      <c r="E187" s="20">
        <v>0.06</v>
      </c>
      <c r="F187" s="20">
        <v>1637.99</v>
      </c>
      <c r="Q187" s="20">
        <v>18.600000000000001</v>
      </c>
      <c r="R187" s="20">
        <v>65.680000000000007</v>
      </c>
      <c r="S187" s="26">
        <v>65</v>
      </c>
      <c r="T187" s="26">
        <v>-0.68</v>
      </c>
      <c r="U187" s="26">
        <v>-1</v>
      </c>
      <c r="V187" s="20">
        <v>700.26</v>
      </c>
    </row>
    <row r="188" spans="1:22" ht="16.8" x14ac:dyDescent="0.3">
      <c r="A188" s="20">
        <v>18.7</v>
      </c>
      <c r="B188" s="20">
        <v>65</v>
      </c>
      <c r="C188" s="26">
        <v>65.34</v>
      </c>
      <c r="D188" s="20">
        <v>-0.34</v>
      </c>
      <c r="E188" s="20">
        <v>-0.02</v>
      </c>
      <c r="F188" s="26">
        <v>1628.6</v>
      </c>
      <c r="Q188" s="20">
        <v>18.7</v>
      </c>
      <c r="R188" s="20">
        <v>64.7</v>
      </c>
      <c r="S188" s="26">
        <v>65</v>
      </c>
      <c r="T188" s="26">
        <v>0.3</v>
      </c>
      <c r="U188" s="26">
        <v>0.98</v>
      </c>
      <c r="V188" s="26">
        <v>2159.35</v>
      </c>
    </row>
    <row r="189" spans="1:22" ht="16.8" x14ac:dyDescent="0.3">
      <c r="A189" s="20">
        <v>18.8</v>
      </c>
      <c r="B189" s="20">
        <v>65</v>
      </c>
      <c r="C189" s="20">
        <v>65.37</v>
      </c>
      <c r="D189" s="20">
        <v>-0.37</v>
      </c>
      <c r="E189" s="20">
        <v>-0.03</v>
      </c>
      <c r="F189" s="26">
        <v>1611.42</v>
      </c>
      <c r="Q189" s="20">
        <v>18.8</v>
      </c>
      <c r="R189" s="20">
        <v>65.67</v>
      </c>
      <c r="S189" s="26">
        <v>65</v>
      </c>
      <c r="T189" s="26">
        <v>-0.67</v>
      </c>
      <c r="U189" s="26">
        <v>-0.97</v>
      </c>
      <c r="V189" s="20">
        <v>723.12</v>
      </c>
    </row>
    <row r="190" spans="1:22" ht="16.8" x14ac:dyDescent="0.3">
      <c r="A190" s="20">
        <v>18.899999999999999</v>
      </c>
      <c r="B190" s="20">
        <v>65</v>
      </c>
      <c r="C190" s="26">
        <v>65.349999999999994</v>
      </c>
      <c r="D190" s="20">
        <v>-0.35</v>
      </c>
      <c r="E190" s="20">
        <v>0.02</v>
      </c>
      <c r="F190" s="20">
        <v>1621.32</v>
      </c>
      <c r="Q190" s="20">
        <v>18.899999999999999</v>
      </c>
      <c r="R190" s="20">
        <v>64.69</v>
      </c>
      <c r="S190" s="26">
        <v>65</v>
      </c>
      <c r="T190" s="26">
        <v>0.31</v>
      </c>
      <c r="U190" s="26">
        <v>0.98</v>
      </c>
      <c r="V190" s="26">
        <v>2154.52</v>
      </c>
    </row>
    <row r="191" spans="1:22" ht="16.8" x14ac:dyDescent="0.3">
      <c r="A191" s="20">
        <v>19</v>
      </c>
      <c r="B191" s="20">
        <v>65</v>
      </c>
      <c r="C191" s="26">
        <v>65.34</v>
      </c>
      <c r="D191" s="20">
        <v>-0.34</v>
      </c>
      <c r="E191" s="20">
        <v>0.01</v>
      </c>
      <c r="F191" s="26">
        <v>1628.6</v>
      </c>
      <c r="Q191" s="20">
        <v>19</v>
      </c>
      <c r="R191" s="20">
        <v>65.64</v>
      </c>
      <c r="S191" s="26">
        <v>65</v>
      </c>
      <c r="T191" s="26">
        <v>-0.64</v>
      </c>
      <c r="U191" s="26">
        <v>-0.95</v>
      </c>
      <c r="V191" s="20">
        <v>736.78</v>
      </c>
    </row>
    <row r="192" spans="1:22" ht="16.8" x14ac:dyDescent="0.3">
      <c r="A192" s="20">
        <v>19.100000000000001</v>
      </c>
      <c r="B192" s="20">
        <v>65</v>
      </c>
      <c r="C192" s="20">
        <v>65.27</v>
      </c>
      <c r="D192" s="20">
        <v>-0.27</v>
      </c>
      <c r="E192" s="20">
        <v>0.06</v>
      </c>
      <c r="F192" s="20">
        <v>1664.47</v>
      </c>
      <c r="Q192" s="20">
        <v>19.100000000000001</v>
      </c>
      <c r="R192" s="20">
        <v>64.680000000000007</v>
      </c>
      <c r="S192" s="26">
        <v>65</v>
      </c>
      <c r="T192" s="20">
        <v>0.32</v>
      </c>
      <c r="U192" s="20">
        <v>0.96</v>
      </c>
      <c r="V192" s="26">
        <v>2144.46</v>
      </c>
    </row>
    <row r="193" spans="1:22" ht="16.8" x14ac:dyDescent="0.3">
      <c r="A193" s="20">
        <v>19.2</v>
      </c>
      <c r="B193" s="20">
        <v>65</v>
      </c>
      <c r="C193" s="26">
        <v>65.31</v>
      </c>
      <c r="D193" s="20">
        <v>-0.31</v>
      </c>
      <c r="E193" s="20">
        <v>-0.04</v>
      </c>
      <c r="F193" s="26">
        <v>1644.79</v>
      </c>
      <c r="Q193" s="20">
        <v>19.2</v>
      </c>
      <c r="R193" s="20">
        <v>65.709999999999994</v>
      </c>
      <c r="S193" s="26">
        <v>65</v>
      </c>
      <c r="T193" s="26">
        <v>-0.71</v>
      </c>
      <c r="U193" s="26">
        <v>-1.02</v>
      </c>
      <c r="V193" s="20">
        <v>677.93</v>
      </c>
    </row>
    <row r="194" spans="1:22" ht="16.8" x14ac:dyDescent="0.3">
      <c r="A194" s="20">
        <v>19.3</v>
      </c>
      <c r="B194" s="20">
        <v>65</v>
      </c>
      <c r="C194" s="20">
        <v>65.28</v>
      </c>
      <c r="D194" s="20">
        <v>-0.28000000000000003</v>
      </c>
      <c r="E194" s="20">
        <v>0.03</v>
      </c>
      <c r="F194" s="26">
        <v>1660.19</v>
      </c>
      <c r="Q194" s="20">
        <v>19.3</v>
      </c>
      <c r="R194" s="20">
        <v>64.72</v>
      </c>
      <c r="S194" s="26">
        <v>65</v>
      </c>
      <c r="T194" s="26">
        <v>0.28000000000000003</v>
      </c>
      <c r="U194" s="26">
        <v>0.98</v>
      </c>
      <c r="V194" s="26">
        <v>2152.8200000000002</v>
      </c>
    </row>
    <row r="195" spans="1:22" ht="16.8" x14ac:dyDescent="0.3">
      <c r="A195" s="20">
        <v>19.399999999999999</v>
      </c>
      <c r="B195" s="20">
        <v>65</v>
      </c>
      <c r="C195" s="26">
        <v>65.290000000000006</v>
      </c>
      <c r="D195" s="20">
        <v>-0.28999999999999998</v>
      </c>
      <c r="E195" s="20">
        <v>-0.01</v>
      </c>
      <c r="F195" s="20">
        <v>1653.64</v>
      </c>
      <c r="Q195" s="20">
        <v>19.399999999999999</v>
      </c>
      <c r="R195" s="20">
        <v>65.650000000000006</v>
      </c>
      <c r="S195" s="26">
        <v>65</v>
      </c>
      <c r="T195" s="26">
        <v>-0.65</v>
      </c>
      <c r="U195" s="26">
        <v>-0.93</v>
      </c>
      <c r="V195" s="20">
        <v>749.53</v>
      </c>
    </row>
    <row r="196" spans="1:22" ht="16.8" x14ac:dyDescent="0.3">
      <c r="A196" s="20">
        <v>19.5</v>
      </c>
      <c r="B196" s="20">
        <v>65</v>
      </c>
      <c r="C196" s="26">
        <v>65.25</v>
      </c>
      <c r="D196" s="20">
        <v>-0.25</v>
      </c>
      <c r="E196" s="20">
        <v>0.04</v>
      </c>
      <c r="F196" s="26">
        <v>1676.92</v>
      </c>
      <c r="Q196" s="20">
        <v>19.5</v>
      </c>
      <c r="R196" s="20">
        <v>64.73</v>
      </c>
      <c r="S196" s="26">
        <v>65</v>
      </c>
      <c r="T196" s="26">
        <v>0.27</v>
      </c>
      <c r="U196" s="26">
        <v>0.92</v>
      </c>
      <c r="V196" s="26">
        <v>2108.33</v>
      </c>
    </row>
    <row r="197" spans="1:22" ht="16.8" x14ac:dyDescent="0.3">
      <c r="A197" s="20">
        <v>19.600000000000001</v>
      </c>
      <c r="B197" s="20">
        <v>65</v>
      </c>
      <c r="C197" s="20">
        <v>65.27</v>
      </c>
      <c r="D197" s="20">
        <v>-0.27</v>
      </c>
      <c r="E197" s="20">
        <v>-0.02</v>
      </c>
      <c r="F197" s="20">
        <v>1664.47</v>
      </c>
      <c r="Q197" s="20">
        <v>19.600000000000001</v>
      </c>
      <c r="R197" s="20">
        <v>65.67</v>
      </c>
      <c r="S197" s="26">
        <v>65</v>
      </c>
      <c r="T197" s="20">
        <v>-0.67</v>
      </c>
      <c r="U197" s="26">
        <v>-0.94</v>
      </c>
      <c r="V197" s="20">
        <v>734.1</v>
      </c>
    </row>
    <row r="198" spans="1:22" ht="16.8" x14ac:dyDescent="0.3">
      <c r="A198" s="20">
        <v>19.7</v>
      </c>
      <c r="B198" s="20">
        <v>65</v>
      </c>
      <c r="C198" s="26">
        <v>65.290000000000006</v>
      </c>
      <c r="D198" s="20">
        <v>-0.28999999999999998</v>
      </c>
      <c r="E198" s="20">
        <v>-0.01</v>
      </c>
      <c r="F198" s="26">
        <v>1658.02</v>
      </c>
      <c r="Q198" s="20">
        <v>19.7</v>
      </c>
      <c r="R198" s="20">
        <v>64.67</v>
      </c>
      <c r="S198" s="26">
        <v>65</v>
      </c>
      <c r="T198" s="26">
        <v>0.33</v>
      </c>
      <c r="U198" s="26">
        <v>1</v>
      </c>
      <c r="V198" s="26">
        <v>2169.41</v>
      </c>
    </row>
    <row r="199" spans="1:22" ht="16.8" x14ac:dyDescent="0.3">
      <c r="A199" s="20">
        <v>19.8</v>
      </c>
      <c r="B199" s="20">
        <v>65</v>
      </c>
      <c r="C199" s="26">
        <v>65.25</v>
      </c>
      <c r="D199" s="20">
        <v>-0.25</v>
      </c>
      <c r="E199" s="20">
        <v>0.04</v>
      </c>
      <c r="F199" s="26">
        <v>1678.99</v>
      </c>
      <c r="Q199" s="20">
        <v>19.8</v>
      </c>
      <c r="R199" s="20">
        <v>65.66</v>
      </c>
      <c r="S199" s="26">
        <v>65</v>
      </c>
      <c r="T199" s="20">
        <v>-0.66</v>
      </c>
      <c r="U199" s="26">
        <v>-0.98</v>
      </c>
      <c r="V199" s="20">
        <v>709.47</v>
      </c>
    </row>
    <row r="200" spans="1:22" ht="16.8" x14ac:dyDescent="0.3">
      <c r="A200" s="20">
        <v>19.899999999999999</v>
      </c>
      <c r="B200" s="20">
        <v>65</v>
      </c>
      <c r="C200" s="20">
        <v>65.28</v>
      </c>
      <c r="D200" s="20">
        <v>-0.28000000000000003</v>
      </c>
      <c r="E200" s="20">
        <v>-0.03</v>
      </c>
      <c r="F200" s="20">
        <v>1662.33</v>
      </c>
      <c r="Q200" s="20">
        <v>19.899999999999999</v>
      </c>
      <c r="R200" s="20">
        <v>64.650000000000006</v>
      </c>
      <c r="S200" s="26">
        <v>65</v>
      </c>
      <c r="T200" s="26">
        <v>0.35</v>
      </c>
      <c r="U200" s="26">
        <v>1.01</v>
      </c>
      <c r="V200" s="20">
        <v>2177.84</v>
      </c>
    </row>
    <row r="201" spans="1:22" ht="16.8" x14ac:dyDescent="0.3">
      <c r="A201" s="20">
        <v>20</v>
      </c>
      <c r="B201" s="20">
        <v>65</v>
      </c>
      <c r="C201" s="26">
        <v>65.25</v>
      </c>
      <c r="D201" s="20">
        <v>-0.25</v>
      </c>
      <c r="E201" s="20">
        <v>0.02</v>
      </c>
      <c r="F201" s="26">
        <v>1674.86</v>
      </c>
      <c r="Q201" s="20">
        <v>20</v>
      </c>
      <c r="R201" s="20">
        <v>65.63</v>
      </c>
      <c r="S201" s="26">
        <v>65</v>
      </c>
      <c r="T201" s="26">
        <v>-0.63</v>
      </c>
      <c r="U201" s="26">
        <v>-0.98</v>
      </c>
      <c r="V201" s="26">
        <v>712.67</v>
      </c>
    </row>
    <row r="202" spans="1:22" ht="16.8" x14ac:dyDescent="0.3">
      <c r="A202" s="20">
        <v>20.100000000000001</v>
      </c>
      <c r="B202" s="20">
        <v>65</v>
      </c>
      <c r="C202" s="20">
        <v>65.19</v>
      </c>
      <c r="D202" s="20">
        <v>-0.19</v>
      </c>
      <c r="E202" s="20">
        <v>0.06</v>
      </c>
      <c r="F202" s="20">
        <v>1705.01</v>
      </c>
      <c r="Q202" s="20">
        <v>20.100000000000001</v>
      </c>
      <c r="R202" s="20">
        <v>64.69</v>
      </c>
      <c r="S202" s="26">
        <v>65</v>
      </c>
      <c r="T202" s="26">
        <v>0.31</v>
      </c>
      <c r="U202" s="26">
        <v>0.94</v>
      </c>
      <c r="V202" s="20">
        <v>2128.31</v>
      </c>
    </row>
    <row r="203" spans="1:22" ht="16.8" x14ac:dyDescent="0.3">
      <c r="A203" s="20">
        <v>20.2</v>
      </c>
      <c r="B203" s="20">
        <v>65</v>
      </c>
      <c r="C203" s="26">
        <v>65.27</v>
      </c>
      <c r="D203" s="20">
        <v>-0.27</v>
      </c>
      <c r="E203" s="20">
        <v>-7.0000000000000007E-2</v>
      </c>
      <c r="F203" s="26">
        <v>1668.68</v>
      </c>
      <c r="Q203" s="20">
        <v>20.2</v>
      </c>
      <c r="R203" s="20">
        <v>65.67</v>
      </c>
      <c r="S203" s="26">
        <v>65</v>
      </c>
      <c r="T203" s="26">
        <v>-0.67</v>
      </c>
      <c r="U203" s="26">
        <v>-0.98</v>
      </c>
      <c r="V203" s="26">
        <v>711.92</v>
      </c>
    </row>
    <row r="204" spans="1:22" ht="16.8" x14ac:dyDescent="0.3">
      <c r="A204" s="20">
        <v>20.3</v>
      </c>
      <c r="B204" s="20">
        <v>65</v>
      </c>
      <c r="C204" s="26">
        <v>65.28</v>
      </c>
      <c r="D204" s="20">
        <v>-0.28000000000000003</v>
      </c>
      <c r="E204" s="20">
        <v>-0.01</v>
      </c>
      <c r="F204" s="26">
        <v>1662.33</v>
      </c>
      <c r="Q204" s="20">
        <v>20.3</v>
      </c>
      <c r="R204" s="20">
        <v>64.709999999999994</v>
      </c>
      <c r="S204" s="26">
        <v>65</v>
      </c>
      <c r="T204" s="20">
        <v>0.28999999999999998</v>
      </c>
      <c r="U204" s="26">
        <v>0.95</v>
      </c>
      <c r="V204" s="20">
        <v>2128.81</v>
      </c>
    </row>
    <row r="205" spans="1:22" ht="16.8" x14ac:dyDescent="0.3">
      <c r="A205" s="20">
        <v>20.399999999999999</v>
      </c>
      <c r="B205" s="20">
        <v>65</v>
      </c>
      <c r="C205" s="20">
        <v>65.209999999999994</v>
      </c>
      <c r="D205" s="20">
        <v>-0.21</v>
      </c>
      <c r="E205" s="20">
        <v>7.0000000000000007E-2</v>
      </c>
      <c r="F205" s="20">
        <v>1697.11</v>
      </c>
      <c r="Q205" s="20">
        <v>20.399999999999999</v>
      </c>
      <c r="R205" s="20">
        <v>65.63</v>
      </c>
      <c r="S205" s="26">
        <v>65</v>
      </c>
      <c r="T205" s="26">
        <v>-0.63</v>
      </c>
      <c r="U205" s="26">
        <v>-0.92</v>
      </c>
      <c r="V205" s="26">
        <v>753.27</v>
      </c>
    </row>
    <row r="206" spans="1:22" ht="16.8" x14ac:dyDescent="0.3">
      <c r="A206" s="20">
        <v>20.5</v>
      </c>
      <c r="B206" s="20">
        <v>65</v>
      </c>
      <c r="C206" s="26">
        <v>65.25</v>
      </c>
      <c r="D206" s="20">
        <v>-0.25</v>
      </c>
      <c r="E206" s="20">
        <v>-0.04</v>
      </c>
      <c r="F206" s="26">
        <v>1676.92</v>
      </c>
      <c r="Q206" s="20">
        <v>20.5</v>
      </c>
      <c r="R206" s="20">
        <v>64.680000000000007</v>
      </c>
      <c r="S206" s="26">
        <v>65</v>
      </c>
      <c r="T206" s="20">
        <v>0.32</v>
      </c>
      <c r="U206" s="26">
        <v>0.95</v>
      </c>
      <c r="V206" s="20">
        <v>2133.23</v>
      </c>
    </row>
    <row r="207" spans="1:22" ht="16.8" x14ac:dyDescent="0.3">
      <c r="A207" s="20">
        <v>20.6</v>
      </c>
      <c r="B207" s="20">
        <v>65</v>
      </c>
      <c r="C207" s="20">
        <v>65.239999999999995</v>
      </c>
      <c r="D207" s="20">
        <v>-0.24</v>
      </c>
      <c r="E207" s="20">
        <v>0.01</v>
      </c>
      <c r="F207" s="20">
        <v>1681.06</v>
      </c>
      <c r="Q207" s="20">
        <v>20.6</v>
      </c>
      <c r="R207" s="20">
        <v>65.67</v>
      </c>
      <c r="S207" s="26">
        <v>65</v>
      </c>
      <c r="T207" s="26">
        <v>-0.67</v>
      </c>
      <c r="U207" s="26">
        <v>-0.98</v>
      </c>
      <c r="V207" s="20">
        <v>704.97</v>
      </c>
    </row>
    <row r="208" spans="1:22" ht="16.8" x14ac:dyDescent="0.3">
      <c r="A208" s="20">
        <v>20.7</v>
      </c>
      <c r="B208" s="20">
        <v>65</v>
      </c>
      <c r="C208" s="26">
        <v>65.239999999999995</v>
      </c>
      <c r="D208" s="20">
        <v>-0.24</v>
      </c>
      <c r="E208" s="20">
        <v>0</v>
      </c>
      <c r="F208" s="26">
        <v>1683.11</v>
      </c>
      <c r="Q208" s="20">
        <v>20.7</v>
      </c>
      <c r="R208" s="20">
        <v>64.69</v>
      </c>
      <c r="S208" s="26">
        <v>65</v>
      </c>
      <c r="T208" s="20">
        <v>0.31</v>
      </c>
      <c r="U208" s="26">
        <v>0.98</v>
      </c>
      <c r="V208" s="26">
        <v>2146.94</v>
      </c>
    </row>
    <row r="209" spans="1:22" ht="16.8" x14ac:dyDescent="0.3">
      <c r="A209" s="20">
        <v>20.8</v>
      </c>
      <c r="B209" s="20">
        <v>65</v>
      </c>
      <c r="C209" s="26">
        <v>65.23</v>
      </c>
      <c r="D209" s="20">
        <v>-0.23</v>
      </c>
      <c r="E209" s="20">
        <v>0.01</v>
      </c>
      <c r="F209" s="26">
        <v>1687.17</v>
      </c>
      <c r="Q209" s="20">
        <v>20.8</v>
      </c>
      <c r="R209" s="20">
        <v>65.680000000000007</v>
      </c>
      <c r="S209" s="26">
        <v>65</v>
      </c>
      <c r="T209" s="26">
        <v>-0.68</v>
      </c>
      <c r="U209" s="26">
        <v>-0.99</v>
      </c>
      <c r="V209" s="20">
        <v>696.21</v>
      </c>
    </row>
    <row r="210" spans="1:22" ht="16.8" x14ac:dyDescent="0.3">
      <c r="A210" s="20">
        <v>20.9</v>
      </c>
      <c r="B210" s="20">
        <v>65</v>
      </c>
      <c r="C210" s="20">
        <v>65.260000000000005</v>
      </c>
      <c r="D210" s="20">
        <v>-0.26</v>
      </c>
      <c r="E210" s="20">
        <v>-0.03</v>
      </c>
      <c r="F210" s="20">
        <v>1670.75</v>
      </c>
      <c r="Q210" s="20">
        <v>20.9</v>
      </c>
      <c r="R210" s="20">
        <v>64.66</v>
      </c>
      <c r="S210" s="26">
        <v>65</v>
      </c>
      <c r="T210" s="20">
        <v>0.34</v>
      </c>
      <c r="U210" s="26">
        <v>1.02</v>
      </c>
      <c r="V210" s="26">
        <v>2183.0100000000002</v>
      </c>
    </row>
    <row r="211" spans="1:22" ht="16.8" x14ac:dyDescent="0.3">
      <c r="A211" s="20">
        <v>21</v>
      </c>
      <c r="B211" s="20">
        <v>65</v>
      </c>
      <c r="C211" s="26">
        <v>65.23</v>
      </c>
      <c r="D211" s="20">
        <v>-0.23</v>
      </c>
      <c r="E211" s="20">
        <v>0.03</v>
      </c>
      <c r="F211" s="26">
        <v>1687.17</v>
      </c>
      <c r="Q211" s="20">
        <v>21</v>
      </c>
      <c r="R211" s="20">
        <v>65.67</v>
      </c>
      <c r="S211" s="26">
        <v>65</v>
      </c>
      <c r="T211" s="26">
        <v>-0.67</v>
      </c>
      <c r="U211" s="26">
        <v>-1.02</v>
      </c>
      <c r="V211" s="20">
        <v>680.85</v>
      </c>
    </row>
    <row r="212" spans="1:22" ht="16.8" x14ac:dyDescent="0.3">
      <c r="A212" s="20">
        <v>21.1</v>
      </c>
      <c r="B212" s="20">
        <v>65</v>
      </c>
      <c r="C212" s="26">
        <v>65.27</v>
      </c>
      <c r="D212" s="20">
        <v>-0.27</v>
      </c>
      <c r="E212" s="20">
        <v>-0.04</v>
      </c>
      <c r="F212" s="20">
        <v>1668.68</v>
      </c>
      <c r="Q212" s="20">
        <v>21.1</v>
      </c>
      <c r="R212" s="20">
        <v>64.67</v>
      </c>
      <c r="S212" s="26">
        <v>65</v>
      </c>
      <c r="T212" s="20">
        <v>0.33</v>
      </c>
      <c r="U212" s="26">
        <v>1</v>
      </c>
      <c r="V212" s="26">
        <v>2163.7399999999998</v>
      </c>
    </row>
    <row r="213" spans="1:22" ht="16.8" x14ac:dyDescent="0.3">
      <c r="A213" s="20">
        <v>21.2</v>
      </c>
      <c r="B213" s="20">
        <v>65</v>
      </c>
      <c r="C213" s="20">
        <v>65.290000000000006</v>
      </c>
      <c r="D213" s="20">
        <v>-0.28999999999999998</v>
      </c>
      <c r="E213" s="20">
        <v>-0.02</v>
      </c>
      <c r="F213" s="26">
        <v>1658.02</v>
      </c>
      <c r="Q213" s="20">
        <v>21.2</v>
      </c>
      <c r="R213" s="20">
        <v>65.67</v>
      </c>
      <c r="S213" s="26">
        <v>65</v>
      </c>
      <c r="T213" s="20">
        <v>-0.67</v>
      </c>
      <c r="U213" s="26">
        <v>-0.99</v>
      </c>
      <c r="V213" s="20">
        <v>697.19</v>
      </c>
    </row>
    <row r="214" spans="1:22" ht="16.8" x14ac:dyDescent="0.3">
      <c r="A214" s="20">
        <v>21.3</v>
      </c>
      <c r="B214" s="20">
        <v>65</v>
      </c>
      <c r="C214" s="26">
        <v>65.33</v>
      </c>
      <c r="D214" s="20">
        <v>-0.33</v>
      </c>
      <c r="E214" s="20">
        <v>-0.04</v>
      </c>
      <c r="F214" s="26">
        <v>1635.68</v>
      </c>
      <c r="Q214" s="20">
        <v>21.3</v>
      </c>
      <c r="R214" s="20">
        <v>64.739999999999995</v>
      </c>
      <c r="S214" s="26">
        <v>65</v>
      </c>
      <c r="T214" s="26">
        <v>0.26</v>
      </c>
      <c r="U214" s="26">
        <v>0.93</v>
      </c>
      <c r="V214" s="26">
        <v>2104.83</v>
      </c>
    </row>
    <row r="215" spans="1:22" ht="16.8" x14ac:dyDescent="0.3">
      <c r="A215" s="20">
        <v>21.4</v>
      </c>
      <c r="B215" s="20">
        <v>65</v>
      </c>
      <c r="C215" s="20">
        <v>65.319999999999993</v>
      </c>
      <c r="D215" s="20">
        <v>-0.32</v>
      </c>
      <c r="E215" s="20">
        <v>0.01</v>
      </c>
      <c r="F215" s="20">
        <v>1640.28</v>
      </c>
      <c r="Q215" s="20">
        <v>21.4</v>
      </c>
      <c r="R215" s="20">
        <v>65.73</v>
      </c>
      <c r="S215" s="26">
        <v>65</v>
      </c>
      <c r="T215" s="20">
        <v>-0.73</v>
      </c>
      <c r="U215" s="26">
        <v>-0.99</v>
      </c>
      <c r="V215" s="20">
        <v>685.73</v>
      </c>
    </row>
    <row r="216" spans="1:22" ht="16.8" x14ac:dyDescent="0.3">
      <c r="A216" s="20">
        <v>21.5</v>
      </c>
      <c r="B216" s="20">
        <v>65</v>
      </c>
      <c r="C216" s="26">
        <v>65.28</v>
      </c>
      <c r="D216" s="20">
        <v>-0.28000000000000003</v>
      </c>
      <c r="E216" s="20">
        <v>0.04</v>
      </c>
      <c r="F216" s="26">
        <v>1660.19</v>
      </c>
      <c r="Q216" s="20">
        <v>21.5</v>
      </c>
      <c r="R216" s="20">
        <v>64.680000000000007</v>
      </c>
      <c r="S216" s="26">
        <v>65</v>
      </c>
      <c r="T216" s="26">
        <v>0.32</v>
      </c>
      <c r="U216" s="26">
        <v>1.05</v>
      </c>
      <c r="V216" s="26">
        <v>2192.1999999999998</v>
      </c>
    </row>
    <row r="217" spans="1:22" ht="16.8" x14ac:dyDescent="0.3">
      <c r="A217" s="20">
        <v>21.6</v>
      </c>
      <c r="B217" s="20">
        <v>65</v>
      </c>
      <c r="C217" s="26">
        <v>65.319999999999993</v>
      </c>
      <c r="D217" s="20">
        <v>-0.32</v>
      </c>
      <c r="E217" s="20">
        <v>-0.04</v>
      </c>
      <c r="F217" s="20">
        <v>1640.28</v>
      </c>
      <c r="Q217" s="20">
        <v>21.6</v>
      </c>
      <c r="R217" s="20">
        <v>65.709999999999994</v>
      </c>
      <c r="S217" s="26">
        <v>65</v>
      </c>
      <c r="T217" s="20">
        <v>-0.71</v>
      </c>
      <c r="U217" s="26">
        <v>-1.02</v>
      </c>
      <c r="V217" s="20">
        <v>667.52</v>
      </c>
    </row>
    <row r="218" spans="1:22" ht="16.8" x14ac:dyDescent="0.3">
      <c r="A218" s="20">
        <v>21.7</v>
      </c>
      <c r="B218" s="20">
        <v>65</v>
      </c>
      <c r="C218" s="20">
        <v>65.3</v>
      </c>
      <c r="D218" s="20">
        <v>-0.3</v>
      </c>
      <c r="E218" s="20">
        <v>0.02</v>
      </c>
      <c r="F218" s="26">
        <v>1651.41</v>
      </c>
      <c r="Q218" s="20">
        <v>21.7</v>
      </c>
      <c r="R218" s="20">
        <v>64.67</v>
      </c>
      <c r="S218" s="26">
        <v>65</v>
      </c>
      <c r="T218" s="26">
        <v>0.33</v>
      </c>
      <c r="U218" s="26">
        <v>1.04</v>
      </c>
      <c r="V218" s="26">
        <v>2188.61</v>
      </c>
    </row>
    <row r="219" spans="1:22" ht="16.8" x14ac:dyDescent="0.3">
      <c r="A219" s="20">
        <v>21.8</v>
      </c>
      <c r="B219" s="20">
        <v>65</v>
      </c>
      <c r="C219" s="26">
        <v>65.290000000000006</v>
      </c>
      <c r="D219" s="20">
        <v>-0.28999999999999998</v>
      </c>
      <c r="E219" s="20">
        <v>0.01</v>
      </c>
      <c r="F219" s="26">
        <v>1655.84</v>
      </c>
      <c r="Q219" s="20">
        <v>21.8</v>
      </c>
      <c r="R219" s="20">
        <v>65.67</v>
      </c>
      <c r="S219" s="26">
        <v>65</v>
      </c>
      <c r="T219" s="26">
        <v>-0.67</v>
      </c>
      <c r="U219" s="26">
        <v>-1.01</v>
      </c>
      <c r="V219" s="20">
        <v>682.46</v>
      </c>
    </row>
    <row r="220" spans="1:22" ht="16.8" x14ac:dyDescent="0.3">
      <c r="A220" s="20">
        <v>21.9</v>
      </c>
      <c r="B220" s="20">
        <v>65</v>
      </c>
      <c r="C220" s="20">
        <v>65.290000000000006</v>
      </c>
      <c r="D220" s="20">
        <v>-0.28999999999999998</v>
      </c>
      <c r="E220" s="20">
        <v>0</v>
      </c>
      <c r="F220" s="20">
        <v>1655.84</v>
      </c>
      <c r="Q220" s="20">
        <v>21.9</v>
      </c>
      <c r="R220" s="20">
        <v>64.67</v>
      </c>
      <c r="S220" s="26">
        <v>65</v>
      </c>
      <c r="T220" s="26">
        <v>0.33</v>
      </c>
      <c r="U220" s="26">
        <v>1</v>
      </c>
      <c r="V220" s="20">
        <v>2160.06</v>
      </c>
    </row>
    <row r="221" spans="1:22" ht="16.8" x14ac:dyDescent="0.3">
      <c r="A221" s="20">
        <v>22</v>
      </c>
      <c r="B221" s="20">
        <v>65</v>
      </c>
      <c r="C221" s="26">
        <v>65.319999999999993</v>
      </c>
      <c r="D221" s="20">
        <v>-0.32</v>
      </c>
      <c r="E221" s="20">
        <v>-0.03</v>
      </c>
      <c r="F221" s="26">
        <v>1637.99</v>
      </c>
      <c r="Q221" s="20">
        <v>22</v>
      </c>
      <c r="R221" s="20">
        <v>65.72</v>
      </c>
      <c r="S221" s="26">
        <v>65</v>
      </c>
      <c r="T221" s="26">
        <v>-0.72</v>
      </c>
      <c r="U221" s="26">
        <v>-1.05</v>
      </c>
      <c r="V221" s="26">
        <v>647.32000000000005</v>
      </c>
    </row>
    <row r="222" spans="1:22" ht="16.8" x14ac:dyDescent="0.3">
      <c r="A222" s="20">
        <v>22.1</v>
      </c>
      <c r="B222" s="20">
        <v>65</v>
      </c>
      <c r="C222" s="26">
        <v>65.27</v>
      </c>
      <c r="D222" s="20">
        <v>-0.27</v>
      </c>
      <c r="E222" s="20">
        <v>0.05</v>
      </c>
      <c r="F222" s="20">
        <v>1664.47</v>
      </c>
      <c r="Q222" s="20">
        <v>22.1</v>
      </c>
      <c r="R222" s="20">
        <v>64.7</v>
      </c>
      <c r="S222" s="26">
        <v>65</v>
      </c>
      <c r="T222" s="26">
        <v>0.3</v>
      </c>
      <c r="U222" s="20">
        <v>1.02</v>
      </c>
      <c r="V222" s="20">
        <v>2171.02</v>
      </c>
    </row>
    <row r="223" spans="1:22" ht="16.8" x14ac:dyDescent="0.3">
      <c r="A223" s="20">
        <v>22.2</v>
      </c>
      <c r="B223" s="20">
        <v>65</v>
      </c>
      <c r="C223" s="20">
        <v>65.33</v>
      </c>
      <c r="D223" s="20">
        <v>-0.33</v>
      </c>
      <c r="E223" s="20">
        <v>-0.06</v>
      </c>
      <c r="F223" s="26">
        <v>1630.98</v>
      </c>
      <c r="Q223" s="20">
        <v>22.2</v>
      </c>
      <c r="R223" s="20">
        <v>65.63</v>
      </c>
      <c r="S223" s="26">
        <v>65</v>
      </c>
      <c r="T223" s="26">
        <v>-0.63</v>
      </c>
      <c r="U223" s="26">
        <v>-0.93</v>
      </c>
      <c r="V223" s="26">
        <v>734.76</v>
      </c>
    </row>
    <row r="224" spans="1:22" ht="16.8" x14ac:dyDescent="0.3">
      <c r="A224" s="20">
        <v>22.3</v>
      </c>
      <c r="B224" s="20">
        <v>65</v>
      </c>
      <c r="C224" s="26">
        <v>65.31</v>
      </c>
      <c r="D224" s="20">
        <v>-0.31</v>
      </c>
      <c r="E224" s="20">
        <v>0.02</v>
      </c>
      <c r="F224" s="26">
        <v>1642.54</v>
      </c>
      <c r="Q224" s="20">
        <v>22.3</v>
      </c>
      <c r="R224" s="20">
        <v>64.7</v>
      </c>
      <c r="S224" s="26">
        <v>65</v>
      </c>
      <c r="T224" s="20">
        <v>0.3</v>
      </c>
      <c r="U224" s="26">
        <v>0.93</v>
      </c>
      <c r="V224" s="20">
        <v>2112.08</v>
      </c>
    </row>
    <row r="225" spans="1:22" ht="16.8" x14ac:dyDescent="0.3">
      <c r="A225" s="20">
        <v>22.4</v>
      </c>
      <c r="B225" s="20">
        <v>65</v>
      </c>
      <c r="C225" s="26">
        <v>65.33</v>
      </c>
      <c r="D225" s="20">
        <v>-0.33</v>
      </c>
      <c r="E225" s="20">
        <v>-0.02</v>
      </c>
      <c r="F225" s="20">
        <v>1633.34</v>
      </c>
      <c r="Q225" s="20">
        <v>22.4</v>
      </c>
      <c r="R225" s="20">
        <v>65.680000000000007</v>
      </c>
      <c r="S225" s="26">
        <v>65</v>
      </c>
      <c r="T225" s="26">
        <v>-0.68</v>
      </c>
      <c r="U225" s="26">
        <v>-0.98</v>
      </c>
      <c r="V225" s="26">
        <v>694.37</v>
      </c>
    </row>
    <row r="226" spans="1:22" ht="16.8" x14ac:dyDescent="0.3">
      <c r="A226" s="20">
        <v>22.5</v>
      </c>
      <c r="B226" s="20">
        <v>65</v>
      </c>
      <c r="C226" s="20">
        <v>65.33</v>
      </c>
      <c r="D226" s="20">
        <v>-0.33</v>
      </c>
      <c r="E226" s="20">
        <v>0</v>
      </c>
      <c r="F226" s="26">
        <v>1635.68</v>
      </c>
      <c r="Q226" s="20">
        <v>22.5</v>
      </c>
      <c r="R226" s="20">
        <v>64.66</v>
      </c>
      <c r="S226" s="20">
        <v>65</v>
      </c>
      <c r="T226" s="26">
        <v>0.34</v>
      </c>
      <c r="U226" s="26">
        <v>1.02</v>
      </c>
      <c r="V226" s="20">
        <v>2175.88</v>
      </c>
    </row>
    <row r="227" spans="1:22" ht="16.8" x14ac:dyDescent="0.3">
      <c r="A227" s="20">
        <v>22.6</v>
      </c>
      <c r="B227" s="20">
        <v>65</v>
      </c>
      <c r="C227" s="26">
        <v>65.319999999999993</v>
      </c>
      <c r="D227" s="20">
        <v>-0.32</v>
      </c>
      <c r="E227" s="20">
        <v>0.01</v>
      </c>
      <c r="F227" s="20">
        <v>1640.28</v>
      </c>
      <c r="Q227" s="20">
        <v>22.6</v>
      </c>
      <c r="R227" s="20">
        <v>65.650000000000006</v>
      </c>
      <c r="S227" s="26">
        <v>65</v>
      </c>
      <c r="T227" s="26">
        <v>-0.65</v>
      </c>
      <c r="U227" s="26">
        <v>-0.99</v>
      </c>
      <c r="V227" s="26">
        <v>693.52</v>
      </c>
    </row>
    <row r="228" spans="1:22" ht="16.8" x14ac:dyDescent="0.3">
      <c r="A228" s="20">
        <v>22.7</v>
      </c>
      <c r="B228" s="20">
        <v>65</v>
      </c>
      <c r="C228" s="20">
        <v>65.260000000000005</v>
      </c>
      <c r="D228" s="20">
        <v>-0.26</v>
      </c>
      <c r="E228" s="20">
        <v>0.06</v>
      </c>
      <c r="F228" s="26">
        <v>1672.81</v>
      </c>
      <c r="Q228" s="20">
        <v>22.7</v>
      </c>
      <c r="R228" s="20">
        <v>64.67</v>
      </c>
      <c r="S228" s="26">
        <v>65</v>
      </c>
      <c r="T228" s="26">
        <v>0.33</v>
      </c>
      <c r="U228" s="26">
        <v>0.98</v>
      </c>
      <c r="V228" s="20">
        <v>2147.4</v>
      </c>
    </row>
    <row r="229" spans="1:22" ht="16.8" x14ac:dyDescent="0.3">
      <c r="A229" s="20">
        <v>22.8</v>
      </c>
      <c r="B229" s="20">
        <v>65</v>
      </c>
      <c r="C229" s="26">
        <v>65.28</v>
      </c>
      <c r="D229" s="20">
        <v>-0.28000000000000003</v>
      </c>
      <c r="E229" s="20">
        <v>-0.02</v>
      </c>
      <c r="F229" s="26">
        <v>1660.19</v>
      </c>
      <c r="Q229" s="20">
        <v>22.8</v>
      </c>
      <c r="R229" s="20">
        <v>65.62</v>
      </c>
      <c r="S229" s="26">
        <v>65</v>
      </c>
      <c r="T229" s="26">
        <v>-0.62</v>
      </c>
      <c r="U229" s="26">
        <v>-0.96</v>
      </c>
      <c r="V229" s="20">
        <v>717.85</v>
      </c>
    </row>
    <row r="230" spans="1:22" ht="16.8" x14ac:dyDescent="0.3">
      <c r="A230" s="20">
        <v>22.9</v>
      </c>
      <c r="B230" s="20">
        <v>65</v>
      </c>
      <c r="C230" s="26">
        <v>65.25</v>
      </c>
      <c r="D230" s="20">
        <v>-0.25</v>
      </c>
      <c r="E230" s="20">
        <v>0.04</v>
      </c>
      <c r="F230" s="20">
        <v>1678.99</v>
      </c>
      <c r="Q230" s="20">
        <v>22.9</v>
      </c>
      <c r="R230" s="20">
        <v>64.63</v>
      </c>
      <c r="S230" s="26">
        <v>65</v>
      </c>
      <c r="T230" s="26">
        <v>0.37</v>
      </c>
      <c r="U230" s="26">
        <v>0.99</v>
      </c>
      <c r="V230" s="26">
        <v>2157.2399999999998</v>
      </c>
    </row>
    <row r="231" spans="1:22" ht="16.8" x14ac:dyDescent="0.3">
      <c r="A231" s="20">
        <v>23</v>
      </c>
      <c r="B231" s="20">
        <v>65</v>
      </c>
      <c r="C231" s="20">
        <v>65.260000000000005</v>
      </c>
      <c r="D231" s="20">
        <v>-0.26</v>
      </c>
      <c r="E231" s="20">
        <v>-0.02</v>
      </c>
      <c r="F231" s="26">
        <v>1670.75</v>
      </c>
      <c r="Q231" s="20">
        <v>23</v>
      </c>
      <c r="R231" s="20">
        <v>65.66</v>
      </c>
      <c r="S231" s="26">
        <v>65</v>
      </c>
      <c r="T231" s="26">
        <v>-0.66</v>
      </c>
      <c r="U231" s="26">
        <v>-1.02</v>
      </c>
      <c r="V231" s="20">
        <v>669.69</v>
      </c>
    </row>
    <row r="232" spans="1:22" ht="16.8" x14ac:dyDescent="0.3">
      <c r="A232" s="20">
        <v>23.1</v>
      </c>
      <c r="B232" s="20">
        <v>65</v>
      </c>
      <c r="C232" s="26">
        <v>65.22</v>
      </c>
      <c r="D232" s="20">
        <v>-0.22</v>
      </c>
      <c r="E232" s="20">
        <v>0.04</v>
      </c>
      <c r="F232" s="26">
        <v>1691.18</v>
      </c>
      <c r="Q232" s="20">
        <v>23.1</v>
      </c>
      <c r="R232" s="20">
        <v>64.67</v>
      </c>
      <c r="S232" s="26">
        <v>65</v>
      </c>
      <c r="T232" s="20">
        <v>0.33</v>
      </c>
      <c r="U232" s="20">
        <v>0.99</v>
      </c>
      <c r="V232" s="26">
        <v>2151.29</v>
      </c>
    </row>
    <row r="233" spans="1:22" ht="16.8" x14ac:dyDescent="0.3">
      <c r="A233" s="20">
        <v>23.2</v>
      </c>
      <c r="B233" s="20">
        <v>65</v>
      </c>
      <c r="C233" s="26">
        <v>65.23</v>
      </c>
      <c r="D233" s="20">
        <v>-0.23</v>
      </c>
      <c r="E233" s="20">
        <v>-0.01</v>
      </c>
      <c r="F233" s="20">
        <v>1687.17</v>
      </c>
      <c r="Q233" s="20">
        <v>23.2</v>
      </c>
      <c r="R233" s="20">
        <v>65.62</v>
      </c>
      <c r="S233" s="20">
        <v>65</v>
      </c>
      <c r="T233" s="26">
        <v>-0.62</v>
      </c>
      <c r="U233" s="26">
        <v>-0.96</v>
      </c>
      <c r="V233" s="20">
        <v>716.45</v>
      </c>
    </row>
    <row r="234" spans="1:22" ht="16.8" x14ac:dyDescent="0.3">
      <c r="A234" s="20">
        <v>23.3</v>
      </c>
      <c r="B234" s="20">
        <v>65</v>
      </c>
      <c r="C234" s="20">
        <v>65.23</v>
      </c>
      <c r="D234" s="20">
        <v>-0.23</v>
      </c>
      <c r="E234" s="20">
        <v>0</v>
      </c>
      <c r="F234" s="26">
        <v>1689.19</v>
      </c>
      <c r="Q234" s="20">
        <v>23.3</v>
      </c>
      <c r="R234" s="20">
        <v>64.67</v>
      </c>
      <c r="S234" s="26">
        <v>65</v>
      </c>
      <c r="T234" s="26">
        <v>0.33</v>
      </c>
      <c r="U234" s="20">
        <v>0.96</v>
      </c>
      <c r="V234" s="26">
        <v>2129.4499999999998</v>
      </c>
    </row>
    <row r="235" spans="1:22" ht="16.8" x14ac:dyDescent="0.3">
      <c r="A235" s="20">
        <v>23.4</v>
      </c>
      <c r="B235" s="20">
        <v>65</v>
      </c>
      <c r="C235" s="26">
        <v>65.209999999999994</v>
      </c>
      <c r="D235" s="20">
        <v>-0.21</v>
      </c>
      <c r="E235" s="20">
        <v>0.01</v>
      </c>
      <c r="F235" s="20">
        <v>1695.15</v>
      </c>
      <c r="Q235" s="20">
        <v>23.4</v>
      </c>
      <c r="R235" s="20">
        <v>65.650000000000006</v>
      </c>
      <c r="S235" s="20">
        <v>65</v>
      </c>
      <c r="T235" s="26">
        <v>-0.65</v>
      </c>
      <c r="U235" s="26">
        <v>-0.98</v>
      </c>
      <c r="V235" s="20">
        <v>695.96</v>
      </c>
    </row>
    <row r="236" spans="1:22" ht="16.8" x14ac:dyDescent="0.3">
      <c r="A236" s="20">
        <v>23.5</v>
      </c>
      <c r="B236" s="20">
        <v>65</v>
      </c>
      <c r="C236" s="26">
        <v>65.260000000000005</v>
      </c>
      <c r="D236" s="20">
        <v>-0.26</v>
      </c>
      <c r="E236" s="20">
        <v>-0.04</v>
      </c>
      <c r="F236" s="26">
        <v>1672.81</v>
      </c>
      <c r="Q236" s="20">
        <v>23.5</v>
      </c>
      <c r="R236" s="20">
        <v>64.67</v>
      </c>
      <c r="S236" s="26">
        <v>65</v>
      </c>
      <c r="T236" s="26">
        <v>0.33</v>
      </c>
      <c r="U236" s="26">
        <v>0.98</v>
      </c>
      <c r="V236" s="26">
        <v>2144.5500000000002</v>
      </c>
    </row>
    <row r="237" spans="1:22" ht="16.8" x14ac:dyDescent="0.3">
      <c r="A237" s="20">
        <v>23.6</v>
      </c>
      <c r="B237" s="20">
        <v>65</v>
      </c>
      <c r="C237" s="20">
        <v>65.22</v>
      </c>
      <c r="D237" s="20">
        <v>-0.22</v>
      </c>
      <c r="E237" s="20">
        <v>0.04</v>
      </c>
      <c r="F237" s="26">
        <v>1691.18</v>
      </c>
      <c r="Q237" s="20">
        <v>23.6</v>
      </c>
      <c r="R237" s="20">
        <v>65.650000000000006</v>
      </c>
      <c r="S237" s="26">
        <v>65</v>
      </c>
      <c r="T237" s="26">
        <v>-0.65</v>
      </c>
      <c r="U237" s="26">
        <v>-0.98</v>
      </c>
      <c r="V237" s="20">
        <v>695.2</v>
      </c>
    </row>
    <row r="238" spans="1:22" ht="16.8" x14ac:dyDescent="0.3">
      <c r="A238" s="20">
        <v>23.7</v>
      </c>
      <c r="B238" s="20">
        <v>65</v>
      </c>
      <c r="C238" s="26">
        <v>65.23</v>
      </c>
      <c r="D238" s="20">
        <v>-0.23</v>
      </c>
      <c r="E238" s="20">
        <v>-0.01</v>
      </c>
      <c r="F238" s="20">
        <v>1685.16</v>
      </c>
      <c r="Q238" s="20">
        <v>23.7</v>
      </c>
      <c r="R238" s="20">
        <v>64.66</v>
      </c>
      <c r="S238" s="26">
        <v>65</v>
      </c>
      <c r="T238" s="26">
        <v>0.34</v>
      </c>
      <c r="U238" s="26">
        <v>0.99</v>
      </c>
      <c r="V238" s="20">
        <v>2150.4</v>
      </c>
    </row>
    <row r="239" spans="1:22" ht="16.8" x14ac:dyDescent="0.3">
      <c r="A239" s="20">
        <v>23.8</v>
      </c>
      <c r="B239" s="20">
        <v>65</v>
      </c>
      <c r="C239" s="26">
        <v>65.290000000000006</v>
      </c>
      <c r="D239" s="20">
        <v>-0.28999999999999998</v>
      </c>
      <c r="E239" s="20">
        <v>-0.05</v>
      </c>
      <c r="F239" s="26">
        <v>1658.02</v>
      </c>
      <c r="Q239" s="20">
        <v>23.8</v>
      </c>
      <c r="R239" s="20">
        <v>65.69</v>
      </c>
      <c r="S239" s="26">
        <v>65</v>
      </c>
      <c r="T239" s="20">
        <v>-0.69</v>
      </c>
      <c r="U239" s="26">
        <v>-1.03</v>
      </c>
      <c r="V239" s="26">
        <v>656.18</v>
      </c>
    </row>
    <row r="240" spans="1:22" ht="16.8" x14ac:dyDescent="0.3">
      <c r="A240" s="20">
        <v>23.9</v>
      </c>
      <c r="B240" s="20">
        <v>65</v>
      </c>
      <c r="C240" s="20">
        <v>65.260000000000005</v>
      </c>
      <c r="D240" s="20">
        <v>-0.26</v>
      </c>
      <c r="E240" s="20">
        <v>0.03</v>
      </c>
      <c r="F240" s="26">
        <v>1672.81</v>
      </c>
      <c r="Q240" s="20">
        <v>23.9</v>
      </c>
      <c r="R240" s="20">
        <v>64.64</v>
      </c>
      <c r="S240" s="26">
        <v>65</v>
      </c>
      <c r="T240" s="26">
        <v>0.36</v>
      </c>
      <c r="U240" s="26">
        <v>1.05</v>
      </c>
      <c r="V240" s="20">
        <v>2189.19</v>
      </c>
    </row>
    <row r="241" spans="1:22" ht="16.8" x14ac:dyDescent="0.3">
      <c r="A241" s="20">
        <v>24</v>
      </c>
      <c r="B241" s="20">
        <v>65</v>
      </c>
      <c r="C241" s="26">
        <v>65.260000000000005</v>
      </c>
      <c r="D241" s="20">
        <v>-0.26</v>
      </c>
      <c r="E241" s="20">
        <v>0</v>
      </c>
      <c r="F241" s="20">
        <v>1670.75</v>
      </c>
      <c r="Q241" s="20">
        <v>24</v>
      </c>
      <c r="R241" s="20">
        <v>65.66</v>
      </c>
      <c r="S241" s="26">
        <v>65</v>
      </c>
      <c r="T241" s="20">
        <v>-0.66</v>
      </c>
      <c r="U241" s="26">
        <v>-1.02</v>
      </c>
      <c r="V241" s="26">
        <v>671.22</v>
      </c>
    </row>
    <row r="242" spans="1:22" ht="16.8" x14ac:dyDescent="0.3">
      <c r="A242" s="20">
        <v>24.1</v>
      </c>
      <c r="B242" s="20">
        <v>65</v>
      </c>
      <c r="C242" s="26">
        <v>65.290000000000006</v>
      </c>
      <c r="D242" s="20">
        <v>-0.28999999999999998</v>
      </c>
      <c r="E242" s="20">
        <v>-0.03</v>
      </c>
      <c r="F242" s="26">
        <v>1655.84</v>
      </c>
      <c r="Q242" s="20">
        <v>24.1</v>
      </c>
      <c r="R242" s="20">
        <v>64.66</v>
      </c>
      <c r="S242" s="26">
        <v>65</v>
      </c>
      <c r="T242" s="26">
        <v>0.34</v>
      </c>
      <c r="U242" s="26">
        <v>1</v>
      </c>
      <c r="V242" s="20">
        <v>2154.13</v>
      </c>
    </row>
    <row r="243" spans="1:22" ht="16.8" x14ac:dyDescent="0.3">
      <c r="A243" s="20">
        <v>24.2</v>
      </c>
      <c r="B243" s="20">
        <v>65</v>
      </c>
      <c r="C243" s="20">
        <v>65.25</v>
      </c>
      <c r="D243" s="20">
        <v>-0.25</v>
      </c>
      <c r="E243" s="20">
        <v>0.04</v>
      </c>
      <c r="F243" s="20">
        <v>1678.99</v>
      </c>
      <c r="Q243" s="20">
        <v>24.2</v>
      </c>
      <c r="R243" s="20">
        <v>65.650000000000006</v>
      </c>
      <c r="S243" s="26">
        <v>65</v>
      </c>
      <c r="T243" s="26">
        <v>-0.65</v>
      </c>
      <c r="U243" s="26">
        <v>-0.99</v>
      </c>
      <c r="V243" s="20">
        <v>687.63</v>
      </c>
    </row>
    <row r="244" spans="1:22" ht="16.8" x14ac:dyDescent="0.3">
      <c r="A244" s="20">
        <v>24.3</v>
      </c>
      <c r="B244" s="20">
        <v>65</v>
      </c>
      <c r="C244" s="26">
        <v>65.239999999999995</v>
      </c>
      <c r="D244" s="20">
        <v>-0.24</v>
      </c>
      <c r="E244" s="20">
        <v>0.01</v>
      </c>
      <c r="F244" s="26">
        <v>1683.11</v>
      </c>
      <c r="Q244" s="20">
        <v>24.3</v>
      </c>
      <c r="R244" s="20">
        <v>64.69</v>
      </c>
      <c r="S244" s="26">
        <v>65</v>
      </c>
      <c r="T244" s="20">
        <v>0.31</v>
      </c>
      <c r="U244" s="20">
        <v>0.96</v>
      </c>
      <c r="V244" s="26">
        <v>2121.7199999999998</v>
      </c>
    </row>
    <row r="245" spans="1:22" ht="16.8" x14ac:dyDescent="0.3">
      <c r="A245" s="20">
        <v>24.4</v>
      </c>
      <c r="B245" s="20">
        <v>65</v>
      </c>
      <c r="C245" s="20">
        <v>65.319999999999993</v>
      </c>
      <c r="D245" s="20">
        <v>-0.32</v>
      </c>
      <c r="E245" s="20">
        <v>-0.08</v>
      </c>
      <c r="F245" s="20">
        <v>1640.28</v>
      </c>
      <c r="Q245" s="20">
        <v>24.4</v>
      </c>
      <c r="R245" s="20">
        <v>65.67</v>
      </c>
      <c r="S245" s="26">
        <v>65</v>
      </c>
      <c r="T245" s="26">
        <v>-0.67</v>
      </c>
      <c r="U245" s="26">
        <v>-0.98</v>
      </c>
      <c r="V245" s="20">
        <v>694.76</v>
      </c>
    </row>
    <row r="246" spans="1:22" ht="16.8" x14ac:dyDescent="0.3">
      <c r="A246" s="20">
        <v>24.5</v>
      </c>
      <c r="B246" s="20">
        <v>65</v>
      </c>
      <c r="C246" s="26">
        <v>65.239999999999995</v>
      </c>
      <c r="D246" s="20">
        <v>-0.24</v>
      </c>
      <c r="E246" s="20">
        <v>0.08</v>
      </c>
      <c r="F246" s="26">
        <v>1683.11</v>
      </c>
      <c r="Q246" s="20">
        <v>24.5</v>
      </c>
      <c r="R246" s="20">
        <v>64.61</v>
      </c>
      <c r="S246" s="26">
        <v>65</v>
      </c>
      <c r="T246" s="20">
        <v>0.39</v>
      </c>
      <c r="U246" s="20">
        <v>1.06</v>
      </c>
      <c r="V246" s="26">
        <v>2197.44</v>
      </c>
    </row>
    <row r="247" spans="1:22" ht="16.8" x14ac:dyDescent="0.3">
      <c r="A247" s="20">
        <v>24.6</v>
      </c>
      <c r="B247" s="20">
        <v>65</v>
      </c>
      <c r="C247" s="26">
        <v>65.31</v>
      </c>
      <c r="D247" s="20">
        <v>-0.31</v>
      </c>
      <c r="E247" s="20">
        <v>-7.0000000000000007E-2</v>
      </c>
      <c r="F247" s="26">
        <v>1644.79</v>
      </c>
      <c r="Q247" s="20">
        <v>24.6</v>
      </c>
      <c r="R247" s="20">
        <v>65.64</v>
      </c>
      <c r="S247" s="26">
        <v>65</v>
      </c>
      <c r="T247" s="26">
        <v>-0.64</v>
      </c>
      <c r="U247" s="26">
        <v>-1.03</v>
      </c>
      <c r="V247" s="20">
        <v>661.04</v>
      </c>
    </row>
    <row r="248" spans="1:22" ht="16.8" x14ac:dyDescent="0.3">
      <c r="A248" s="20">
        <v>24.7</v>
      </c>
      <c r="B248" s="20">
        <v>65</v>
      </c>
      <c r="C248" s="20">
        <v>65.27</v>
      </c>
      <c r="D248" s="20">
        <v>-0.27</v>
      </c>
      <c r="E248" s="20">
        <v>0.04</v>
      </c>
      <c r="F248" s="20">
        <v>1664.47</v>
      </c>
      <c r="Q248" s="20">
        <v>24.7</v>
      </c>
      <c r="R248" s="20">
        <v>64.650000000000006</v>
      </c>
      <c r="S248" s="26">
        <v>65</v>
      </c>
      <c r="T248" s="20">
        <v>0.35</v>
      </c>
      <c r="U248" s="26">
        <v>0.99</v>
      </c>
      <c r="V248" s="26">
        <v>2147.9699999999998</v>
      </c>
    </row>
    <row r="249" spans="1:22" ht="16.8" x14ac:dyDescent="0.3">
      <c r="A249" s="20">
        <v>24.8</v>
      </c>
      <c r="B249" s="20">
        <v>65</v>
      </c>
      <c r="C249" s="26">
        <v>65.290000000000006</v>
      </c>
      <c r="D249" s="20">
        <v>-0.28999999999999998</v>
      </c>
      <c r="E249" s="20">
        <v>-0.02</v>
      </c>
      <c r="F249" s="26">
        <v>1653.64</v>
      </c>
      <c r="Q249" s="20">
        <v>24.8</v>
      </c>
      <c r="R249" s="20">
        <v>65.62</v>
      </c>
      <c r="S249" s="26">
        <v>65</v>
      </c>
      <c r="T249" s="26">
        <v>-0.62</v>
      </c>
      <c r="U249" s="26">
        <v>-0.98</v>
      </c>
      <c r="V249" s="20">
        <v>699.97</v>
      </c>
    </row>
    <row r="250" spans="1:22" ht="16.8" x14ac:dyDescent="0.3">
      <c r="A250" s="20">
        <v>24.9</v>
      </c>
      <c r="B250" s="20">
        <v>65</v>
      </c>
      <c r="C250" s="20">
        <v>65.319999999999993</v>
      </c>
      <c r="D250" s="20">
        <v>-0.32</v>
      </c>
      <c r="E250" s="20">
        <v>-0.03</v>
      </c>
      <c r="F250" s="20">
        <v>1637.99</v>
      </c>
      <c r="Q250" s="20">
        <v>24.9</v>
      </c>
      <c r="R250" s="20">
        <v>64.69</v>
      </c>
      <c r="S250" s="26">
        <v>65</v>
      </c>
      <c r="T250" s="26">
        <v>0.31</v>
      </c>
      <c r="U250" s="26">
        <v>0.93</v>
      </c>
      <c r="V250" s="26">
        <v>2103.75</v>
      </c>
    </row>
    <row r="251" spans="1:22" ht="16.8" x14ac:dyDescent="0.3">
      <c r="A251" s="20">
        <v>25</v>
      </c>
      <c r="B251" s="20">
        <v>65</v>
      </c>
      <c r="C251" s="26">
        <v>65.34</v>
      </c>
      <c r="D251" s="20">
        <v>-0.34</v>
      </c>
      <c r="E251" s="20">
        <v>-0.02</v>
      </c>
      <c r="F251" s="26">
        <v>1628.6</v>
      </c>
      <c r="Q251" s="20">
        <v>25</v>
      </c>
      <c r="R251" s="20">
        <v>65.62</v>
      </c>
      <c r="S251" s="26">
        <v>65</v>
      </c>
      <c r="T251" s="26">
        <v>-0.62</v>
      </c>
      <c r="U251" s="26">
        <v>-0.93</v>
      </c>
      <c r="V251" s="20">
        <v>725.64</v>
      </c>
    </row>
    <row r="252" spans="1:22" ht="16.8" x14ac:dyDescent="0.3">
      <c r="A252" s="20">
        <v>25.1</v>
      </c>
      <c r="B252" s="20">
        <v>65</v>
      </c>
      <c r="C252" s="26">
        <v>65.349999999999994</v>
      </c>
      <c r="D252" s="20">
        <v>-0.35</v>
      </c>
      <c r="E252" s="20">
        <v>-0.01</v>
      </c>
      <c r="F252" s="26">
        <v>1621.32</v>
      </c>
      <c r="Q252" s="20">
        <v>25.1</v>
      </c>
      <c r="R252" s="20">
        <v>64.69</v>
      </c>
      <c r="S252" s="26">
        <v>65</v>
      </c>
      <c r="T252" s="26">
        <v>0.31</v>
      </c>
      <c r="U252" s="26">
        <v>0.93</v>
      </c>
      <c r="V252" s="26">
        <v>2102.9899999999998</v>
      </c>
    </row>
    <row r="253" spans="1:22" ht="16.8" x14ac:dyDescent="0.3">
      <c r="A253" s="20">
        <v>25.2</v>
      </c>
      <c r="B253" s="20">
        <v>65</v>
      </c>
      <c r="C253" s="20">
        <v>65.31</v>
      </c>
      <c r="D253" s="20">
        <v>-0.31</v>
      </c>
      <c r="E253" s="20">
        <v>0.04</v>
      </c>
      <c r="F253" s="20">
        <v>1647.01</v>
      </c>
      <c r="Q253" s="20">
        <v>25.2</v>
      </c>
      <c r="R253" s="20">
        <v>65.64</v>
      </c>
      <c r="S253" s="20">
        <v>65</v>
      </c>
      <c r="T253" s="26">
        <v>-0.64</v>
      </c>
      <c r="U253" s="26">
        <v>-0.95</v>
      </c>
      <c r="V253" s="20">
        <v>711.69</v>
      </c>
    </row>
    <row r="254" spans="1:22" ht="16.8" x14ac:dyDescent="0.3">
      <c r="A254" s="20">
        <v>25.3</v>
      </c>
      <c r="B254" s="20">
        <v>65</v>
      </c>
      <c r="C254" s="26">
        <v>65.290000000000006</v>
      </c>
      <c r="D254" s="20">
        <v>-0.28999999999999998</v>
      </c>
      <c r="E254" s="20">
        <v>0.02</v>
      </c>
      <c r="F254" s="26">
        <v>1655.84</v>
      </c>
      <c r="Q254" s="20">
        <v>25.3</v>
      </c>
      <c r="R254" s="20">
        <v>64.709999999999994</v>
      </c>
      <c r="S254" s="26">
        <v>65</v>
      </c>
      <c r="T254" s="26">
        <v>0.28999999999999998</v>
      </c>
      <c r="U254" s="26">
        <v>0.93</v>
      </c>
      <c r="V254" s="20">
        <v>2092.9699999999998</v>
      </c>
    </row>
    <row r="255" spans="1:22" ht="16.8" x14ac:dyDescent="0.3">
      <c r="A255" s="20">
        <v>25.4</v>
      </c>
      <c r="B255" s="20">
        <v>65</v>
      </c>
      <c r="C255" s="20">
        <v>65.36</v>
      </c>
      <c r="D255" s="20">
        <v>-0.36</v>
      </c>
      <c r="E255" s="20">
        <v>-7.0000000000000007E-2</v>
      </c>
      <c r="F255" s="20">
        <v>1613.93</v>
      </c>
      <c r="Q255" s="20">
        <v>25.4</v>
      </c>
      <c r="R255" s="20">
        <v>65.650000000000006</v>
      </c>
      <c r="S255" s="26">
        <v>65</v>
      </c>
      <c r="T255" s="26">
        <v>-0.65</v>
      </c>
      <c r="U255" s="26">
        <v>-0.93</v>
      </c>
      <c r="V255" s="26">
        <v>720.1</v>
      </c>
    </row>
    <row r="256" spans="1:22" ht="16.8" x14ac:dyDescent="0.3">
      <c r="A256" s="20">
        <v>25.5</v>
      </c>
      <c r="B256" s="20">
        <v>65</v>
      </c>
      <c r="C256" s="26">
        <v>65.31</v>
      </c>
      <c r="D256" s="20">
        <v>-0.31</v>
      </c>
      <c r="E256" s="20">
        <v>0.05</v>
      </c>
      <c r="F256" s="26">
        <v>1642.54</v>
      </c>
      <c r="Q256" s="20">
        <v>25.5</v>
      </c>
      <c r="R256" s="20">
        <v>64.7</v>
      </c>
      <c r="S256" s="26">
        <v>65</v>
      </c>
      <c r="T256" s="26">
        <v>0.3</v>
      </c>
      <c r="U256" s="26">
        <v>0.95</v>
      </c>
      <c r="V256" s="20">
        <v>2110.58</v>
      </c>
    </row>
    <row r="257" spans="1:22" ht="16.8" x14ac:dyDescent="0.3">
      <c r="A257" s="20">
        <v>25.6</v>
      </c>
      <c r="B257" s="20">
        <v>65</v>
      </c>
      <c r="C257" s="26">
        <v>65.31</v>
      </c>
      <c r="D257" s="20">
        <v>-0.31</v>
      </c>
      <c r="E257" s="20">
        <v>0.01</v>
      </c>
      <c r="F257" s="26">
        <v>1647.01</v>
      </c>
      <c r="Q257" s="20">
        <v>25.6</v>
      </c>
      <c r="R257" s="20">
        <v>65.63</v>
      </c>
      <c r="S257" s="26">
        <v>65</v>
      </c>
      <c r="T257" s="26">
        <v>-0.63</v>
      </c>
      <c r="U257" s="26">
        <v>-0.93</v>
      </c>
      <c r="V257" s="26">
        <v>721.89</v>
      </c>
    </row>
    <row r="258" spans="1:22" ht="16.8" x14ac:dyDescent="0.3">
      <c r="A258" s="20">
        <v>25.7</v>
      </c>
      <c r="B258" s="20">
        <v>65</v>
      </c>
      <c r="C258" s="20">
        <v>65.31</v>
      </c>
      <c r="D258" s="20">
        <v>-0.31</v>
      </c>
      <c r="E258" s="20">
        <v>0</v>
      </c>
      <c r="F258" s="20">
        <v>1644.79</v>
      </c>
      <c r="Q258" s="20">
        <v>25.7</v>
      </c>
      <c r="R258" s="20">
        <v>64.7</v>
      </c>
      <c r="S258" s="26">
        <v>65</v>
      </c>
      <c r="T258" s="26">
        <v>0.3</v>
      </c>
      <c r="U258" s="26">
        <v>0.93</v>
      </c>
      <c r="V258" s="20">
        <v>2099.21</v>
      </c>
    </row>
    <row r="259" spans="1:22" ht="16.8" x14ac:dyDescent="0.3">
      <c r="A259" s="20">
        <v>25.8</v>
      </c>
      <c r="B259" s="20">
        <v>65</v>
      </c>
      <c r="C259" s="26">
        <v>65.34</v>
      </c>
      <c r="D259" s="20">
        <v>-0.34</v>
      </c>
      <c r="E259" s="20">
        <v>-0.03</v>
      </c>
      <c r="F259" s="26">
        <v>1626.18</v>
      </c>
      <c r="Q259" s="20">
        <v>25.8</v>
      </c>
      <c r="R259" s="20">
        <v>65.64</v>
      </c>
      <c r="S259" s="26">
        <v>65</v>
      </c>
      <c r="T259" s="26">
        <v>-0.64</v>
      </c>
      <c r="U259" s="26">
        <v>-0.94</v>
      </c>
      <c r="V259" s="26">
        <v>714.5</v>
      </c>
    </row>
    <row r="260" spans="1:22" ht="16.8" x14ac:dyDescent="0.3">
      <c r="A260" s="20">
        <v>25.9</v>
      </c>
      <c r="B260" s="20">
        <v>65</v>
      </c>
      <c r="C260" s="20">
        <v>65.349999999999994</v>
      </c>
      <c r="D260" s="20">
        <v>-0.35</v>
      </c>
      <c r="E260" s="20">
        <v>0</v>
      </c>
      <c r="F260" s="26">
        <v>1623.75</v>
      </c>
      <c r="Q260" s="20">
        <v>25.9</v>
      </c>
      <c r="R260" s="20">
        <v>64.64</v>
      </c>
      <c r="S260" s="26">
        <v>65</v>
      </c>
      <c r="T260" s="26">
        <v>0.36</v>
      </c>
      <c r="U260" s="26">
        <v>1</v>
      </c>
      <c r="V260" s="20">
        <v>2149.88</v>
      </c>
    </row>
    <row r="261" spans="1:22" ht="16.8" x14ac:dyDescent="0.3">
      <c r="A261" s="20">
        <v>26</v>
      </c>
      <c r="B261" s="20">
        <v>65</v>
      </c>
      <c r="C261" s="26">
        <v>65.319999999999993</v>
      </c>
      <c r="D261" s="20">
        <v>-0.32</v>
      </c>
      <c r="E261" s="20">
        <v>0.02</v>
      </c>
      <c r="F261" s="20">
        <v>1637.99</v>
      </c>
      <c r="Q261" s="20">
        <v>26</v>
      </c>
      <c r="R261" s="20">
        <v>65.64</v>
      </c>
      <c r="S261" s="26">
        <v>65</v>
      </c>
      <c r="T261" s="20">
        <v>-0.64</v>
      </c>
      <c r="U261" s="20">
        <v>-1</v>
      </c>
      <c r="V261" s="20">
        <v>676.82</v>
      </c>
    </row>
    <row r="262" spans="1:22" ht="16.8" x14ac:dyDescent="0.3">
      <c r="A262" s="20">
        <v>26.1</v>
      </c>
      <c r="B262" s="20">
        <v>65</v>
      </c>
      <c r="C262" s="26">
        <v>65.33</v>
      </c>
      <c r="D262" s="20">
        <v>-0.33</v>
      </c>
      <c r="E262" s="20">
        <v>-0.01</v>
      </c>
      <c r="F262" s="26">
        <v>1633.34</v>
      </c>
      <c r="Q262" s="20">
        <v>26.1</v>
      </c>
      <c r="R262" s="20">
        <v>64.69</v>
      </c>
      <c r="S262" s="26">
        <v>65</v>
      </c>
      <c r="T262" s="26">
        <v>0.31</v>
      </c>
      <c r="U262" s="26">
        <v>0.95</v>
      </c>
      <c r="V262" s="26">
        <v>2109.61</v>
      </c>
    </row>
    <row r="263" spans="1:22" ht="16.8" x14ac:dyDescent="0.3">
      <c r="A263" s="20">
        <v>26.2</v>
      </c>
      <c r="B263" s="20">
        <v>65</v>
      </c>
      <c r="C263" s="20">
        <v>65.290000000000006</v>
      </c>
      <c r="D263" s="20">
        <v>-0.28999999999999998</v>
      </c>
      <c r="E263" s="20">
        <v>0.04</v>
      </c>
      <c r="F263" s="20">
        <v>1655.84</v>
      </c>
      <c r="Q263" s="20">
        <v>26.2</v>
      </c>
      <c r="R263" s="20">
        <v>65.62</v>
      </c>
      <c r="S263" s="26">
        <v>65</v>
      </c>
      <c r="T263" s="20">
        <v>-0.62</v>
      </c>
      <c r="U263" s="26">
        <v>-0.93</v>
      </c>
      <c r="V263" s="20">
        <v>720.93</v>
      </c>
    </row>
    <row r="264" spans="1:22" ht="16.8" x14ac:dyDescent="0.3">
      <c r="A264" s="20">
        <v>26.3</v>
      </c>
      <c r="B264" s="20">
        <v>65</v>
      </c>
      <c r="C264" s="26">
        <v>65.33</v>
      </c>
      <c r="D264" s="20">
        <v>-0.33</v>
      </c>
      <c r="E264" s="20">
        <v>-0.04</v>
      </c>
      <c r="F264" s="26">
        <v>1633.34</v>
      </c>
      <c r="Q264" s="20">
        <v>26.3</v>
      </c>
      <c r="R264" s="20">
        <v>64.72</v>
      </c>
      <c r="S264" s="26">
        <v>65</v>
      </c>
      <c r="T264" s="26">
        <v>0.28000000000000003</v>
      </c>
      <c r="U264" s="26">
        <v>0.9</v>
      </c>
      <c r="V264" s="26">
        <v>2071.88</v>
      </c>
    </row>
    <row r="265" spans="1:22" ht="16.8" x14ac:dyDescent="0.3">
      <c r="A265" s="20">
        <v>26.4</v>
      </c>
      <c r="B265" s="20">
        <v>65</v>
      </c>
      <c r="C265" s="20">
        <v>65.349999999999994</v>
      </c>
      <c r="D265" s="20">
        <v>-0.35</v>
      </c>
      <c r="E265" s="20">
        <v>-0.02</v>
      </c>
      <c r="F265" s="20">
        <v>1621.32</v>
      </c>
      <c r="Q265" s="20">
        <v>26.4</v>
      </c>
      <c r="R265" s="20">
        <v>65.02</v>
      </c>
      <c r="S265" s="26">
        <v>65</v>
      </c>
      <c r="T265" s="26">
        <v>-0.02</v>
      </c>
      <c r="U265" s="26">
        <v>-0.3</v>
      </c>
      <c r="V265" s="20">
        <v>1236.24</v>
      </c>
    </row>
    <row r="266" spans="1:22" ht="16.8" x14ac:dyDescent="0.3">
      <c r="A266" s="20">
        <v>26.5</v>
      </c>
      <c r="B266" s="20">
        <v>65</v>
      </c>
      <c r="C266" s="26">
        <v>65.36</v>
      </c>
      <c r="D266" s="20">
        <v>-0.36</v>
      </c>
      <c r="E266" s="20">
        <v>-0.01</v>
      </c>
      <c r="F266" s="26">
        <v>1613.93</v>
      </c>
      <c r="Q266" s="20">
        <v>26.5</v>
      </c>
      <c r="R266" s="20">
        <v>64.7</v>
      </c>
      <c r="S266" s="26">
        <v>65</v>
      </c>
      <c r="T266" s="26">
        <v>0.3</v>
      </c>
      <c r="U266" s="26">
        <v>0.32</v>
      </c>
      <c r="V266" s="26">
        <v>1695.81</v>
      </c>
    </row>
    <row r="267" spans="1:22" ht="16.8" x14ac:dyDescent="0.3">
      <c r="A267" s="20">
        <v>26.6</v>
      </c>
      <c r="B267" s="20">
        <v>65</v>
      </c>
      <c r="C267" s="26">
        <v>65.290000000000006</v>
      </c>
      <c r="D267" s="20">
        <v>-0.28999999999999998</v>
      </c>
      <c r="E267" s="20">
        <v>0.08</v>
      </c>
      <c r="F267" s="26">
        <v>1658.02</v>
      </c>
      <c r="Q267" s="20">
        <v>26.6</v>
      </c>
      <c r="R267" s="20">
        <v>64.69</v>
      </c>
      <c r="S267" s="26">
        <v>65</v>
      </c>
      <c r="T267" s="26">
        <v>0.31</v>
      </c>
      <c r="U267" s="26">
        <v>0.01</v>
      </c>
      <c r="V267" s="20">
        <v>1491.68</v>
      </c>
    </row>
    <row r="268" spans="1:22" ht="16.8" x14ac:dyDescent="0.3">
      <c r="A268" s="20">
        <v>26.7</v>
      </c>
      <c r="B268" s="20">
        <v>65</v>
      </c>
      <c r="C268" s="20">
        <v>65.33</v>
      </c>
      <c r="D268" s="20">
        <v>-0.33</v>
      </c>
      <c r="E268" s="20">
        <v>-0.05</v>
      </c>
      <c r="F268" s="20">
        <v>1630.98</v>
      </c>
      <c r="Q268" s="20">
        <v>26.7</v>
      </c>
      <c r="R268" s="20">
        <v>64.67</v>
      </c>
      <c r="S268" s="26">
        <v>65</v>
      </c>
      <c r="T268" s="26">
        <v>0.33</v>
      </c>
      <c r="U268" s="20">
        <v>0.02</v>
      </c>
      <c r="V268" s="26">
        <v>1500.33</v>
      </c>
    </row>
    <row r="269" spans="1:22" ht="16.8" x14ac:dyDescent="0.3">
      <c r="A269" s="20">
        <v>26.8</v>
      </c>
      <c r="B269" s="20">
        <v>65</v>
      </c>
      <c r="C269" s="26">
        <v>65.34</v>
      </c>
      <c r="D269" s="20">
        <v>-0.34</v>
      </c>
      <c r="E269" s="20">
        <v>-0.01</v>
      </c>
      <c r="F269" s="26">
        <v>1626.18</v>
      </c>
      <c r="Q269" s="20">
        <v>26.8</v>
      </c>
      <c r="R269" s="20">
        <v>64.709999999999994</v>
      </c>
      <c r="S269" s="26">
        <v>65</v>
      </c>
      <c r="T269" s="26">
        <v>0.28999999999999998</v>
      </c>
      <c r="U269" s="26">
        <v>-0.03</v>
      </c>
      <c r="V269" s="20">
        <v>1464.14</v>
      </c>
    </row>
    <row r="270" spans="1:22" ht="16.8" x14ac:dyDescent="0.3">
      <c r="A270" s="20">
        <v>26.9</v>
      </c>
      <c r="B270" s="20">
        <v>65</v>
      </c>
      <c r="C270" s="26">
        <v>65.319999999999993</v>
      </c>
      <c r="D270" s="20">
        <v>-0.32</v>
      </c>
      <c r="E270" s="20">
        <v>0.02</v>
      </c>
      <c r="F270" s="26">
        <v>1637.99</v>
      </c>
      <c r="Q270" s="20">
        <v>26.9</v>
      </c>
      <c r="R270" s="20">
        <v>64.67</v>
      </c>
      <c r="S270" s="26">
        <v>65</v>
      </c>
      <c r="T270" s="26">
        <v>0.33</v>
      </c>
      <c r="U270" s="20">
        <v>0.04</v>
      </c>
      <c r="V270" s="20">
        <v>1518.99</v>
      </c>
    </row>
    <row r="271" spans="1:22" ht="16.8" x14ac:dyDescent="0.3">
      <c r="A271" s="20">
        <v>27</v>
      </c>
      <c r="B271" s="20">
        <v>65</v>
      </c>
      <c r="C271" s="20">
        <v>65.28</v>
      </c>
      <c r="D271" s="20">
        <v>-0.28000000000000003</v>
      </c>
      <c r="E271" s="20">
        <v>0.04</v>
      </c>
      <c r="F271" s="20">
        <v>1660.19</v>
      </c>
      <c r="Q271" s="20">
        <v>27</v>
      </c>
      <c r="R271" s="20">
        <v>64.72</v>
      </c>
      <c r="S271" s="26">
        <v>65</v>
      </c>
      <c r="T271" s="26">
        <v>0.28000000000000003</v>
      </c>
      <c r="U271" s="26">
        <v>-0.06</v>
      </c>
      <c r="V271" s="26">
        <v>1447.16</v>
      </c>
    </row>
    <row r="272" spans="1:22" ht="16.8" x14ac:dyDescent="0.3">
      <c r="A272" s="20">
        <v>27.1</v>
      </c>
      <c r="B272" s="20">
        <v>65</v>
      </c>
      <c r="C272" s="26">
        <v>65.27</v>
      </c>
      <c r="D272" s="20">
        <v>-0.27</v>
      </c>
      <c r="E272" s="20">
        <v>0.01</v>
      </c>
      <c r="F272" s="26">
        <v>1666.57</v>
      </c>
      <c r="Q272" s="20">
        <v>27.1</v>
      </c>
      <c r="R272" s="20">
        <v>64.709999999999994</v>
      </c>
      <c r="S272" s="26">
        <v>65</v>
      </c>
      <c r="T272" s="26">
        <v>0.28999999999999998</v>
      </c>
      <c r="U272" s="26">
        <v>0.02</v>
      </c>
      <c r="V272" s="20">
        <v>1498.03</v>
      </c>
    </row>
    <row r="273" spans="1:22" ht="16.8" x14ac:dyDescent="0.3">
      <c r="A273" s="20">
        <v>27.2</v>
      </c>
      <c r="B273" s="20">
        <v>65</v>
      </c>
      <c r="C273" s="26">
        <v>65.27</v>
      </c>
      <c r="D273" s="20">
        <v>-0.27</v>
      </c>
      <c r="E273" s="20">
        <v>0</v>
      </c>
      <c r="F273" s="20">
        <v>1666.57</v>
      </c>
      <c r="Q273" s="20">
        <v>27.2</v>
      </c>
      <c r="R273" s="20">
        <v>64.72</v>
      </c>
      <c r="S273" s="26">
        <v>65</v>
      </c>
      <c r="T273" s="26">
        <v>0.28000000000000003</v>
      </c>
      <c r="U273" s="26">
        <v>-0.02</v>
      </c>
      <c r="V273" s="26">
        <v>1474.96</v>
      </c>
    </row>
    <row r="274" spans="1:22" ht="16.8" x14ac:dyDescent="0.3">
      <c r="A274" s="20">
        <v>27.3</v>
      </c>
      <c r="B274" s="20">
        <v>65</v>
      </c>
      <c r="C274" s="20">
        <v>65.27</v>
      </c>
      <c r="D274" s="20">
        <v>-0.27</v>
      </c>
      <c r="E274" s="20">
        <v>0</v>
      </c>
      <c r="F274" s="26">
        <v>1668.68</v>
      </c>
      <c r="Q274" s="20">
        <v>27.3</v>
      </c>
      <c r="R274" s="20">
        <v>64.73</v>
      </c>
      <c r="S274" s="26">
        <v>65</v>
      </c>
      <c r="T274" s="26">
        <v>0.27</v>
      </c>
      <c r="U274" s="26">
        <v>-0.01</v>
      </c>
      <c r="V274" s="20">
        <v>1479.6</v>
      </c>
    </row>
    <row r="275" spans="1:22" ht="16.8" x14ac:dyDescent="0.3">
      <c r="A275" s="20">
        <v>27.4</v>
      </c>
      <c r="B275" s="20">
        <v>65</v>
      </c>
      <c r="C275" s="26">
        <v>65.31</v>
      </c>
      <c r="D275" s="20">
        <v>-0.31</v>
      </c>
      <c r="E275" s="20">
        <v>-0.04</v>
      </c>
      <c r="F275" s="26">
        <v>1644.79</v>
      </c>
      <c r="Q275" s="20">
        <v>27.4</v>
      </c>
      <c r="R275" s="20">
        <v>64.75</v>
      </c>
      <c r="S275" s="26">
        <v>65</v>
      </c>
      <c r="T275" s="26">
        <v>0.25</v>
      </c>
      <c r="U275" s="26">
        <v>-0.02</v>
      </c>
      <c r="V275" s="26">
        <v>1465.73</v>
      </c>
    </row>
    <row r="276" spans="1:22" ht="16.8" x14ac:dyDescent="0.3">
      <c r="A276" s="20">
        <v>27.5</v>
      </c>
      <c r="B276" s="20">
        <v>65</v>
      </c>
      <c r="C276" s="20">
        <v>65.290000000000006</v>
      </c>
      <c r="D276" s="20">
        <v>-0.28999999999999998</v>
      </c>
      <c r="E276" s="20">
        <v>0.02</v>
      </c>
      <c r="F276" s="20">
        <v>1658.02</v>
      </c>
      <c r="Q276" s="20">
        <v>27.5</v>
      </c>
      <c r="R276" s="20">
        <v>64.75</v>
      </c>
      <c r="S276" s="26">
        <v>65</v>
      </c>
      <c r="T276" s="20">
        <v>0.25</v>
      </c>
      <c r="U276" s="26">
        <v>0.01</v>
      </c>
      <c r="V276" s="20">
        <v>1488.78</v>
      </c>
    </row>
    <row r="277" spans="1:22" ht="16.8" x14ac:dyDescent="0.3">
      <c r="A277" s="20">
        <v>27.6</v>
      </c>
      <c r="B277" s="20">
        <v>65</v>
      </c>
      <c r="C277" s="26">
        <v>65.31</v>
      </c>
      <c r="D277" s="20">
        <v>-0.31</v>
      </c>
      <c r="E277" s="20">
        <v>-0.02</v>
      </c>
      <c r="F277" s="26">
        <v>1647.01</v>
      </c>
      <c r="Q277" s="20">
        <v>27.6</v>
      </c>
      <c r="R277" s="20">
        <v>64.739999999999995</v>
      </c>
      <c r="S277" s="26">
        <v>65</v>
      </c>
      <c r="T277" s="26">
        <v>0.26</v>
      </c>
      <c r="U277" s="26">
        <v>0.01</v>
      </c>
      <c r="V277" s="26">
        <v>1490.7</v>
      </c>
    </row>
    <row r="278" spans="1:22" ht="16.8" x14ac:dyDescent="0.3">
      <c r="A278" s="20">
        <v>27.7</v>
      </c>
      <c r="B278" s="20">
        <v>65</v>
      </c>
      <c r="C278" s="26">
        <v>65.23</v>
      </c>
      <c r="D278" s="20">
        <v>-0.23</v>
      </c>
      <c r="E278" s="20">
        <v>7.0000000000000007E-2</v>
      </c>
      <c r="F278" s="26">
        <v>1685.16</v>
      </c>
      <c r="Q278" s="20">
        <v>27.7</v>
      </c>
      <c r="R278" s="20">
        <v>64.81</v>
      </c>
      <c r="S278" s="26">
        <v>65</v>
      </c>
      <c r="T278" s="26">
        <v>0.19</v>
      </c>
      <c r="U278" s="26">
        <v>-7.0000000000000007E-2</v>
      </c>
      <c r="V278" s="20">
        <v>1426.64</v>
      </c>
    </row>
    <row r="279" spans="1:22" ht="16.8" x14ac:dyDescent="0.3">
      <c r="A279" s="20">
        <v>27.8</v>
      </c>
      <c r="B279" s="20">
        <v>65</v>
      </c>
      <c r="C279" s="20">
        <v>65.28</v>
      </c>
      <c r="D279" s="20">
        <v>-0.28000000000000003</v>
      </c>
      <c r="E279" s="20">
        <v>-0.05</v>
      </c>
      <c r="F279" s="20">
        <v>1660.19</v>
      </c>
      <c r="Q279" s="20">
        <v>27.8</v>
      </c>
      <c r="R279" s="20">
        <v>64.819999999999993</v>
      </c>
      <c r="S279" s="20">
        <v>65</v>
      </c>
      <c r="T279" s="26">
        <v>0.18</v>
      </c>
      <c r="U279" s="26">
        <v>-0.01</v>
      </c>
      <c r="V279" s="20">
        <v>1468.07</v>
      </c>
    </row>
    <row r="280" spans="1:22" ht="16.8" x14ac:dyDescent="0.3">
      <c r="A280" s="20">
        <v>27.9</v>
      </c>
      <c r="B280" s="20">
        <v>65</v>
      </c>
      <c r="C280" s="26">
        <v>65.290000000000006</v>
      </c>
      <c r="D280" s="20">
        <v>-0.28999999999999998</v>
      </c>
      <c r="E280" s="20">
        <v>-0.01</v>
      </c>
      <c r="F280" s="26">
        <v>1655.84</v>
      </c>
      <c r="Q280" s="20">
        <v>27.9</v>
      </c>
      <c r="R280" s="20">
        <v>64.84</v>
      </c>
      <c r="S280" s="26">
        <v>65</v>
      </c>
      <c r="T280" s="26">
        <v>0.16</v>
      </c>
      <c r="U280" s="26">
        <v>-0.02</v>
      </c>
      <c r="V280" s="26">
        <v>1454</v>
      </c>
    </row>
    <row r="281" spans="1:22" ht="16.8" x14ac:dyDescent="0.3">
      <c r="A281" s="20">
        <v>28</v>
      </c>
      <c r="B281" s="20">
        <v>65</v>
      </c>
      <c r="C281" s="26">
        <v>65.31</v>
      </c>
      <c r="D281" s="20">
        <v>-0.31</v>
      </c>
      <c r="E281" s="20">
        <v>-0.02</v>
      </c>
      <c r="F281" s="20">
        <v>1647.01</v>
      </c>
      <c r="Q281" s="20">
        <v>28</v>
      </c>
      <c r="R281" s="20">
        <v>64.86</v>
      </c>
      <c r="S281" s="26">
        <v>65</v>
      </c>
      <c r="T281" s="20">
        <v>0.14000000000000001</v>
      </c>
      <c r="U281" s="20">
        <v>-0.02</v>
      </c>
      <c r="V281" s="20">
        <v>1457.02</v>
      </c>
    </row>
    <row r="282" spans="1:22" ht="16.8" x14ac:dyDescent="0.3">
      <c r="A282" s="20">
        <v>28.1</v>
      </c>
      <c r="B282" s="20">
        <v>65</v>
      </c>
      <c r="C282" s="20">
        <v>65.27</v>
      </c>
      <c r="D282" s="20">
        <v>-0.27</v>
      </c>
      <c r="E282" s="20">
        <v>0.03</v>
      </c>
      <c r="F282" s="26">
        <v>1664.47</v>
      </c>
      <c r="Q282" s="20">
        <v>28.1</v>
      </c>
      <c r="R282" s="20">
        <v>64.819999999999993</v>
      </c>
      <c r="S282" s="26">
        <v>65</v>
      </c>
      <c r="T282" s="26">
        <v>0.18</v>
      </c>
      <c r="U282" s="26">
        <v>0.04</v>
      </c>
      <c r="V282" s="26">
        <v>1500.94</v>
      </c>
    </row>
    <row r="283" spans="1:22" ht="16.8" x14ac:dyDescent="0.3">
      <c r="A283" s="20">
        <v>28.2</v>
      </c>
      <c r="B283" s="20">
        <v>65</v>
      </c>
      <c r="C283" s="26">
        <v>65.290000000000006</v>
      </c>
      <c r="D283" s="20">
        <v>-0.28999999999999998</v>
      </c>
      <c r="E283" s="20">
        <v>-0.01</v>
      </c>
      <c r="F283" s="26">
        <v>1658.02</v>
      </c>
      <c r="Q283" s="20">
        <v>28.2</v>
      </c>
      <c r="R283" s="20">
        <v>64.83</v>
      </c>
      <c r="S283" s="26">
        <v>65</v>
      </c>
      <c r="T283" s="20">
        <v>0.17</v>
      </c>
      <c r="U283" s="26">
        <v>-0.01</v>
      </c>
      <c r="V283" s="20">
        <v>1468.34</v>
      </c>
    </row>
    <row r="284" spans="1:22" ht="16.8" x14ac:dyDescent="0.3">
      <c r="A284" s="20">
        <v>28.3</v>
      </c>
      <c r="B284" s="20">
        <v>65</v>
      </c>
      <c r="C284" s="20">
        <v>65.260000000000005</v>
      </c>
      <c r="D284" s="20">
        <v>-0.26</v>
      </c>
      <c r="E284" s="20">
        <v>0.03</v>
      </c>
      <c r="F284" s="20">
        <v>1672.81</v>
      </c>
      <c r="Q284" s="20">
        <v>28.3</v>
      </c>
      <c r="R284" s="20">
        <v>64.84</v>
      </c>
      <c r="S284" s="26">
        <v>65</v>
      </c>
      <c r="T284" s="26">
        <v>0.16</v>
      </c>
      <c r="U284" s="26">
        <v>-0.01</v>
      </c>
      <c r="V284" s="26">
        <v>1467.45</v>
      </c>
    </row>
    <row r="285" spans="1:22" ht="16.8" x14ac:dyDescent="0.3">
      <c r="A285" s="20">
        <v>28.4</v>
      </c>
      <c r="B285" s="20">
        <v>65</v>
      </c>
      <c r="C285" s="26">
        <v>65.31</v>
      </c>
      <c r="D285" s="20">
        <v>-0.31</v>
      </c>
      <c r="E285" s="20">
        <v>-0.05</v>
      </c>
      <c r="F285" s="26">
        <v>1647.01</v>
      </c>
      <c r="Q285" s="20">
        <v>28.4</v>
      </c>
      <c r="R285" s="20">
        <v>64.88</v>
      </c>
      <c r="S285" s="26">
        <v>65</v>
      </c>
      <c r="T285" s="20">
        <v>0.12</v>
      </c>
      <c r="U285" s="26">
        <v>-0.04</v>
      </c>
      <c r="V285" s="20">
        <v>1440.12</v>
      </c>
    </row>
    <row r="286" spans="1:22" ht="16.8" x14ac:dyDescent="0.3">
      <c r="A286" s="20">
        <v>28.5</v>
      </c>
      <c r="B286" s="20">
        <v>65</v>
      </c>
      <c r="C286" s="26">
        <v>65.260000000000005</v>
      </c>
      <c r="D286" s="20">
        <v>-0.26</v>
      </c>
      <c r="E286" s="20">
        <v>0.04</v>
      </c>
      <c r="F286" s="20">
        <v>1670.75</v>
      </c>
      <c r="Q286" s="20">
        <v>28.5</v>
      </c>
      <c r="R286" s="20">
        <v>64.88</v>
      </c>
      <c r="S286" s="26">
        <v>65</v>
      </c>
      <c r="T286" s="26">
        <v>0.12</v>
      </c>
      <c r="U286" s="26">
        <v>-0.01</v>
      </c>
      <c r="V286" s="26">
        <v>1460.26</v>
      </c>
    </row>
    <row r="287" spans="1:22" ht="16.8" x14ac:dyDescent="0.3">
      <c r="A287" s="20">
        <v>28.6</v>
      </c>
      <c r="B287" s="20">
        <v>65</v>
      </c>
      <c r="C287" s="20">
        <v>65.31</v>
      </c>
      <c r="D287" s="20">
        <v>-0.31</v>
      </c>
      <c r="E287" s="20">
        <v>-0.05</v>
      </c>
      <c r="F287" s="26">
        <v>1642.54</v>
      </c>
      <c r="Q287" s="20">
        <v>28.6</v>
      </c>
      <c r="R287" s="20">
        <v>64.819999999999993</v>
      </c>
      <c r="S287" s="26">
        <v>65</v>
      </c>
      <c r="T287" s="20">
        <v>0.18</v>
      </c>
      <c r="U287" s="26">
        <v>0.06</v>
      </c>
      <c r="V287" s="20">
        <v>1518.62</v>
      </c>
    </row>
    <row r="288" spans="1:22" ht="16.8" x14ac:dyDescent="0.3">
      <c r="A288" s="20">
        <v>28.7</v>
      </c>
      <c r="B288" s="20">
        <v>65</v>
      </c>
      <c r="C288" s="26">
        <v>65.28</v>
      </c>
      <c r="D288" s="20">
        <v>-0.28000000000000003</v>
      </c>
      <c r="E288" s="20">
        <v>0.03</v>
      </c>
      <c r="F288" s="26">
        <v>1660.19</v>
      </c>
      <c r="Q288" s="20">
        <v>28.7</v>
      </c>
      <c r="R288" s="20">
        <v>64.84</v>
      </c>
      <c r="S288" s="26">
        <v>65</v>
      </c>
      <c r="T288" s="26">
        <v>0.16</v>
      </c>
      <c r="U288" s="26">
        <v>-0.02</v>
      </c>
      <c r="V288" s="26">
        <v>1456.97</v>
      </c>
    </row>
    <row r="289" spans="1:22" ht="16.8" x14ac:dyDescent="0.3">
      <c r="A289" s="20">
        <v>28.8</v>
      </c>
      <c r="B289" s="20">
        <v>65</v>
      </c>
      <c r="C289" s="26">
        <v>65.239999999999995</v>
      </c>
      <c r="D289" s="20">
        <v>-0.24</v>
      </c>
      <c r="E289" s="20">
        <v>0.04</v>
      </c>
      <c r="F289" s="20">
        <v>1683.11</v>
      </c>
      <c r="Q289" s="20">
        <v>28.8</v>
      </c>
      <c r="R289" s="20">
        <v>64.900000000000006</v>
      </c>
      <c r="S289" s="26">
        <v>65</v>
      </c>
      <c r="T289" s="26">
        <v>0.1</v>
      </c>
      <c r="U289" s="26">
        <v>-0.06</v>
      </c>
      <c r="V289" s="20">
        <v>1427</v>
      </c>
    </row>
    <row r="290" spans="1:22" ht="16.8" x14ac:dyDescent="0.3">
      <c r="A290" s="20">
        <v>28.9</v>
      </c>
      <c r="B290" s="20">
        <v>65</v>
      </c>
      <c r="C290" s="20">
        <v>65.290000000000006</v>
      </c>
      <c r="D290" s="20">
        <v>-0.28999999999999998</v>
      </c>
      <c r="E290" s="20">
        <v>-0.06</v>
      </c>
      <c r="F290" s="26">
        <v>1653.64</v>
      </c>
      <c r="Q290" s="20">
        <v>28.9</v>
      </c>
      <c r="R290" s="20">
        <v>64.900000000000006</v>
      </c>
      <c r="S290" s="26">
        <v>65</v>
      </c>
      <c r="T290" s="26">
        <v>0.1</v>
      </c>
      <c r="U290" s="26">
        <v>0</v>
      </c>
      <c r="V290" s="26">
        <v>1464.25</v>
      </c>
    </row>
    <row r="291" spans="1:22" ht="16.8" x14ac:dyDescent="0.3">
      <c r="A291" s="20">
        <v>29</v>
      </c>
      <c r="B291" s="20">
        <v>65</v>
      </c>
      <c r="C291" s="26">
        <v>65.23</v>
      </c>
      <c r="D291" s="20">
        <v>-0.23</v>
      </c>
      <c r="E291" s="20">
        <v>0.06</v>
      </c>
      <c r="F291" s="26">
        <v>1685.16</v>
      </c>
      <c r="Q291" s="20">
        <v>29</v>
      </c>
      <c r="R291" s="20">
        <v>64.91</v>
      </c>
      <c r="S291" s="26">
        <v>65</v>
      </c>
      <c r="T291" s="26">
        <v>0.09</v>
      </c>
      <c r="U291" s="26">
        <v>-0.01</v>
      </c>
      <c r="V291" s="20">
        <v>1457.89</v>
      </c>
    </row>
    <row r="292" spans="1:22" ht="16.8" x14ac:dyDescent="0.3">
      <c r="A292" s="20">
        <v>29.1</v>
      </c>
      <c r="B292" s="20">
        <v>65</v>
      </c>
      <c r="C292" s="20">
        <v>65.239999999999995</v>
      </c>
      <c r="D292" s="20">
        <v>-0.24</v>
      </c>
      <c r="E292" s="20">
        <v>0</v>
      </c>
      <c r="F292" s="20">
        <v>1683.11</v>
      </c>
      <c r="Q292" s="20">
        <v>29.1</v>
      </c>
      <c r="R292" s="20">
        <v>64.819999999999993</v>
      </c>
      <c r="S292" s="26">
        <v>65</v>
      </c>
      <c r="T292" s="20">
        <v>0.18</v>
      </c>
      <c r="U292" s="26">
        <v>0.09</v>
      </c>
      <c r="V292" s="20">
        <v>1535.99</v>
      </c>
    </row>
    <row r="293" spans="1:22" ht="16.8" x14ac:dyDescent="0.3">
      <c r="A293" s="20">
        <v>29.2</v>
      </c>
      <c r="B293" s="20">
        <v>65</v>
      </c>
      <c r="C293" s="26">
        <v>65.23</v>
      </c>
      <c r="D293" s="20">
        <v>-0.23</v>
      </c>
      <c r="E293" s="20">
        <v>0.01</v>
      </c>
      <c r="F293" s="26">
        <v>1689.19</v>
      </c>
      <c r="Q293" s="20">
        <v>29.2</v>
      </c>
      <c r="R293" s="20">
        <v>64.92</v>
      </c>
      <c r="S293" s="26">
        <v>65</v>
      </c>
      <c r="T293" s="26">
        <v>0.08</v>
      </c>
      <c r="U293" s="26">
        <v>-0.1</v>
      </c>
      <c r="V293" s="26">
        <v>1392.49</v>
      </c>
    </row>
    <row r="294" spans="1:22" ht="16.8" x14ac:dyDescent="0.3">
      <c r="A294" s="20">
        <v>29.3</v>
      </c>
      <c r="B294" s="20">
        <v>65</v>
      </c>
      <c r="C294" s="26">
        <v>65.23</v>
      </c>
      <c r="D294" s="20">
        <v>-0.23</v>
      </c>
      <c r="E294" s="20">
        <v>-0.01</v>
      </c>
      <c r="F294" s="20">
        <v>1685.16</v>
      </c>
      <c r="Q294" s="20">
        <v>29.3</v>
      </c>
      <c r="R294" s="20">
        <v>64.88</v>
      </c>
      <c r="S294" s="26">
        <v>65</v>
      </c>
      <c r="T294" s="26">
        <v>0.12</v>
      </c>
      <c r="U294" s="26">
        <v>0.04</v>
      </c>
      <c r="V294" s="20">
        <v>1494.38</v>
      </c>
    </row>
    <row r="295" spans="1:22" ht="16.8" x14ac:dyDescent="0.3">
      <c r="A295" s="20">
        <v>29.4</v>
      </c>
      <c r="B295" s="20">
        <v>65</v>
      </c>
      <c r="C295" s="20">
        <v>65.27</v>
      </c>
      <c r="D295" s="20">
        <v>-0.27</v>
      </c>
      <c r="E295" s="20">
        <v>-0.04</v>
      </c>
      <c r="F295" s="26">
        <v>1666.57</v>
      </c>
      <c r="Q295" s="20">
        <v>29.4</v>
      </c>
      <c r="R295" s="20">
        <v>64.89</v>
      </c>
      <c r="S295" s="26">
        <v>65</v>
      </c>
      <c r="T295" s="26">
        <v>0.11</v>
      </c>
      <c r="U295" s="26">
        <v>-0.01</v>
      </c>
      <c r="V295" s="26">
        <v>1461.63</v>
      </c>
    </row>
    <row r="296" spans="1:22" ht="16.8" x14ac:dyDescent="0.3">
      <c r="A296" s="20">
        <v>29.5</v>
      </c>
      <c r="B296" s="20">
        <v>65</v>
      </c>
      <c r="C296" s="26">
        <v>65.23</v>
      </c>
      <c r="D296" s="20">
        <v>-0.23</v>
      </c>
      <c r="E296" s="20">
        <v>0.04</v>
      </c>
      <c r="F296" s="20">
        <v>1689.19</v>
      </c>
      <c r="Q296" s="20">
        <v>29.5</v>
      </c>
      <c r="R296" s="20">
        <v>64.95</v>
      </c>
      <c r="S296" s="26">
        <v>65</v>
      </c>
      <c r="T296" s="26">
        <v>0.05</v>
      </c>
      <c r="U296" s="26">
        <v>-0.06</v>
      </c>
      <c r="V296" s="20">
        <v>1420.98</v>
      </c>
    </row>
    <row r="297" spans="1:22" ht="16.8" x14ac:dyDescent="0.3">
      <c r="A297" s="20">
        <v>29.6</v>
      </c>
      <c r="B297" s="20">
        <v>65</v>
      </c>
      <c r="C297" s="26">
        <v>65.2</v>
      </c>
      <c r="D297" s="20">
        <v>-0.2</v>
      </c>
      <c r="E297" s="20">
        <v>0.03</v>
      </c>
      <c r="F297" s="26">
        <v>1703.02</v>
      </c>
      <c r="Q297" s="20">
        <v>29.6</v>
      </c>
      <c r="R297" s="20">
        <v>64.959999999999994</v>
      </c>
      <c r="S297" s="26">
        <v>65</v>
      </c>
      <c r="T297" s="26">
        <v>0.04</v>
      </c>
      <c r="U297" s="26">
        <v>-0.01</v>
      </c>
      <c r="V297" s="26">
        <v>1451.51</v>
      </c>
    </row>
    <row r="298" spans="1:22" ht="16.8" x14ac:dyDescent="0.3">
      <c r="A298" s="20">
        <v>29.7</v>
      </c>
      <c r="B298" s="20">
        <v>65</v>
      </c>
      <c r="C298" s="20">
        <v>65.209999999999994</v>
      </c>
      <c r="D298" s="20">
        <v>-0.21</v>
      </c>
      <c r="E298" s="20">
        <v>-0.02</v>
      </c>
      <c r="F298" s="26">
        <v>1695.15</v>
      </c>
      <c r="Q298" s="20">
        <v>29.7</v>
      </c>
      <c r="R298" s="20">
        <v>64.959999999999994</v>
      </c>
      <c r="S298" s="26">
        <v>65</v>
      </c>
      <c r="T298" s="26">
        <v>0.04</v>
      </c>
      <c r="U298" s="26">
        <v>0</v>
      </c>
      <c r="V298" s="20">
        <v>1456.9</v>
      </c>
    </row>
    <row r="299" spans="1:22" ht="16.8" x14ac:dyDescent="0.3">
      <c r="A299" s="20">
        <v>29.8</v>
      </c>
      <c r="B299" s="20">
        <v>65</v>
      </c>
      <c r="C299" s="26">
        <v>65.28</v>
      </c>
      <c r="D299" s="20">
        <v>-0.28000000000000003</v>
      </c>
      <c r="E299" s="20">
        <v>-7.0000000000000007E-2</v>
      </c>
      <c r="F299" s="20">
        <v>1660.19</v>
      </c>
      <c r="Q299" s="20">
        <v>29.8</v>
      </c>
      <c r="R299" s="20">
        <v>64.959999999999994</v>
      </c>
      <c r="S299" s="26">
        <v>65</v>
      </c>
      <c r="T299" s="26">
        <v>0.04</v>
      </c>
      <c r="U299" s="26">
        <v>0</v>
      </c>
      <c r="V299" s="26">
        <v>1457.01</v>
      </c>
    </row>
    <row r="300" spans="1:22" ht="16.8" x14ac:dyDescent="0.3">
      <c r="A300" s="20">
        <v>29.9</v>
      </c>
      <c r="B300" s="20">
        <v>65</v>
      </c>
      <c r="C300" s="26">
        <v>65.209999999999994</v>
      </c>
      <c r="D300" s="20">
        <v>-0.21</v>
      </c>
      <c r="E300" s="20">
        <v>7.0000000000000007E-2</v>
      </c>
      <c r="F300" s="26">
        <v>1695.15</v>
      </c>
      <c r="Q300" s="20">
        <v>29.9</v>
      </c>
      <c r="R300" s="20">
        <v>64.94</v>
      </c>
      <c r="S300" s="26">
        <v>65</v>
      </c>
      <c r="T300" s="26">
        <v>0.06</v>
      </c>
      <c r="U300" s="26">
        <v>0.02</v>
      </c>
      <c r="V300" s="20">
        <v>1470.31</v>
      </c>
    </row>
    <row r="301" spans="1:22" ht="16.8" x14ac:dyDescent="0.3">
      <c r="A301" s="20">
        <v>30</v>
      </c>
      <c r="B301" s="20">
        <v>65</v>
      </c>
      <c r="C301" s="20">
        <v>65.28</v>
      </c>
      <c r="D301" s="20">
        <v>-0.28000000000000003</v>
      </c>
      <c r="E301" s="20">
        <v>-0.06</v>
      </c>
      <c r="F301" s="26">
        <v>1662.33</v>
      </c>
      <c r="Q301" s="20">
        <v>30</v>
      </c>
      <c r="R301" s="20">
        <v>64.97</v>
      </c>
      <c r="S301" s="26">
        <v>65</v>
      </c>
      <c r="T301" s="26">
        <v>0.03</v>
      </c>
      <c r="U301" s="26">
        <v>-0.03</v>
      </c>
      <c r="V301" s="20">
        <v>1433.49</v>
      </c>
    </row>
    <row r="302" spans="1:22" ht="16.8" x14ac:dyDescent="0.3">
      <c r="A302" s="20">
        <v>30.1</v>
      </c>
      <c r="B302" s="20">
        <v>65</v>
      </c>
      <c r="C302" s="26">
        <v>65.260000000000005</v>
      </c>
      <c r="D302" s="20">
        <v>-0.26</v>
      </c>
      <c r="E302" s="20">
        <v>0.02</v>
      </c>
      <c r="F302" s="20">
        <v>1672.81</v>
      </c>
      <c r="Q302" s="20">
        <v>30.1</v>
      </c>
      <c r="R302" s="20">
        <v>64.98</v>
      </c>
      <c r="S302" s="26">
        <v>65</v>
      </c>
      <c r="T302" s="26">
        <v>0.02</v>
      </c>
      <c r="U302" s="26">
        <v>-0.01</v>
      </c>
      <c r="V302" s="26">
        <v>1448.09</v>
      </c>
    </row>
    <row r="303" spans="1:22" ht="16.8" x14ac:dyDescent="0.3">
      <c r="A303" s="20">
        <v>30.2</v>
      </c>
      <c r="B303" s="20">
        <v>65</v>
      </c>
      <c r="C303" s="20">
        <v>65.23</v>
      </c>
      <c r="D303" s="20">
        <v>-0.23</v>
      </c>
      <c r="E303" s="20">
        <v>0.03</v>
      </c>
      <c r="F303" s="26">
        <v>1687.17</v>
      </c>
      <c r="Q303" s="20">
        <v>30.2</v>
      </c>
      <c r="R303" s="20">
        <v>65</v>
      </c>
      <c r="S303" s="26">
        <v>65</v>
      </c>
      <c r="T303" s="26">
        <v>0</v>
      </c>
      <c r="U303" s="26">
        <v>-0.02</v>
      </c>
      <c r="V303" s="20">
        <v>1440.23</v>
      </c>
    </row>
    <row r="304" spans="1:22" ht="16.8" x14ac:dyDescent="0.3">
      <c r="A304" s="20">
        <v>30.3</v>
      </c>
      <c r="B304" s="20">
        <v>65</v>
      </c>
      <c r="C304" s="26">
        <v>65.22</v>
      </c>
      <c r="D304" s="20">
        <v>-0.22</v>
      </c>
      <c r="E304" s="20">
        <v>0.01</v>
      </c>
      <c r="F304" s="20">
        <v>1691.18</v>
      </c>
      <c r="Q304" s="20">
        <v>30.3</v>
      </c>
      <c r="R304" s="20">
        <v>65</v>
      </c>
      <c r="S304" s="26">
        <v>65</v>
      </c>
      <c r="T304" s="26">
        <v>0</v>
      </c>
      <c r="U304" s="26">
        <v>0</v>
      </c>
      <c r="V304" s="26">
        <v>1450.81</v>
      </c>
    </row>
    <row r="305" spans="1:22" ht="16.8" x14ac:dyDescent="0.3">
      <c r="A305" s="20">
        <v>30.4</v>
      </c>
      <c r="B305" s="20">
        <v>65</v>
      </c>
      <c r="C305" s="26">
        <v>65.290000000000006</v>
      </c>
      <c r="D305" s="20">
        <v>-0.28999999999999998</v>
      </c>
      <c r="E305" s="20">
        <v>-0.06</v>
      </c>
      <c r="F305" s="26">
        <v>1658.02</v>
      </c>
      <c r="Q305" s="20">
        <v>30.4</v>
      </c>
      <c r="R305" s="20">
        <v>64.989999999999995</v>
      </c>
      <c r="S305" s="26">
        <v>65</v>
      </c>
      <c r="T305" s="26">
        <v>0.01</v>
      </c>
      <c r="U305" s="26">
        <v>0.01</v>
      </c>
      <c r="V305" s="20">
        <v>1457.42</v>
      </c>
    </row>
    <row r="306" spans="1:22" ht="16.8" x14ac:dyDescent="0.3">
      <c r="A306" s="20">
        <v>30.5</v>
      </c>
      <c r="B306" s="20">
        <v>65</v>
      </c>
      <c r="C306" s="20">
        <v>65.239999999999995</v>
      </c>
      <c r="D306" s="20">
        <v>-0.24</v>
      </c>
      <c r="E306" s="20">
        <v>0.05</v>
      </c>
      <c r="F306" s="26">
        <v>1683.11</v>
      </c>
      <c r="Q306" s="20">
        <v>30.5</v>
      </c>
      <c r="R306" s="20">
        <v>65</v>
      </c>
      <c r="S306" s="26">
        <v>65</v>
      </c>
      <c r="T306" s="26">
        <v>0</v>
      </c>
      <c r="U306" s="26">
        <v>-0.02</v>
      </c>
      <c r="V306" s="26">
        <v>1438.96</v>
      </c>
    </row>
    <row r="307" spans="1:22" ht="16.8" x14ac:dyDescent="0.3">
      <c r="A307" s="20">
        <v>30.6</v>
      </c>
      <c r="B307" s="20">
        <v>65</v>
      </c>
      <c r="C307" s="26">
        <v>65.27</v>
      </c>
      <c r="D307" s="20">
        <v>-0.27</v>
      </c>
      <c r="E307" s="20">
        <v>-0.03</v>
      </c>
      <c r="F307" s="20">
        <v>1668.68</v>
      </c>
      <c r="Q307" s="20">
        <v>30.6</v>
      </c>
      <c r="R307" s="20">
        <v>64.959999999999994</v>
      </c>
      <c r="S307" s="26">
        <v>65</v>
      </c>
      <c r="T307" s="20">
        <v>0.04</v>
      </c>
      <c r="U307" s="26">
        <v>0.05</v>
      </c>
      <c r="V307" s="20">
        <v>1489.13</v>
      </c>
    </row>
    <row r="308" spans="1:22" ht="16.8" x14ac:dyDescent="0.3">
      <c r="A308" s="20">
        <v>30.7</v>
      </c>
      <c r="B308" s="20">
        <v>65</v>
      </c>
      <c r="C308" s="26">
        <v>65.25</v>
      </c>
      <c r="D308" s="20">
        <v>-0.25</v>
      </c>
      <c r="E308" s="20">
        <v>0.01</v>
      </c>
      <c r="F308" s="26">
        <v>1674.86</v>
      </c>
      <c r="Q308" s="20">
        <v>30.7</v>
      </c>
      <c r="R308" s="20">
        <v>64.959999999999994</v>
      </c>
      <c r="S308" s="26">
        <v>65</v>
      </c>
      <c r="T308" s="26">
        <v>0.04</v>
      </c>
      <c r="U308" s="26">
        <v>-0.01</v>
      </c>
      <c r="V308" s="20">
        <v>1450.91</v>
      </c>
    </row>
    <row r="309" spans="1:22" ht="16.8" x14ac:dyDescent="0.3">
      <c r="A309" s="20">
        <v>30.8</v>
      </c>
      <c r="B309" s="20">
        <v>65</v>
      </c>
      <c r="C309" s="20">
        <v>65.27</v>
      </c>
      <c r="D309" s="20">
        <v>-0.27</v>
      </c>
      <c r="E309" s="20">
        <v>-0.01</v>
      </c>
      <c r="F309" s="20">
        <v>1668.68</v>
      </c>
      <c r="Q309" s="20">
        <v>30.8</v>
      </c>
      <c r="R309" s="20">
        <v>64.989999999999995</v>
      </c>
      <c r="S309" s="26">
        <v>65</v>
      </c>
      <c r="T309" s="26">
        <v>0.01</v>
      </c>
      <c r="U309" s="26">
        <v>-0.02</v>
      </c>
      <c r="V309" s="26">
        <v>1436.48</v>
      </c>
    </row>
    <row r="310" spans="1:22" ht="16.8" x14ac:dyDescent="0.3">
      <c r="A310" s="20">
        <v>30.9</v>
      </c>
      <c r="B310" s="20">
        <v>65</v>
      </c>
      <c r="C310" s="26">
        <v>65.36</v>
      </c>
      <c r="D310" s="20">
        <v>-0.36</v>
      </c>
      <c r="E310" s="20">
        <v>-0.09</v>
      </c>
      <c r="F310" s="26">
        <v>1616.43</v>
      </c>
      <c r="Q310" s="20">
        <v>30.9</v>
      </c>
      <c r="R310" s="20">
        <v>65</v>
      </c>
      <c r="S310" s="26">
        <v>65</v>
      </c>
      <c r="T310" s="26">
        <v>0</v>
      </c>
      <c r="U310" s="26">
        <v>-0.02</v>
      </c>
      <c r="V310" s="20">
        <v>1439.17</v>
      </c>
    </row>
    <row r="311" spans="1:22" ht="16.8" x14ac:dyDescent="0.3">
      <c r="A311" s="20">
        <v>31</v>
      </c>
      <c r="B311" s="20">
        <v>65</v>
      </c>
      <c r="C311" s="26">
        <v>65.290000000000006</v>
      </c>
      <c r="D311" s="20">
        <v>-0.28999999999999998</v>
      </c>
      <c r="E311" s="20">
        <v>0.06</v>
      </c>
      <c r="F311" s="26">
        <v>1653.64</v>
      </c>
      <c r="Q311" s="20">
        <v>31</v>
      </c>
      <c r="R311" s="20">
        <v>64.959999999999994</v>
      </c>
      <c r="S311" s="26">
        <v>65</v>
      </c>
      <c r="T311" s="26">
        <v>0.04</v>
      </c>
      <c r="U311" s="26">
        <v>0.04</v>
      </c>
      <c r="V311" s="26">
        <v>1482.74</v>
      </c>
    </row>
    <row r="312" spans="1:22" ht="16.8" x14ac:dyDescent="0.3">
      <c r="A312" s="20">
        <v>31.1</v>
      </c>
      <c r="B312" s="20">
        <v>65</v>
      </c>
      <c r="C312" s="20">
        <v>65.27</v>
      </c>
      <c r="D312" s="20">
        <v>-0.27</v>
      </c>
      <c r="E312" s="20">
        <v>0.02</v>
      </c>
      <c r="F312" s="20">
        <v>1664.47</v>
      </c>
      <c r="Q312" s="20">
        <v>31.1</v>
      </c>
      <c r="R312" s="20">
        <v>64.989999999999995</v>
      </c>
      <c r="S312" s="26">
        <v>65</v>
      </c>
      <c r="T312" s="20">
        <v>0.01</v>
      </c>
      <c r="U312" s="26">
        <v>-0.02</v>
      </c>
      <c r="V312" s="20">
        <v>1436.58</v>
      </c>
    </row>
    <row r="313" spans="1:22" ht="16.8" x14ac:dyDescent="0.3">
      <c r="A313" s="20">
        <v>31.2</v>
      </c>
      <c r="B313" s="20">
        <v>65</v>
      </c>
      <c r="C313" s="26">
        <v>65.31</v>
      </c>
      <c r="D313" s="20">
        <v>-0.31</v>
      </c>
      <c r="E313" s="20">
        <v>-0.04</v>
      </c>
      <c r="F313" s="26">
        <v>1642.54</v>
      </c>
      <c r="Q313" s="20">
        <v>31.2</v>
      </c>
      <c r="R313" s="20">
        <v>64.98</v>
      </c>
      <c r="S313" s="26">
        <v>65</v>
      </c>
      <c r="T313" s="26">
        <v>0.02</v>
      </c>
      <c r="U313" s="26">
        <v>0.01</v>
      </c>
      <c r="V313" s="26">
        <v>1459.07</v>
      </c>
    </row>
    <row r="314" spans="1:22" ht="16.8" x14ac:dyDescent="0.3">
      <c r="A314" s="20">
        <v>31.3</v>
      </c>
      <c r="B314" s="20">
        <v>65</v>
      </c>
      <c r="C314" s="20">
        <v>65.28</v>
      </c>
      <c r="D314" s="20">
        <v>-0.28000000000000003</v>
      </c>
      <c r="E314" s="20">
        <v>0.04</v>
      </c>
      <c r="F314" s="26">
        <v>1662.33</v>
      </c>
      <c r="Q314" s="20">
        <v>31.3</v>
      </c>
      <c r="R314" s="20">
        <v>65.010000000000005</v>
      </c>
      <c r="S314" s="26">
        <v>65</v>
      </c>
      <c r="T314" s="20">
        <v>-0.01</v>
      </c>
      <c r="U314" s="26">
        <v>-0.03</v>
      </c>
      <c r="V314" s="20">
        <v>1427.44</v>
      </c>
    </row>
    <row r="315" spans="1:22" ht="16.8" x14ac:dyDescent="0.3">
      <c r="A315" s="20">
        <v>31.4</v>
      </c>
      <c r="B315" s="20">
        <v>65</v>
      </c>
      <c r="C315" s="26">
        <v>65.349999999999994</v>
      </c>
      <c r="D315" s="20">
        <v>-0.35</v>
      </c>
      <c r="E315" s="20">
        <v>-0.08</v>
      </c>
      <c r="F315" s="20">
        <v>1618.89</v>
      </c>
      <c r="Q315" s="20">
        <v>31.4</v>
      </c>
      <c r="R315" s="20">
        <v>65.03</v>
      </c>
      <c r="S315" s="20">
        <v>65</v>
      </c>
      <c r="T315" s="26">
        <v>-0.03</v>
      </c>
      <c r="U315" s="26">
        <v>-0.02</v>
      </c>
      <c r="V315" s="20">
        <v>1435.34</v>
      </c>
    </row>
    <row r="316" spans="1:22" ht="16.8" x14ac:dyDescent="0.3">
      <c r="A316" s="20">
        <v>31.5</v>
      </c>
      <c r="B316" s="20">
        <v>65</v>
      </c>
      <c r="C316" s="26">
        <v>65.34</v>
      </c>
      <c r="D316" s="20">
        <v>-0.34</v>
      </c>
      <c r="E316" s="20">
        <v>0.02</v>
      </c>
      <c r="F316" s="26">
        <v>1628.6</v>
      </c>
      <c r="Q316" s="20">
        <v>31.5</v>
      </c>
      <c r="R316" s="20">
        <v>65</v>
      </c>
      <c r="S316" s="26">
        <v>65</v>
      </c>
      <c r="T316" s="26">
        <v>0</v>
      </c>
      <c r="U316" s="26">
        <v>0.03</v>
      </c>
      <c r="V316" s="26">
        <v>1472.26</v>
      </c>
    </row>
    <row r="317" spans="1:22" ht="16.8" x14ac:dyDescent="0.3">
      <c r="A317" s="20">
        <v>31.6</v>
      </c>
      <c r="B317" s="20">
        <v>65</v>
      </c>
      <c r="C317" s="20">
        <v>65.28</v>
      </c>
      <c r="D317" s="20">
        <v>-0.28000000000000003</v>
      </c>
      <c r="E317" s="20">
        <v>0.06</v>
      </c>
      <c r="F317" s="20">
        <v>1662.33</v>
      </c>
      <c r="Q317" s="20">
        <v>31.6</v>
      </c>
      <c r="R317" s="20">
        <v>65.040000000000006</v>
      </c>
      <c r="S317" s="20">
        <v>65</v>
      </c>
      <c r="T317" s="26">
        <v>-0.04</v>
      </c>
      <c r="U317" s="26">
        <v>-0.04</v>
      </c>
      <c r="V317" s="20">
        <v>1418.11</v>
      </c>
    </row>
    <row r="318" spans="1:22" ht="16.8" x14ac:dyDescent="0.3">
      <c r="A318" s="20">
        <v>31.7</v>
      </c>
      <c r="B318" s="20">
        <v>65</v>
      </c>
      <c r="C318" s="26">
        <v>65.31</v>
      </c>
      <c r="D318" s="20">
        <v>-0.31</v>
      </c>
      <c r="E318" s="20">
        <v>-0.03</v>
      </c>
      <c r="F318" s="26">
        <v>1647.01</v>
      </c>
      <c r="Q318" s="20">
        <v>31.7</v>
      </c>
      <c r="R318" s="20">
        <v>65.040000000000006</v>
      </c>
      <c r="S318" s="26">
        <v>65</v>
      </c>
      <c r="T318" s="26">
        <v>-0.04</v>
      </c>
      <c r="U318" s="26">
        <v>-0.01</v>
      </c>
      <c r="V318" s="26">
        <v>1437.86</v>
      </c>
    </row>
    <row r="319" spans="1:22" ht="16.8" x14ac:dyDescent="0.3">
      <c r="A319" s="20">
        <v>31.8</v>
      </c>
      <c r="B319" s="20">
        <v>65</v>
      </c>
      <c r="C319" s="26">
        <v>65.31</v>
      </c>
      <c r="D319" s="20">
        <v>-0.31</v>
      </c>
      <c r="E319" s="20">
        <v>0</v>
      </c>
      <c r="F319" s="26">
        <v>1647.01</v>
      </c>
      <c r="Q319" s="20">
        <v>31.8</v>
      </c>
      <c r="R319" s="20">
        <v>65.02</v>
      </c>
      <c r="S319" s="26">
        <v>65</v>
      </c>
      <c r="T319" s="26">
        <v>-0.02</v>
      </c>
      <c r="U319" s="26">
        <v>0.02</v>
      </c>
      <c r="V319" s="20">
        <v>1462.84</v>
      </c>
    </row>
    <row r="320" spans="1:22" ht="16.8" x14ac:dyDescent="0.3">
      <c r="A320" s="20">
        <v>31.9</v>
      </c>
      <c r="B320" s="20">
        <v>65</v>
      </c>
      <c r="C320" s="20">
        <v>65.319999999999993</v>
      </c>
      <c r="D320" s="20">
        <v>-0.32</v>
      </c>
      <c r="E320" s="20">
        <v>-0.02</v>
      </c>
      <c r="F320" s="20">
        <v>1637.99</v>
      </c>
      <c r="Q320" s="20">
        <v>31.9</v>
      </c>
      <c r="R320" s="20">
        <v>65.010000000000005</v>
      </c>
      <c r="S320" s="26">
        <v>65</v>
      </c>
      <c r="T320" s="26">
        <v>-0.01</v>
      </c>
      <c r="U320" s="26">
        <v>0.01</v>
      </c>
      <c r="V320" s="26">
        <v>1453.54</v>
      </c>
    </row>
    <row r="321" spans="1:22" ht="16.8" x14ac:dyDescent="0.3">
      <c r="A321" s="20">
        <v>32</v>
      </c>
      <c r="B321" s="20">
        <v>65</v>
      </c>
      <c r="C321" s="26">
        <v>65.3</v>
      </c>
      <c r="D321" s="20">
        <v>-0.3</v>
      </c>
      <c r="E321" s="20">
        <v>0.02</v>
      </c>
      <c r="F321" s="26">
        <v>1649.21</v>
      </c>
      <c r="Q321" s="20">
        <v>32</v>
      </c>
      <c r="R321" s="20">
        <v>64.989999999999995</v>
      </c>
      <c r="S321" s="26">
        <v>65</v>
      </c>
      <c r="T321" s="26">
        <v>0.01</v>
      </c>
      <c r="U321" s="26">
        <v>0.02</v>
      </c>
      <c r="V321" s="20">
        <v>1468.01</v>
      </c>
    </row>
    <row r="322" spans="1:22" ht="16.8" x14ac:dyDescent="0.3">
      <c r="A322" s="20">
        <v>32.1</v>
      </c>
      <c r="B322" s="20">
        <v>65</v>
      </c>
      <c r="C322" s="20">
        <v>65.33</v>
      </c>
      <c r="D322" s="20">
        <v>-0.33</v>
      </c>
      <c r="E322" s="20">
        <v>-0.02</v>
      </c>
      <c r="F322" s="26">
        <v>1635.68</v>
      </c>
      <c r="Q322" s="20">
        <v>32.1</v>
      </c>
      <c r="R322" s="20">
        <v>64.989999999999995</v>
      </c>
      <c r="S322" s="26">
        <v>65</v>
      </c>
      <c r="T322" s="26">
        <v>0.01</v>
      </c>
      <c r="U322" s="26">
        <v>0</v>
      </c>
      <c r="V322" s="20">
        <v>1452.19</v>
      </c>
    </row>
    <row r="323" spans="1:22" ht="16.8" x14ac:dyDescent="0.3">
      <c r="A323" s="20">
        <v>32.200000000000003</v>
      </c>
      <c r="B323" s="20">
        <v>65</v>
      </c>
      <c r="C323" s="26">
        <v>65.319999999999993</v>
      </c>
      <c r="D323" s="20">
        <v>-0.32</v>
      </c>
      <c r="E323" s="20">
        <v>0.01</v>
      </c>
      <c r="F323" s="20">
        <v>1640.28</v>
      </c>
      <c r="Q323" s="20">
        <v>32.200000000000003</v>
      </c>
      <c r="R323" s="20">
        <v>65.03</v>
      </c>
      <c r="S323" s="26">
        <v>65</v>
      </c>
      <c r="T323" s="26">
        <v>-0.03</v>
      </c>
      <c r="U323" s="26">
        <v>-0.04</v>
      </c>
      <c r="V323" s="26">
        <v>1419.21</v>
      </c>
    </row>
    <row r="324" spans="1:22" ht="16.8" x14ac:dyDescent="0.3">
      <c r="A324" s="20">
        <v>32.299999999999997</v>
      </c>
      <c r="B324" s="20">
        <v>65</v>
      </c>
      <c r="C324" s="26">
        <v>65.31</v>
      </c>
      <c r="D324" s="20">
        <v>-0.31</v>
      </c>
      <c r="E324" s="20">
        <v>0</v>
      </c>
      <c r="F324" s="26">
        <v>1642.54</v>
      </c>
      <c r="Q324" s="20">
        <v>32.299999999999997</v>
      </c>
      <c r="R324" s="20">
        <v>65.05</v>
      </c>
      <c r="S324" s="26">
        <v>65</v>
      </c>
      <c r="T324" s="26">
        <v>-0.05</v>
      </c>
      <c r="U324" s="26">
        <v>-0.02</v>
      </c>
      <c r="V324" s="20">
        <v>1425.78</v>
      </c>
    </row>
    <row r="325" spans="1:22" ht="16.8" x14ac:dyDescent="0.3">
      <c r="A325" s="20">
        <v>32.4</v>
      </c>
      <c r="B325" s="20">
        <v>65</v>
      </c>
      <c r="C325" s="20">
        <v>65.36</v>
      </c>
      <c r="D325" s="20">
        <v>-0.36</v>
      </c>
      <c r="E325" s="20">
        <v>-0.04</v>
      </c>
      <c r="F325" s="20">
        <v>1616.43</v>
      </c>
      <c r="Q325" s="20">
        <v>32.4</v>
      </c>
      <c r="R325" s="20">
        <v>65</v>
      </c>
      <c r="S325" s="26">
        <v>65</v>
      </c>
      <c r="T325" s="20">
        <v>0</v>
      </c>
      <c r="U325" s="26">
        <v>0.06</v>
      </c>
      <c r="V325" s="26">
        <v>1487.71</v>
      </c>
    </row>
    <row r="326" spans="1:22" ht="16.8" x14ac:dyDescent="0.3">
      <c r="A326" s="20">
        <v>32.5</v>
      </c>
      <c r="B326" s="20">
        <v>65</v>
      </c>
      <c r="C326" s="26">
        <v>65.34</v>
      </c>
      <c r="D326" s="20">
        <v>-0.34</v>
      </c>
      <c r="E326" s="20">
        <v>0.02</v>
      </c>
      <c r="F326" s="26">
        <v>1628.6</v>
      </c>
      <c r="Q326" s="20">
        <v>32.5</v>
      </c>
      <c r="R326" s="20">
        <v>65.040000000000006</v>
      </c>
      <c r="S326" s="20">
        <v>65</v>
      </c>
      <c r="T326" s="26">
        <v>-0.04</v>
      </c>
      <c r="U326" s="26">
        <v>-0.05</v>
      </c>
      <c r="V326" s="20">
        <v>1411.11</v>
      </c>
    </row>
    <row r="327" spans="1:22" ht="16.8" x14ac:dyDescent="0.3">
      <c r="A327" s="20">
        <v>32.6</v>
      </c>
      <c r="B327" s="20">
        <v>65</v>
      </c>
      <c r="C327" s="26">
        <v>65.34</v>
      </c>
      <c r="D327" s="20">
        <v>-0.34</v>
      </c>
      <c r="E327" s="20">
        <v>0</v>
      </c>
      <c r="F327" s="26">
        <v>1626.18</v>
      </c>
      <c r="Q327" s="20">
        <v>32.6</v>
      </c>
      <c r="R327" s="20">
        <v>65.06</v>
      </c>
      <c r="S327" s="26">
        <v>65</v>
      </c>
      <c r="T327" s="26">
        <v>-0.06</v>
      </c>
      <c r="U327" s="26">
        <v>-0.02</v>
      </c>
      <c r="V327" s="26">
        <v>1429.52</v>
      </c>
    </row>
    <row r="328" spans="1:22" ht="16.8" x14ac:dyDescent="0.3">
      <c r="A328" s="20">
        <v>32.700000000000003</v>
      </c>
      <c r="B328" s="20">
        <v>65</v>
      </c>
      <c r="C328" s="20">
        <v>65.34</v>
      </c>
      <c r="D328" s="20">
        <v>-0.34</v>
      </c>
      <c r="E328" s="20">
        <v>0</v>
      </c>
      <c r="F328" s="20">
        <v>1628.6</v>
      </c>
      <c r="Q328" s="20">
        <v>32.700000000000003</v>
      </c>
      <c r="R328" s="20">
        <v>65.06</v>
      </c>
      <c r="S328" s="26">
        <v>65</v>
      </c>
      <c r="T328" s="26">
        <v>-0.06</v>
      </c>
      <c r="U328" s="26">
        <v>0</v>
      </c>
      <c r="V328" s="20">
        <v>1439.95</v>
      </c>
    </row>
    <row r="329" spans="1:22" ht="16.8" x14ac:dyDescent="0.3">
      <c r="A329" s="20">
        <v>32.799999999999997</v>
      </c>
      <c r="B329" s="20">
        <v>65</v>
      </c>
      <c r="C329" s="26">
        <v>65.349999999999994</v>
      </c>
      <c r="D329" s="20">
        <v>-0.35</v>
      </c>
      <c r="E329" s="20">
        <v>-0.02</v>
      </c>
      <c r="F329" s="26">
        <v>1618.89</v>
      </c>
      <c r="Q329" s="20">
        <v>32.799999999999997</v>
      </c>
      <c r="R329" s="20">
        <v>65.02</v>
      </c>
      <c r="S329" s="26">
        <v>65</v>
      </c>
      <c r="T329" s="26">
        <v>-0.02</v>
      </c>
      <c r="U329" s="26">
        <v>0.04</v>
      </c>
      <c r="V329" s="26">
        <v>1472.8</v>
      </c>
    </row>
    <row r="330" spans="1:22" ht="16.8" x14ac:dyDescent="0.3">
      <c r="A330" s="20">
        <v>32.9</v>
      </c>
      <c r="B330" s="20">
        <v>65</v>
      </c>
      <c r="C330" s="26">
        <v>65.3</v>
      </c>
      <c r="D330" s="20">
        <v>-0.3</v>
      </c>
      <c r="E330" s="20">
        <v>0.05</v>
      </c>
      <c r="F330" s="20">
        <v>1649.21</v>
      </c>
      <c r="Q330" s="20">
        <v>32.9</v>
      </c>
      <c r="R330" s="20">
        <v>65.040000000000006</v>
      </c>
      <c r="S330" s="26">
        <v>65</v>
      </c>
      <c r="T330" s="26">
        <v>-0.04</v>
      </c>
      <c r="U330" s="26">
        <v>-0.02</v>
      </c>
      <c r="V330" s="20">
        <v>1426.53</v>
      </c>
    </row>
    <row r="331" spans="1:22" ht="16.8" x14ac:dyDescent="0.3">
      <c r="A331" s="20">
        <v>33</v>
      </c>
      <c r="B331" s="20">
        <v>65</v>
      </c>
      <c r="C331" s="20">
        <v>65.36</v>
      </c>
      <c r="D331" s="20">
        <v>-0.36</v>
      </c>
      <c r="E331" s="20">
        <v>-0.06</v>
      </c>
      <c r="F331" s="26">
        <v>1613.93</v>
      </c>
      <c r="Q331" s="20">
        <v>33</v>
      </c>
      <c r="R331" s="20">
        <v>65.03</v>
      </c>
      <c r="S331" s="26">
        <v>65</v>
      </c>
      <c r="T331" s="26">
        <v>-0.03</v>
      </c>
      <c r="U331" s="26">
        <v>0.02</v>
      </c>
      <c r="V331" s="26">
        <v>1455.47</v>
      </c>
    </row>
    <row r="332" spans="1:22" ht="16.8" x14ac:dyDescent="0.3">
      <c r="A332" s="20">
        <v>33.1</v>
      </c>
      <c r="B332" s="20">
        <v>65</v>
      </c>
      <c r="C332" s="26">
        <v>65.36</v>
      </c>
      <c r="D332" s="20">
        <v>-0.36</v>
      </c>
      <c r="E332" s="20">
        <v>0</v>
      </c>
      <c r="F332" s="26">
        <v>1616.43</v>
      </c>
      <c r="Q332" s="20">
        <v>33.1</v>
      </c>
      <c r="R332" s="20">
        <v>65</v>
      </c>
      <c r="S332" s="26">
        <v>65</v>
      </c>
      <c r="T332" s="26">
        <v>0</v>
      </c>
      <c r="U332" s="26">
        <v>0.03</v>
      </c>
      <c r="V332" s="20">
        <v>1471.24</v>
      </c>
    </row>
    <row r="333" spans="1:22" ht="16.8" x14ac:dyDescent="0.3">
      <c r="A333" s="20">
        <v>33.200000000000003</v>
      </c>
      <c r="B333" s="20">
        <v>65</v>
      </c>
      <c r="C333" s="20">
        <v>65.33</v>
      </c>
      <c r="D333" s="20">
        <v>-0.33</v>
      </c>
      <c r="E333" s="20">
        <v>0.02</v>
      </c>
      <c r="F333" s="26">
        <v>1630.98</v>
      </c>
      <c r="Q333" s="20">
        <v>33.200000000000003</v>
      </c>
      <c r="R333" s="20">
        <v>65.069999999999993</v>
      </c>
      <c r="S333" s="26">
        <v>65</v>
      </c>
      <c r="T333" s="26">
        <v>-7.0000000000000007E-2</v>
      </c>
      <c r="U333" s="26">
        <v>-7.0000000000000007E-2</v>
      </c>
      <c r="V333" s="26">
        <v>1390.69</v>
      </c>
    </row>
    <row r="334" spans="1:22" ht="16.8" x14ac:dyDescent="0.3">
      <c r="A334" s="20">
        <v>33.299999999999997</v>
      </c>
      <c r="B334" s="20">
        <v>65</v>
      </c>
      <c r="C334" s="26">
        <v>65.37</v>
      </c>
      <c r="D334" s="20">
        <v>-0.37</v>
      </c>
      <c r="E334" s="20">
        <v>-0.04</v>
      </c>
      <c r="F334" s="20">
        <v>1608.86</v>
      </c>
      <c r="Q334" s="20">
        <v>33.299999999999997</v>
      </c>
      <c r="R334" s="20">
        <v>65.06</v>
      </c>
      <c r="S334" s="26">
        <v>65</v>
      </c>
      <c r="T334" s="20">
        <v>-0.06</v>
      </c>
      <c r="U334" s="26">
        <v>0.01</v>
      </c>
      <c r="V334" s="20">
        <v>1444.71</v>
      </c>
    </row>
    <row r="335" spans="1:22" ht="16.8" x14ac:dyDescent="0.3">
      <c r="A335" s="20">
        <v>33.4</v>
      </c>
      <c r="B335" s="20">
        <v>65</v>
      </c>
      <c r="C335" s="26">
        <v>65.34</v>
      </c>
      <c r="D335" s="20">
        <v>-0.34</v>
      </c>
      <c r="E335" s="20">
        <v>0.03</v>
      </c>
      <c r="F335" s="26">
        <v>1628.6</v>
      </c>
      <c r="Q335" s="20">
        <v>33.4</v>
      </c>
      <c r="R335" s="20">
        <v>65.069999999999993</v>
      </c>
      <c r="S335" s="26">
        <v>65</v>
      </c>
      <c r="T335" s="26">
        <v>-7.0000000000000007E-2</v>
      </c>
      <c r="U335" s="26">
        <v>-0.01</v>
      </c>
      <c r="V335" s="26">
        <v>1432.68</v>
      </c>
    </row>
    <row r="336" spans="1:22" ht="16.8" x14ac:dyDescent="0.3">
      <c r="A336" s="20">
        <v>33.5</v>
      </c>
      <c r="B336" s="20">
        <v>65</v>
      </c>
      <c r="C336" s="20">
        <v>65.34</v>
      </c>
      <c r="D336" s="20">
        <v>-0.34</v>
      </c>
      <c r="E336" s="20">
        <v>0</v>
      </c>
      <c r="F336" s="26">
        <v>1626.18</v>
      </c>
      <c r="Q336" s="20">
        <v>33.5</v>
      </c>
      <c r="R336" s="20">
        <v>65.040000000000006</v>
      </c>
      <c r="S336" s="26">
        <v>65</v>
      </c>
      <c r="T336" s="26">
        <v>-0.04</v>
      </c>
      <c r="U336" s="26">
        <v>0.02</v>
      </c>
      <c r="V336" s="20">
        <v>1457.6</v>
      </c>
    </row>
    <row r="337" spans="1:22" ht="16.8" x14ac:dyDescent="0.3">
      <c r="A337" s="20">
        <v>33.6</v>
      </c>
      <c r="B337" s="20">
        <v>65</v>
      </c>
      <c r="C337" s="26">
        <v>65.349999999999994</v>
      </c>
      <c r="D337" s="20">
        <v>-0.35</v>
      </c>
      <c r="E337" s="20">
        <v>-0.01</v>
      </c>
      <c r="F337" s="20">
        <v>1621.32</v>
      </c>
      <c r="Q337" s="20">
        <v>33.6</v>
      </c>
      <c r="R337" s="20">
        <v>65.040000000000006</v>
      </c>
      <c r="S337" s="26">
        <v>65</v>
      </c>
      <c r="T337" s="26">
        <v>-0.04</v>
      </c>
      <c r="U337" s="20">
        <v>0</v>
      </c>
      <c r="V337" s="20">
        <v>1441.63</v>
      </c>
    </row>
    <row r="338" spans="1:22" ht="16.8" x14ac:dyDescent="0.3">
      <c r="A338" s="20">
        <v>33.700000000000003</v>
      </c>
      <c r="B338" s="20">
        <v>65</v>
      </c>
      <c r="C338" s="26">
        <v>65.34</v>
      </c>
      <c r="D338" s="20">
        <v>-0.34</v>
      </c>
      <c r="E338" s="20">
        <v>0.01</v>
      </c>
      <c r="F338" s="26">
        <v>1626.18</v>
      </c>
      <c r="Q338" s="20">
        <v>33.700000000000003</v>
      </c>
      <c r="R338" s="20">
        <v>65.040000000000006</v>
      </c>
      <c r="S338" s="26">
        <v>65</v>
      </c>
      <c r="T338" s="26">
        <v>-0.04</v>
      </c>
      <c r="U338" s="26">
        <v>0</v>
      </c>
      <c r="V338" s="26">
        <v>1441.53</v>
      </c>
    </row>
    <row r="339" spans="1:22" ht="16.8" x14ac:dyDescent="0.3">
      <c r="A339" s="20">
        <v>33.799999999999997</v>
      </c>
      <c r="B339" s="20">
        <v>65</v>
      </c>
      <c r="C339" s="20">
        <v>65.33</v>
      </c>
      <c r="D339" s="20">
        <v>-0.33</v>
      </c>
      <c r="E339" s="20">
        <v>0.01</v>
      </c>
      <c r="F339" s="20">
        <v>1633.34</v>
      </c>
      <c r="Q339" s="20">
        <v>33.799999999999997</v>
      </c>
      <c r="R339" s="20">
        <v>65.099999999999994</v>
      </c>
      <c r="S339" s="26">
        <v>65</v>
      </c>
      <c r="T339" s="26">
        <v>-0.1</v>
      </c>
      <c r="U339" s="20">
        <v>-0.06</v>
      </c>
      <c r="V339" s="20">
        <v>1395.22</v>
      </c>
    </row>
    <row r="340" spans="1:22" ht="16.8" x14ac:dyDescent="0.3">
      <c r="A340" s="20">
        <v>33.9</v>
      </c>
      <c r="B340" s="20">
        <v>65</v>
      </c>
      <c r="C340" s="26">
        <v>65.349999999999994</v>
      </c>
      <c r="D340" s="20">
        <v>-0.35</v>
      </c>
      <c r="E340" s="20">
        <v>-0.02</v>
      </c>
      <c r="F340" s="26">
        <v>1621.32</v>
      </c>
      <c r="Q340" s="20">
        <v>33.9</v>
      </c>
      <c r="R340" s="20">
        <v>65.03</v>
      </c>
      <c r="S340" s="26">
        <v>65</v>
      </c>
      <c r="T340" s="26">
        <v>-0.03</v>
      </c>
      <c r="U340" s="26">
        <v>7.0000000000000007E-2</v>
      </c>
      <c r="V340" s="26">
        <v>1491.37</v>
      </c>
    </row>
    <row r="341" spans="1:22" ht="16.8" x14ac:dyDescent="0.3">
      <c r="A341" s="20">
        <v>34</v>
      </c>
      <c r="B341" s="20">
        <v>65</v>
      </c>
      <c r="C341" s="20">
        <v>65.31</v>
      </c>
      <c r="D341" s="20">
        <v>-0.31</v>
      </c>
      <c r="E341" s="20">
        <v>0.04</v>
      </c>
      <c r="F341" s="26">
        <v>1642.54</v>
      </c>
      <c r="Q341" s="20">
        <v>34</v>
      </c>
      <c r="R341" s="20">
        <v>65.040000000000006</v>
      </c>
      <c r="S341" s="26">
        <v>65</v>
      </c>
      <c r="T341" s="26">
        <v>-0.04</v>
      </c>
      <c r="U341" s="20">
        <v>-0.01</v>
      </c>
      <c r="V341" s="20">
        <v>1437.14</v>
      </c>
    </row>
    <row r="342" spans="1:22" ht="16.8" x14ac:dyDescent="0.3">
      <c r="A342" s="20">
        <v>34.1</v>
      </c>
      <c r="B342" s="20">
        <v>65</v>
      </c>
      <c r="C342" s="26">
        <v>65.31</v>
      </c>
      <c r="D342" s="20">
        <v>-0.31</v>
      </c>
      <c r="E342" s="20">
        <v>0</v>
      </c>
      <c r="F342" s="20">
        <v>1642.54</v>
      </c>
      <c r="Q342" s="20">
        <v>34.1</v>
      </c>
      <c r="R342" s="20">
        <v>65.02</v>
      </c>
      <c r="S342" s="26">
        <v>65</v>
      </c>
      <c r="T342" s="26">
        <v>-0.02</v>
      </c>
      <c r="U342" s="26">
        <v>0.02</v>
      </c>
      <c r="V342" s="26">
        <v>1455.53</v>
      </c>
    </row>
    <row r="343" spans="1:22" ht="16.8" x14ac:dyDescent="0.3">
      <c r="A343" s="20">
        <v>34.200000000000003</v>
      </c>
      <c r="B343" s="20">
        <v>65</v>
      </c>
      <c r="C343" s="26">
        <v>65.3</v>
      </c>
      <c r="D343" s="20">
        <v>-0.3</v>
      </c>
      <c r="E343" s="20">
        <v>0.02</v>
      </c>
      <c r="F343" s="26">
        <v>1651.41</v>
      </c>
      <c r="Q343" s="20">
        <v>34.200000000000003</v>
      </c>
      <c r="R343" s="20">
        <v>65.06</v>
      </c>
      <c r="S343" s="26">
        <v>65</v>
      </c>
      <c r="T343" s="26">
        <v>-0.06</v>
      </c>
      <c r="U343" s="26">
        <v>-0.04</v>
      </c>
      <c r="V343" s="20">
        <v>1411.91</v>
      </c>
    </row>
    <row r="344" spans="1:22" ht="16.8" x14ac:dyDescent="0.3">
      <c r="A344" s="20">
        <v>34.299999999999997</v>
      </c>
      <c r="B344" s="20">
        <v>65</v>
      </c>
      <c r="C344" s="20">
        <v>65.28</v>
      </c>
      <c r="D344" s="20">
        <v>-0.28000000000000003</v>
      </c>
      <c r="E344" s="20">
        <v>0.02</v>
      </c>
      <c r="F344" s="26">
        <v>1660.19</v>
      </c>
      <c r="Q344" s="20">
        <v>34.299999999999997</v>
      </c>
      <c r="R344" s="20">
        <v>65.040000000000006</v>
      </c>
      <c r="S344" s="26">
        <v>65</v>
      </c>
      <c r="T344" s="26">
        <v>-0.04</v>
      </c>
      <c r="U344" s="20">
        <v>0.02</v>
      </c>
      <c r="V344" s="20">
        <v>1451.4</v>
      </c>
    </row>
    <row r="345" spans="1:22" ht="16.8" x14ac:dyDescent="0.3">
      <c r="A345" s="20">
        <v>34.4</v>
      </c>
      <c r="B345" s="20">
        <v>65</v>
      </c>
      <c r="C345" s="26">
        <v>65.319999999999993</v>
      </c>
      <c r="D345" s="20">
        <v>-0.32</v>
      </c>
      <c r="E345" s="20">
        <v>-0.04</v>
      </c>
      <c r="F345" s="20">
        <v>1640.28</v>
      </c>
      <c r="Q345" s="20">
        <v>34.4</v>
      </c>
      <c r="R345" s="20">
        <v>65.099999999999994</v>
      </c>
      <c r="S345" s="26">
        <v>65</v>
      </c>
      <c r="T345" s="26">
        <v>-0.1</v>
      </c>
      <c r="U345" s="26">
        <v>-0.06</v>
      </c>
      <c r="V345" s="26">
        <v>1394.52</v>
      </c>
    </row>
    <row r="346" spans="1:22" ht="16.8" x14ac:dyDescent="0.3">
      <c r="A346" s="20">
        <v>34.5</v>
      </c>
      <c r="B346" s="20">
        <v>65</v>
      </c>
      <c r="C346" s="26">
        <v>65.3</v>
      </c>
      <c r="D346" s="20">
        <v>-0.3</v>
      </c>
      <c r="E346" s="20">
        <v>0.02</v>
      </c>
      <c r="F346" s="26">
        <v>1649.21</v>
      </c>
      <c r="Q346" s="20">
        <v>34.5</v>
      </c>
      <c r="R346" s="20">
        <v>65.11</v>
      </c>
      <c r="S346" s="26">
        <v>65</v>
      </c>
      <c r="T346" s="26">
        <v>-0.11</v>
      </c>
      <c r="U346" s="26">
        <v>-0.01</v>
      </c>
      <c r="V346" s="20">
        <v>1424.68</v>
      </c>
    </row>
    <row r="347" spans="1:22" ht="16.8" x14ac:dyDescent="0.3">
      <c r="A347" s="20">
        <v>34.6</v>
      </c>
      <c r="B347" s="20">
        <v>65</v>
      </c>
      <c r="C347" s="20">
        <v>65.28</v>
      </c>
      <c r="D347" s="20">
        <v>-0.28000000000000003</v>
      </c>
      <c r="E347" s="20">
        <v>0.02</v>
      </c>
      <c r="F347" s="20">
        <v>1662.33</v>
      </c>
      <c r="Q347" s="20">
        <v>34.6</v>
      </c>
      <c r="R347" s="20">
        <v>65.010000000000005</v>
      </c>
      <c r="S347" s="26">
        <v>65</v>
      </c>
      <c r="T347" s="26">
        <v>-0.01</v>
      </c>
      <c r="U347" s="26">
        <v>0.1</v>
      </c>
      <c r="V347" s="26">
        <v>1508.91</v>
      </c>
    </row>
    <row r="348" spans="1:22" ht="16.8" x14ac:dyDescent="0.3">
      <c r="A348" s="20">
        <v>34.700000000000003</v>
      </c>
      <c r="B348" s="20">
        <v>65</v>
      </c>
      <c r="C348" s="26">
        <v>65.260000000000005</v>
      </c>
      <c r="D348" s="20">
        <v>-0.26</v>
      </c>
      <c r="E348" s="20">
        <v>0.02</v>
      </c>
      <c r="F348" s="26">
        <v>1670.75</v>
      </c>
      <c r="Q348" s="20">
        <v>34.700000000000003</v>
      </c>
      <c r="R348" s="20">
        <v>65.040000000000006</v>
      </c>
      <c r="S348" s="26">
        <v>65</v>
      </c>
      <c r="T348" s="26">
        <v>-0.04</v>
      </c>
      <c r="U348" s="26">
        <v>-0.03</v>
      </c>
      <c r="V348" s="20">
        <v>1419.03</v>
      </c>
    </row>
    <row r="349" spans="1:22" ht="16.8" x14ac:dyDescent="0.3">
      <c r="A349" s="20">
        <v>34.799999999999997</v>
      </c>
      <c r="B349" s="20">
        <v>65</v>
      </c>
      <c r="C349" s="20">
        <v>65.239999999999995</v>
      </c>
      <c r="D349" s="20">
        <v>-0.24</v>
      </c>
      <c r="E349" s="20">
        <v>0.02</v>
      </c>
      <c r="F349" s="26">
        <v>1683.11</v>
      </c>
      <c r="Q349" s="20">
        <v>34.799999999999997</v>
      </c>
      <c r="R349" s="20">
        <v>65.02</v>
      </c>
      <c r="S349" s="26">
        <v>65</v>
      </c>
      <c r="T349" s="26">
        <v>-0.02</v>
      </c>
      <c r="U349" s="26">
        <v>0.02</v>
      </c>
      <c r="V349" s="26">
        <v>1459.87</v>
      </c>
    </row>
    <row r="350" spans="1:22" ht="16.8" x14ac:dyDescent="0.3">
      <c r="A350" s="20">
        <v>34.9</v>
      </c>
      <c r="B350" s="20">
        <v>65</v>
      </c>
      <c r="C350" s="26">
        <v>65.3</v>
      </c>
      <c r="D350" s="20">
        <v>-0.3</v>
      </c>
      <c r="E350" s="20">
        <v>-0.06</v>
      </c>
      <c r="F350" s="20">
        <v>1649.21</v>
      </c>
      <c r="Q350" s="20">
        <v>34.9</v>
      </c>
      <c r="R350" s="20">
        <v>65</v>
      </c>
      <c r="S350" s="26">
        <v>65</v>
      </c>
      <c r="T350" s="26">
        <v>0</v>
      </c>
      <c r="U350" s="20">
        <v>0.02</v>
      </c>
      <c r="V350" s="20">
        <v>1463.78</v>
      </c>
    </row>
    <row r="351" spans="1:22" ht="16.8" x14ac:dyDescent="0.3">
      <c r="A351" s="20">
        <v>35</v>
      </c>
      <c r="B351" s="20">
        <v>65</v>
      </c>
      <c r="C351" s="26">
        <v>65.290000000000006</v>
      </c>
      <c r="D351" s="20">
        <v>-0.28999999999999998</v>
      </c>
      <c r="E351" s="20">
        <v>0.01</v>
      </c>
      <c r="F351" s="26">
        <v>1653.64</v>
      </c>
      <c r="Q351" s="20">
        <v>35</v>
      </c>
      <c r="R351" s="20">
        <v>65</v>
      </c>
      <c r="S351" s="26">
        <v>65</v>
      </c>
      <c r="T351" s="26">
        <v>0</v>
      </c>
      <c r="U351" s="26">
        <v>0</v>
      </c>
      <c r="V351" s="26">
        <v>1447.92</v>
      </c>
    </row>
    <row r="352" spans="1:22" ht="16.8" x14ac:dyDescent="0.3">
      <c r="A352" s="20">
        <v>35.1</v>
      </c>
      <c r="B352" s="20">
        <v>65</v>
      </c>
      <c r="C352" s="20">
        <v>65.290000000000006</v>
      </c>
      <c r="D352" s="20">
        <v>-0.28999999999999998</v>
      </c>
      <c r="E352" s="20">
        <v>0</v>
      </c>
      <c r="F352" s="20">
        <v>1653.64</v>
      </c>
      <c r="Q352" s="20">
        <v>35.1</v>
      </c>
      <c r="R352" s="20">
        <v>65.010000000000005</v>
      </c>
      <c r="S352" s="26">
        <v>65</v>
      </c>
      <c r="T352" s="20">
        <v>-0.01</v>
      </c>
      <c r="U352" s="20">
        <v>-0.02</v>
      </c>
      <c r="V352" s="20">
        <v>1434.73</v>
      </c>
    </row>
    <row r="353" spans="1:22" ht="16.8" x14ac:dyDescent="0.3">
      <c r="A353" s="20">
        <v>35.200000000000003</v>
      </c>
      <c r="B353" s="20">
        <v>65</v>
      </c>
      <c r="C353" s="26">
        <v>65.3</v>
      </c>
      <c r="D353" s="20">
        <v>-0.3</v>
      </c>
      <c r="E353" s="20">
        <v>0</v>
      </c>
      <c r="F353" s="26">
        <v>1651.41</v>
      </c>
      <c r="Q353" s="20">
        <v>35.200000000000003</v>
      </c>
      <c r="R353" s="20">
        <v>65.02</v>
      </c>
      <c r="S353" s="26">
        <v>65</v>
      </c>
      <c r="T353" s="26">
        <v>-0.02</v>
      </c>
      <c r="U353" s="26">
        <v>-0.01</v>
      </c>
      <c r="V353" s="26">
        <v>1438.66</v>
      </c>
    </row>
    <row r="354" spans="1:22" ht="16.8" x14ac:dyDescent="0.3">
      <c r="A354" s="20">
        <v>35.299999999999997</v>
      </c>
      <c r="B354" s="20">
        <v>65</v>
      </c>
      <c r="C354" s="20">
        <v>65.290000000000006</v>
      </c>
      <c r="D354" s="20">
        <v>-0.28999999999999998</v>
      </c>
      <c r="E354" s="20">
        <v>0.01</v>
      </c>
      <c r="F354" s="26">
        <v>1658.02</v>
      </c>
      <c r="Q354" s="20">
        <v>35.299999999999997</v>
      </c>
      <c r="R354" s="20">
        <v>65.06</v>
      </c>
      <c r="S354" s="26">
        <v>65</v>
      </c>
      <c r="T354" s="20">
        <v>-0.06</v>
      </c>
      <c r="U354" s="20">
        <v>-0.04</v>
      </c>
      <c r="V354" s="20">
        <v>1410.91</v>
      </c>
    </row>
    <row r="355" spans="1:22" ht="16.8" x14ac:dyDescent="0.3">
      <c r="A355" s="20">
        <v>35.4</v>
      </c>
      <c r="B355" s="20">
        <v>65</v>
      </c>
      <c r="C355" s="26">
        <v>65.290000000000006</v>
      </c>
      <c r="D355" s="20">
        <v>-0.28999999999999998</v>
      </c>
      <c r="E355" s="20">
        <v>0</v>
      </c>
      <c r="F355" s="20">
        <v>1655.84</v>
      </c>
      <c r="Q355" s="20">
        <v>35.4</v>
      </c>
      <c r="R355" s="20">
        <v>65.05</v>
      </c>
      <c r="S355" s="26">
        <v>65</v>
      </c>
      <c r="T355" s="26">
        <v>-0.05</v>
      </c>
      <c r="U355" s="26">
        <v>0.01</v>
      </c>
      <c r="V355" s="26">
        <v>1443.8</v>
      </c>
    </row>
    <row r="356" spans="1:22" ht="16.8" x14ac:dyDescent="0.3">
      <c r="A356" s="20">
        <v>35.5</v>
      </c>
      <c r="B356" s="20">
        <v>65</v>
      </c>
      <c r="C356" s="26">
        <v>65.23</v>
      </c>
      <c r="D356" s="20">
        <v>-0.23</v>
      </c>
      <c r="E356" s="20">
        <v>0.06</v>
      </c>
      <c r="F356" s="26">
        <v>1687.17</v>
      </c>
      <c r="Q356" s="20">
        <v>35.5</v>
      </c>
      <c r="R356" s="20">
        <v>65.08</v>
      </c>
      <c r="S356" s="26">
        <v>65</v>
      </c>
      <c r="T356" s="26">
        <v>-0.08</v>
      </c>
      <c r="U356" s="26">
        <v>-0.03</v>
      </c>
      <c r="V356" s="20">
        <v>1411.98</v>
      </c>
    </row>
    <row r="357" spans="1:22" ht="16.8" x14ac:dyDescent="0.3">
      <c r="A357" s="20">
        <v>35.6</v>
      </c>
      <c r="B357" s="20">
        <v>65</v>
      </c>
      <c r="C357" s="20">
        <v>65.23</v>
      </c>
      <c r="D357" s="20">
        <v>-0.23</v>
      </c>
      <c r="E357" s="20">
        <v>0</v>
      </c>
      <c r="F357" s="26">
        <v>1685.16</v>
      </c>
      <c r="Q357" s="20">
        <v>35.6</v>
      </c>
      <c r="R357" s="20">
        <v>65.040000000000006</v>
      </c>
      <c r="S357" s="26">
        <v>65</v>
      </c>
      <c r="T357" s="26">
        <v>-0.04</v>
      </c>
      <c r="U357" s="20">
        <v>0.04</v>
      </c>
      <c r="V357" s="26">
        <v>1465.92</v>
      </c>
    </row>
    <row r="358" spans="1:22" ht="16.8" x14ac:dyDescent="0.3">
      <c r="A358" s="20">
        <v>35.700000000000003</v>
      </c>
      <c r="B358" s="20">
        <v>65</v>
      </c>
      <c r="C358" s="26">
        <v>65.260000000000005</v>
      </c>
      <c r="D358" s="20">
        <v>-0.26</v>
      </c>
      <c r="E358" s="20">
        <v>-0.03</v>
      </c>
      <c r="F358" s="20">
        <v>1670.75</v>
      </c>
      <c r="Q358" s="20">
        <v>35.700000000000003</v>
      </c>
      <c r="R358" s="20">
        <v>65.06</v>
      </c>
      <c r="S358" s="26">
        <v>65</v>
      </c>
      <c r="T358" s="26">
        <v>-0.06</v>
      </c>
      <c r="U358" s="26">
        <v>-0.02</v>
      </c>
      <c r="V358" s="20">
        <v>1426.18</v>
      </c>
    </row>
    <row r="359" spans="1:22" ht="16.8" x14ac:dyDescent="0.3">
      <c r="A359" s="20">
        <v>35.799999999999997</v>
      </c>
      <c r="B359" s="20">
        <v>65</v>
      </c>
      <c r="C359" s="26">
        <v>65.25</v>
      </c>
      <c r="D359" s="20">
        <v>-0.25</v>
      </c>
      <c r="E359" s="20">
        <v>0.02</v>
      </c>
      <c r="F359" s="26">
        <v>1678.99</v>
      </c>
      <c r="Q359" s="20">
        <v>35.799999999999997</v>
      </c>
      <c r="R359" s="20">
        <v>65.11</v>
      </c>
      <c r="S359" s="26">
        <v>65</v>
      </c>
      <c r="T359" s="26">
        <v>-0.11</v>
      </c>
      <c r="U359" s="20">
        <v>-0.05</v>
      </c>
      <c r="V359" s="20">
        <v>1397.02</v>
      </c>
    </row>
    <row r="360" spans="1:22" ht="16.8" x14ac:dyDescent="0.3">
      <c r="A360" s="20">
        <v>35.9</v>
      </c>
      <c r="B360" s="20">
        <v>65</v>
      </c>
      <c r="C360" s="20">
        <v>65.290000000000006</v>
      </c>
      <c r="D360" s="20">
        <v>-0.28999999999999998</v>
      </c>
      <c r="E360" s="20">
        <v>-0.04</v>
      </c>
      <c r="F360" s="26">
        <v>1655.84</v>
      </c>
      <c r="Q360" s="20">
        <v>35.9</v>
      </c>
      <c r="R360" s="20">
        <v>65.02</v>
      </c>
      <c r="S360" s="26">
        <v>65</v>
      </c>
      <c r="T360" s="26">
        <v>-0.02</v>
      </c>
      <c r="U360" s="26">
        <v>0.09</v>
      </c>
      <c r="V360" s="26">
        <v>1501.06</v>
      </c>
    </row>
    <row r="361" spans="1:22" ht="16.8" x14ac:dyDescent="0.3">
      <c r="A361" s="20">
        <v>36</v>
      </c>
      <c r="B361" s="20">
        <v>65</v>
      </c>
      <c r="C361" s="26">
        <v>65.25</v>
      </c>
      <c r="D361" s="20">
        <v>-0.25</v>
      </c>
      <c r="E361" s="20">
        <v>0.04</v>
      </c>
      <c r="F361" s="20">
        <v>1676.92</v>
      </c>
      <c r="Q361" s="20">
        <v>36</v>
      </c>
      <c r="R361" s="20">
        <v>65.040000000000006</v>
      </c>
      <c r="S361" s="26">
        <v>65</v>
      </c>
      <c r="T361" s="26">
        <v>-0.04</v>
      </c>
      <c r="U361" s="26">
        <v>-0.02</v>
      </c>
      <c r="V361" s="20">
        <v>1423.07</v>
      </c>
    </row>
    <row r="362" spans="1:22" ht="16.8" x14ac:dyDescent="0.3">
      <c r="A362" s="20">
        <v>36.1</v>
      </c>
      <c r="B362" s="20">
        <v>65</v>
      </c>
      <c r="C362" s="20">
        <v>65.25</v>
      </c>
      <c r="D362" s="20">
        <v>-0.25</v>
      </c>
      <c r="E362" s="20">
        <v>0</v>
      </c>
      <c r="F362" s="26">
        <v>1674.86</v>
      </c>
      <c r="Q362" s="20">
        <v>36.1</v>
      </c>
      <c r="R362" s="20">
        <v>65</v>
      </c>
      <c r="S362" s="26">
        <v>65</v>
      </c>
      <c r="T362" s="26">
        <v>0</v>
      </c>
      <c r="U362" s="26">
        <v>0.04</v>
      </c>
      <c r="V362" s="26">
        <v>1471.82</v>
      </c>
    </row>
    <row r="363" spans="1:22" ht="16.8" x14ac:dyDescent="0.3">
      <c r="A363" s="20">
        <v>36.200000000000003</v>
      </c>
      <c r="B363" s="20">
        <v>65</v>
      </c>
      <c r="C363" s="26">
        <v>65.28</v>
      </c>
      <c r="D363" s="20">
        <v>-0.28000000000000003</v>
      </c>
      <c r="E363" s="20">
        <v>-0.02</v>
      </c>
      <c r="F363" s="20">
        <v>1662.33</v>
      </c>
      <c r="Q363" s="20">
        <v>36.200000000000003</v>
      </c>
      <c r="R363" s="20">
        <v>65.03</v>
      </c>
      <c r="S363" s="26">
        <v>65</v>
      </c>
      <c r="T363" s="26">
        <v>-0.03</v>
      </c>
      <c r="U363" s="26">
        <v>-0.02</v>
      </c>
      <c r="V363" s="20">
        <v>1425.57</v>
      </c>
    </row>
    <row r="364" spans="1:22" ht="16.8" x14ac:dyDescent="0.3">
      <c r="A364" s="20">
        <v>36.299999999999997</v>
      </c>
      <c r="B364" s="20">
        <v>65</v>
      </c>
      <c r="C364" s="26">
        <v>65.290000000000006</v>
      </c>
      <c r="D364" s="20">
        <v>-0.28999999999999998</v>
      </c>
      <c r="E364" s="20">
        <v>-0.02</v>
      </c>
      <c r="F364" s="26">
        <v>1653.64</v>
      </c>
      <c r="Q364" s="20">
        <v>36.299999999999997</v>
      </c>
      <c r="R364" s="20">
        <v>64.959999999999994</v>
      </c>
      <c r="S364" s="26">
        <v>65</v>
      </c>
      <c r="T364" s="26">
        <v>0.04</v>
      </c>
      <c r="U364" s="26">
        <v>7.0000000000000007E-2</v>
      </c>
      <c r="V364" s="26">
        <v>1500.78</v>
      </c>
    </row>
    <row r="365" spans="1:22" ht="16.8" x14ac:dyDescent="0.3">
      <c r="A365" s="20">
        <v>36.4</v>
      </c>
      <c r="B365" s="20">
        <v>65</v>
      </c>
      <c r="C365" s="20">
        <v>65.3</v>
      </c>
      <c r="D365" s="20">
        <v>-0.3</v>
      </c>
      <c r="E365" s="20">
        <v>-0.01</v>
      </c>
      <c r="F365" s="26">
        <v>1649.21</v>
      </c>
      <c r="Q365" s="20">
        <v>36.4</v>
      </c>
      <c r="R365" s="20">
        <v>65.010000000000005</v>
      </c>
      <c r="S365" s="26">
        <v>65</v>
      </c>
      <c r="T365" s="26">
        <v>-0.01</v>
      </c>
      <c r="U365" s="26">
        <v>-0.06</v>
      </c>
      <c r="V365" s="20">
        <v>1407.09</v>
      </c>
    </row>
    <row r="366" spans="1:22" ht="16.8" x14ac:dyDescent="0.3">
      <c r="A366" s="20">
        <v>36.5</v>
      </c>
      <c r="B366" s="20">
        <v>65</v>
      </c>
      <c r="C366" s="26">
        <v>65.290000000000006</v>
      </c>
      <c r="D366" s="20">
        <v>-0.28999999999999998</v>
      </c>
      <c r="E366" s="20">
        <v>0.02</v>
      </c>
      <c r="F366" s="20">
        <v>1658.02</v>
      </c>
      <c r="Q366" s="20">
        <v>36.5</v>
      </c>
      <c r="R366" s="20">
        <v>65.08</v>
      </c>
      <c r="S366" s="26">
        <v>65</v>
      </c>
      <c r="T366" s="26">
        <v>-0.08</v>
      </c>
      <c r="U366" s="26">
        <v>-7.0000000000000007E-2</v>
      </c>
      <c r="V366" s="20">
        <v>1384.67</v>
      </c>
    </row>
    <row r="367" spans="1:22" ht="16.8" x14ac:dyDescent="0.3">
      <c r="A367" s="20">
        <v>36.6</v>
      </c>
      <c r="B367" s="20">
        <v>65</v>
      </c>
      <c r="C367" s="26">
        <v>65.3</v>
      </c>
      <c r="D367" s="20">
        <v>-0.3</v>
      </c>
      <c r="E367" s="20">
        <v>-0.01</v>
      </c>
      <c r="F367" s="26">
        <v>1651.41</v>
      </c>
      <c r="Q367" s="20">
        <v>36.6</v>
      </c>
      <c r="R367" s="20">
        <v>65</v>
      </c>
      <c r="S367" s="26">
        <v>65</v>
      </c>
      <c r="T367" s="26">
        <v>0</v>
      </c>
      <c r="U367" s="26">
        <v>0.09</v>
      </c>
      <c r="V367" s="26">
        <v>1504.65</v>
      </c>
    </row>
    <row r="368" spans="1:22" ht="16.8" x14ac:dyDescent="0.3">
      <c r="A368" s="20">
        <v>36.700000000000003</v>
      </c>
      <c r="B368" s="20">
        <v>65</v>
      </c>
      <c r="C368" s="20">
        <v>65.290000000000006</v>
      </c>
      <c r="D368" s="20">
        <v>-0.28999999999999998</v>
      </c>
      <c r="E368" s="20">
        <v>0</v>
      </c>
      <c r="F368" s="20">
        <v>1653.64</v>
      </c>
      <c r="Q368" s="20">
        <v>36.700000000000003</v>
      </c>
      <c r="R368" s="20">
        <v>65.040000000000006</v>
      </c>
      <c r="S368" s="26">
        <v>65</v>
      </c>
      <c r="T368" s="26">
        <v>-0.04</v>
      </c>
      <c r="U368" s="26">
        <v>-0.04</v>
      </c>
      <c r="V368" s="20">
        <v>1413.5</v>
      </c>
    </row>
    <row r="369" spans="1:22" ht="16.8" x14ac:dyDescent="0.3">
      <c r="A369" s="20">
        <v>36.799999999999997</v>
      </c>
      <c r="B369" s="20">
        <v>65</v>
      </c>
      <c r="C369" s="26">
        <v>65.27</v>
      </c>
      <c r="D369" s="20">
        <v>-0.27</v>
      </c>
      <c r="E369" s="20">
        <v>0.02</v>
      </c>
      <c r="F369" s="26">
        <v>1666.57</v>
      </c>
      <c r="Q369" s="20">
        <v>36.799999999999997</v>
      </c>
      <c r="R369" s="20">
        <v>65.040000000000006</v>
      </c>
      <c r="S369" s="26">
        <v>65</v>
      </c>
      <c r="T369" s="26">
        <v>-0.04</v>
      </c>
      <c r="U369" s="26">
        <v>0</v>
      </c>
      <c r="V369" s="26">
        <v>1439.85</v>
      </c>
    </row>
    <row r="370" spans="1:22" ht="16.8" x14ac:dyDescent="0.3">
      <c r="A370" s="20">
        <v>36.9</v>
      </c>
      <c r="B370" s="20">
        <v>65</v>
      </c>
      <c r="C370" s="20">
        <v>65.290000000000006</v>
      </c>
      <c r="D370" s="20">
        <v>-0.28999999999999998</v>
      </c>
      <c r="E370" s="20">
        <v>-0.02</v>
      </c>
      <c r="F370" s="26">
        <v>1653.64</v>
      </c>
      <c r="Q370" s="20">
        <v>36.9</v>
      </c>
      <c r="R370" s="20">
        <v>65.06</v>
      </c>
      <c r="S370" s="26">
        <v>65</v>
      </c>
      <c r="T370" s="26">
        <v>-0.06</v>
      </c>
      <c r="U370" s="26">
        <v>-0.02</v>
      </c>
      <c r="V370" s="20">
        <v>1419.96</v>
      </c>
    </row>
    <row r="371" spans="1:22" ht="16.8" x14ac:dyDescent="0.3">
      <c r="A371" s="20">
        <v>37</v>
      </c>
      <c r="B371" s="20">
        <v>65</v>
      </c>
      <c r="C371" s="26">
        <v>65.27</v>
      </c>
      <c r="D371" s="20">
        <v>-0.27</v>
      </c>
      <c r="E371" s="20">
        <v>0.02</v>
      </c>
      <c r="F371" s="20">
        <v>1664.47</v>
      </c>
      <c r="Q371" s="20">
        <v>37</v>
      </c>
      <c r="R371" s="20">
        <v>65.06</v>
      </c>
      <c r="S371" s="26">
        <v>65</v>
      </c>
      <c r="T371" s="26">
        <v>-0.06</v>
      </c>
      <c r="U371" s="26">
        <v>0</v>
      </c>
      <c r="V371" s="26">
        <v>1435.67</v>
      </c>
    </row>
    <row r="372" spans="1:22" ht="16.8" x14ac:dyDescent="0.3">
      <c r="A372" s="20">
        <v>37.1</v>
      </c>
      <c r="B372" s="20">
        <v>65</v>
      </c>
      <c r="C372" s="26">
        <v>65.28</v>
      </c>
      <c r="D372" s="20">
        <v>-0.28000000000000003</v>
      </c>
      <c r="E372" s="20">
        <v>-0.01</v>
      </c>
      <c r="F372" s="26">
        <v>1660.19</v>
      </c>
      <c r="Q372" s="20">
        <v>37.1</v>
      </c>
      <c r="R372" s="20">
        <v>65.069999999999993</v>
      </c>
      <c r="S372" s="26">
        <v>65</v>
      </c>
      <c r="T372" s="20">
        <v>-7.0000000000000007E-2</v>
      </c>
      <c r="U372" s="20">
        <v>-0.01</v>
      </c>
      <c r="V372" s="20">
        <v>1428.93</v>
      </c>
    </row>
    <row r="373" spans="1:22" ht="16.8" x14ac:dyDescent="0.3">
      <c r="A373" s="20">
        <v>37.200000000000003</v>
      </c>
      <c r="B373" s="20">
        <v>65</v>
      </c>
      <c r="C373" s="20">
        <v>65.33</v>
      </c>
      <c r="D373" s="20">
        <v>-0.33</v>
      </c>
      <c r="E373" s="20">
        <v>-0.05</v>
      </c>
      <c r="F373" s="20">
        <v>1633.34</v>
      </c>
      <c r="Q373" s="20">
        <v>37.200000000000003</v>
      </c>
      <c r="R373" s="20">
        <v>65.010000000000005</v>
      </c>
      <c r="S373" s="26">
        <v>65</v>
      </c>
      <c r="T373" s="26">
        <v>-0.01</v>
      </c>
      <c r="U373" s="26">
        <v>0.06</v>
      </c>
      <c r="V373" s="26">
        <v>1480.25</v>
      </c>
    </row>
    <row r="374" spans="1:22" ht="16.8" x14ac:dyDescent="0.3">
      <c r="A374" s="20">
        <v>37.299999999999997</v>
      </c>
      <c r="B374" s="20">
        <v>65</v>
      </c>
      <c r="C374" s="26">
        <v>65.349999999999994</v>
      </c>
      <c r="D374" s="20">
        <v>-0.35</v>
      </c>
      <c r="E374" s="20">
        <v>-0.02</v>
      </c>
      <c r="F374" s="26">
        <v>1618.89</v>
      </c>
      <c r="Q374" s="20">
        <v>37.299999999999997</v>
      </c>
      <c r="R374" s="20">
        <v>65.099999999999994</v>
      </c>
      <c r="S374" s="26">
        <v>65</v>
      </c>
      <c r="T374" s="20">
        <v>-0.1</v>
      </c>
      <c r="U374" s="20">
        <v>-0.09</v>
      </c>
      <c r="V374" s="20">
        <v>1370.61</v>
      </c>
    </row>
    <row r="375" spans="1:22" ht="16.8" x14ac:dyDescent="0.3">
      <c r="A375" s="20">
        <v>37.4</v>
      </c>
      <c r="B375" s="20">
        <v>65</v>
      </c>
      <c r="C375" s="26">
        <v>65.37</v>
      </c>
      <c r="D375" s="20">
        <v>-0.37</v>
      </c>
      <c r="E375" s="20">
        <v>-0.02</v>
      </c>
      <c r="F375" s="26">
        <v>1608.86</v>
      </c>
      <c r="Q375" s="20">
        <v>37.4</v>
      </c>
      <c r="R375" s="20">
        <v>65.08</v>
      </c>
      <c r="S375" s="26">
        <v>65</v>
      </c>
      <c r="T375" s="26">
        <v>-0.08</v>
      </c>
      <c r="U375" s="26">
        <v>0.02</v>
      </c>
      <c r="V375" s="26">
        <v>1441.72</v>
      </c>
    </row>
    <row r="376" spans="1:22" ht="16.8" x14ac:dyDescent="0.3">
      <c r="A376" s="20">
        <v>37.5</v>
      </c>
      <c r="B376" s="20">
        <v>65</v>
      </c>
      <c r="C376" s="20">
        <v>65.290000000000006</v>
      </c>
      <c r="D376" s="20">
        <v>-0.28999999999999998</v>
      </c>
      <c r="E376" s="20">
        <v>0.08</v>
      </c>
      <c r="F376" s="20">
        <v>1653.64</v>
      </c>
      <c r="Q376" s="20">
        <v>37.5</v>
      </c>
      <c r="R376" s="20">
        <v>65.099999999999994</v>
      </c>
      <c r="S376" s="26">
        <v>65</v>
      </c>
      <c r="T376" s="26">
        <v>-0.1</v>
      </c>
      <c r="U376" s="26">
        <v>-0.02</v>
      </c>
      <c r="V376" s="20">
        <v>1417.75</v>
      </c>
    </row>
    <row r="377" spans="1:22" ht="16.8" x14ac:dyDescent="0.3">
      <c r="A377" s="20">
        <v>37.6</v>
      </c>
      <c r="B377" s="20">
        <v>65</v>
      </c>
      <c r="C377" s="26">
        <v>65.37</v>
      </c>
      <c r="D377" s="20">
        <v>-0.37</v>
      </c>
      <c r="E377" s="20">
        <v>-7.0000000000000007E-2</v>
      </c>
      <c r="F377" s="26">
        <v>1611.42</v>
      </c>
      <c r="Q377" s="20">
        <v>37.6</v>
      </c>
      <c r="R377" s="20">
        <v>65.069999999999993</v>
      </c>
      <c r="S377" s="20">
        <v>65</v>
      </c>
      <c r="T377" s="26">
        <v>-7.0000000000000007E-2</v>
      </c>
      <c r="U377" s="26">
        <v>0.03</v>
      </c>
      <c r="V377" s="20">
        <v>1454.47</v>
      </c>
    </row>
    <row r="378" spans="1:22" ht="16.8" x14ac:dyDescent="0.3">
      <c r="A378" s="20">
        <v>37.700000000000003</v>
      </c>
      <c r="B378" s="20">
        <v>65</v>
      </c>
      <c r="C378" s="20">
        <v>65.38</v>
      </c>
      <c r="D378" s="20">
        <v>-0.38</v>
      </c>
      <c r="E378" s="20">
        <v>-0.02</v>
      </c>
      <c r="F378" s="20">
        <v>1601.02</v>
      </c>
      <c r="Q378" s="20">
        <v>37.700000000000003</v>
      </c>
      <c r="R378" s="20">
        <v>65.06</v>
      </c>
      <c r="S378" s="26">
        <v>65</v>
      </c>
      <c r="T378" s="26">
        <v>-0.06</v>
      </c>
      <c r="U378" s="26">
        <v>0.01</v>
      </c>
      <c r="V378" s="26">
        <v>1439.76</v>
      </c>
    </row>
    <row r="379" spans="1:22" ht="16.8" x14ac:dyDescent="0.3">
      <c r="A379" s="20">
        <v>37.799999999999997</v>
      </c>
      <c r="B379" s="20">
        <v>65</v>
      </c>
      <c r="C379" s="26">
        <v>65.400000000000006</v>
      </c>
      <c r="D379" s="20">
        <v>-0.4</v>
      </c>
      <c r="E379" s="20">
        <v>-0.01</v>
      </c>
      <c r="F379" s="26">
        <v>1592.88</v>
      </c>
      <c r="Q379" s="20">
        <v>37.799999999999997</v>
      </c>
      <c r="R379" s="20">
        <v>65.13</v>
      </c>
      <c r="S379" s="20">
        <v>65</v>
      </c>
      <c r="T379" s="26">
        <v>-0.13</v>
      </c>
      <c r="U379" s="20">
        <v>-0.06</v>
      </c>
      <c r="V379" s="20">
        <v>1381.54</v>
      </c>
    </row>
    <row r="380" spans="1:22" ht="16.8" x14ac:dyDescent="0.3">
      <c r="A380" s="20">
        <v>37.9</v>
      </c>
      <c r="B380" s="20">
        <v>65</v>
      </c>
      <c r="C380" s="26">
        <v>65.400000000000006</v>
      </c>
      <c r="D380" s="20">
        <v>-0.4</v>
      </c>
      <c r="E380" s="20">
        <v>0</v>
      </c>
      <c r="F380" s="26">
        <v>1592.88</v>
      </c>
      <c r="Q380" s="20">
        <v>37.9</v>
      </c>
      <c r="R380" s="20">
        <v>65.11</v>
      </c>
      <c r="S380" s="26">
        <v>65</v>
      </c>
      <c r="T380" s="26">
        <v>-0.11</v>
      </c>
      <c r="U380" s="26">
        <v>0.02</v>
      </c>
      <c r="V380" s="26">
        <v>1436.72</v>
      </c>
    </row>
    <row r="381" spans="1:22" ht="16.8" x14ac:dyDescent="0.3">
      <c r="A381" s="20">
        <v>38</v>
      </c>
      <c r="B381" s="20">
        <v>65</v>
      </c>
      <c r="C381" s="20">
        <v>65.38</v>
      </c>
      <c r="D381" s="20">
        <v>-0.38</v>
      </c>
      <c r="E381" s="20">
        <v>0.02</v>
      </c>
      <c r="F381" s="20">
        <v>1603.66</v>
      </c>
      <c r="Q381" s="20">
        <v>38</v>
      </c>
      <c r="R381" s="20">
        <v>65.06</v>
      </c>
      <c r="S381" s="26">
        <v>65</v>
      </c>
      <c r="T381" s="20">
        <v>-0.06</v>
      </c>
      <c r="U381" s="20">
        <v>0.05</v>
      </c>
      <c r="V381" s="20">
        <v>1465.48</v>
      </c>
    </row>
    <row r="382" spans="1:22" ht="16.8" x14ac:dyDescent="0.3">
      <c r="A382" s="20">
        <v>38.1</v>
      </c>
      <c r="B382" s="20">
        <v>65</v>
      </c>
      <c r="C382" s="26">
        <v>65.400000000000006</v>
      </c>
      <c r="D382" s="20">
        <v>-0.4</v>
      </c>
      <c r="E382" s="20">
        <v>-0.02</v>
      </c>
      <c r="F382" s="26">
        <v>1587.36</v>
      </c>
      <c r="Q382" s="20">
        <v>38.1</v>
      </c>
      <c r="R382" s="20">
        <v>65.08</v>
      </c>
      <c r="S382" s="26">
        <v>65</v>
      </c>
      <c r="T382" s="26">
        <v>-0.08</v>
      </c>
      <c r="U382" s="26">
        <v>-0.02</v>
      </c>
      <c r="V382" s="26">
        <v>1413.83</v>
      </c>
    </row>
    <row r="383" spans="1:22" ht="16.8" x14ac:dyDescent="0.3">
      <c r="A383" s="20">
        <v>38.200000000000003</v>
      </c>
      <c r="B383" s="20">
        <v>65</v>
      </c>
      <c r="C383" s="26">
        <v>65.39</v>
      </c>
      <c r="D383" s="20">
        <v>-0.39</v>
      </c>
      <c r="E383" s="20">
        <v>0.02</v>
      </c>
      <c r="F383" s="26">
        <v>1598.33</v>
      </c>
      <c r="Q383" s="20">
        <v>38.200000000000003</v>
      </c>
      <c r="R383" s="20">
        <v>65.040000000000006</v>
      </c>
      <c r="S383" s="26">
        <v>65</v>
      </c>
      <c r="T383" s="20">
        <v>-0.04</v>
      </c>
      <c r="U383" s="20">
        <v>0.04</v>
      </c>
      <c r="V383" s="20">
        <v>1462.48</v>
      </c>
    </row>
    <row r="384" spans="1:22" ht="16.8" x14ac:dyDescent="0.3">
      <c r="A384" s="20">
        <v>38.299999999999997</v>
      </c>
      <c r="B384" s="20">
        <v>65</v>
      </c>
      <c r="C384" s="20">
        <v>65.39</v>
      </c>
      <c r="D384" s="20">
        <v>-0.39</v>
      </c>
      <c r="E384" s="20">
        <v>0</v>
      </c>
      <c r="F384" s="20">
        <v>1595.62</v>
      </c>
      <c r="Q384" s="20">
        <v>38.299999999999997</v>
      </c>
      <c r="R384" s="20">
        <v>65.069999999999993</v>
      </c>
      <c r="S384" s="26">
        <v>65</v>
      </c>
      <c r="T384" s="26">
        <v>-7.0000000000000007E-2</v>
      </c>
      <c r="U384" s="26">
        <v>-0.02</v>
      </c>
      <c r="V384" s="26">
        <v>1416.14</v>
      </c>
    </row>
    <row r="385" spans="1:22" ht="16.8" x14ac:dyDescent="0.3">
      <c r="A385" s="20">
        <v>38.4</v>
      </c>
      <c r="B385" s="20">
        <v>65</v>
      </c>
      <c r="C385" s="26">
        <v>65.44</v>
      </c>
      <c r="D385" s="20">
        <v>-0.44</v>
      </c>
      <c r="E385" s="20">
        <v>-0.04</v>
      </c>
      <c r="F385" s="26">
        <v>1563.77</v>
      </c>
      <c r="Q385" s="20">
        <v>38.4</v>
      </c>
      <c r="R385" s="20">
        <v>65.08</v>
      </c>
      <c r="S385" s="26">
        <v>65</v>
      </c>
      <c r="T385" s="26">
        <v>-0.08</v>
      </c>
      <c r="U385" s="26">
        <v>-0.01</v>
      </c>
      <c r="V385" s="20">
        <v>1425.23</v>
      </c>
    </row>
    <row r="386" spans="1:22" ht="16.8" x14ac:dyDescent="0.3">
      <c r="A386" s="20">
        <v>38.5</v>
      </c>
      <c r="B386" s="20">
        <v>65</v>
      </c>
      <c r="C386" s="20">
        <v>65.41</v>
      </c>
      <c r="D386" s="20">
        <v>-0.41</v>
      </c>
      <c r="E386" s="20">
        <v>0.03</v>
      </c>
      <c r="F386" s="20">
        <v>1584.56</v>
      </c>
      <c r="Q386" s="20">
        <v>38.5</v>
      </c>
      <c r="R386" s="20">
        <v>65.099999999999994</v>
      </c>
      <c r="S386" s="26">
        <v>65</v>
      </c>
      <c r="T386" s="26">
        <v>-0.1</v>
      </c>
      <c r="U386" s="26">
        <v>-0.02</v>
      </c>
      <c r="V386" s="26">
        <v>1410.54</v>
      </c>
    </row>
    <row r="387" spans="1:22" ht="16.8" x14ac:dyDescent="0.3">
      <c r="A387" s="20">
        <v>38.6</v>
      </c>
      <c r="B387" s="20">
        <v>65</v>
      </c>
      <c r="C387" s="26">
        <v>65.42</v>
      </c>
      <c r="D387" s="20">
        <v>-0.42</v>
      </c>
      <c r="E387" s="20">
        <v>-0.02</v>
      </c>
      <c r="F387" s="26">
        <v>1572.94</v>
      </c>
      <c r="Q387" s="20">
        <v>38.6</v>
      </c>
      <c r="R387" s="20">
        <v>65.099999999999994</v>
      </c>
      <c r="S387" s="26">
        <v>65</v>
      </c>
      <c r="T387" s="26">
        <v>-0.1</v>
      </c>
      <c r="U387" s="26">
        <v>0</v>
      </c>
      <c r="V387" s="20">
        <v>1426.15</v>
      </c>
    </row>
    <row r="388" spans="1:22" ht="16.8" x14ac:dyDescent="0.3">
      <c r="A388" s="20">
        <v>38.700000000000003</v>
      </c>
      <c r="B388" s="20">
        <v>65</v>
      </c>
      <c r="C388" s="26">
        <v>65.42</v>
      </c>
      <c r="D388" s="20">
        <v>-0.42</v>
      </c>
      <c r="E388" s="20">
        <v>0.01</v>
      </c>
      <c r="F388" s="20">
        <v>1578.84</v>
      </c>
      <c r="Q388" s="20">
        <v>38.700000000000003</v>
      </c>
      <c r="R388" s="20">
        <v>65.08</v>
      </c>
      <c r="S388" s="26">
        <v>65</v>
      </c>
      <c r="T388" s="26">
        <v>-0.08</v>
      </c>
      <c r="U388" s="26">
        <v>0.02</v>
      </c>
      <c r="V388" s="26">
        <v>1445.71</v>
      </c>
    </row>
    <row r="389" spans="1:22" ht="16.8" x14ac:dyDescent="0.3">
      <c r="A389" s="20">
        <v>38.799999999999997</v>
      </c>
      <c r="B389" s="20">
        <v>65</v>
      </c>
      <c r="C389" s="20">
        <v>65.400000000000006</v>
      </c>
      <c r="D389" s="20">
        <v>-0.4</v>
      </c>
      <c r="E389" s="20">
        <v>0.01</v>
      </c>
      <c r="F389" s="26">
        <v>1587.36</v>
      </c>
      <c r="Q389" s="20">
        <v>38.799999999999997</v>
      </c>
      <c r="R389" s="20">
        <v>65.08</v>
      </c>
      <c r="S389" s="26">
        <v>65</v>
      </c>
      <c r="T389" s="26">
        <v>-0.08</v>
      </c>
      <c r="U389" s="26">
        <v>0</v>
      </c>
      <c r="V389" s="20">
        <v>1429.67</v>
      </c>
    </row>
    <row r="390" spans="1:22" ht="16.8" x14ac:dyDescent="0.3">
      <c r="A390" s="20">
        <v>38.9</v>
      </c>
      <c r="B390" s="20">
        <v>65</v>
      </c>
      <c r="C390" s="26">
        <v>65.349999999999994</v>
      </c>
      <c r="D390" s="20">
        <v>-0.35</v>
      </c>
      <c r="E390" s="20">
        <v>0.05</v>
      </c>
      <c r="F390" s="26">
        <v>1621.32</v>
      </c>
      <c r="Q390" s="20">
        <v>38.9</v>
      </c>
      <c r="R390" s="20">
        <v>65.040000000000006</v>
      </c>
      <c r="S390" s="26">
        <v>65</v>
      </c>
      <c r="T390" s="26">
        <v>-0.04</v>
      </c>
      <c r="U390" s="26">
        <v>0.03</v>
      </c>
      <c r="V390" s="26">
        <v>1455.88</v>
      </c>
    </row>
    <row r="391" spans="1:22" ht="16.8" x14ac:dyDescent="0.3">
      <c r="A391" s="20">
        <v>39</v>
      </c>
      <c r="B391" s="20">
        <v>65</v>
      </c>
      <c r="C391" s="26">
        <v>65.38</v>
      </c>
      <c r="D391" s="20">
        <v>-0.38</v>
      </c>
      <c r="E391" s="20">
        <v>-0.03</v>
      </c>
      <c r="F391" s="20">
        <v>1601.02</v>
      </c>
      <c r="Q391" s="20">
        <v>39</v>
      </c>
      <c r="R391" s="20">
        <v>65.08</v>
      </c>
      <c r="S391" s="26">
        <v>65</v>
      </c>
      <c r="T391" s="26">
        <v>-0.08</v>
      </c>
      <c r="U391" s="26">
        <v>-0.04</v>
      </c>
      <c r="V391" s="20">
        <v>1401.63</v>
      </c>
    </row>
    <row r="392" spans="1:22" ht="16.8" x14ac:dyDescent="0.3">
      <c r="A392" s="20">
        <v>39.1</v>
      </c>
      <c r="B392" s="20">
        <v>65</v>
      </c>
      <c r="C392" s="20">
        <v>65.33</v>
      </c>
      <c r="D392" s="20">
        <v>-0.33</v>
      </c>
      <c r="E392" s="20">
        <v>0.06</v>
      </c>
      <c r="F392" s="26">
        <v>1635.68</v>
      </c>
      <c r="Q392" s="20">
        <v>39.1</v>
      </c>
      <c r="R392" s="20">
        <v>65.14</v>
      </c>
      <c r="S392" s="26">
        <v>65</v>
      </c>
      <c r="T392" s="26">
        <v>-0.14000000000000001</v>
      </c>
      <c r="U392" s="26">
        <v>-0.06</v>
      </c>
      <c r="V392" s="26">
        <v>1381.66</v>
      </c>
    </row>
    <row r="393" spans="1:22" ht="16.8" x14ac:dyDescent="0.3">
      <c r="A393" s="20">
        <v>39.200000000000003</v>
      </c>
      <c r="B393" s="20">
        <v>65</v>
      </c>
      <c r="C393" s="26">
        <v>65.38</v>
      </c>
      <c r="D393" s="20">
        <v>-0.38</v>
      </c>
      <c r="E393" s="20">
        <v>-0.05</v>
      </c>
      <c r="F393" s="26">
        <v>1603.66</v>
      </c>
      <c r="Q393" s="20">
        <v>39.200000000000003</v>
      </c>
      <c r="R393" s="20">
        <v>65.08</v>
      </c>
      <c r="S393" s="26">
        <v>65</v>
      </c>
      <c r="T393" s="26">
        <v>-0.08</v>
      </c>
      <c r="U393" s="26">
        <v>0.06</v>
      </c>
      <c r="V393" s="20">
        <v>1471.12</v>
      </c>
    </row>
    <row r="394" spans="1:22" ht="16.8" x14ac:dyDescent="0.3">
      <c r="A394" s="20">
        <v>39.299999999999997</v>
      </c>
      <c r="B394" s="20">
        <v>65</v>
      </c>
      <c r="C394" s="26">
        <v>65.290000000000006</v>
      </c>
      <c r="D394" s="20">
        <v>-0.28999999999999998</v>
      </c>
      <c r="E394" s="20">
        <v>0.09</v>
      </c>
      <c r="F394" s="20">
        <v>1658.02</v>
      </c>
      <c r="Q394" s="20">
        <v>39.299999999999997</v>
      </c>
      <c r="R394" s="20">
        <v>65.11</v>
      </c>
      <c r="S394" s="26">
        <v>65</v>
      </c>
      <c r="T394" s="20">
        <v>-0.11</v>
      </c>
      <c r="U394" s="20">
        <v>-0.03</v>
      </c>
      <c r="V394" s="20">
        <v>1402.25</v>
      </c>
    </row>
    <row r="395" spans="1:22" ht="16.8" x14ac:dyDescent="0.3">
      <c r="A395" s="20">
        <v>39.4</v>
      </c>
      <c r="B395" s="20">
        <v>65</v>
      </c>
      <c r="C395" s="20">
        <v>65.33</v>
      </c>
      <c r="D395" s="20">
        <v>-0.33</v>
      </c>
      <c r="E395" s="20">
        <v>-0.04</v>
      </c>
      <c r="F395" s="26">
        <v>1633.34</v>
      </c>
      <c r="Q395" s="20">
        <v>39.4</v>
      </c>
      <c r="R395" s="20">
        <v>65.099999999999994</v>
      </c>
      <c r="S395" s="26">
        <v>65</v>
      </c>
      <c r="T395" s="26">
        <v>-0.1</v>
      </c>
      <c r="U395" s="26">
        <v>0.01</v>
      </c>
      <c r="V395" s="26">
        <v>1429.73</v>
      </c>
    </row>
    <row r="396" spans="1:22" ht="16.8" x14ac:dyDescent="0.3">
      <c r="A396" s="20">
        <v>39.5</v>
      </c>
      <c r="B396" s="20">
        <v>65</v>
      </c>
      <c r="C396" s="26">
        <v>65.349999999999994</v>
      </c>
      <c r="D396" s="20">
        <v>-0.35</v>
      </c>
      <c r="E396" s="20">
        <v>-0.02</v>
      </c>
      <c r="F396" s="26">
        <v>1618.89</v>
      </c>
      <c r="Q396" s="20">
        <v>39.5</v>
      </c>
      <c r="R396" s="20">
        <v>65.09</v>
      </c>
      <c r="S396" s="26">
        <v>65</v>
      </c>
      <c r="T396" s="26">
        <v>-0.09</v>
      </c>
      <c r="U396" s="20">
        <v>0.01</v>
      </c>
      <c r="V396" s="20">
        <v>1430.8</v>
      </c>
    </row>
    <row r="397" spans="1:22" ht="16.8" x14ac:dyDescent="0.3">
      <c r="A397" s="20">
        <v>39.6</v>
      </c>
      <c r="B397" s="20">
        <v>65</v>
      </c>
      <c r="C397" s="26">
        <v>65.37</v>
      </c>
      <c r="D397" s="20">
        <v>-0.37</v>
      </c>
      <c r="E397" s="20">
        <v>-0.01</v>
      </c>
      <c r="F397" s="20">
        <v>1611.42</v>
      </c>
      <c r="Q397" s="20">
        <v>39.6</v>
      </c>
      <c r="R397" s="20">
        <v>65.150000000000006</v>
      </c>
      <c r="S397" s="26">
        <v>65</v>
      </c>
      <c r="T397" s="26">
        <v>-0.15</v>
      </c>
      <c r="U397" s="26">
        <v>-0.06</v>
      </c>
      <c r="V397" s="26">
        <v>1379.09</v>
      </c>
    </row>
    <row r="398" spans="1:22" ht="16.8" x14ac:dyDescent="0.3">
      <c r="A398" s="20">
        <v>39.700000000000003</v>
      </c>
      <c r="B398" s="20">
        <v>65</v>
      </c>
      <c r="C398" s="20">
        <v>65.34</v>
      </c>
      <c r="D398" s="20">
        <v>-0.34</v>
      </c>
      <c r="E398" s="20">
        <v>0.02</v>
      </c>
      <c r="F398" s="26">
        <v>1626.18</v>
      </c>
      <c r="Q398" s="20">
        <v>39.700000000000003</v>
      </c>
      <c r="R398" s="20">
        <v>65.12</v>
      </c>
      <c r="S398" s="26">
        <v>65</v>
      </c>
      <c r="T398" s="26">
        <v>-0.12</v>
      </c>
      <c r="U398" s="26">
        <v>0.03</v>
      </c>
      <c r="V398" s="20">
        <v>1442.14</v>
      </c>
    </row>
    <row r="399" spans="1:22" ht="16.8" x14ac:dyDescent="0.3">
      <c r="A399" s="20">
        <v>39.799999999999997</v>
      </c>
      <c r="B399" s="20">
        <v>65</v>
      </c>
      <c r="C399" s="26">
        <v>65.36</v>
      </c>
      <c r="D399" s="20">
        <v>-0.36</v>
      </c>
      <c r="E399" s="20">
        <v>-0.02</v>
      </c>
      <c r="F399" s="20">
        <v>1613.93</v>
      </c>
      <c r="Q399" s="20">
        <v>39.799999999999997</v>
      </c>
      <c r="R399" s="20">
        <v>65.069999999999993</v>
      </c>
      <c r="S399" s="26">
        <v>65</v>
      </c>
      <c r="T399" s="20">
        <v>-7.0000000000000007E-2</v>
      </c>
      <c r="U399" s="26">
        <v>0.05</v>
      </c>
      <c r="V399" s="26">
        <v>1460.3</v>
      </c>
    </row>
    <row r="400" spans="1:22" ht="16.8" x14ac:dyDescent="0.3">
      <c r="A400" s="20">
        <v>39.9</v>
      </c>
      <c r="B400" s="20">
        <v>65</v>
      </c>
      <c r="C400" s="26">
        <v>65.3</v>
      </c>
      <c r="D400" s="20">
        <v>-0.3</v>
      </c>
      <c r="E400" s="20">
        <v>0.06</v>
      </c>
      <c r="F400" s="26">
        <v>1651.41</v>
      </c>
      <c r="Q400" s="20">
        <v>39.9</v>
      </c>
      <c r="R400" s="20">
        <v>65.13</v>
      </c>
      <c r="S400" s="26">
        <v>65</v>
      </c>
      <c r="T400" s="26">
        <v>-0.13</v>
      </c>
      <c r="U400" s="26">
        <v>-0.06</v>
      </c>
      <c r="V400" s="20">
        <v>1375.64</v>
      </c>
    </row>
    <row r="401" spans="1:22" ht="16.8" x14ac:dyDescent="0.3">
      <c r="A401" s="20">
        <v>40</v>
      </c>
      <c r="B401" s="20">
        <v>65</v>
      </c>
      <c r="C401" s="20">
        <v>65.319999999999993</v>
      </c>
      <c r="D401" s="20">
        <v>-0.32</v>
      </c>
      <c r="E401" s="20">
        <v>-0.02</v>
      </c>
      <c r="F401" s="20">
        <v>1640.28</v>
      </c>
      <c r="Q401" s="20">
        <v>40</v>
      </c>
      <c r="R401" s="20">
        <v>65.09</v>
      </c>
      <c r="S401" s="26">
        <v>65</v>
      </c>
      <c r="T401" s="20">
        <v>-0.09</v>
      </c>
      <c r="U401" s="26">
        <v>0.04</v>
      </c>
      <c r="V401" s="20">
        <v>1450.59</v>
      </c>
    </row>
    <row r="402" spans="1:22" ht="16.8" x14ac:dyDescent="0.3">
      <c r="A402" s="20">
        <v>40.1</v>
      </c>
      <c r="B402" s="20">
        <v>65</v>
      </c>
      <c r="C402" s="26">
        <v>65.34</v>
      </c>
      <c r="D402" s="20">
        <v>-0.34</v>
      </c>
      <c r="E402" s="20">
        <v>-0.02</v>
      </c>
      <c r="F402" s="26">
        <v>1626.18</v>
      </c>
      <c r="Q402" s="20">
        <v>40.1</v>
      </c>
      <c r="R402" s="20">
        <v>65.08</v>
      </c>
      <c r="S402" s="26">
        <v>65</v>
      </c>
      <c r="T402" s="26">
        <v>-0.08</v>
      </c>
      <c r="U402" s="26">
        <v>0.01</v>
      </c>
      <c r="V402" s="26">
        <v>1430.54</v>
      </c>
    </row>
    <row r="403" spans="1:22" ht="16.8" x14ac:dyDescent="0.3">
      <c r="A403" s="20">
        <v>40.200000000000003</v>
      </c>
      <c r="B403" s="20">
        <v>65</v>
      </c>
      <c r="C403" s="20">
        <v>65.290000000000006</v>
      </c>
      <c r="D403" s="20">
        <v>-0.28999999999999998</v>
      </c>
      <c r="E403" s="20">
        <v>0.05</v>
      </c>
      <c r="F403" s="26">
        <v>1653.64</v>
      </c>
      <c r="Q403" s="20">
        <v>40.200000000000003</v>
      </c>
      <c r="R403" s="20">
        <v>65.150000000000006</v>
      </c>
      <c r="S403" s="26">
        <v>65</v>
      </c>
      <c r="T403" s="26">
        <v>-0.15</v>
      </c>
      <c r="U403" s="26">
        <v>-0.06</v>
      </c>
      <c r="V403" s="20">
        <v>1372.25</v>
      </c>
    </row>
    <row r="404" spans="1:22" ht="16.8" x14ac:dyDescent="0.3">
      <c r="A404" s="20">
        <v>40.299999999999997</v>
      </c>
      <c r="B404" s="20">
        <v>65</v>
      </c>
      <c r="C404" s="26">
        <v>65.3</v>
      </c>
      <c r="D404" s="20">
        <v>-0.3</v>
      </c>
      <c r="E404" s="20">
        <v>-0.01</v>
      </c>
      <c r="F404" s="20">
        <v>1649.21</v>
      </c>
      <c r="Q404" s="20">
        <v>40.299999999999997</v>
      </c>
      <c r="R404" s="20">
        <v>65.08</v>
      </c>
      <c r="S404" s="26">
        <v>65</v>
      </c>
      <c r="T404" s="26">
        <v>-0.08</v>
      </c>
      <c r="U404" s="26">
        <v>0.06</v>
      </c>
      <c r="V404" s="26">
        <v>1466.99</v>
      </c>
    </row>
    <row r="405" spans="1:22" ht="16.8" x14ac:dyDescent="0.3">
      <c r="A405" s="20">
        <v>40.4</v>
      </c>
      <c r="B405" s="20">
        <v>65</v>
      </c>
      <c r="C405" s="26">
        <v>65.27</v>
      </c>
      <c r="D405" s="20">
        <v>-0.27</v>
      </c>
      <c r="E405" s="20">
        <v>0.03</v>
      </c>
      <c r="F405" s="26">
        <v>1664.47</v>
      </c>
      <c r="Q405" s="20">
        <v>40.4</v>
      </c>
      <c r="R405" s="20">
        <v>65.09</v>
      </c>
      <c r="S405" s="26">
        <v>65</v>
      </c>
      <c r="T405" s="26">
        <v>-0.09</v>
      </c>
      <c r="U405" s="26">
        <v>-0.01</v>
      </c>
      <c r="V405" s="20">
        <v>1417.89</v>
      </c>
    </row>
    <row r="406" spans="1:22" ht="16.8" x14ac:dyDescent="0.3">
      <c r="A406" s="20">
        <v>40.5</v>
      </c>
      <c r="B406" s="20">
        <v>65</v>
      </c>
      <c r="C406" s="20">
        <v>65.319999999999993</v>
      </c>
      <c r="D406" s="20">
        <v>-0.32</v>
      </c>
      <c r="E406" s="20">
        <v>-0.05</v>
      </c>
      <c r="F406" s="26">
        <v>1637.99</v>
      </c>
      <c r="Q406" s="20">
        <v>40.5</v>
      </c>
      <c r="R406" s="20">
        <v>65.069999999999993</v>
      </c>
      <c r="S406" s="26">
        <v>65</v>
      </c>
      <c r="T406" s="26">
        <v>-7.0000000000000007E-2</v>
      </c>
      <c r="U406" s="26">
        <v>0.02</v>
      </c>
      <c r="V406" s="26">
        <v>1442.75</v>
      </c>
    </row>
    <row r="407" spans="1:22" ht="16.8" x14ac:dyDescent="0.3">
      <c r="A407" s="20">
        <v>40.6</v>
      </c>
      <c r="B407" s="20">
        <v>65</v>
      </c>
      <c r="C407" s="26">
        <v>65.319999999999993</v>
      </c>
      <c r="D407" s="20">
        <v>-0.32</v>
      </c>
      <c r="E407" s="20">
        <v>0</v>
      </c>
      <c r="F407" s="20">
        <v>1640.28</v>
      </c>
      <c r="Q407" s="20">
        <v>40.6</v>
      </c>
      <c r="R407" s="20">
        <v>65.13</v>
      </c>
      <c r="S407" s="26">
        <v>65</v>
      </c>
      <c r="T407" s="20">
        <v>-0.13</v>
      </c>
      <c r="U407" s="26">
        <v>-0.06</v>
      </c>
      <c r="V407" s="20">
        <v>1373.94</v>
      </c>
    </row>
    <row r="408" spans="1:22" ht="16.8" x14ac:dyDescent="0.3">
      <c r="A408" s="20">
        <v>40.700000000000003</v>
      </c>
      <c r="B408" s="20">
        <v>65</v>
      </c>
      <c r="C408" s="26">
        <v>65.290000000000006</v>
      </c>
      <c r="D408" s="20">
        <v>-0.28999999999999998</v>
      </c>
      <c r="E408" s="20">
        <v>0.02</v>
      </c>
      <c r="F408" s="26">
        <v>1653.64</v>
      </c>
      <c r="Q408" s="20">
        <v>40.700000000000003</v>
      </c>
      <c r="R408" s="20">
        <v>65.11</v>
      </c>
      <c r="S408" s="26">
        <v>65</v>
      </c>
      <c r="T408" s="26">
        <v>-0.11</v>
      </c>
      <c r="U408" s="26">
        <v>0.02</v>
      </c>
      <c r="V408" s="26">
        <v>1435.7</v>
      </c>
    </row>
    <row r="409" spans="1:22" ht="16.8" x14ac:dyDescent="0.3">
      <c r="A409" s="20">
        <v>40.799999999999997</v>
      </c>
      <c r="B409" s="20">
        <v>65</v>
      </c>
      <c r="C409" s="20">
        <v>65.290000000000006</v>
      </c>
      <c r="D409" s="20">
        <v>-0.28999999999999998</v>
      </c>
      <c r="E409" s="20">
        <v>0</v>
      </c>
      <c r="F409" s="20">
        <v>1655.84</v>
      </c>
      <c r="Q409" s="20">
        <v>40.799999999999997</v>
      </c>
      <c r="R409" s="20">
        <v>65.08</v>
      </c>
      <c r="S409" s="26">
        <v>65</v>
      </c>
      <c r="T409" s="26">
        <v>-0.08</v>
      </c>
      <c r="U409" s="26">
        <v>0.02</v>
      </c>
      <c r="V409" s="20">
        <v>1439.38</v>
      </c>
    </row>
    <row r="410" spans="1:22" ht="16.8" x14ac:dyDescent="0.3">
      <c r="A410" s="20">
        <v>40.9</v>
      </c>
      <c r="B410" s="20">
        <v>65</v>
      </c>
      <c r="C410" s="26">
        <v>65.27</v>
      </c>
      <c r="D410" s="20">
        <v>-0.27</v>
      </c>
      <c r="E410" s="20">
        <v>0.02</v>
      </c>
      <c r="F410" s="26">
        <v>1666.57</v>
      </c>
      <c r="Q410" s="20">
        <v>40.9</v>
      </c>
      <c r="R410" s="20">
        <v>65.13</v>
      </c>
      <c r="S410" s="26">
        <v>65</v>
      </c>
      <c r="T410" s="26">
        <v>-0.13</v>
      </c>
      <c r="U410" s="26">
        <v>-0.05</v>
      </c>
      <c r="V410" s="26">
        <v>1383.73</v>
      </c>
    </row>
    <row r="411" spans="1:22" ht="16.8" x14ac:dyDescent="0.3">
      <c r="A411" s="20">
        <v>41</v>
      </c>
      <c r="B411" s="20">
        <v>65</v>
      </c>
      <c r="C411" s="20">
        <v>65.319999999999993</v>
      </c>
      <c r="D411" s="20">
        <v>-0.32</v>
      </c>
      <c r="E411" s="20">
        <v>-0.05</v>
      </c>
      <c r="F411" s="26">
        <v>1640.28</v>
      </c>
      <c r="Q411" s="20">
        <v>41</v>
      </c>
      <c r="R411" s="20">
        <v>65.05</v>
      </c>
      <c r="S411" s="26">
        <v>65</v>
      </c>
      <c r="T411" s="26">
        <v>-0.05</v>
      </c>
      <c r="U411" s="26">
        <v>0.08</v>
      </c>
      <c r="V411" s="20">
        <v>1481.11</v>
      </c>
    </row>
    <row r="412" spans="1:22" ht="16.8" x14ac:dyDescent="0.3">
      <c r="A412" s="20">
        <v>41.1</v>
      </c>
      <c r="B412" s="20">
        <v>65</v>
      </c>
      <c r="C412" s="26">
        <v>65.27</v>
      </c>
      <c r="D412" s="20">
        <v>-0.27</v>
      </c>
      <c r="E412" s="20">
        <v>0.04</v>
      </c>
      <c r="F412" s="20">
        <v>1664.47</v>
      </c>
      <c r="Q412" s="20">
        <v>41.1</v>
      </c>
      <c r="R412" s="20">
        <v>65.09</v>
      </c>
      <c r="S412" s="26">
        <v>65</v>
      </c>
      <c r="T412" s="26">
        <v>-0.09</v>
      </c>
      <c r="U412" s="26">
        <v>-0.04</v>
      </c>
      <c r="V412" s="26">
        <v>1395.13</v>
      </c>
    </row>
    <row r="413" spans="1:22" ht="16.8" x14ac:dyDescent="0.3">
      <c r="A413" s="20">
        <v>41.2</v>
      </c>
      <c r="B413" s="20">
        <v>65</v>
      </c>
      <c r="C413" s="26">
        <v>65.239999999999995</v>
      </c>
      <c r="D413" s="20">
        <v>-0.24</v>
      </c>
      <c r="E413" s="20">
        <v>0.04</v>
      </c>
      <c r="F413" s="26">
        <v>1683.11</v>
      </c>
      <c r="Q413" s="20">
        <v>41.2</v>
      </c>
      <c r="R413" s="20">
        <v>65.08</v>
      </c>
      <c r="S413" s="26">
        <v>65</v>
      </c>
      <c r="T413" s="26">
        <v>-0.08</v>
      </c>
      <c r="U413" s="26">
        <v>0.01</v>
      </c>
      <c r="V413" s="20">
        <v>1427.93</v>
      </c>
    </row>
    <row r="414" spans="1:22" ht="16.8" x14ac:dyDescent="0.3">
      <c r="A414" s="20">
        <v>41.3</v>
      </c>
      <c r="B414" s="20">
        <v>65</v>
      </c>
      <c r="C414" s="20">
        <v>65.260000000000005</v>
      </c>
      <c r="D414" s="20">
        <v>-0.26</v>
      </c>
      <c r="E414" s="20">
        <v>-0.02</v>
      </c>
      <c r="F414" s="20">
        <v>1672.81</v>
      </c>
      <c r="Q414" s="20">
        <v>41.3</v>
      </c>
      <c r="R414" s="20">
        <v>65.13</v>
      </c>
      <c r="S414" s="26">
        <v>65</v>
      </c>
      <c r="T414" s="20">
        <v>-0.13</v>
      </c>
      <c r="U414" s="26">
        <v>-0.05</v>
      </c>
      <c r="V414" s="26">
        <v>1382.85</v>
      </c>
    </row>
    <row r="415" spans="1:22" ht="16.8" x14ac:dyDescent="0.3">
      <c r="A415" s="20">
        <v>41.4</v>
      </c>
      <c r="B415" s="20">
        <v>65</v>
      </c>
      <c r="C415" s="26">
        <v>65.23</v>
      </c>
      <c r="D415" s="20">
        <v>-0.23</v>
      </c>
      <c r="E415" s="20">
        <v>0.03</v>
      </c>
      <c r="F415" s="26">
        <v>1689.19</v>
      </c>
      <c r="Q415" s="20">
        <v>41.4</v>
      </c>
      <c r="R415" s="20">
        <v>65.17</v>
      </c>
      <c r="S415" s="26">
        <v>65</v>
      </c>
      <c r="T415" s="26">
        <v>-0.17</v>
      </c>
      <c r="U415" s="26">
        <v>-0.04</v>
      </c>
      <c r="V415" s="20">
        <v>1381.24</v>
      </c>
    </row>
    <row r="416" spans="1:22" ht="16.8" x14ac:dyDescent="0.3">
      <c r="A416" s="20">
        <v>41.5</v>
      </c>
      <c r="B416" s="20">
        <v>65</v>
      </c>
      <c r="C416" s="26">
        <v>65.209999999999994</v>
      </c>
      <c r="D416" s="20">
        <v>-0.21</v>
      </c>
      <c r="E416" s="20">
        <v>0.02</v>
      </c>
      <c r="F416" s="26">
        <v>1699.07</v>
      </c>
      <c r="Q416" s="20">
        <v>41.5</v>
      </c>
      <c r="R416" s="20">
        <v>65.12</v>
      </c>
      <c r="S416" s="26">
        <v>65</v>
      </c>
      <c r="T416" s="20">
        <v>-0.12</v>
      </c>
      <c r="U416" s="26">
        <v>0.06</v>
      </c>
      <c r="V416" s="20">
        <v>1453.46</v>
      </c>
    </row>
    <row r="417" spans="1:22" ht="16.8" x14ac:dyDescent="0.3">
      <c r="A417" s="20">
        <v>41.6</v>
      </c>
      <c r="B417" s="20">
        <v>65</v>
      </c>
      <c r="C417" s="20">
        <v>65.260000000000005</v>
      </c>
      <c r="D417" s="20">
        <v>-0.26</v>
      </c>
      <c r="E417" s="20">
        <v>-0.05</v>
      </c>
      <c r="F417" s="20">
        <v>1672.81</v>
      </c>
      <c r="Q417" s="20">
        <v>41.6</v>
      </c>
      <c r="R417" s="20">
        <v>65.06</v>
      </c>
      <c r="S417" s="26">
        <v>65</v>
      </c>
      <c r="T417" s="26">
        <v>-0.06</v>
      </c>
      <c r="U417" s="26">
        <v>0.06</v>
      </c>
      <c r="V417" s="26">
        <v>1462.36</v>
      </c>
    </row>
    <row r="418" spans="1:22" ht="16.8" x14ac:dyDescent="0.3">
      <c r="A418" s="20">
        <v>41.7</v>
      </c>
      <c r="B418" s="20">
        <v>65</v>
      </c>
      <c r="C418" s="26">
        <v>65.3</v>
      </c>
      <c r="D418" s="20">
        <v>-0.3</v>
      </c>
      <c r="E418" s="20">
        <v>-0.04</v>
      </c>
      <c r="F418" s="26">
        <v>1649.21</v>
      </c>
      <c r="Q418" s="20">
        <v>41.7</v>
      </c>
      <c r="R418" s="20">
        <v>65.12</v>
      </c>
      <c r="S418" s="26">
        <v>65</v>
      </c>
      <c r="T418" s="26">
        <v>-0.12</v>
      </c>
      <c r="U418" s="26">
        <v>-0.06</v>
      </c>
      <c r="V418" s="20">
        <v>1379.03</v>
      </c>
    </row>
    <row r="419" spans="1:22" ht="16.8" x14ac:dyDescent="0.3">
      <c r="A419" s="20">
        <v>41.8</v>
      </c>
      <c r="B419" s="20">
        <v>65</v>
      </c>
      <c r="C419" s="20">
        <v>65.25</v>
      </c>
      <c r="D419" s="20">
        <v>-0.25</v>
      </c>
      <c r="E419" s="20">
        <v>0.05</v>
      </c>
      <c r="F419" s="26">
        <v>1674.86</v>
      </c>
      <c r="Q419" s="20">
        <v>41.8</v>
      </c>
      <c r="R419" s="20">
        <v>65.13</v>
      </c>
      <c r="S419" s="26">
        <v>65</v>
      </c>
      <c r="T419" s="20">
        <v>-0.13</v>
      </c>
      <c r="U419" s="26">
        <v>-0.01</v>
      </c>
      <c r="V419" s="26">
        <v>1409.15</v>
      </c>
    </row>
    <row r="420" spans="1:22" ht="16.8" x14ac:dyDescent="0.3">
      <c r="A420" s="20">
        <v>41.9</v>
      </c>
      <c r="B420" s="20">
        <v>65</v>
      </c>
      <c r="C420" s="26">
        <v>65.290000000000006</v>
      </c>
      <c r="D420" s="20">
        <v>-0.28999999999999998</v>
      </c>
      <c r="E420" s="20">
        <v>-0.04</v>
      </c>
      <c r="F420" s="20">
        <v>1653.64</v>
      </c>
      <c r="Q420" s="20">
        <v>41.9</v>
      </c>
      <c r="R420" s="20">
        <v>65.09</v>
      </c>
      <c r="S420" s="26">
        <v>65</v>
      </c>
      <c r="T420" s="26">
        <v>-0.09</v>
      </c>
      <c r="U420" s="26">
        <v>0.03</v>
      </c>
      <c r="V420" s="20">
        <v>1440.53</v>
      </c>
    </row>
    <row r="421" spans="1:22" ht="16.8" x14ac:dyDescent="0.3">
      <c r="A421" s="20">
        <v>42</v>
      </c>
      <c r="B421" s="20">
        <v>65</v>
      </c>
      <c r="C421" s="26">
        <v>65.33</v>
      </c>
      <c r="D421" s="20">
        <v>-0.33</v>
      </c>
      <c r="E421" s="20">
        <v>-0.03</v>
      </c>
      <c r="F421" s="26">
        <v>1635.68</v>
      </c>
      <c r="Q421" s="20">
        <v>42</v>
      </c>
      <c r="R421" s="20">
        <v>65.069999999999993</v>
      </c>
      <c r="S421" s="26">
        <v>65</v>
      </c>
      <c r="T421" s="20">
        <v>-7.0000000000000007E-2</v>
      </c>
      <c r="U421" s="26">
        <v>0.02</v>
      </c>
      <c r="V421" s="26">
        <v>1438.96</v>
      </c>
    </row>
    <row r="422" spans="1:22" ht="16.8" x14ac:dyDescent="0.3">
      <c r="A422" s="20">
        <v>42.1</v>
      </c>
      <c r="B422" s="20">
        <v>65</v>
      </c>
      <c r="C422" s="20">
        <v>65.290000000000006</v>
      </c>
      <c r="D422" s="20">
        <v>-0.28999999999999998</v>
      </c>
      <c r="E422" s="20">
        <v>0.04</v>
      </c>
      <c r="F422" s="20">
        <v>1655.84</v>
      </c>
      <c r="Q422" s="20">
        <v>42.1</v>
      </c>
      <c r="R422" s="20">
        <v>65.14</v>
      </c>
      <c r="S422" s="26">
        <v>65</v>
      </c>
      <c r="T422" s="26">
        <v>-0.14000000000000001</v>
      </c>
      <c r="U422" s="26">
        <v>-7.0000000000000007E-2</v>
      </c>
      <c r="V422" s="20">
        <v>1363.54</v>
      </c>
    </row>
    <row r="423" spans="1:22" ht="16.8" x14ac:dyDescent="0.3">
      <c r="A423" s="20">
        <v>42.2</v>
      </c>
      <c r="B423" s="20">
        <v>65</v>
      </c>
      <c r="C423" s="26">
        <v>65.33</v>
      </c>
      <c r="D423" s="20">
        <v>-0.33</v>
      </c>
      <c r="E423" s="20">
        <v>-0.04</v>
      </c>
      <c r="F423" s="26">
        <v>1635.68</v>
      </c>
      <c r="Q423" s="20">
        <v>42.2</v>
      </c>
      <c r="R423" s="20">
        <v>65.099999999999994</v>
      </c>
      <c r="S423" s="26">
        <v>65</v>
      </c>
      <c r="T423" s="20">
        <v>-0.1</v>
      </c>
      <c r="U423" s="26">
        <v>0.04</v>
      </c>
      <c r="V423" s="26">
        <v>1443.78</v>
      </c>
    </row>
    <row r="424" spans="1:22" ht="16.8" x14ac:dyDescent="0.3">
      <c r="A424" s="20">
        <v>42.3</v>
      </c>
      <c r="B424" s="20">
        <v>65</v>
      </c>
      <c r="C424" s="20">
        <v>65.33</v>
      </c>
      <c r="D424" s="20">
        <v>-0.33</v>
      </c>
      <c r="E424" s="20">
        <v>0</v>
      </c>
      <c r="F424" s="26">
        <v>1633.34</v>
      </c>
      <c r="Q424" s="20">
        <v>42.3</v>
      </c>
      <c r="R424" s="20">
        <v>65.16</v>
      </c>
      <c r="S424" s="26">
        <v>65</v>
      </c>
      <c r="T424" s="26">
        <v>-0.16</v>
      </c>
      <c r="U424" s="26">
        <v>-0.06</v>
      </c>
      <c r="V424" s="20">
        <v>1370.9</v>
      </c>
    </row>
    <row r="425" spans="1:22" ht="16.8" x14ac:dyDescent="0.3">
      <c r="A425" s="20">
        <v>42.4</v>
      </c>
      <c r="B425" s="20">
        <v>65</v>
      </c>
      <c r="C425" s="26">
        <v>65.319999999999993</v>
      </c>
      <c r="D425" s="20">
        <v>-0.32</v>
      </c>
      <c r="E425" s="20">
        <v>0.01</v>
      </c>
      <c r="F425" s="20">
        <v>1640.28</v>
      </c>
      <c r="Q425" s="20">
        <v>42.4</v>
      </c>
      <c r="R425" s="20">
        <v>65.16</v>
      </c>
      <c r="S425" s="26">
        <v>65</v>
      </c>
      <c r="T425" s="26">
        <v>-0.16</v>
      </c>
      <c r="U425" s="26">
        <v>0</v>
      </c>
      <c r="V425" s="20">
        <v>1407.53</v>
      </c>
    </row>
    <row r="426" spans="1:22" ht="16.8" x14ac:dyDescent="0.3">
      <c r="A426" s="20">
        <v>42.5</v>
      </c>
      <c r="B426" s="20">
        <v>65</v>
      </c>
      <c r="C426" s="26">
        <v>65.290000000000006</v>
      </c>
      <c r="D426" s="20">
        <v>-0.28999999999999998</v>
      </c>
      <c r="E426" s="20">
        <v>0.02</v>
      </c>
      <c r="F426" s="26">
        <v>1653.64</v>
      </c>
      <c r="Q426" s="20">
        <v>42.5</v>
      </c>
      <c r="R426" s="20">
        <v>65.09</v>
      </c>
      <c r="S426" s="26">
        <v>65</v>
      </c>
      <c r="T426" s="26">
        <v>-0.09</v>
      </c>
      <c r="U426" s="26">
        <v>0.06</v>
      </c>
      <c r="V426" s="26">
        <v>1459.95</v>
      </c>
    </row>
    <row r="427" spans="1:22" ht="16.8" x14ac:dyDescent="0.3">
      <c r="A427" s="20">
        <v>42.6</v>
      </c>
      <c r="B427" s="20">
        <v>65</v>
      </c>
      <c r="C427" s="20">
        <v>65.36</v>
      </c>
      <c r="D427" s="20">
        <v>-0.36</v>
      </c>
      <c r="E427" s="20">
        <v>-7.0000000000000007E-2</v>
      </c>
      <c r="F427" s="26">
        <v>1613.93</v>
      </c>
      <c r="Q427" s="20">
        <v>42.6</v>
      </c>
      <c r="R427" s="20">
        <v>65.13</v>
      </c>
      <c r="S427" s="26">
        <v>65</v>
      </c>
      <c r="T427" s="26">
        <v>-0.13</v>
      </c>
      <c r="U427" s="26">
        <v>-0.03</v>
      </c>
      <c r="V427" s="20">
        <v>1391.04</v>
      </c>
    </row>
    <row r="428" spans="1:22" ht="16.8" x14ac:dyDescent="0.3">
      <c r="A428" s="20">
        <v>42.7</v>
      </c>
      <c r="B428" s="20">
        <v>65</v>
      </c>
      <c r="C428" s="26">
        <v>65.290000000000006</v>
      </c>
      <c r="D428" s="20">
        <v>-0.28999999999999998</v>
      </c>
      <c r="E428" s="20">
        <v>7.0000000000000007E-2</v>
      </c>
      <c r="F428" s="20">
        <v>1653.64</v>
      </c>
      <c r="Q428" s="20">
        <v>42.7</v>
      </c>
      <c r="R428" s="20">
        <v>65.16</v>
      </c>
      <c r="S428" s="26">
        <v>65</v>
      </c>
      <c r="T428" s="20">
        <v>-0.16</v>
      </c>
      <c r="U428" s="20">
        <v>-0.03</v>
      </c>
      <c r="V428" s="26">
        <v>1385.48</v>
      </c>
    </row>
    <row r="429" spans="1:22" ht="16.8" x14ac:dyDescent="0.3">
      <c r="A429" s="20">
        <v>42.8</v>
      </c>
      <c r="B429" s="20">
        <v>65</v>
      </c>
      <c r="C429" s="26">
        <v>65.290000000000006</v>
      </c>
      <c r="D429" s="20">
        <v>-0.28999999999999998</v>
      </c>
      <c r="E429" s="20">
        <v>0</v>
      </c>
      <c r="F429" s="26">
        <v>1655.84</v>
      </c>
      <c r="Q429" s="20">
        <v>42.8</v>
      </c>
      <c r="R429" s="20">
        <v>65.11</v>
      </c>
      <c r="S429" s="26">
        <v>65</v>
      </c>
      <c r="T429" s="26">
        <v>-0.11</v>
      </c>
      <c r="U429" s="26">
        <v>0.05</v>
      </c>
      <c r="V429" s="20">
        <v>1445.85</v>
      </c>
    </row>
    <row r="430" spans="1:22" ht="16.8" x14ac:dyDescent="0.3">
      <c r="A430" s="20">
        <v>42.9</v>
      </c>
      <c r="B430" s="20">
        <v>65</v>
      </c>
      <c r="C430" s="20">
        <v>65.33</v>
      </c>
      <c r="D430" s="20">
        <v>-0.33</v>
      </c>
      <c r="E430" s="20">
        <v>-0.04</v>
      </c>
      <c r="F430" s="20">
        <v>1635.68</v>
      </c>
      <c r="Q430" s="20">
        <v>42.9</v>
      </c>
      <c r="R430" s="20">
        <v>65.14</v>
      </c>
      <c r="S430" s="26">
        <v>65</v>
      </c>
      <c r="T430" s="20">
        <v>-0.14000000000000001</v>
      </c>
      <c r="U430" s="20">
        <v>-0.03</v>
      </c>
      <c r="V430" s="26">
        <v>1387.46</v>
      </c>
    </row>
    <row r="431" spans="1:22" ht="16.8" x14ac:dyDescent="0.3">
      <c r="A431" s="20">
        <v>43</v>
      </c>
      <c r="B431" s="20">
        <v>65</v>
      </c>
      <c r="C431" s="26">
        <v>65.31</v>
      </c>
      <c r="D431" s="20">
        <v>-0.31</v>
      </c>
      <c r="E431" s="20">
        <v>0.02</v>
      </c>
      <c r="F431" s="26">
        <v>1644.79</v>
      </c>
      <c r="Q431" s="20">
        <v>43</v>
      </c>
      <c r="R431" s="20">
        <v>65.08</v>
      </c>
      <c r="S431" s="26">
        <v>65</v>
      </c>
      <c r="T431" s="26">
        <v>-0.08</v>
      </c>
      <c r="U431" s="26">
        <v>0.06</v>
      </c>
      <c r="V431" s="20">
        <v>1461.08</v>
      </c>
    </row>
    <row r="432" spans="1:22" ht="16.8" x14ac:dyDescent="0.3">
      <c r="A432" s="20">
        <v>43.1</v>
      </c>
      <c r="B432" s="20">
        <v>65</v>
      </c>
      <c r="C432" s="20">
        <v>65.290000000000006</v>
      </c>
      <c r="D432" s="20">
        <v>-0.28999999999999998</v>
      </c>
      <c r="E432" s="20">
        <v>0.02</v>
      </c>
      <c r="F432" s="20">
        <v>1655.84</v>
      </c>
      <c r="Q432" s="20">
        <v>43.1</v>
      </c>
      <c r="R432" s="20">
        <v>65.13</v>
      </c>
      <c r="S432" s="26">
        <v>65</v>
      </c>
      <c r="T432" s="20">
        <v>-0.13</v>
      </c>
      <c r="U432" s="26">
        <v>-0.05</v>
      </c>
      <c r="V432" s="26">
        <v>1379.01</v>
      </c>
    </row>
    <row r="433" spans="1:22" ht="16.8" x14ac:dyDescent="0.3">
      <c r="A433" s="20">
        <v>43.2</v>
      </c>
      <c r="B433" s="20">
        <v>65</v>
      </c>
      <c r="C433" s="26">
        <v>65.290000000000006</v>
      </c>
      <c r="D433" s="20">
        <v>-0.28999999999999998</v>
      </c>
      <c r="E433" s="20">
        <v>0</v>
      </c>
      <c r="F433" s="26">
        <v>1658.02</v>
      </c>
      <c r="Q433" s="20">
        <v>43.2</v>
      </c>
      <c r="R433" s="20">
        <v>65.09</v>
      </c>
      <c r="S433" s="26">
        <v>65</v>
      </c>
      <c r="T433" s="26">
        <v>-0.09</v>
      </c>
      <c r="U433" s="26">
        <v>0.03</v>
      </c>
      <c r="V433" s="20">
        <v>1436.81</v>
      </c>
    </row>
    <row r="434" spans="1:22" ht="16.8" x14ac:dyDescent="0.3">
      <c r="A434" s="20">
        <v>43.3</v>
      </c>
      <c r="B434" s="20">
        <v>65</v>
      </c>
      <c r="C434" s="26">
        <v>65.290000000000006</v>
      </c>
      <c r="D434" s="20">
        <v>-0.28999999999999998</v>
      </c>
      <c r="E434" s="20">
        <v>0</v>
      </c>
      <c r="F434" s="26">
        <v>1655.84</v>
      </c>
      <c r="Q434" s="20">
        <v>43.3</v>
      </c>
      <c r="R434" s="20">
        <v>65.08</v>
      </c>
      <c r="S434" s="26">
        <v>65</v>
      </c>
      <c r="T434" s="26">
        <v>-0.08</v>
      </c>
      <c r="U434" s="26">
        <v>0.02</v>
      </c>
      <c r="V434" s="26">
        <v>1428.65</v>
      </c>
    </row>
    <row r="435" spans="1:22" ht="16.8" x14ac:dyDescent="0.3">
      <c r="A435" s="20">
        <v>43.4</v>
      </c>
      <c r="B435" s="20">
        <v>65</v>
      </c>
      <c r="C435" s="20">
        <v>65.28</v>
      </c>
      <c r="D435" s="20">
        <v>-0.28000000000000003</v>
      </c>
      <c r="E435" s="20">
        <v>0.01</v>
      </c>
      <c r="F435" s="20">
        <v>1660.19</v>
      </c>
      <c r="Q435" s="20">
        <v>43.4</v>
      </c>
      <c r="R435" s="20">
        <v>65.069999999999993</v>
      </c>
      <c r="S435" s="26">
        <v>65</v>
      </c>
      <c r="T435" s="26">
        <v>-7.0000000000000007E-2</v>
      </c>
      <c r="U435" s="26">
        <v>0.01</v>
      </c>
      <c r="V435" s="20">
        <v>1424.49</v>
      </c>
    </row>
    <row r="436" spans="1:22" ht="16.8" x14ac:dyDescent="0.3">
      <c r="A436" s="20">
        <v>43.5</v>
      </c>
      <c r="B436" s="20">
        <v>65</v>
      </c>
      <c r="C436" s="26">
        <v>65.28</v>
      </c>
      <c r="D436" s="20">
        <v>-0.28000000000000003</v>
      </c>
      <c r="E436" s="20">
        <v>0</v>
      </c>
      <c r="F436" s="26">
        <v>1662.33</v>
      </c>
      <c r="Q436" s="20">
        <v>43.5</v>
      </c>
      <c r="R436" s="20">
        <v>65.08</v>
      </c>
      <c r="S436" s="26">
        <v>65</v>
      </c>
      <c r="T436" s="26">
        <v>-0.08</v>
      </c>
      <c r="U436" s="26">
        <v>-0.02</v>
      </c>
      <c r="V436" s="26">
        <v>1405.84</v>
      </c>
    </row>
    <row r="437" spans="1:22" ht="16.8" x14ac:dyDescent="0.3">
      <c r="A437" s="20">
        <v>43.6</v>
      </c>
      <c r="B437" s="20">
        <v>65</v>
      </c>
      <c r="C437" s="20">
        <v>65.319999999999993</v>
      </c>
      <c r="D437" s="20">
        <v>-0.32</v>
      </c>
      <c r="E437" s="20">
        <v>-0.04</v>
      </c>
      <c r="F437" s="26">
        <v>1637.99</v>
      </c>
      <c r="Q437" s="20">
        <v>43.6</v>
      </c>
      <c r="R437" s="20">
        <v>65.12</v>
      </c>
      <c r="S437" s="26">
        <v>65</v>
      </c>
      <c r="T437" s="20">
        <v>-0.12</v>
      </c>
      <c r="U437" s="20">
        <v>-0.03</v>
      </c>
      <c r="V437" s="20">
        <v>1389.82</v>
      </c>
    </row>
    <row r="438" spans="1:22" ht="16.8" x14ac:dyDescent="0.3">
      <c r="A438" s="20">
        <v>43.7</v>
      </c>
      <c r="B438" s="20">
        <v>65</v>
      </c>
      <c r="C438" s="26">
        <v>65.31</v>
      </c>
      <c r="D438" s="20">
        <v>-0.31</v>
      </c>
      <c r="E438" s="20">
        <v>0.01</v>
      </c>
      <c r="F438" s="20">
        <v>1644.79</v>
      </c>
      <c r="Q438" s="20">
        <v>43.7</v>
      </c>
      <c r="R438" s="20">
        <v>65.08</v>
      </c>
      <c r="S438" s="26">
        <v>65</v>
      </c>
      <c r="T438" s="26">
        <v>-0.08</v>
      </c>
      <c r="U438" s="26">
        <v>0.03</v>
      </c>
      <c r="V438" s="20">
        <v>1437.07</v>
      </c>
    </row>
    <row r="439" spans="1:22" ht="16.8" x14ac:dyDescent="0.3">
      <c r="A439" s="20">
        <v>43.8</v>
      </c>
      <c r="B439" s="20">
        <v>65</v>
      </c>
      <c r="C439" s="26">
        <v>65.36</v>
      </c>
      <c r="D439" s="20">
        <v>-0.36</v>
      </c>
      <c r="E439" s="20">
        <v>-0.05</v>
      </c>
      <c r="F439" s="26">
        <v>1613.93</v>
      </c>
      <c r="Q439" s="20">
        <v>43.8</v>
      </c>
      <c r="R439" s="20">
        <v>65.06</v>
      </c>
      <c r="S439" s="26">
        <v>65</v>
      </c>
      <c r="T439" s="20">
        <v>-0.06</v>
      </c>
      <c r="U439" s="20">
        <v>0.02</v>
      </c>
      <c r="V439" s="26">
        <v>1435.52</v>
      </c>
    </row>
    <row r="440" spans="1:22" ht="16.8" x14ac:dyDescent="0.3">
      <c r="A440" s="20">
        <v>43.9</v>
      </c>
      <c r="B440" s="20">
        <v>65</v>
      </c>
      <c r="C440" s="20">
        <v>65.33</v>
      </c>
      <c r="D440" s="20">
        <v>-0.33</v>
      </c>
      <c r="E440" s="20">
        <v>0.04</v>
      </c>
      <c r="F440" s="20">
        <v>1635.68</v>
      </c>
      <c r="Q440" s="20">
        <v>43.9</v>
      </c>
      <c r="R440" s="20">
        <v>65.08</v>
      </c>
      <c r="S440" s="26">
        <v>65</v>
      </c>
      <c r="T440" s="26">
        <v>-0.08</v>
      </c>
      <c r="U440" s="26">
        <v>-0.02</v>
      </c>
      <c r="V440" s="20">
        <v>1399.72</v>
      </c>
    </row>
    <row r="441" spans="1:22" ht="16.8" x14ac:dyDescent="0.3">
      <c r="A441" s="20">
        <v>44</v>
      </c>
      <c r="B441" s="20">
        <v>65</v>
      </c>
      <c r="C441" s="26">
        <v>65.349999999999994</v>
      </c>
      <c r="D441" s="20">
        <v>-0.35</v>
      </c>
      <c r="E441" s="20">
        <v>-0.02</v>
      </c>
      <c r="F441" s="26">
        <v>1623.75</v>
      </c>
      <c r="Q441" s="20">
        <v>44</v>
      </c>
      <c r="R441" s="20">
        <v>65.05</v>
      </c>
      <c r="S441" s="26">
        <v>65</v>
      </c>
      <c r="T441" s="26">
        <v>-0.05</v>
      </c>
      <c r="U441" s="26">
        <v>0.03</v>
      </c>
      <c r="V441" s="26">
        <v>1441.77</v>
      </c>
    </row>
    <row r="442" spans="1:22" ht="16.8" x14ac:dyDescent="0.3">
      <c r="A442" s="20">
        <v>44.1</v>
      </c>
      <c r="B442" s="20">
        <v>65</v>
      </c>
      <c r="C442" s="20">
        <v>65.31</v>
      </c>
      <c r="D442" s="20">
        <v>-0.31</v>
      </c>
      <c r="E442" s="20">
        <v>0.03</v>
      </c>
      <c r="F442" s="26">
        <v>1642.54</v>
      </c>
      <c r="Q442" s="20">
        <v>44.1</v>
      </c>
      <c r="R442" s="20">
        <v>65.099999999999994</v>
      </c>
      <c r="S442" s="26">
        <v>65</v>
      </c>
      <c r="T442" s="26">
        <v>-0.1</v>
      </c>
      <c r="U442" s="26">
        <v>-0.05</v>
      </c>
      <c r="V442" s="20">
        <v>1380.91</v>
      </c>
    </row>
    <row r="443" spans="1:22" ht="16.8" x14ac:dyDescent="0.3">
      <c r="A443" s="20">
        <v>44.2</v>
      </c>
      <c r="B443" s="20">
        <v>65</v>
      </c>
      <c r="C443" s="26">
        <v>65.349999999999994</v>
      </c>
      <c r="D443" s="20">
        <v>-0.35</v>
      </c>
      <c r="E443" s="20">
        <v>-0.03</v>
      </c>
      <c r="F443" s="20">
        <v>1623.75</v>
      </c>
      <c r="Q443" s="20">
        <v>44.2</v>
      </c>
      <c r="R443" s="20">
        <v>65.069999999999993</v>
      </c>
      <c r="S443" s="26">
        <v>65</v>
      </c>
      <c r="T443" s="26">
        <v>-7.0000000000000007E-2</v>
      </c>
      <c r="U443" s="26">
        <v>0.03</v>
      </c>
      <c r="V443" s="26">
        <v>1438.77</v>
      </c>
    </row>
    <row r="444" spans="1:22" ht="16.8" x14ac:dyDescent="0.3">
      <c r="A444" s="20">
        <v>44.3</v>
      </c>
      <c r="B444" s="20">
        <v>65</v>
      </c>
      <c r="C444" s="26">
        <v>65.290000000000006</v>
      </c>
      <c r="D444" s="20">
        <v>-0.28999999999999998</v>
      </c>
      <c r="E444" s="20">
        <v>0.06</v>
      </c>
      <c r="F444" s="26">
        <v>1655.84</v>
      </c>
      <c r="Q444" s="20">
        <v>44.3</v>
      </c>
      <c r="R444" s="20">
        <v>65.040000000000006</v>
      </c>
      <c r="S444" s="26">
        <v>65</v>
      </c>
      <c r="T444" s="26">
        <v>-0.04</v>
      </c>
      <c r="U444" s="20">
        <v>0.02</v>
      </c>
      <c r="V444" s="20">
        <v>1437.27</v>
      </c>
    </row>
    <row r="445" spans="1:22" ht="16.8" x14ac:dyDescent="0.3">
      <c r="A445" s="20">
        <v>44.4</v>
      </c>
      <c r="B445" s="20">
        <v>65</v>
      </c>
      <c r="C445" s="20">
        <v>65.290000000000006</v>
      </c>
      <c r="D445" s="20">
        <v>-0.28999999999999998</v>
      </c>
      <c r="E445" s="20">
        <v>0</v>
      </c>
      <c r="F445" s="26">
        <v>1655.84</v>
      </c>
      <c r="Q445" s="20">
        <v>44.4</v>
      </c>
      <c r="R445" s="20">
        <v>65.069999999999993</v>
      </c>
      <c r="S445" s="26">
        <v>65</v>
      </c>
      <c r="T445" s="26">
        <v>-7.0000000000000007E-2</v>
      </c>
      <c r="U445" s="26">
        <v>-0.02</v>
      </c>
      <c r="V445" s="26">
        <v>1401.5</v>
      </c>
    </row>
    <row r="446" spans="1:22" ht="16.8" x14ac:dyDescent="0.3">
      <c r="A446" s="20">
        <v>44.5</v>
      </c>
      <c r="B446" s="20">
        <v>65</v>
      </c>
      <c r="C446" s="26">
        <v>65.349999999999994</v>
      </c>
      <c r="D446" s="20">
        <v>-0.35</v>
      </c>
      <c r="E446" s="20">
        <v>-0.06</v>
      </c>
      <c r="F446" s="20">
        <v>1623.75</v>
      </c>
      <c r="Q446" s="20">
        <v>44.5</v>
      </c>
      <c r="R446" s="20">
        <v>65.010000000000005</v>
      </c>
      <c r="S446" s="20">
        <v>65</v>
      </c>
      <c r="T446" s="26">
        <v>-0.01</v>
      </c>
      <c r="U446" s="26">
        <v>0.06</v>
      </c>
      <c r="V446" s="20">
        <v>1463.4</v>
      </c>
    </row>
    <row r="447" spans="1:22" ht="16.8" x14ac:dyDescent="0.3">
      <c r="A447" s="20">
        <v>44.6</v>
      </c>
      <c r="B447" s="20">
        <v>65</v>
      </c>
      <c r="C447" s="20">
        <v>65.290000000000006</v>
      </c>
      <c r="D447" s="20">
        <v>-0.28999999999999998</v>
      </c>
      <c r="E447" s="20">
        <v>0.05</v>
      </c>
      <c r="F447" s="26">
        <v>1653.64</v>
      </c>
      <c r="Q447" s="20">
        <v>44.6</v>
      </c>
      <c r="R447" s="20">
        <v>65.040000000000006</v>
      </c>
      <c r="S447" s="26">
        <v>65</v>
      </c>
      <c r="T447" s="26">
        <v>-0.04</v>
      </c>
      <c r="U447" s="26">
        <v>-0.02</v>
      </c>
      <c r="V447" s="20">
        <v>1406.55</v>
      </c>
    </row>
    <row r="448" spans="1:22" ht="16.8" x14ac:dyDescent="0.3">
      <c r="A448" s="20">
        <v>44.7</v>
      </c>
      <c r="B448" s="20">
        <v>65</v>
      </c>
      <c r="C448" s="26">
        <v>65.31</v>
      </c>
      <c r="D448" s="20">
        <v>-0.31</v>
      </c>
      <c r="E448" s="20">
        <v>-0.02</v>
      </c>
      <c r="F448" s="26">
        <v>1642.54</v>
      </c>
      <c r="Q448" s="20">
        <v>44.7</v>
      </c>
      <c r="R448" s="20">
        <v>65.02</v>
      </c>
      <c r="S448" s="26">
        <v>65</v>
      </c>
      <c r="T448" s="26">
        <v>-0.02</v>
      </c>
      <c r="U448" s="26">
        <v>0.02</v>
      </c>
      <c r="V448" s="26">
        <v>1435.53</v>
      </c>
    </row>
    <row r="449" spans="1:22" ht="16.8" x14ac:dyDescent="0.3">
      <c r="A449" s="20">
        <v>44.8</v>
      </c>
      <c r="B449" s="20">
        <v>65</v>
      </c>
      <c r="C449" s="26">
        <v>65.28</v>
      </c>
      <c r="D449" s="20">
        <v>-0.28000000000000003</v>
      </c>
      <c r="E449" s="20">
        <v>0.03</v>
      </c>
      <c r="F449" s="20">
        <v>1660.19</v>
      </c>
      <c r="Q449" s="20">
        <v>44.8</v>
      </c>
      <c r="R449" s="20">
        <v>65.03</v>
      </c>
      <c r="S449" s="26">
        <v>65</v>
      </c>
      <c r="T449" s="26">
        <v>-0.03</v>
      </c>
      <c r="U449" s="26">
        <v>-0.01</v>
      </c>
      <c r="V449" s="20">
        <v>1418.31</v>
      </c>
    </row>
    <row r="450" spans="1:22" ht="16.8" x14ac:dyDescent="0.3">
      <c r="A450" s="20">
        <v>44.9</v>
      </c>
      <c r="B450" s="20">
        <v>65</v>
      </c>
      <c r="C450" s="20">
        <v>65.34</v>
      </c>
      <c r="D450" s="20">
        <v>-0.34</v>
      </c>
      <c r="E450" s="20">
        <v>-0.06</v>
      </c>
      <c r="F450" s="26">
        <v>1626.18</v>
      </c>
      <c r="Q450" s="20">
        <v>44.9</v>
      </c>
      <c r="R450" s="20">
        <v>65.05</v>
      </c>
      <c r="S450" s="26">
        <v>65</v>
      </c>
      <c r="T450" s="26">
        <v>-0.05</v>
      </c>
      <c r="U450" s="26">
        <v>-0.02</v>
      </c>
      <c r="V450" s="26">
        <v>1403.73</v>
      </c>
    </row>
    <row r="451" spans="1:22" ht="16.8" x14ac:dyDescent="0.3">
      <c r="A451" s="20">
        <v>45</v>
      </c>
      <c r="B451" s="20">
        <v>65</v>
      </c>
      <c r="C451" s="26">
        <v>65.3</v>
      </c>
      <c r="D451" s="20">
        <v>-0.3</v>
      </c>
      <c r="E451" s="20">
        <v>0.04</v>
      </c>
      <c r="F451" s="20">
        <v>1649.21</v>
      </c>
      <c r="Q451" s="20">
        <v>45</v>
      </c>
      <c r="R451" s="20">
        <v>65.08</v>
      </c>
      <c r="S451" s="26">
        <v>65</v>
      </c>
      <c r="T451" s="26">
        <v>-0.08</v>
      </c>
      <c r="U451" s="26">
        <v>-0.03</v>
      </c>
      <c r="V451" s="20">
        <v>1393.06</v>
      </c>
    </row>
    <row r="452" spans="1:22" ht="16.8" x14ac:dyDescent="0.3">
      <c r="A452" s="20">
        <v>45.1</v>
      </c>
      <c r="B452" s="20">
        <v>65</v>
      </c>
      <c r="C452" s="20">
        <v>65.290000000000006</v>
      </c>
      <c r="D452" s="20">
        <v>-0.28999999999999998</v>
      </c>
      <c r="E452" s="20">
        <v>0.01</v>
      </c>
      <c r="F452" s="26">
        <v>1655.84</v>
      </c>
      <c r="Q452" s="20">
        <v>45.1</v>
      </c>
      <c r="R452" s="20">
        <v>65.03</v>
      </c>
      <c r="S452" s="26">
        <v>65</v>
      </c>
      <c r="T452" s="26">
        <v>-0.03</v>
      </c>
      <c r="U452" s="26">
        <v>0.06</v>
      </c>
      <c r="V452" s="26">
        <v>1460.2</v>
      </c>
    </row>
    <row r="453" spans="1:22" ht="16.8" x14ac:dyDescent="0.3">
      <c r="A453" s="20">
        <v>45.2</v>
      </c>
      <c r="B453" s="20">
        <v>65</v>
      </c>
      <c r="C453" s="26">
        <v>65.31</v>
      </c>
      <c r="D453" s="20">
        <v>-0.31</v>
      </c>
      <c r="E453" s="20">
        <v>-0.02</v>
      </c>
      <c r="F453" s="26">
        <v>1647.01</v>
      </c>
      <c r="Q453" s="20">
        <v>45.2</v>
      </c>
      <c r="R453" s="20">
        <v>65.069999999999993</v>
      </c>
      <c r="S453" s="26">
        <v>65</v>
      </c>
      <c r="T453" s="26">
        <v>-7.0000000000000007E-2</v>
      </c>
      <c r="U453" s="26">
        <v>-0.04</v>
      </c>
      <c r="V453" s="20">
        <v>1390.13</v>
      </c>
    </row>
    <row r="454" spans="1:22" ht="16.8" x14ac:dyDescent="0.3">
      <c r="A454" s="20">
        <v>45.3</v>
      </c>
      <c r="B454" s="20">
        <v>65</v>
      </c>
      <c r="C454" s="26">
        <v>65.31</v>
      </c>
      <c r="D454" s="20">
        <v>-0.31</v>
      </c>
      <c r="E454" s="20">
        <v>0</v>
      </c>
      <c r="F454" s="20">
        <v>1647.01</v>
      </c>
      <c r="Q454" s="20">
        <v>45.3</v>
      </c>
      <c r="R454" s="20">
        <v>65.03</v>
      </c>
      <c r="S454" s="26">
        <v>65</v>
      </c>
      <c r="T454" s="26">
        <v>-0.03</v>
      </c>
      <c r="U454" s="26">
        <v>0.04</v>
      </c>
      <c r="V454" s="26">
        <v>1449.39</v>
      </c>
    </row>
    <row r="455" spans="1:22" ht="16.8" x14ac:dyDescent="0.3">
      <c r="A455" s="20">
        <v>45.4</v>
      </c>
      <c r="B455" s="20">
        <v>65</v>
      </c>
      <c r="C455" s="20">
        <v>65.290000000000006</v>
      </c>
      <c r="D455" s="20">
        <v>-0.28999999999999998</v>
      </c>
      <c r="E455" s="20">
        <v>0.01</v>
      </c>
      <c r="F455" s="26">
        <v>1653.64</v>
      </c>
      <c r="Q455" s="20">
        <v>45.4</v>
      </c>
      <c r="R455" s="20">
        <v>65.03</v>
      </c>
      <c r="S455" s="26">
        <v>65</v>
      </c>
      <c r="T455" s="26">
        <v>-0.03</v>
      </c>
      <c r="U455" s="26">
        <v>0</v>
      </c>
      <c r="V455" s="20">
        <v>1422.89</v>
      </c>
    </row>
    <row r="456" spans="1:22" ht="16.8" x14ac:dyDescent="0.3">
      <c r="A456" s="20">
        <v>45.5</v>
      </c>
      <c r="B456" s="20">
        <v>65</v>
      </c>
      <c r="C456" s="26">
        <v>65.25</v>
      </c>
      <c r="D456" s="20">
        <v>-0.25</v>
      </c>
      <c r="E456" s="20">
        <v>0.05</v>
      </c>
      <c r="F456" s="26">
        <v>1678.99</v>
      </c>
      <c r="Q456" s="20">
        <v>45.5</v>
      </c>
      <c r="R456" s="20">
        <v>65.03</v>
      </c>
      <c r="S456" s="26">
        <v>65</v>
      </c>
      <c r="T456" s="26">
        <v>-0.03</v>
      </c>
      <c r="U456" s="26">
        <v>0</v>
      </c>
      <c r="V456" s="20">
        <v>1422.83</v>
      </c>
    </row>
    <row r="457" spans="1:22" ht="16.8" x14ac:dyDescent="0.3">
      <c r="A457" s="20">
        <v>45.6</v>
      </c>
      <c r="B457" s="20">
        <v>65</v>
      </c>
      <c r="C457" s="20">
        <v>65.290000000000006</v>
      </c>
      <c r="D457" s="20">
        <v>-0.28999999999999998</v>
      </c>
      <c r="E457" s="20">
        <v>-0.05</v>
      </c>
      <c r="F457" s="20">
        <v>1653.64</v>
      </c>
      <c r="Q457" s="20">
        <v>45.6</v>
      </c>
      <c r="R457" s="20">
        <v>65</v>
      </c>
      <c r="S457" s="26">
        <v>65</v>
      </c>
      <c r="T457" s="26">
        <v>0</v>
      </c>
      <c r="U457" s="26">
        <v>0.03</v>
      </c>
      <c r="V457" s="26">
        <v>1449.16</v>
      </c>
    </row>
    <row r="458" spans="1:22" ht="16.8" x14ac:dyDescent="0.3">
      <c r="A458" s="20">
        <v>45.7</v>
      </c>
      <c r="B458" s="20">
        <v>65</v>
      </c>
      <c r="C458" s="26">
        <v>65.260000000000005</v>
      </c>
      <c r="D458" s="20">
        <v>-0.26</v>
      </c>
      <c r="E458" s="20">
        <v>0.03</v>
      </c>
      <c r="F458" s="26">
        <v>1670.75</v>
      </c>
      <c r="Q458" s="20">
        <v>45.7</v>
      </c>
      <c r="R458" s="20">
        <v>65.03</v>
      </c>
      <c r="S458" s="26">
        <v>65</v>
      </c>
      <c r="T458" s="26">
        <v>-0.03</v>
      </c>
      <c r="U458" s="26">
        <v>-0.03</v>
      </c>
      <c r="V458" s="20">
        <v>1401.62</v>
      </c>
    </row>
    <row r="459" spans="1:22" ht="16.8" x14ac:dyDescent="0.3">
      <c r="A459" s="20">
        <v>45.8</v>
      </c>
      <c r="B459" s="20">
        <v>65</v>
      </c>
      <c r="C459" s="26">
        <v>65.31</v>
      </c>
      <c r="D459" s="20">
        <v>-0.31</v>
      </c>
      <c r="E459" s="20">
        <v>-0.05</v>
      </c>
      <c r="F459" s="20">
        <v>1644.79</v>
      </c>
      <c r="Q459" s="20">
        <v>45.8</v>
      </c>
      <c r="R459" s="20">
        <v>65.02</v>
      </c>
      <c r="S459" s="26">
        <v>65</v>
      </c>
      <c r="T459" s="26">
        <v>-0.02</v>
      </c>
      <c r="U459" s="20">
        <v>0.01</v>
      </c>
      <c r="V459" s="26">
        <v>1429.3</v>
      </c>
    </row>
    <row r="460" spans="1:22" ht="16.8" x14ac:dyDescent="0.3">
      <c r="A460" s="20">
        <v>45.9</v>
      </c>
      <c r="B460" s="20">
        <v>65</v>
      </c>
      <c r="C460" s="20">
        <v>65.25</v>
      </c>
      <c r="D460" s="20">
        <v>-0.25</v>
      </c>
      <c r="E460" s="20">
        <v>0.06</v>
      </c>
      <c r="F460" s="26">
        <v>1678.99</v>
      </c>
      <c r="Q460" s="20">
        <v>45.9</v>
      </c>
      <c r="R460" s="20">
        <v>64.97</v>
      </c>
      <c r="S460" s="20">
        <v>65</v>
      </c>
      <c r="T460" s="26">
        <v>0.03</v>
      </c>
      <c r="U460" s="26">
        <v>0.05</v>
      </c>
      <c r="V460" s="20">
        <v>1463.58</v>
      </c>
    </row>
    <row r="461" spans="1:22" ht="16.8" x14ac:dyDescent="0.3">
      <c r="A461" s="20">
        <v>46</v>
      </c>
      <c r="B461" s="20">
        <v>65</v>
      </c>
      <c r="C461" s="26">
        <v>65.28</v>
      </c>
      <c r="D461" s="20">
        <v>-0.28000000000000003</v>
      </c>
      <c r="E461" s="20">
        <v>-0.04</v>
      </c>
      <c r="F461" s="26">
        <v>1660.19</v>
      </c>
      <c r="Q461" s="20">
        <v>46</v>
      </c>
      <c r="R461" s="20">
        <v>64.98</v>
      </c>
      <c r="S461" s="26">
        <v>65</v>
      </c>
      <c r="T461" s="26">
        <v>0.02</v>
      </c>
      <c r="U461" s="26">
        <v>-0.01</v>
      </c>
      <c r="V461" s="26">
        <v>1425.3</v>
      </c>
    </row>
    <row r="462" spans="1:22" ht="16.8" x14ac:dyDescent="0.3">
      <c r="A462" s="20">
        <v>46.1</v>
      </c>
      <c r="B462" s="20">
        <v>65</v>
      </c>
      <c r="C462" s="20">
        <v>65.290000000000006</v>
      </c>
      <c r="D462" s="20">
        <v>-0.28999999999999998</v>
      </c>
      <c r="E462" s="20">
        <v>-0.01</v>
      </c>
      <c r="F462" s="20">
        <v>1653.64</v>
      </c>
      <c r="Q462" s="20">
        <v>46.1</v>
      </c>
      <c r="R462" s="20">
        <v>64.98</v>
      </c>
      <c r="S462" s="26">
        <v>65</v>
      </c>
      <c r="T462" s="26">
        <v>0.02</v>
      </c>
      <c r="U462" s="26">
        <v>0</v>
      </c>
      <c r="V462" s="20">
        <v>1430.64</v>
      </c>
    </row>
    <row r="463" spans="1:22" ht="16.8" x14ac:dyDescent="0.3">
      <c r="A463" s="20">
        <v>46.2</v>
      </c>
      <c r="B463" s="20">
        <v>65</v>
      </c>
      <c r="C463" s="26">
        <v>65.290000000000006</v>
      </c>
      <c r="D463" s="20">
        <v>-0.28999999999999998</v>
      </c>
      <c r="E463" s="20">
        <v>0.01</v>
      </c>
      <c r="F463" s="26">
        <v>1658.02</v>
      </c>
      <c r="Q463" s="20">
        <v>46.2</v>
      </c>
      <c r="R463" s="20">
        <v>64.959999999999994</v>
      </c>
      <c r="S463" s="26">
        <v>65</v>
      </c>
      <c r="T463" s="26">
        <v>0.04</v>
      </c>
      <c r="U463" s="26">
        <v>0.02</v>
      </c>
      <c r="V463" s="26">
        <v>1443.9</v>
      </c>
    </row>
    <row r="464" spans="1:22" ht="16.8" x14ac:dyDescent="0.3">
      <c r="A464" s="20">
        <v>46.3</v>
      </c>
      <c r="B464" s="20">
        <v>65</v>
      </c>
      <c r="C464" s="26">
        <v>65.260000000000005</v>
      </c>
      <c r="D464" s="20">
        <v>-0.26</v>
      </c>
      <c r="E464" s="20">
        <v>0.02</v>
      </c>
      <c r="F464" s="20">
        <v>1670.75</v>
      </c>
      <c r="Q464" s="20">
        <v>46.3</v>
      </c>
      <c r="R464" s="20">
        <v>64.91</v>
      </c>
      <c r="S464" s="26">
        <v>65</v>
      </c>
      <c r="T464" s="26">
        <v>0.09</v>
      </c>
      <c r="U464" s="26">
        <v>0.06</v>
      </c>
      <c r="V464" s="20">
        <v>1479.6</v>
      </c>
    </row>
    <row r="465" spans="1:22" ht="16.8" x14ac:dyDescent="0.3">
      <c r="A465" s="20">
        <v>46.4</v>
      </c>
      <c r="B465" s="20">
        <v>65</v>
      </c>
      <c r="C465" s="20">
        <v>65.31</v>
      </c>
      <c r="D465" s="20">
        <v>-0.31</v>
      </c>
      <c r="E465" s="20">
        <v>-0.04</v>
      </c>
      <c r="F465" s="26">
        <v>1647.01</v>
      </c>
      <c r="Q465" s="20">
        <v>46.4</v>
      </c>
      <c r="R465" s="20">
        <v>64.819999999999993</v>
      </c>
      <c r="S465" s="26">
        <v>65</v>
      </c>
      <c r="T465" s="26">
        <v>0.18</v>
      </c>
      <c r="U465" s="26">
        <v>0.09</v>
      </c>
      <c r="V465" s="20">
        <v>1515.42</v>
      </c>
    </row>
    <row r="466" spans="1:22" ht="16.8" x14ac:dyDescent="0.3">
      <c r="A466" s="20">
        <v>46.5</v>
      </c>
      <c r="B466" s="20">
        <v>65</v>
      </c>
      <c r="C466" s="26">
        <v>65.260000000000005</v>
      </c>
      <c r="D466" s="20">
        <v>-0.26</v>
      </c>
      <c r="E466" s="20">
        <v>0.04</v>
      </c>
      <c r="F466" s="26">
        <v>1670.75</v>
      </c>
      <c r="Q466" s="20">
        <v>46.5</v>
      </c>
      <c r="R466" s="20">
        <v>64.819999999999993</v>
      </c>
      <c r="S466" s="26">
        <v>65</v>
      </c>
      <c r="T466" s="26">
        <v>0.2</v>
      </c>
      <c r="U466" s="20">
        <v>0.02</v>
      </c>
      <c r="V466" s="26">
        <v>1470.91</v>
      </c>
    </row>
    <row r="467" spans="1:22" ht="16.8" x14ac:dyDescent="0.3">
      <c r="A467" s="20">
        <v>46.6</v>
      </c>
      <c r="B467" s="20">
        <v>65</v>
      </c>
      <c r="C467" s="20">
        <v>65.260000000000005</v>
      </c>
      <c r="D467" s="20">
        <v>-0.26</v>
      </c>
      <c r="E467" s="20">
        <v>0</v>
      </c>
      <c r="F467" s="20">
        <v>1670.75</v>
      </c>
      <c r="Q467" s="20">
        <v>46.6</v>
      </c>
      <c r="R467" s="20">
        <v>64.63</v>
      </c>
      <c r="S467" s="26">
        <v>65</v>
      </c>
      <c r="T467" s="26">
        <v>0.37</v>
      </c>
      <c r="U467" s="26">
        <v>0.18</v>
      </c>
      <c r="V467" s="20">
        <v>1606</v>
      </c>
    </row>
    <row r="468" spans="1:22" ht="16.8" x14ac:dyDescent="0.3">
      <c r="A468" s="20">
        <v>46.7</v>
      </c>
      <c r="B468" s="20">
        <v>65</v>
      </c>
      <c r="C468" s="26">
        <v>65.27</v>
      </c>
      <c r="D468" s="20">
        <v>-0.27</v>
      </c>
      <c r="E468" s="20">
        <v>-0.01</v>
      </c>
      <c r="F468" s="26">
        <v>1664.47</v>
      </c>
      <c r="Q468" s="20">
        <v>46.7</v>
      </c>
      <c r="R468" s="20">
        <v>64.650000000000006</v>
      </c>
      <c r="S468" s="26">
        <v>65</v>
      </c>
      <c r="T468" s="26">
        <v>0.35</v>
      </c>
      <c r="U468" s="20">
        <v>-0.02</v>
      </c>
      <c r="V468" s="26">
        <v>1470.81</v>
      </c>
    </row>
    <row r="469" spans="1:22" ht="16.8" x14ac:dyDescent="0.3">
      <c r="A469" s="20">
        <v>46.8</v>
      </c>
      <c r="B469" s="20">
        <v>65</v>
      </c>
      <c r="C469" s="26">
        <v>65.27</v>
      </c>
      <c r="D469" s="20">
        <v>-0.27</v>
      </c>
      <c r="E469" s="20">
        <v>0</v>
      </c>
      <c r="F469" s="26">
        <v>1664.47</v>
      </c>
      <c r="Q469" s="20">
        <v>46.8</v>
      </c>
      <c r="R469" s="20">
        <v>64.66</v>
      </c>
      <c r="S469" s="20">
        <v>65</v>
      </c>
      <c r="T469" s="26">
        <v>0.34</v>
      </c>
      <c r="U469" s="26">
        <v>-0.01</v>
      </c>
      <c r="V469" s="20">
        <v>1480.9</v>
      </c>
    </row>
    <row r="470" spans="1:22" ht="16.8" x14ac:dyDescent="0.3">
      <c r="A470" s="20">
        <v>46.9</v>
      </c>
      <c r="B470" s="20">
        <v>65</v>
      </c>
      <c r="C470" s="20">
        <v>65.34</v>
      </c>
      <c r="D470" s="20">
        <v>-0.34</v>
      </c>
      <c r="E470" s="20">
        <v>-7.0000000000000007E-2</v>
      </c>
      <c r="F470" s="20">
        <v>1626.18</v>
      </c>
      <c r="Q470" s="20">
        <v>46.9</v>
      </c>
      <c r="R470" s="20">
        <v>64.67</v>
      </c>
      <c r="S470" s="26">
        <v>65</v>
      </c>
      <c r="T470" s="26">
        <v>0.33</v>
      </c>
      <c r="U470" s="26">
        <v>-0.01</v>
      </c>
      <c r="V470" s="26">
        <v>1480.41</v>
      </c>
    </row>
    <row r="471" spans="1:22" ht="16.8" x14ac:dyDescent="0.3">
      <c r="A471" s="20">
        <v>47</v>
      </c>
      <c r="B471" s="20">
        <v>65</v>
      </c>
      <c r="C471" s="26">
        <v>65.260000000000005</v>
      </c>
      <c r="D471" s="20">
        <v>-0.26</v>
      </c>
      <c r="E471" s="20">
        <v>0.08</v>
      </c>
      <c r="F471" s="26">
        <v>1672.81</v>
      </c>
      <c r="Q471" s="20">
        <v>47</v>
      </c>
      <c r="R471" s="20">
        <v>64.62</v>
      </c>
      <c r="S471" s="26">
        <v>65</v>
      </c>
      <c r="T471" s="26">
        <v>0.38</v>
      </c>
      <c r="U471" s="26">
        <v>0.05</v>
      </c>
      <c r="V471" s="20">
        <v>1526.09</v>
      </c>
    </row>
    <row r="472" spans="1:22" ht="16.8" x14ac:dyDescent="0.3">
      <c r="A472" s="20">
        <v>47.1</v>
      </c>
      <c r="B472" s="20">
        <v>65</v>
      </c>
      <c r="C472" s="26">
        <v>65.31</v>
      </c>
      <c r="D472" s="20">
        <v>-0.31</v>
      </c>
      <c r="E472" s="20">
        <v>-0.05</v>
      </c>
      <c r="F472" s="26">
        <v>1644.79</v>
      </c>
      <c r="Q472" s="20">
        <v>47.1</v>
      </c>
      <c r="R472" s="20">
        <v>64.650000000000006</v>
      </c>
      <c r="S472" s="26">
        <v>65</v>
      </c>
      <c r="T472" s="26">
        <v>0.35</v>
      </c>
      <c r="U472" s="26">
        <v>-0.03</v>
      </c>
      <c r="V472" s="26">
        <v>1468.9</v>
      </c>
    </row>
    <row r="473" spans="1:22" ht="16.8" x14ac:dyDescent="0.3">
      <c r="A473" s="20">
        <v>47.2</v>
      </c>
      <c r="B473" s="20">
        <v>65</v>
      </c>
      <c r="C473" s="20">
        <v>65.27</v>
      </c>
      <c r="D473" s="20">
        <v>-0.27</v>
      </c>
      <c r="E473" s="20">
        <v>0.04</v>
      </c>
      <c r="F473" s="20">
        <v>1668.68</v>
      </c>
      <c r="Q473" s="20">
        <v>47.2</v>
      </c>
      <c r="R473" s="20">
        <v>64.67</v>
      </c>
      <c r="S473" s="26">
        <v>65</v>
      </c>
      <c r="T473" s="26">
        <v>0.33</v>
      </c>
      <c r="U473" s="20">
        <v>-0.02</v>
      </c>
      <c r="V473" s="20">
        <v>1471.08</v>
      </c>
    </row>
    <row r="474" spans="1:22" ht="16.8" x14ac:dyDescent="0.3">
      <c r="A474" s="20">
        <v>47.3</v>
      </c>
      <c r="B474" s="20">
        <v>65</v>
      </c>
      <c r="C474" s="26">
        <v>65.33</v>
      </c>
      <c r="D474" s="20">
        <v>-0.33</v>
      </c>
      <c r="E474" s="20">
        <v>-0.06</v>
      </c>
      <c r="F474" s="26">
        <v>1635.68</v>
      </c>
      <c r="Q474" s="20">
        <v>47.3</v>
      </c>
      <c r="R474" s="20">
        <v>64.67</v>
      </c>
      <c r="S474" s="26">
        <v>65</v>
      </c>
      <c r="T474" s="26">
        <v>0.33</v>
      </c>
      <c r="U474" s="26">
        <v>0</v>
      </c>
      <c r="V474" s="26">
        <v>1487.72</v>
      </c>
    </row>
    <row r="475" spans="1:22" ht="16.8" x14ac:dyDescent="0.3">
      <c r="A475" s="20">
        <v>47.4</v>
      </c>
      <c r="B475" s="20">
        <v>65</v>
      </c>
      <c r="C475" s="20">
        <v>65.33</v>
      </c>
      <c r="D475" s="20">
        <v>-0.33</v>
      </c>
      <c r="E475" s="20">
        <v>0</v>
      </c>
      <c r="F475" s="20">
        <v>1633.34</v>
      </c>
      <c r="Q475" s="20">
        <v>47.4</v>
      </c>
      <c r="R475" s="20">
        <v>64.7</v>
      </c>
      <c r="S475" s="26">
        <v>65</v>
      </c>
      <c r="T475" s="26">
        <v>0.3</v>
      </c>
      <c r="U475" s="26">
        <v>-0.02</v>
      </c>
      <c r="V475" s="20">
        <v>1468.7</v>
      </c>
    </row>
    <row r="476" spans="1:22" ht="16.8" x14ac:dyDescent="0.3">
      <c r="A476" s="20">
        <v>47.5</v>
      </c>
      <c r="B476" s="20">
        <v>65</v>
      </c>
      <c r="C476" s="26">
        <v>65.349999999999994</v>
      </c>
      <c r="D476" s="20">
        <v>-0.35</v>
      </c>
      <c r="E476" s="20">
        <v>-0.02</v>
      </c>
      <c r="F476" s="26">
        <v>1623.75</v>
      </c>
      <c r="Q476" s="20">
        <v>47.5</v>
      </c>
      <c r="R476" s="20">
        <v>64.62</v>
      </c>
      <c r="S476" s="26">
        <v>65</v>
      </c>
      <c r="T476" s="26">
        <v>0.38</v>
      </c>
      <c r="U476" s="26">
        <v>0.08</v>
      </c>
      <c r="V476" s="20">
        <v>1551.28</v>
      </c>
    </row>
    <row r="477" spans="1:22" ht="16.8" x14ac:dyDescent="0.3">
      <c r="A477" s="20">
        <v>47.6</v>
      </c>
      <c r="B477" s="20">
        <v>65</v>
      </c>
      <c r="C477" s="26">
        <v>65.33</v>
      </c>
      <c r="D477" s="20">
        <v>-0.33</v>
      </c>
      <c r="E477" s="20">
        <v>0.02</v>
      </c>
      <c r="F477" s="26">
        <v>1635.68</v>
      </c>
      <c r="Q477" s="20">
        <v>47.6</v>
      </c>
      <c r="R477" s="20">
        <v>64.709999999999994</v>
      </c>
      <c r="S477" s="26">
        <v>65</v>
      </c>
      <c r="T477" s="26">
        <v>0.28999999999999998</v>
      </c>
      <c r="U477" s="26">
        <v>-0.1</v>
      </c>
      <c r="V477" s="26">
        <v>1420.15</v>
      </c>
    </row>
    <row r="478" spans="1:22" ht="16.8" x14ac:dyDescent="0.3">
      <c r="A478" s="20">
        <v>47.7</v>
      </c>
      <c r="B478" s="20">
        <v>65</v>
      </c>
      <c r="C478" s="20">
        <v>65.349999999999994</v>
      </c>
      <c r="D478" s="20">
        <v>-0.35</v>
      </c>
      <c r="E478" s="20">
        <v>-0.03</v>
      </c>
      <c r="F478" s="20">
        <v>1618.89</v>
      </c>
      <c r="Q478" s="20">
        <v>47.7</v>
      </c>
      <c r="R478" s="20">
        <v>64.709999999999994</v>
      </c>
      <c r="S478" s="20">
        <v>65</v>
      </c>
      <c r="T478" s="26">
        <v>0.28999999999999998</v>
      </c>
      <c r="U478" s="26">
        <v>0</v>
      </c>
      <c r="V478" s="20">
        <v>1484.26</v>
      </c>
    </row>
    <row r="479" spans="1:22" ht="16.8" x14ac:dyDescent="0.3">
      <c r="A479" s="20">
        <v>47.8</v>
      </c>
      <c r="B479" s="20">
        <v>65</v>
      </c>
      <c r="C479" s="26">
        <v>65.31</v>
      </c>
      <c r="D479" s="20">
        <v>-0.31</v>
      </c>
      <c r="E479" s="20">
        <v>0.04</v>
      </c>
      <c r="F479" s="26">
        <v>1644.79</v>
      </c>
      <c r="Q479" s="20">
        <v>47.8</v>
      </c>
      <c r="R479" s="20">
        <v>64.7</v>
      </c>
      <c r="S479" s="26">
        <v>65</v>
      </c>
      <c r="T479" s="26">
        <v>0.3</v>
      </c>
      <c r="U479" s="26">
        <v>0.02</v>
      </c>
      <c r="V479" s="26">
        <v>1498.15</v>
      </c>
    </row>
    <row r="480" spans="1:22" ht="16.8" x14ac:dyDescent="0.3">
      <c r="A480" s="20">
        <v>47.9</v>
      </c>
      <c r="B480" s="20">
        <v>65</v>
      </c>
      <c r="C480" s="26">
        <v>65.37</v>
      </c>
      <c r="D480" s="20">
        <v>-0.37</v>
      </c>
      <c r="E480" s="20">
        <v>-0.06</v>
      </c>
      <c r="F480" s="26">
        <v>1611.42</v>
      </c>
      <c r="Q480" s="20">
        <v>47.9</v>
      </c>
      <c r="R480" s="20">
        <v>64.67</v>
      </c>
      <c r="S480" s="26">
        <v>65</v>
      </c>
      <c r="T480" s="26">
        <v>0.33</v>
      </c>
      <c r="U480" s="26">
        <v>0.02</v>
      </c>
      <c r="V480" s="20">
        <v>1508.1</v>
      </c>
    </row>
    <row r="481" spans="1:22" ht="16.8" x14ac:dyDescent="0.3">
      <c r="A481" s="20">
        <v>48</v>
      </c>
      <c r="B481" s="20">
        <v>65</v>
      </c>
      <c r="C481" s="20">
        <v>65.290000000000006</v>
      </c>
      <c r="D481" s="20">
        <v>-0.28999999999999998</v>
      </c>
      <c r="E481" s="20">
        <v>7.0000000000000007E-2</v>
      </c>
      <c r="F481" s="20">
        <v>1653.64</v>
      </c>
      <c r="Q481" s="20">
        <v>48</v>
      </c>
      <c r="R481" s="20">
        <v>64.790000000000006</v>
      </c>
      <c r="S481" s="26">
        <v>65</v>
      </c>
      <c r="T481" s="26">
        <v>0.21</v>
      </c>
      <c r="U481" s="26">
        <v>-0.11</v>
      </c>
      <c r="V481" s="26">
        <v>1400.61</v>
      </c>
    </row>
    <row r="482" spans="1:22" ht="16.8" x14ac:dyDescent="0.3">
      <c r="A482" s="20">
        <v>48.1</v>
      </c>
      <c r="B482" s="20">
        <v>65</v>
      </c>
      <c r="C482" s="26">
        <v>65.34</v>
      </c>
      <c r="D482" s="20">
        <v>-0.34</v>
      </c>
      <c r="E482" s="20">
        <v>-0.05</v>
      </c>
      <c r="F482" s="26">
        <v>1626.18</v>
      </c>
      <c r="Q482" s="20">
        <v>48.1</v>
      </c>
      <c r="R482" s="20">
        <v>64.819999999999993</v>
      </c>
      <c r="S482" s="26">
        <v>65</v>
      </c>
      <c r="T482" s="26">
        <v>0.18</v>
      </c>
      <c r="U482" s="26">
        <v>-0.03</v>
      </c>
      <c r="V482" s="20">
        <v>1448.74</v>
      </c>
    </row>
    <row r="483" spans="1:22" ht="16.8" x14ac:dyDescent="0.3">
      <c r="A483" s="20">
        <v>48.2</v>
      </c>
      <c r="B483" s="20">
        <v>65</v>
      </c>
      <c r="C483" s="20">
        <v>65.33</v>
      </c>
      <c r="D483" s="20">
        <v>-0.33</v>
      </c>
      <c r="E483" s="20">
        <v>0.01</v>
      </c>
      <c r="F483" s="20">
        <v>1630.98</v>
      </c>
      <c r="Q483" s="20">
        <v>48.2</v>
      </c>
      <c r="R483" s="20">
        <v>64.650000000000006</v>
      </c>
      <c r="S483" s="26">
        <v>65</v>
      </c>
      <c r="T483" s="26">
        <v>0.35</v>
      </c>
      <c r="U483" s="26">
        <v>0.17</v>
      </c>
      <c r="V483" s="26">
        <v>1608.93</v>
      </c>
    </row>
    <row r="484" spans="1:22" ht="16.8" x14ac:dyDescent="0.3">
      <c r="A484" s="20">
        <v>48.3</v>
      </c>
      <c r="B484" s="20">
        <v>65</v>
      </c>
      <c r="C484" s="26">
        <v>65.31</v>
      </c>
      <c r="D484" s="20">
        <v>-0.31</v>
      </c>
      <c r="E484" s="20">
        <v>0.03</v>
      </c>
      <c r="F484" s="26">
        <v>1647.01</v>
      </c>
      <c r="Q484" s="20">
        <v>48.3</v>
      </c>
      <c r="R484" s="20">
        <v>64.84</v>
      </c>
      <c r="S484" s="26">
        <v>65</v>
      </c>
      <c r="T484" s="26">
        <v>0.16</v>
      </c>
      <c r="U484" s="26">
        <v>-0.19</v>
      </c>
      <c r="V484" s="20">
        <v>1346.95</v>
      </c>
    </row>
    <row r="485" spans="1:22" ht="16.8" x14ac:dyDescent="0.3">
      <c r="A485" s="20">
        <v>48.4</v>
      </c>
      <c r="B485" s="20">
        <v>65</v>
      </c>
      <c r="C485" s="20">
        <v>65.3</v>
      </c>
      <c r="D485" s="20">
        <v>-0.3</v>
      </c>
      <c r="E485" s="20">
        <v>0</v>
      </c>
      <c r="F485" s="26">
        <v>1649.21</v>
      </c>
      <c r="Q485" s="20">
        <v>48.4</v>
      </c>
      <c r="R485" s="20">
        <v>64.8</v>
      </c>
      <c r="S485" s="20">
        <v>65</v>
      </c>
      <c r="T485" s="26">
        <v>0.2</v>
      </c>
      <c r="U485" s="26">
        <v>0.03</v>
      </c>
      <c r="V485" s="20">
        <v>1495.33</v>
      </c>
    </row>
    <row r="486" spans="1:22" ht="16.8" x14ac:dyDescent="0.3">
      <c r="A486" s="20">
        <v>48.5</v>
      </c>
      <c r="B486" s="20">
        <v>65</v>
      </c>
      <c r="C486" s="26">
        <v>65.33</v>
      </c>
      <c r="D486" s="20">
        <v>-0.33</v>
      </c>
      <c r="E486" s="20">
        <v>-0.03</v>
      </c>
      <c r="F486" s="20">
        <v>1630.98</v>
      </c>
      <c r="Q486" s="20">
        <v>48.5</v>
      </c>
      <c r="R486" s="20">
        <v>64.81</v>
      </c>
      <c r="S486" s="26">
        <v>65</v>
      </c>
      <c r="T486" s="20">
        <v>0.19</v>
      </c>
      <c r="U486" s="26">
        <v>-0.01</v>
      </c>
      <c r="V486" s="26">
        <v>1468.06</v>
      </c>
    </row>
    <row r="487" spans="1:22" ht="16.8" x14ac:dyDescent="0.3">
      <c r="A487" s="20">
        <v>48.6</v>
      </c>
      <c r="B487" s="20">
        <v>65</v>
      </c>
      <c r="C487" s="26">
        <v>65.3</v>
      </c>
      <c r="D487" s="20">
        <v>-0.3</v>
      </c>
      <c r="E487" s="20">
        <v>0.03</v>
      </c>
      <c r="F487" s="26">
        <v>1649.21</v>
      </c>
      <c r="Q487" s="20">
        <v>48.6</v>
      </c>
      <c r="R487" s="20">
        <v>64.790000000000006</v>
      </c>
      <c r="S487" s="20">
        <v>65</v>
      </c>
      <c r="T487" s="26">
        <v>0.21</v>
      </c>
      <c r="U487" s="26">
        <v>0.02</v>
      </c>
      <c r="V487" s="20">
        <v>1487</v>
      </c>
    </row>
    <row r="488" spans="1:22" ht="16.8" x14ac:dyDescent="0.3">
      <c r="A488" s="20">
        <v>48.7</v>
      </c>
      <c r="B488" s="20">
        <v>65</v>
      </c>
      <c r="C488" s="20">
        <v>65.34</v>
      </c>
      <c r="D488" s="20">
        <v>-0.34</v>
      </c>
      <c r="E488" s="20">
        <v>-0.04</v>
      </c>
      <c r="F488" s="26">
        <v>1626.18</v>
      </c>
      <c r="Q488" s="20">
        <v>48.7</v>
      </c>
      <c r="R488" s="20">
        <v>64.83</v>
      </c>
      <c r="S488" s="26">
        <v>65</v>
      </c>
      <c r="T488" s="26">
        <v>0.17</v>
      </c>
      <c r="U488" s="20">
        <v>-0.03</v>
      </c>
      <c r="V488" s="26">
        <v>1450.52</v>
      </c>
    </row>
    <row r="489" spans="1:22" ht="16.8" x14ac:dyDescent="0.3">
      <c r="A489" s="20">
        <v>48.8</v>
      </c>
      <c r="B489" s="20">
        <v>65</v>
      </c>
      <c r="C489" s="26">
        <v>65.33</v>
      </c>
      <c r="D489" s="20">
        <v>-0.33</v>
      </c>
      <c r="E489" s="20">
        <v>0.01</v>
      </c>
      <c r="F489" s="20">
        <v>1630.98</v>
      </c>
      <c r="Q489" s="20">
        <v>48.8</v>
      </c>
      <c r="R489" s="20">
        <v>64.78</v>
      </c>
      <c r="S489" s="20">
        <v>65</v>
      </c>
      <c r="T489" s="26">
        <v>0.22</v>
      </c>
      <c r="U489" s="26">
        <v>0.05</v>
      </c>
      <c r="V489" s="20">
        <v>1511.67</v>
      </c>
    </row>
    <row r="490" spans="1:22" ht="16.8" x14ac:dyDescent="0.3">
      <c r="A490" s="20">
        <v>48.9</v>
      </c>
      <c r="B490" s="20">
        <v>65</v>
      </c>
      <c r="C490" s="20">
        <v>65.3</v>
      </c>
      <c r="D490" s="20">
        <v>-0.3</v>
      </c>
      <c r="E490" s="20">
        <v>0.04</v>
      </c>
      <c r="F490" s="26">
        <v>1651.41</v>
      </c>
      <c r="Q490" s="20">
        <v>48.9</v>
      </c>
      <c r="R490" s="20">
        <v>64.84</v>
      </c>
      <c r="S490" s="26">
        <v>65</v>
      </c>
      <c r="T490" s="26">
        <v>0.16</v>
      </c>
      <c r="U490" s="20">
        <v>-0.06</v>
      </c>
      <c r="V490" s="26">
        <v>1427.7</v>
      </c>
    </row>
    <row r="491" spans="1:22" ht="16.8" x14ac:dyDescent="0.3">
      <c r="A491" s="20">
        <v>49</v>
      </c>
      <c r="B491" s="20">
        <v>65</v>
      </c>
      <c r="C491" s="26">
        <v>65.28</v>
      </c>
      <c r="D491" s="20">
        <v>-0.28000000000000003</v>
      </c>
      <c r="E491" s="20">
        <v>0.02</v>
      </c>
      <c r="F491" s="20">
        <v>1660.19</v>
      </c>
      <c r="Q491" s="20">
        <v>49</v>
      </c>
      <c r="R491" s="20">
        <v>64.84</v>
      </c>
      <c r="S491" s="20">
        <v>65</v>
      </c>
      <c r="T491" s="26">
        <v>0.16</v>
      </c>
      <c r="U491" s="26">
        <v>0.01</v>
      </c>
      <c r="V491" s="20">
        <v>1476.96</v>
      </c>
    </row>
    <row r="492" spans="1:22" ht="16.8" x14ac:dyDescent="0.3">
      <c r="A492" s="20">
        <v>49.1</v>
      </c>
      <c r="B492" s="20">
        <v>65</v>
      </c>
      <c r="C492" s="26">
        <v>65.34</v>
      </c>
      <c r="D492" s="20">
        <v>-0.34</v>
      </c>
      <c r="E492" s="20">
        <v>-0.06</v>
      </c>
      <c r="F492" s="26">
        <v>1626.18</v>
      </c>
      <c r="Q492" s="20">
        <v>49.1</v>
      </c>
      <c r="R492" s="20">
        <v>64.819999999999993</v>
      </c>
      <c r="S492" s="26">
        <v>65</v>
      </c>
      <c r="T492" s="26">
        <v>0.18</v>
      </c>
      <c r="U492" s="26">
        <v>0.02</v>
      </c>
      <c r="V492" s="26">
        <v>1485.26</v>
      </c>
    </row>
    <row r="493" spans="1:22" ht="16.8" x14ac:dyDescent="0.3">
      <c r="A493" s="20">
        <v>49.2</v>
      </c>
      <c r="B493" s="20">
        <v>65</v>
      </c>
      <c r="C493" s="20">
        <v>65.290000000000006</v>
      </c>
      <c r="D493" s="20">
        <v>-0.28999999999999998</v>
      </c>
      <c r="E493" s="20">
        <v>0.05</v>
      </c>
      <c r="F493" s="26">
        <v>1653.64</v>
      </c>
      <c r="Q493" s="20">
        <v>49.2</v>
      </c>
      <c r="R493" s="20">
        <v>65</v>
      </c>
      <c r="S493" s="26">
        <v>65</v>
      </c>
      <c r="T493" s="26">
        <v>0</v>
      </c>
      <c r="U493" s="26">
        <v>-0.18</v>
      </c>
      <c r="V493" s="20">
        <v>1329.93</v>
      </c>
    </row>
    <row r="494" spans="1:22" ht="16.8" x14ac:dyDescent="0.3">
      <c r="A494" s="20">
        <v>49.3</v>
      </c>
      <c r="B494" s="20">
        <v>65</v>
      </c>
      <c r="C494" s="26">
        <v>65.3</v>
      </c>
      <c r="D494" s="20">
        <v>-0.3</v>
      </c>
      <c r="E494" s="20">
        <v>-0.01</v>
      </c>
      <c r="F494" s="20">
        <v>1649.21</v>
      </c>
      <c r="Q494" s="20">
        <v>49.3</v>
      </c>
      <c r="R494" s="20">
        <v>64.89</v>
      </c>
      <c r="S494" s="26">
        <v>65</v>
      </c>
      <c r="T494" s="26">
        <v>0.11</v>
      </c>
      <c r="U494" s="26">
        <v>0.1</v>
      </c>
      <c r="V494" s="26">
        <v>1532.04</v>
      </c>
    </row>
    <row r="495" spans="1:22" ht="16.8" x14ac:dyDescent="0.3">
      <c r="A495" s="20">
        <v>49.4</v>
      </c>
      <c r="B495" s="20">
        <v>65</v>
      </c>
      <c r="C495" s="20">
        <v>65.34</v>
      </c>
      <c r="D495" s="20">
        <v>-0.34</v>
      </c>
      <c r="E495" s="20">
        <v>-0.04</v>
      </c>
      <c r="F495" s="26">
        <v>1626.18</v>
      </c>
      <c r="Q495" s="20">
        <v>49.4</v>
      </c>
      <c r="R495" s="20">
        <v>64.88</v>
      </c>
      <c r="S495" s="26">
        <v>65</v>
      </c>
      <c r="T495" s="26">
        <v>0.12</v>
      </c>
      <c r="U495" s="26">
        <v>0.01</v>
      </c>
      <c r="V495" s="20">
        <v>1470.17</v>
      </c>
    </row>
    <row r="496" spans="1:22" ht="16.8" x14ac:dyDescent="0.3">
      <c r="A496" s="20">
        <v>49.5</v>
      </c>
      <c r="B496" s="20">
        <v>65</v>
      </c>
      <c r="C496" s="26">
        <v>65.319999999999993</v>
      </c>
      <c r="D496" s="20">
        <v>-0.32</v>
      </c>
      <c r="E496" s="20">
        <v>0.02</v>
      </c>
      <c r="F496" s="26">
        <v>1637.99</v>
      </c>
      <c r="Q496" s="20">
        <v>49.5</v>
      </c>
      <c r="R496" s="20">
        <v>64.88</v>
      </c>
      <c r="S496" s="26">
        <v>65</v>
      </c>
      <c r="T496" s="26">
        <v>0.12</v>
      </c>
      <c r="U496" s="26">
        <v>0</v>
      </c>
      <c r="V496" s="26">
        <v>1465.17</v>
      </c>
    </row>
    <row r="497" spans="1:22" ht="16.8" x14ac:dyDescent="0.3">
      <c r="A497" s="20">
        <v>49.6</v>
      </c>
      <c r="B497" s="20">
        <v>65</v>
      </c>
      <c r="C497" s="26">
        <v>65.31</v>
      </c>
      <c r="D497" s="20">
        <v>-0.31</v>
      </c>
      <c r="E497" s="20">
        <v>0.01</v>
      </c>
      <c r="F497" s="20">
        <v>1644.79</v>
      </c>
      <c r="Q497" s="20">
        <v>49.6</v>
      </c>
      <c r="R497" s="20">
        <v>64.94</v>
      </c>
      <c r="S497" s="26">
        <v>65</v>
      </c>
      <c r="T497" s="26">
        <v>0.06</v>
      </c>
      <c r="U497" s="26">
        <v>-0.06</v>
      </c>
      <c r="V497" s="20">
        <v>1419.25</v>
      </c>
    </row>
    <row r="498" spans="1:22" ht="16.8" x14ac:dyDescent="0.3">
      <c r="A498" s="20">
        <v>49.7</v>
      </c>
      <c r="B498" s="20">
        <v>65</v>
      </c>
      <c r="C498" s="20">
        <v>65.33</v>
      </c>
      <c r="D498" s="20">
        <v>-0.33</v>
      </c>
      <c r="E498" s="20">
        <v>-0.02</v>
      </c>
      <c r="F498" s="26">
        <v>1633.34</v>
      </c>
      <c r="Q498" s="20">
        <v>49.7</v>
      </c>
      <c r="R498" s="20">
        <v>64.959999999999994</v>
      </c>
      <c r="S498" s="26">
        <v>65</v>
      </c>
      <c r="T498" s="26">
        <v>0.04</v>
      </c>
      <c r="U498" s="26">
        <v>-0.02</v>
      </c>
      <c r="V498" s="26">
        <v>1436.6</v>
      </c>
    </row>
    <row r="499" spans="1:22" ht="16.8" x14ac:dyDescent="0.3">
      <c r="A499" s="20">
        <v>49.8</v>
      </c>
      <c r="B499" s="20">
        <v>65</v>
      </c>
      <c r="C499" s="26">
        <v>65.27</v>
      </c>
      <c r="D499" s="20">
        <v>-0.27</v>
      </c>
      <c r="E499" s="20">
        <v>0.06</v>
      </c>
      <c r="F499" s="26">
        <v>1664.47</v>
      </c>
      <c r="Q499" s="20">
        <v>49.8</v>
      </c>
      <c r="R499" s="20">
        <v>65.13</v>
      </c>
      <c r="S499" s="26">
        <v>65</v>
      </c>
      <c r="T499" s="26">
        <v>-0.13</v>
      </c>
      <c r="U499" s="20">
        <v>-0.17</v>
      </c>
      <c r="V499" s="20">
        <v>1313.95</v>
      </c>
    </row>
    <row r="500" spans="1:22" ht="16.8" x14ac:dyDescent="0.3">
      <c r="A500" s="20">
        <v>49.9</v>
      </c>
      <c r="B500" s="20">
        <v>65</v>
      </c>
      <c r="C500" s="26">
        <v>65.36</v>
      </c>
      <c r="D500" s="20">
        <v>-0.36</v>
      </c>
      <c r="E500" s="20">
        <v>-0.08</v>
      </c>
      <c r="F500" s="20">
        <v>1616.43</v>
      </c>
      <c r="Q500" s="20">
        <v>49.9</v>
      </c>
      <c r="R500" s="20">
        <v>65.209999999999994</v>
      </c>
      <c r="S500" s="26">
        <v>65</v>
      </c>
      <c r="T500" s="26">
        <v>-0.21</v>
      </c>
      <c r="U500" s="26">
        <v>-7.0000000000000007E-2</v>
      </c>
      <c r="V500" s="26">
        <v>1365.24</v>
      </c>
    </row>
    <row r="501" spans="1:22" ht="16.8" x14ac:dyDescent="0.3">
      <c r="A501" s="20">
        <v>50</v>
      </c>
      <c r="B501" s="20">
        <v>65</v>
      </c>
      <c r="C501" s="20">
        <v>65.27</v>
      </c>
      <c r="D501" s="20">
        <v>-0.27</v>
      </c>
      <c r="E501" s="20">
        <v>0.09</v>
      </c>
      <c r="F501" s="26">
        <v>1666.57</v>
      </c>
      <c r="Q501" s="20">
        <v>50</v>
      </c>
      <c r="R501" s="20">
        <v>65.31</v>
      </c>
      <c r="S501" s="26">
        <v>65</v>
      </c>
      <c r="T501" s="26">
        <v>-0.31</v>
      </c>
      <c r="U501" s="26">
        <v>-0.1</v>
      </c>
      <c r="V501" s="20">
        <v>1326.52</v>
      </c>
    </row>
    <row r="502" spans="1:22" ht="16.8" x14ac:dyDescent="0.3">
      <c r="A502" s="20">
        <v>50.1</v>
      </c>
      <c r="B502" s="20">
        <v>65</v>
      </c>
      <c r="C502" s="26">
        <v>65.37</v>
      </c>
      <c r="D502" s="20">
        <v>-0.37</v>
      </c>
      <c r="E502" s="20">
        <v>-0.1</v>
      </c>
      <c r="F502" s="26">
        <v>1611.42</v>
      </c>
      <c r="Q502" s="20">
        <v>50.1</v>
      </c>
      <c r="R502" s="20">
        <v>65.290000000000006</v>
      </c>
      <c r="S502" s="26">
        <v>65</v>
      </c>
      <c r="T502" s="26">
        <v>-0.28999999999999998</v>
      </c>
      <c r="U502" s="26">
        <v>0.02</v>
      </c>
      <c r="V502" s="26">
        <v>1414.3</v>
      </c>
    </row>
    <row r="503" spans="1:22" ht="16.8" x14ac:dyDescent="0.3">
      <c r="A503" s="20">
        <v>50.2</v>
      </c>
      <c r="B503" s="20">
        <v>65</v>
      </c>
      <c r="C503" s="20">
        <v>65.349999999999994</v>
      </c>
      <c r="D503" s="20">
        <v>-0.35</v>
      </c>
      <c r="E503" s="20">
        <v>0.01</v>
      </c>
      <c r="F503" s="20">
        <v>1618.89</v>
      </c>
      <c r="Q503" s="20">
        <v>50.2</v>
      </c>
      <c r="R503" s="20">
        <v>65.31</v>
      </c>
      <c r="S503" s="26">
        <v>65</v>
      </c>
      <c r="T503" s="26">
        <v>-0.31</v>
      </c>
      <c r="U503" s="26">
        <v>-0.02</v>
      </c>
      <c r="V503" s="20">
        <v>1377.96</v>
      </c>
    </row>
    <row r="504" spans="1:22" ht="16.8" x14ac:dyDescent="0.3">
      <c r="A504" s="20">
        <v>50.3</v>
      </c>
      <c r="B504" s="20">
        <v>65</v>
      </c>
      <c r="C504" s="26">
        <v>65.349999999999994</v>
      </c>
      <c r="D504" s="20">
        <v>-0.35</v>
      </c>
      <c r="E504" s="20">
        <v>0</v>
      </c>
      <c r="F504" s="26">
        <v>1621.32</v>
      </c>
      <c r="Q504" s="20">
        <v>50.3</v>
      </c>
      <c r="R504" s="20">
        <v>65.209999999999994</v>
      </c>
      <c r="S504" s="26">
        <v>65</v>
      </c>
      <c r="T504" s="26">
        <v>-0.21</v>
      </c>
      <c r="U504" s="26">
        <v>0.1</v>
      </c>
      <c r="V504" s="26">
        <v>1478.87</v>
      </c>
    </row>
    <row r="505" spans="1:22" ht="16.8" x14ac:dyDescent="0.3">
      <c r="A505" s="20">
        <v>50.4</v>
      </c>
      <c r="B505" s="20">
        <v>65</v>
      </c>
      <c r="C505" s="20">
        <v>65.34</v>
      </c>
      <c r="D505" s="20">
        <v>-0.34</v>
      </c>
      <c r="E505" s="20">
        <v>0.01</v>
      </c>
      <c r="F505" s="20">
        <v>1626.18</v>
      </c>
      <c r="Q505" s="20">
        <v>50.4</v>
      </c>
      <c r="R505" s="20">
        <v>65.27</v>
      </c>
      <c r="S505" s="20">
        <v>65</v>
      </c>
      <c r="T505" s="26">
        <v>-0.27</v>
      </c>
      <c r="U505" s="26">
        <v>-0.06</v>
      </c>
      <c r="V505" s="20">
        <v>1356.84</v>
      </c>
    </row>
    <row r="506" spans="1:22" ht="16.8" x14ac:dyDescent="0.3">
      <c r="A506" s="20">
        <v>50.5</v>
      </c>
      <c r="B506" s="20">
        <v>65</v>
      </c>
      <c r="C506" s="26">
        <v>65.33</v>
      </c>
      <c r="D506" s="20">
        <v>-0.33</v>
      </c>
      <c r="E506" s="20">
        <v>0.02</v>
      </c>
      <c r="F506" s="26">
        <v>1635.68</v>
      </c>
      <c r="Q506" s="20">
        <v>50.5</v>
      </c>
      <c r="R506" s="20">
        <v>65.33</v>
      </c>
      <c r="S506" s="26">
        <v>65</v>
      </c>
      <c r="T506" s="26">
        <v>-0.33</v>
      </c>
      <c r="U506" s="26">
        <v>-0.06</v>
      </c>
      <c r="V506" s="26">
        <v>1345.71</v>
      </c>
    </row>
    <row r="507" spans="1:22" ht="16.8" x14ac:dyDescent="0.3">
      <c r="A507" s="20">
        <v>50.6</v>
      </c>
      <c r="B507" s="20">
        <v>65</v>
      </c>
      <c r="C507" s="26">
        <v>65.38</v>
      </c>
      <c r="D507" s="20">
        <v>-0.38</v>
      </c>
      <c r="E507" s="20">
        <v>-0.06</v>
      </c>
      <c r="F507" s="26">
        <v>1601.02</v>
      </c>
      <c r="Q507" s="20">
        <v>50.6</v>
      </c>
      <c r="R507" s="20">
        <v>65.28</v>
      </c>
      <c r="S507" s="20">
        <v>65</v>
      </c>
      <c r="T507" s="26">
        <v>-0.28000000000000003</v>
      </c>
      <c r="U507" s="26">
        <v>0.06</v>
      </c>
      <c r="V507" s="20">
        <v>1433.37</v>
      </c>
    </row>
    <row r="508" spans="1:22" ht="16.8" x14ac:dyDescent="0.3">
      <c r="A508" s="20">
        <v>50.7</v>
      </c>
      <c r="B508" s="20">
        <v>65</v>
      </c>
      <c r="C508" s="20">
        <v>65.38</v>
      </c>
      <c r="D508" s="20">
        <v>-0.38</v>
      </c>
      <c r="E508" s="20">
        <v>0.01</v>
      </c>
      <c r="F508" s="20">
        <v>1606.29</v>
      </c>
      <c r="Q508" s="20">
        <v>50.7</v>
      </c>
      <c r="R508" s="20">
        <v>65.290000000000006</v>
      </c>
      <c r="S508" s="26">
        <v>65</v>
      </c>
      <c r="T508" s="26">
        <v>-0.28999999999999998</v>
      </c>
      <c r="U508" s="26">
        <v>-0.01</v>
      </c>
      <c r="V508" s="26">
        <v>1389.11</v>
      </c>
    </row>
    <row r="509" spans="1:22" ht="16.8" x14ac:dyDescent="0.3">
      <c r="A509" s="20">
        <v>50.8</v>
      </c>
      <c r="B509" s="20">
        <v>65</v>
      </c>
      <c r="C509" s="26">
        <v>65.319999999999993</v>
      </c>
      <c r="D509" s="20">
        <v>-0.32</v>
      </c>
      <c r="E509" s="20">
        <v>0.05</v>
      </c>
      <c r="F509" s="26">
        <v>1637.99</v>
      </c>
      <c r="Q509" s="20">
        <v>50.8</v>
      </c>
      <c r="R509" s="20">
        <v>65.25</v>
      </c>
      <c r="S509" s="20">
        <v>65</v>
      </c>
      <c r="T509" s="26">
        <v>-0.25</v>
      </c>
      <c r="U509" s="26">
        <v>0.03</v>
      </c>
      <c r="V509" s="20">
        <v>1420.11</v>
      </c>
    </row>
    <row r="510" spans="1:22" ht="16.8" x14ac:dyDescent="0.3">
      <c r="A510" s="20">
        <v>50.9</v>
      </c>
      <c r="B510" s="20">
        <v>65</v>
      </c>
      <c r="C510" s="26">
        <v>65.33</v>
      </c>
      <c r="D510" s="20">
        <v>-0.33</v>
      </c>
      <c r="E510" s="20">
        <v>-0.01</v>
      </c>
      <c r="F510" s="20">
        <v>1633.34</v>
      </c>
      <c r="Q510" s="20">
        <v>50.9</v>
      </c>
      <c r="R510" s="20">
        <v>65.3</v>
      </c>
      <c r="S510" s="26">
        <v>65</v>
      </c>
      <c r="T510" s="26">
        <v>-0.3</v>
      </c>
      <c r="U510" s="26">
        <v>-0.05</v>
      </c>
      <c r="V510" s="20">
        <v>1358.75</v>
      </c>
    </row>
    <row r="511" spans="1:22" ht="16.8" x14ac:dyDescent="0.3">
      <c r="A511" s="20">
        <v>51</v>
      </c>
      <c r="B511" s="20">
        <v>65</v>
      </c>
      <c r="C511" s="20">
        <v>65.290000000000006</v>
      </c>
      <c r="D511" s="20">
        <v>-0.28999999999999998</v>
      </c>
      <c r="E511" s="20">
        <v>0.04</v>
      </c>
      <c r="F511" s="26">
        <v>1655.84</v>
      </c>
      <c r="Q511" s="20">
        <v>51</v>
      </c>
      <c r="R511" s="20">
        <v>65.25</v>
      </c>
      <c r="S511" s="26">
        <v>65</v>
      </c>
      <c r="T511" s="26">
        <v>-0.25</v>
      </c>
      <c r="U511" s="26">
        <v>0.06</v>
      </c>
      <c r="V511" s="26">
        <v>1435.95</v>
      </c>
    </row>
    <row r="512" spans="1:22" ht="16.8" x14ac:dyDescent="0.3">
      <c r="A512" s="20">
        <v>51.1</v>
      </c>
      <c r="B512" s="20">
        <v>65</v>
      </c>
      <c r="C512" s="26">
        <v>65.34</v>
      </c>
      <c r="D512" s="20">
        <v>-0.34</v>
      </c>
      <c r="E512" s="20">
        <v>-0.05</v>
      </c>
      <c r="F512" s="26">
        <v>1628.6</v>
      </c>
      <c r="Q512" s="20">
        <v>51.1</v>
      </c>
      <c r="R512" s="20">
        <v>65.25</v>
      </c>
      <c r="S512" s="26">
        <v>65</v>
      </c>
      <c r="T512" s="26">
        <v>-0.25</v>
      </c>
      <c r="U512" s="26">
        <v>-0.01</v>
      </c>
      <c r="V512" s="20">
        <v>1391.75</v>
      </c>
    </row>
    <row r="513" spans="1:22" ht="16.8" x14ac:dyDescent="0.3">
      <c r="A513" s="20">
        <v>51.2</v>
      </c>
      <c r="B513" s="20">
        <v>65</v>
      </c>
      <c r="C513" s="20">
        <v>65.33</v>
      </c>
      <c r="D513" s="20">
        <v>-0.33</v>
      </c>
      <c r="E513" s="20">
        <v>0.01</v>
      </c>
      <c r="F513" s="20">
        <v>1633.34</v>
      </c>
      <c r="Q513" s="20">
        <v>51.2</v>
      </c>
      <c r="R513" s="20">
        <v>65.3</v>
      </c>
      <c r="S513" s="26">
        <v>65</v>
      </c>
      <c r="T513" s="26">
        <v>-0.3</v>
      </c>
      <c r="U513" s="26">
        <v>-0.05</v>
      </c>
      <c r="V513" s="26">
        <v>1356.82</v>
      </c>
    </row>
    <row r="514" spans="1:22" ht="16.8" x14ac:dyDescent="0.3">
      <c r="A514" s="20">
        <v>51.3</v>
      </c>
      <c r="B514" s="20">
        <v>65</v>
      </c>
      <c r="C514" s="26">
        <v>65.37</v>
      </c>
      <c r="D514" s="20">
        <v>-0.37</v>
      </c>
      <c r="E514" s="20">
        <v>-0.04</v>
      </c>
      <c r="F514" s="26">
        <v>1611.42</v>
      </c>
      <c r="Q514" s="20">
        <v>51.3</v>
      </c>
      <c r="R514" s="20">
        <v>65.27</v>
      </c>
      <c r="S514" s="26">
        <v>65</v>
      </c>
      <c r="T514" s="26">
        <v>-0.27</v>
      </c>
      <c r="U514" s="26">
        <v>0.03</v>
      </c>
      <c r="V514" s="20">
        <v>1414.21</v>
      </c>
    </row>
    <row r="515" spans="1:22" ht="16.8" x14ac:dyDescent="0.3">
      <c r="A515" s="20">
        <v>51.4</v>
      </c>
      <c r="B515" s="20">
        <v>65</v>
      </c>
      <c r="C515" s="26">
        <v>65.33</v>
      </c>
      <c r="D515" s="20">
        <v>-0.33</v>
      </c>
      <c r="E515" s="20">
        <v>0.03</v>
      </c>
      <c r="F515" s="26">
        <v>1630.98</v>
      </c>
      <c r="Q515" s="20">
        <v>51.4</v>
      </c>
      <c r="R515" s="20">
        <v>65.28</v>
      </c>
      <c r="S515" s="26">
        <v>65</v>
      </c>
      <c r="T515" s="26">
        <v>-0.28000000000000003</v>
      </c>
      <c r="U515" s="26">
        <v>-0.01</v>
      </c>
      <c r="V515" s="26">
        <v>1385.83</v>
      </c>
    </row>
    <row r="516" spans="1:22" ht="16.8" x14ac:dyDescent="0.3">
      <c r="A516" s="20">
        <v>51.5</v>
      </c>
      <c r="B516" s="20">
        <v>65</v>
      </c>
      <c r="C516" s="20">
        <v>65.34</v>
      </c>
      <c r="D516" s="20">
        <v>-0.34</v>
      </c>
      <c r="E516" s="20">
        <v>0</v>
      </c>
      <c r="F516" s="20">
        <v>1628.6</v>
      </c>
      <c r="Q516" s="20">
        <v>51.5</v>
      </c>
      <c r="R516" s="20">
        <v>65.25</v>
      </c>
      <c r="S516" s="26">
        <v>65</v>
      </c>
      <c r="T516" s="26">
        <v>-0.25</v>
      </c>
      <c r="U516" s="26">
        <v>0.03</v>
      </c>
      <c r="V516" s="20">
        <v>1416.85</v>
      </c>
    </row>
    <row r="517" spans="1:22" ht="16.8" x14ac:dyDescent="0.3">
      <c r="A517" s="20">
        <v>51.6</v>
      </c>
      <c r="B517" s="20">
        <v>65</v>
      </c>
      <c r="C517" s="26">
        <v>65.38</v>
      </c>
      <c r="D517" s="20">
        <v>-0.38</v>
      </c>
      <c r="E517" s="20">
        <v>-0.04</v>
      </c>
      <c r="F517" s="26">
        <v>1601.02</v>
      </c>
      <c r="Q517" s="20">
        <v>51.6</v>
      </c>
      <c r="R517" s="20">
        <v>65.290000000000006</v>
      </c>
      <c r="S517" s="26">
        <v>65</v>
      </c>
      <c r="T517" s="26">
        <v>-0.28999999999999998</v>
      </c>
      <c r="U517" s="26">
        <v>-0.04</v>
      </c>
      <c r="V517" s="20">
        <v>1362.1</v>
      </c>
    </row>
    <row r="518" spans="1:22" ht="16.8" x14ac:dyDescent="0.3">
      <c r="A518" s="20">
        <v>51.7</v>
      </c>
      <c r="B518" s="20">
        <v>65</v>
      </c>
      <c r="C518" s="26">
        <v>65.37</v>
      </c>
      <c r="D518" s="20">
        <v>-0.37</v>
      </c>
      <c r="E518" s="20">
        <v>0.01</v>
      </c>
      <c r="F518" s="20">
        <v>1608.86</v>
      </c>
      <c r="Q518" s="20">
        <v>51.7</v>
      </c>
      <c r="R518" s="20">
        <v>65.290000000000006</v>
      </c>
      <c r="S518" s="26">
        <v>65</v>
      </c>
      <c r="T518" s="26">
        <v>-0.28999999999999998</v>
      </c>
      <c r="U518" s="20">
        <v>0</v>
      </c>
      <c r="V518" s="26">
        <v>1387.85</v>
      </c>
    </row>
    <row r="519" spans="1:22" ht="16.8" x14ac:dyDescent="0.3">
      <c r="A519" s="20">
        <v>51.8</v>
      </c>
      <c r="B519" s="20">
        <v>65</v>
      </c>
      <c r="C519" s="20">
        <v>65.38</v>
      </c>
      <c r="D519" s="20">
        <v>-0.38</v>
      </c>
      <c r="E519" s="20">
        <v>-0.01</v>
      </c>
      <c r="F519" s="26">
        <v>1603.66</v>
      </c>
      <c r="Q519" s="20">
        <v>51.8</v>
      </c>
      <c r="R519" s="20">
        <v>65.34</v>
      </c>
      <c r="S519" s="26">
        <v>65</v>
      </c>
      <c r="T519" s="26">
        <v>-0.34</v>
      </c>
      <c r="U519" s="26">
        <v>-0.06</v>
      </c>
      <c r="V519" s="20">
        <v>1340.97</v>
      </c>
    </row>
    <row r="520" spans="1:22" ht="16.8" x14ac:dyDescent="0.3">
      <c r="A520" s="20">
        <v>51.9</v>
      </c>
      <c r="B520" s="20">
        <v>65</v>
      </c>
      <c r="C520" s="26">
        <v>65.38</v>
      </c>
      <c r="D520" s="20">
        <v>-0.38</v>
      </c>
      <c r="E520" s="20">
        <v>0</v>
      </c>
      <c r="F520" s="26">
        <v>1606.29</v>
      </c>
      <c r="Q520" s="20">
        <v>51.9</v>
      </c>
      <c r="R520" s="20">
        <v>65.39</v>
      </c>
      <c r="S520" s="26">
        <v>65</v>
      </c>
      <c r="T520" s="26">
        <v>-0.39</v>
      </c>
      <c r="U520" s="26">
        <v>-0.05</v>
      </c>
      <c r="V520" s="26">
        <v>1337.55</v>
      </c>
    </row>
    <row r="521" spans="1:22" ht="16.8" x14ac:dyDescent="0.3">
      <c r="A521" s="20">
        <v>52</v>
      </c>
      <c r="B521" s="20">
        <v>65</v>
      </c>
      <c r="C521" s="20">
        <v>65.349999999999994</v>
      </c>
      <c r="D521" s="20">
        <v>-0.35</v>
      </c>
      <c r="E521" s="20">
        <v>0.02</v>
      </c>
      <c r="F521" s="20">
        <v>1621.32</v>
      </c>
      <c r="Q521" s="20">
        <v>52</v>
      </c>
      <c r="R521" s="20">
        <v>65.510000000000005</v>
      </c>
      <c r="S521" s="26">
        <v>65</v>
      </c>
      <c r="T521" s="26">
        <v>-0.51</v>
      </c>
      <c r="U521" s="26">
        <v>-0.12</v>
      </c>
      <c r="V521" s="20">
        <v>1269.33</v>
      </c>
    </row>
    <row r="522" spans="1:22" ht="16.8" x14ac:dyDescent="0.3">
      <c r="A522" s="20">
        <v>52.1</v>
      </c>
      <c r="B522" s="20">
        <v>65</v>
      </c>
      <c r="C522" s="26">
        <v>65.349999999999994</v>
      </c>
      <c r="D522" s="20">
        <v>-0.35</v>
      </c>
      <c r="E522" s="20">
        <v>0</v>
      </c>
      <c r="F522" s="26">
        <v>1623.75</v>
      </c>
      <c r="Q522" s="20">
        <v>52.1</v>
      </c>
      <c r="R522" s="20">
        <v>65.540000000000006</v>
      </c>
      <c r="S522" s="26">
        <v>65</v>
      </c>
      <c r="T522" s="26">
        <v>-0.54</v>
      </c>
      <c r="U522" s="26">
        <v>-0.02</v>
      </c>
      <c r="V522" s="26">
        <v>1327.6</v>
      </c>
    </row>
    <row r="523" spans="1:22" ht="16.8" x14ac:dyDescent="0.3">
      <c r="A523" s="20">
        <v>52.2</v>
      </c>
      <c r="B523" s="20">
        <v>65</v>
      </c>
      <c r="C523" s="26">
        <v>65.38</v>
      </c>
      <c r="D523" s="20">
        <v>-0.38</v>
      </c>
      <c r="E523" s="20">
        <v>-0.03</v>
      </c>
      <c r="F523" s="26">
        <v>1606.29</v>
      </c>
      <c r="Q523" s="20">
        <v>52.2</v>
      </c>
      <c r="R523" s="20">
        <v>65.67</v>
      </c>
      <c r="S523" s="20">
        <v>65</v>
      </c>
      <c r="T523" s="26">
        <v>-0.67</v>
      </c>
      <c r="U523" s="26">
        <v>-0.13</v>
      </c>
      <c r="V523" s="20">
        <v>1236.56</v>
      </c>
    </row>
    <row r="524" spans="1:22" ht="16.8" x14ac:dyDescent="0.3">
      <c r="A524" s="20">
        <v>52.3</v>
      </c>
      <c r="B524" s="20">
        <v>65</v>
      </c>
      <c r="C524" s="20">
        <v>65.349999999999994</v>
      </c>
      <c r="D524" s="20">
        <v>-0.35</v>
      </c>
      <c r="E524" s="20">
        <v>0.02</v>
      </c>
      <c r="F524" s="20">
        <v>1621.32</v>
      </c>
      <c r="Q524" s="20">
        <v>52.3</v>
      </c>
      <c r="R524" s="20">
        <v>65.69</v>
      </c>
      <c r="S524" s="26">
        <v>65</v>
      </c>
      <c r="T524" s="26">
        <v>-0.69</v>
      </c>
      <c r="U524" s="26">
        <v>-0.02</v>
      </c>
      <c r="V524" s="26">
        <v>1299.76</v>
      </c>
    </row>
    <row r="525" spans="1:22" ht="16.8" x14ac:dyDescent="0.3">
      <c r="A525" s="20">
        <v>52.4</v>
      </c>
      <c r="B525" s="20">
        <v>65</v>
      </c>
      <c r="C525" s="26">
        <v>65.319999999999993</v>
      </c>
      <c r="D525" s="20">
        <v>-0.32</v>
      </c>
      <c r="E525" s="20">
        <v>0.03</v>
      </c>
      <c r="F525" s="26">
        <v>1640.28</v>
      </c>
      <c r="Q525" s="20">
        <v>52.4</v>
      </c>
      <c r="R525" s="20">
        <v>65.8</v>
      </c>
      <c r="S525" s="26">
        <v>65</v>
      </c>
      <c r="T525" s="26">
        <v>-0.8</v>
      </c>
      <c r="U525" s="26">
        <v>-0.11</v>
      </c>
      <c r="V525" s="20">
        <v>1221.56</v>
      </c>
    </row>
    <row r="526" spans="1:22" ht="16.8" x14ac:dyDescent="0.3">
      <c r="A526" s="20">
        <v>52.5</v>
      </c>
      <c r="B526" s="20">
        <v>65</v>
      </c>
      <c r="C526" s="20">
        <v>65.37</v>
      </c>
      <c r="D526" s="20">
        <v>-0.37</v>
      </c>
      <c r="E526" s="20">
        <v>-0.05</v>
      </c>
      <c r="F526" s="20">
        <v>1611.42</v>
      </c>
      <c r="Q526" s="20">
        <v>52.5</v>
      </c>
      <c r="R526" s="20">
        <v>65.760000000000005</v>
      </c>
      <c r="S526" s="26">
        <v>65</v>
      </c>
      <c r="T526" s="26">
        <v>-0.76</v>
      </c>
      <c r="U526" s="26">
        <v>0.04</v>
      </c>
      <c r="V526" s="26">
        <v>1326.65</v>
      </c>
    </row>
    <row r="527" spans="1:22" ht="16.8" x14ac:dyDescent="0.3">
      <c r="A527" s="20">
        <v>52.6</v>
      </c>
      <c r="B527" s="20">
        <v>65</v>
      </c>
      <c r="C527" s="26">
        <v>65.34</v>
      </c>
      <c r="D527" s="20">
        <v>-0.34</v>
      </c>
      <c r="E527" s="20">
        <v>0.03</v>
      </c>
      <c r="F527" s="26">
        <v>1628.6</v>
      </c>
      <c r="Q527" s="20">
        <v>52.6</v>
      </c>
      <c r="R527" s="20">
        <v>65.83</v>
      </c>
      <c r="S527" s="26">
        <v>65</v>
      </c>
      <c r="T527" s="26">
        <v>-0.83</v>
      </c>
      <c r="U527" s="26">
        <v>-0.06</v>
      </c>
      <c r="V527" s="20">
        <v>1245.58</v>
      </c>
    </row>
    <row r="528" spans="1:22" ht="16.8" x14ac:dyDescent="0.3">
      <c r="A528" s="20">
        <v>52.7</v>
      </c>
      <c r="B528" s="20">
        <v>65</v>
      </c>
      <c r="C528" s="26">
        <v>65.34</v>
      </c>
      <c r="D528" s="20">
        <v>-0.34</v>
      </c>
      <c r="E528" s="20">
        <v>0</v>
      </c>
      <c r="F528" s="26">
        <v>1626.18</v>
      </c>
      <c r="Q528" s="20">
        <v>52.7</v>
      </c>
      <c r="R528" s="20">
        <v>65.87</v>
      </c>
      <c r="S528" s="26">
        <v>65</v>
      </c>
      <c r="T528" s="26">
        <v>-0.87</v>
      </c>
      <c r="U528" s="26">
        <v>-0.04</v>
      </c>
      <c r="V528" s="26">
        <v>1252.8900000000001</v>
      </c>
    </row>
    <row r="529" spans="1:22" ht="16.8" x14ac:dyDescent="0.3">
      <c r="A529" s="20">
        <v>52.8</v>
      </c>
      <c r="B529" s="20">
        <v>65</v>
      </c>
      <c r="C529" s="20">
        <v>65.36</v>
      </c>
      <c r="D529" s="20">
        <v>-0.36</v>
      </c>
      <c r="E529" s="20">
        <v>-0.02</v>
      </c>
      <c r="F529" s="20">
        <v>1616.43</v>
      </c>
      <c r="Q529" s="20">
        <v>52.8</v>
      </c>
      <c r="R529" s="20">
        <v>65.819999999999993</v>
      </c>
      <c r="S529" s="26">
        <v>65</v>
      </c>
      <c r="T529" s="26">
        <v>-0.82</v>
      </c>
      <c r="U529" s="26">
        <v>0.05</v>
      </c>
      <c r="V529" s="20">
        <v>1316.86</v>
      </c>
    </row>
    <row r="530" spans="1:22" ht="16.8" x14ac:dyDescent="0.3">
      <c r="A530" s="20">
        <v>52.9</v>
      </c>
      <c r="B530" s="20">
        <v>65</v>
      </c>
      <c r="C530" s="26">
        <v>65.34</v>
      </c>
      <c r="D530" s="20">
        <v>-0.34</v>
      </c>
      <c r="E530" s="20">
        <v>0.02</v>
      </c>
      <c r="F530" s="26">
        <v>1628.6</v>
      </c>
      <c r="Q530" s="20">
        <v>52.9</v>
      </c>
      <c r="R530" s="20">
        <v>65.790000000000006</v>
      </c>
      <c r="S530" s="26">
        <v>65</v>
      </c>
      <c r="T530" s="26">
        <v>-0.79</v>
      </c>
      <c r="U530" s="26">
        <v>0.02</v>
      </c>
      <c r="V530" s="20">
        <v>1302.96</v>
      </c>
    </row>
    <row r="531" spans="1:22" ht="16.8" x14ac:dyDescent="0.3">
      <c r="A531" s="20">
        <v>53</v>
      </c>
      <c r="B531" s="20">
        <v>65</v>
      </c>
      <c r="C531" s="26">
        <v>65.34</v>
      </c>
      <c r="D531" s="20">
        <v>-0.34</v>
      </c>
      <c r="E531" s="20">
        <v>0</v>
      </c>
      <c r="F531" s="26">
        <v>1628.6</v>
      </c>
      <c r="Q531" s="20">
        <v>53</v>
      </c>
      <c r="R531" s="20">
        <v>65.86</v>
      </c>
      <c r="S531" s="26">
        <v>65</v>
      </c>
      <c r="T531" s="26">
        <v>-0.86</v>
      </c>
      <c r="U531" s="26">
        <v>-0.06</v>
      </c>
      <c r="V531" s="26">
        <v>1232.4100000000001</v>
      </c>
    </row>
    <row r="532" spans="1:22" ht="16.8" x14ac:dyDescent="0.3">
      <c r="A532" s="20">
        <v>53.1</v>
      </c>
      <c r="B532" s="20">
        <v>65</v>
      </c>
      <c r="C532" s="20">
        <v>65.34</v>
      </c>
      <c r="D532" s="20">
        <v>-0.34</v>
      </c>
      <c r="E532" s="20">
        <v>0</v>
      </c>
      <c r="F532" s="20">
        <v>1626.18</v>
      </c>
      <c r="Q532" s="20">
        <v>53.1</v>
      </c>
      <c r="R532" s="20">
        <v>65.83</v>
      </c>
      <c r="S532" s="26">
        <v>65</v>
      </c>
      <c r="T532" s="26">
        <v>-0.83</v>
      </c>
      <c r="U532" s="26">
        <v>0.03</v>
      </c>
      <c r="V532" s="20">
        <v>1299.03</v>
      </c>
    </row>
    <row r="533" spans="1:22" ht="16.8" x14ac:dyDescent="0.3">
      <c r="A533" s="20">
        <v>53.2</v>
      </c>
      <c r="B533" s="20">
        <v>65</v>
      </c>
      <c r="C533" s="26">
        <v>65.34</v>
      </c>
      <c r="D533" s="20">
        <v>-0.34</v>
      </c>
      <c r="E533" s="20">
        <v>0</v>
      </c>
      <c r="F533" s="26">
        <v>1628.6</v>
      </c>
      <c r="Q533" s="20">
        <v>53.2</v>
      </c>
      <c r="R533" s="20">
        <v>65.83</v>
      </c>
      <c r="S533" s="26">
        <v>65</v>
      </c>
      <c r="T533" s="26">
        <v>-0.83</v>
      </c>
      <c r="U533" s="26">
        <v>-0.01</v>
      </c>
      <c r="V533" s="26">
        <v>1269.31</v>
      </c>
    </row>
    <row r="534" spans="1:22" ht="16.8" x14ac:dyDescent="0.3">
      <c r="A534" s="20">
        <v>53.3</v>
      </c>
      <c r="B534" s="20">
        <v>65</v>
      </c>
      <c r="C534" s="20">
        <v>65.31</v>
      </c>
      <c r="D534" s="20">
        <v>-0.31</v>
      </c>
      <c r="E534" s="20">
        <v>0.03</v>
      </c>
      <c r="F534" s="20">
        <v>1647.01</v>
      </c>
      <c r="Q534" s="20">
        <v>53.3</v>
      </c>
      <c r="R534" s="20">
        <v>65.8</v>
      </c>
      <c r="S534" s="26">
        <v>65</v>
      </c>
      <c r="T534" s="26">
        <v>-0.8</v>
      </c>
      <c r="U534" s="26">
        <v>0.03</v>
      </c>
      <c r="V534" s="20">
        <v>1298.99</v>
      </c>
    </row>
    <row r="535" spans="1:22" ht="16.8" x14ac:dyDescent="0.3">
      <c r="A535" s="20">
        <v>53.4</v>
      </c>
      <c r="B535" s="20">
        <v>65</v>
      </c>
      <c r="C535" s="26">
        <v>65.319999999999993</v>
      </c>
      <c r="D535" s="20">
        <v>-0.32</v>
      </c>
      <c r="E535" s="20">
        <v>-0.02</v>
      </c>
      <c r="F535" s="26">
        <v>1637.99</v>
      </c>
      <c r="Q535" s="20">
        <v>53.4</v>
      </c>
      <c r="R535" s="20">
        <v>65.77</v>
      </c>
      <c r="S535" s="26">
        <v>65</v>
      </c>
      <c r="T535" s="20">
        <v>-0.77</v>
      </c>
      <c r="U535" s="26">
        <v>0.03</v>
      </c>
      <c r="V535" s="26">
        <v>1302.33</v>
      </c>
    </row>
    <row r="536" spans="1:22" ht="16.8" x14ac:dyDescent="0.3">
      <c r="A536" s="20">
        <v>53.5</v>
      </c>
      <c r="B536" s="20">
        <v>65</v>
      </c>
      <c r="C536" s="20">
        <v>65.31</v>
      </c>
      <c r="D536" s="20">
        <v>-0.31</v>
      </c>
      <c r="E536" s="20">
        <v>0.01</v>
      </c>
      <c r="F536" s="26">
        <v>1642.54</v>
      </c>
      <c r="Q536" s="20">
        <v>53.5</v>
      </c>
      <c r="R536" s="20">
        <v>65.78</v>
      </c>
      <c r="S536" s="26">
        <v>65</v>
      </c>
      <c r="T536" s="26">
        <v>-0.78</v>
      </c>
      <c r="U536" s="26">
        <v>-0.01</v>
      </c>
      <c r="V536" s="20">
        <v>1272.73</v>
      </c>
    </row>
    <row r="537" spans="1:22" ht="16.8" x14ac:dyDescent="0.3">
      <c r="A537" s="20">
        <v>53.6</v>
      </c>
      <c r="B537" s="20">
        <v>65</v>
      </c>
      <c r="C537" s="26">
        <v>65.25</v>
      </c>
      <c r="D537" s="20">
        <v>-0.25</v>
      </c>
      <c r="E537" s="20">
        <v>0.06</v>
      </c>
      <c r="F537" s="20">
        <v>1676.92</v>
      </c>
      <c r="Q537" s="20">
        <v>53.6</v>
      </c>
      <c r="R537" s="20">
        <v>65.739999999999995</v>
      </c>
      <c r="S537" s="26">
        <v>65</v>
      </c>
      <c r="T537" s="20">
        <v>-0.74</v>
      </c>
      <c r="U537" s="26">
        <v>0.04</v>
      </c>
      <c r="V537" s="26">
        <v>1309.1600000000001</v>
      </c>
    </row>
    <row r="538" spans="1:22" ht="16.8" x14ac:dyDescent="0.3">
      <c r="A538" s="20">
        <v>53.7</v>
      </c>
      <c r="B538" s="20">
        <v>65</v>
      </c>
      <c r="C538" s="26">
        <v>65.27</v>
      </c>
      <c r="D538" s="20">
        <v>-0.27</v>
      </c>
      <c r="E538" s="20">
        <v>-0.02</v>
      </c>
      <c r="F538" s="26">
        <v>1664.47</v>
      </c>
      <c r="Q538" s="20">
        <v>53.7</v>
      </c>
      <c r="R538" s="20">
        <v>65.680000000000007</v>
      </c>
      <c r="S538" s="26">
        <v>65</v>
      </c>
      <c r="T538" s="26">
        <v>-0.68</v>
      </c>
      <c r="U538" s="26">
        <v>0.06</v>
      </c>
      <c r="V538" s="20">
        <v>1327.14</v>
      </c>
    </row>
    <row r="539" spans="1:22" ht="16.8" x14ac:dyDescent="0.3">
      <c r="A539" s="20">
        <v>53.8</v>
      </c>
      <c r="B539" s="20">
        <v>65</v>
      </c>
      <c r="C539" s="20">
        <v>65.260000000000005</v>
      </c>
      <c r="D539" s="20">
        <v>-0.26</v>
      </c>
      <c r="E539" s="20">
        <v>0.02</v>
      </c>
      <c r="F539" s="20">
        <v>1672.81</v>
      </c>
      <c r="Q539" s="20">
        <v>53.8</v>
      </c>
      <c r="R539" s="20">
        <v>65.62</v>
      </c>
      <c r="S539" s="26">
        <v>65</v>
      </c>
      <c r="T539" s="26">
        <v>-0.62</v>
      </c>
      <c r="U539" s="26">
        <v>0.06</v>
      </c>
      <c r="V539" s="20">
        <v>1334.7</v>
      </c>
    </row>
    <row r="540" spans="1:22" ht="16.8" x14ac:dyDescent="0.3">
      <c r="A540" s="20">
        <v>53.9</v>
      </c>
      <c r="B540" s="20">
        <v>65</v>
      </c>
      <c r="C540" s="26">
        <v>65.260000000000005</v>
      </c>
      <c r="D540" s="20">
        <v>-0.26</v>
      </c>
      <c r="E540" s="20">
        <v>0</v>
      </c>
      <c r="F540" s="26">
        <v>1672.81</v>
      </c>
      <c r="Q540" s="20">
        <v>53.9</v>
      </c>
      <c r="R540" s="20">
        <v>65.62</v>
      </c>
      <c r="S540" s="26">
        <v>65</v>
      </c>
      <c r="T540" s="26">
        <v>-0.62</v>
      </c>
      <c r="U540" s="26">
        <v>0</v>
      </c>
      <c r="V540" s="26">
        <v>1296.2</v>
      </c>
    </row>
    <row r="541" spans="1:22" ht="16.8" x14ac:dyDescent="0.3">
      <c r="A541" s="20">
        <v>54</v>
      </c>
      <c r="B541" s="20">
        <v>65</v>
      </c>
      <c r="C541" s="26">
        <v>65.31</v>
      </c>
      <c r="D541" s="20">
        <v>-0.31</v>
      </c>
      <c r="E541" s="20">
        <v>-0.05</v>
      </c>
      <c r="F541" s="26">
        <v>1647.01</v>
      </c>
      <c r="Q541" s="20">
        <v>54</v>
      </c>
      <c r="R541" s="20">
        <v>65.62</v>
      </c>
      <c r="S541" s="26">
        <v>65</v>
      </c>
      <c r="T541" s="26">
        <v>-0.62</v>
      </c>
      <c r="U541" s="26">
        <v>0</v>
      </c>
      <c r="V541" s="20">
        <v>1294.7</v>
      </c>
    </row>
    <row r="542" spans="1:22" ht="16.8" x14ac:dyDescent="0.3">
      <c r="A542" s="20">
        <v>54.1</v>
      </c>
      <c r="B542" s="20">
        <v>65</v>
      </c>
      <c r="C542" s="20">
        <v>65.33</v>
      </c>
      <c r="D542" s="20">
        <v>-0.33</v>
      </c>
      <c r="E542" s="20">
        <v>-0.02</v>
      </c>
      <c r="F542" s="20">
        <v>1635.68</v>
      </c>
      <c r="Q542" s="20">
        <v>54.1</v>
      </c>
      <c r="R542" s="20">
        <v>65.62</v>
      </c>
      <c r="S542" s="26">
        <v>65</v>
      </c>
      <c r="T542" s="26">
        <v>-0.62</v>
      </c>
      <c r="U542" s="26">
        <v>0.01</v>
      </c>
      <c r="V542" s="26">
        <v>1299.81</v>
      </c>
    </row>
    <row r="543" spans="1:22" ht="16.8" x14ac:dyDescent="0.3">
      <c r="A543" s="20">
        <v>54.2</v>
      </c>
      <c r="B543" s="20">
        <v>65</v>
      </c>
      <c r="C543" s="26">
        <v>65.27</v>
      </c>
      <c r="D543" s="20">
        <v>-0.27</v>
      </c>
      <c r="E543" s="20">
        <v>0.06</v>
      </c>
      <c r="F543" s="26">
        <v>1668.68</v>
      </c>
      <c r="Q543" s="20">
        <v>54.2</v>
      </c>
      <c r="R543" s="20">
        <v>65.61</v>
      </c>
      <c r="S543" s="26">
        <v>65</v>
      </c>
      <c r="T543" s="26">
        <v>-0.61</v>
      </c>
      <c r="U543" s="26">
        <v>0.01</v>
      </c>
      <c r="V543" s="20">
        <v>1299.6400000000001</v>
      </c>
    </row>
    <row r="544" spans="1:22" ht="16.8" x14ac:dyDescent="0.3">
      <c r="A544" s="20">
        <v>54.3</v>
      </c>
      <c r="B544" s="20">
        <v>65</v>
      </c>
      <c r="C544" s="20">
        <v>65.27</v>
      </c>
      <c r="D544" s="20">
        <v>-0.27</v>
      </c>
      <c r="E544" s="20">
        <v>0</v>
      </c>
      <c r="F544" s="26">
        <v>1668.68</v>
      </c>
      <c r="Q544" s="20">
        <v>54.3</v>
      </c>
      <c r="R544" s="20">
        <v>65.59</v>
      </c>
      <c r="S544" s="26">
        <v>65</v>
      </c>
      <c r="T544" s="26">
        <v>-0.59</v>
      </c>
      <c r="U544" s="26">
        <v>0.02</v>
      </c>
      <c r="V544" s="26">
        <v>1306.0899999999999</v>
      </c>
    </row>
    <row r="545" spans="1:22" ht="16.8" x14ac:dyDescent="0.3">
      <c r="A545" s="20">
        <v>54.4</v>
      </c>
      <c r="B545" s="20">
        <v>65</v>
      </c>
      <c r="C545" s="26">
        <v>65.31</v>
      </c>
      <c r="D545" s="20">
        <v>-0.31</v>
      </c>
      <c r="E545" s="20">
        <v>-0.04</v>
      </c>
      <c r="F545" s="20">
        <v>1647.01</v>
      </c>
      <c r="Q545" s="20">
        <v>54.4</v>
      </c>
      <c r="R545" s="20">
        <v>65.58</v>
      </c>
      <c r="S545" s="20">
        <v>65</v>
      </c>
      <c r="T545" s="26">
        <v>-0.57999999999999996</v>
      </c>
      <c r="U545" s="26">
        <v>0.02</v>
      </c>
      <c r="V545" s="20">
        <v>1307.3</v>
      </c>
    </row>
    <row r="546" spans="1:22" ht="16.8" x14ac:dyDescent="0.3">
      <c r="A546" s="20">
        <v>54.5</v>
      </c>
      <c r="B546" s="20">
        <v>65</v>
      </c>
      <c r="C546" s="26">
        <v>65.260000000000005</v>
      </c>
      <c r="D546" s="20">
        <v>-0.26</v>
      </c>
      <c r="E546" s="20">
        <v>0.04</v>
      </c>
      <c r="F546" s="26">
        <v>1670.75</v>
      </c>
      <c r="Q546" s="20">
        <v>54.5</v>
      </c>
      <c r="R546" s="20">
        <v>65.489999999999995</v>
      </c>
      <c r="S546" s="26">
        <v>65</v>
      </c>
      <c r="T546" s="26">
        <v>-0.49</v>
      </c>
      <c r="U546" s="26">
        <v>0.09</v>
      </c>
      <c r="V546" s="26">
        <v>1367.94</v>
      </c>
    </row>
    <row r="547" spans="1:22" ht="16.8" x14ac:dyDescent="0.3">
      <c r="A547" s="20">
        <v>54.6</v>
      </c>
      <c r="B547" s="20">
        <v>65</v>
      </c>
      <c r="C547" s="20">
        <v>65.319999999999993</v>
      </c>
      <c r="D547" s="20">
        <v>-0.32</v>
      </c>
      <c r="E547" s="20">
        <v>-0.06</v>
      </c>
      <c r="F547" s="20">
        <v>1640.28</v>
      </c>
      <c r="Q547" s="20">
        <v>54.6</v>
      </c>
      <c r="R547" s="20">
        <v>65.5</v>
      </c>
      <c r="S547" s="20">
        <v>65</v>
      </c>
      <c r="T547" s="26">
        <v>-0.5</v>
      </c>
      <c r="U547" s="26">
        <v>-0.02</v>
      </c>
      <c r="V547" s="20">
        <v>1295.42</v>
      </c>
    </row>
    <row r="548" spans="1:22" ht="16.8" x14ac:dyDescent="0.3">
      <c r="A548" s="20">
        <v>54.7</v>
      </c>
      <c r="B548" s="20">
        <v>65</v>
      </c>
      <c r="C548" s="26">
        <v>65.28</v>
      </c>
      <c r="D548" s="20">
        <v>-0.28000000000000003</v>
      </c>
      <c r="E548" s="20">
        <v>0.04</v>
      </c>
      <c r="F548" s="26">
        <v>1662.33</v>
      </c>
      <c r="Q548" s="20">
        <v>54.7</v>
      </c>
      <c r="R548" s="20">
        <v>65.5</v>
      </c>
      <c r="S548" s="26">
        <v>65</v>
      </c>
      <c r="T548" s="26">
        <v>-0.5</v>
      </c>
      <c r="U548" s="26">
        <v>0</v>
      </c>
      <c r="V548" s="26">
        <v>1304.78</v>
      </c>
    </row>
    <row r="549" spans="1:22" ht="16.8" x14ac:dyDescent="0.3">
      <c r="A549" s="20">
        <v>54.8</v>
      </c>
      <c r="B549" s="20">
        <v>65</v>
      </c>
      <c r="C549" s="20">
        <v>65.31</v>
      </c>
      <c r="D549" s="20">
        <v>-0.31</v>
      </c>
      <c r="E549" s="20">
        <v>-0.03</v>
      </c>
      <c r="F549" s="26">
        <v>1644.79</v>
      </c>
      <c r="Q549" s="20">
        <v>54.8</v>
      </c>
      <c r="R549" s="20">
        <v>65.489999999999995</v>
      </c>
      <c r="S549" s="26">
        <v>65</v>
      </c>
      <c r="T549" s="26">
        <v>-0.49</v>
      </c>
      <c r="U549" s="26">
        <v>0.02</v>
      </c>
      <c r="V549" s="20">
        <v>1316.77</v>
      </c>
    </row>
    <row r="550" spans="1:22" ht="16.8" x14ac:dyDescent="0.3">
      <c r="A550" s="20">
        <v>54.9</v>
      </c>
      <c r="B550" s="20">
        <v>65</v>
      </c>
      <c r="C550" s="26">
        <v>65.34</v>
      </c>
      <c r="D550" s="20">
        <v>-0.34</v>
      </c>
      <c r="E550" s="20">
        <v>-0.03</v>
      </c>
      <c r="F550" s="20">
        <v>1626.18</v>
      </c>
      <c r="Q550" s="20">
        <v>54.9</v>
      </c>
      <c r="R550" s="20">
        <v>65.45</v>
      </c>
      <c r="S550" s="26">
        <v>65</v>
      </c>
      <c r="T550" s="26">
        <v>-0.45</v>
      </c>
      <c r="U550" s="20">
        <v>0.04</v>
      </c>
      <c r="V550" s="26">
        <v>1338.03</v>
      </c>
    </row>
    <row r="551" spans="1:22" ht="16.8" x14ac:dyDescent="0.3">
      <c r="A551" s="20">
        <v>55</v>
      </c>
      <c r="B551" s="20">
        <v>65</v>
      </c>
      <c r="C551" s="26">
        <v>65.31</v>
      </c>
      <c r="D551" s="20">
        <v>-0.31</v>
      </c>
      <c r="E551" s="20">
        <v>0.04</v>
      </c>
      <c r="F551" s="26">
        <v>1647.01</v>
      </c>
      <c r="Q551" s="20">
        <v>55</v>
      </c>
      <c r="R551" s="20">
        <v>65.430000000000007</v>
      </c>
      <c r="S551" s="26">
        <v>65</v>
      </c>
      <c r="T551" s="26">
        <v>-0.43</v>
      </c>
      <c r="U551" s="26">
        <v>0.02</v>
      </c>
      <c r="V551" s="20">
        <v>1323.72</v>
      </c>
    </row>
    <row r="552" spans="1:22" ht="16.8" x14ac:dyDescent="0.3">
      <c r="A552" s="20">
        <v>55.1</v>
      </c>
      <c r="B552" s="20">
        <v>65</v>
      </c>
      <c r="C552" s="20">
        <v>65.34</v>
      </c>
      <c r="D552" s="20">
        <v>-0.34</v>
      </c>
      <c r="E552" s="20">
        <v>-0.04</v>
      </c>
      <c r="F552" s="26">
        <v>1626.18</v>
      </c>
      <c r="Q552" s="20">
        <v>55.1</v>
      </c>
      <c r="R552" s="20">
        <v>65.38</v>
      </c>
      <c r="S552" s="26">
        <v>65</v>
      </c>
      <c r="T552" s="26">
        <v>-0.38</v>
      </c>
      <c r="U552" s="26">
        <v>0.06</v>
      </c>
      <c r="V552" s="26">
        <v>1358.32</v>
      </c>
    </row>
    <row r="553" spans="1:22" ht="16.8" x14ac:dyDescent="0.3">
      <c r="A553" s="20">
        <v>55.2</v>
      </c>
      <c r="B553" s="20">
        <v>65</v>
      </c>
      <c r="C553" s="26">
        <v>65.33</v>
      </c>
      <c r="D553" s="20">
        <v>-0.33</v>
      </c>
      <c r="E553" s="20">
        <v>0.02</v>
      </c>
      <c r="F553" s="20">
        <v>1635.68</v>
      </c>
      <c r="Q553" s="20">
        <v>55.2</v>
      </c>
      <c r="R553" s="20">
        <v>65.41</v>
      </c>
      <c r="S553" s="26">
        <v>65</v>
      </c>
      <c r="T553" s="26">
        <v>-0.41</v>
      </c>
      <c r="U553" s="26">
        <v>-0.03</v>
      </c>
      <c r="V553" s="20">
        <v>1294.01</v>
      </c>
    </row>
    <row r="554" spans="1:22" ht="16.8" x14ac:dyDescent="0.3">
      <c r="A554" s="20">
        <v>55.3</v>
      </c>
      <c r="B554" s="20">
        <v>65</v>
      </c>
      <c r="C554" s="26">
        <v>65.36</v>
      </c>
      <c r="D554" s="20">
        <v>-0.36</v>
      </c>
      <c r="E554" s="20">
        <v>-0.03</v>
      </c>
      <c r="F554" s="26">
        <v>1616.43</v>
      </c>
      <c r="Q554" s="20">
        <v>55.3</v>
      </c>
      <c r="R554" s="20">
        <v>65.38</v>
      </c>
      <c r="S554" s="26">
        <v>65</v>
      </c>
      <c r="T554" s="26">
        <v>-0.38</v>
      </c>
      <c r="U554" s="26">
        <v>0.03</v>
      </c>
      <c r="V554" s="26">
        <v>1340.59</v>
      </c>
    </row>
    <row r="555" spans="1:22" ht="16.8" x14ac:dyDescent="0.3">
      <c r="A555" s="20">
        <v>55.4</v>
      </c>
      <c r="B555" s="20">
        <v>65</v>
      </c>
      <c r="C555" s="20">
        <v>65.36</v>
      </c>
      <c r="D555" s="20">
        <v>-0.36</v>
      </c>
      <c r="E555" s="20">
        <v>0</v>
      </c>
      <c r="F555" s="20">
        <v>1616.43</v>
      </c>
      <c r="Q555" s="20">
        <v>55.4</v>
      </c>
      <c r="R555" s="20">
        <v>65.349999999999994</v>
      </c>
      <c r="S555" s="26">
        <v>65</v>
      </c>
      <c r="T555" s="26">
        <v>-0.35</v>
      </c>
      <c r="U555" s="26">
        <v>0.02</v>
      </c>
      <c r="V555" s="20">
        <v>1338.33</v>
      </c>
    </row>
    <row r="556" spans="1:22" ht="16.8" x14ac:dyDescent="0.3">
      <c r="A556" s="20">
        <v>55.5</v>
      </c>
      <c r="B556" s="20">
        <v>65</v>
      </c>
      <c r="C556" s="26">
        <v>65.319999999999993</v>
      </c>
      <c r="D556" s="20">
        <v>-0.32</v>
      </c>
      <c r="E556" s="20">
        <v>0.04</v>
      </c>
      <c r="F556" s="26">
        <v>1640.28</v>
      </c>
      <c r="Q556" s="20">
        <v>55.5</v>
      </c>
      <c r="R556" s="20">
        <v>65.319999999999993</v>
      </c>
      <c r="S556" s="26">
        <v>65</v>
      </c>
      <c r="T556" s="26">
        <v>-0.32</v>
      </c>
      <c r="U556" s="26">
        <v>0.03</v>
      </c>
      <c r="V556" s="26">
        <v>1348.03</v>
      </c>
    </row>
    <row r="557" spans="1:22" ht="16.8" x14ac:dyDescent="0.3">
      <c r="A557" s="20">
        <v>55.6</v>
      </c>
      <c r="B557" s="20">
        <v>65</v>
      </c>
      <c r="C557" s="20">
        <v>65.400000000000006</v>
      </c>
      <c r="D557" s="20">
        <v>-0.4</v>
      </c>
      <c r="E557" s="20">
        <v>-0.08</v>
      </c>
      <c r="F557" s="26">
        <v>1587.36</v>
      </c>
      <c r="Q557" s="20">
        <v>55.6</v>
      </c>
      <c r="R557" s="20">
        <v>65.33</v>
      </c>
      <c r="S557" s="26">
        <v>65</v>
      </c>
      <c r="T557" s="26">
        <v>-0.33</v>
      </c>
      <c r="U557" s="26">
        <v>-0.02</v>
      </c>
      <c r="V557" s="20">
        <v>1312.93</v>
      </c>
    </row>
    <row r="558" spans="1:22" ht="16.8" x14ac:dyDescent="0.3">
      <c r="A558" s="20">
        <v>55.7</v>
      </c>
      <c r="B558" s="20">
        <v>65</v>
      </c>
      <c r="C558" s="26">
        <v>65.38</v>
      </c>
      <c r="D558" s="20">
        <v>-0.38</v>
      </c>
      <c r="E558" s="20">
        <v>0.02</v>
      </c>
      <c r="F558" s="20">
        <v>1603.66</v>
      </c>
      <c r="Q558" s="20">
        <v>55.7</v>
      </c>
      <c r="R558" s="20">
        <v>65.37</v>
      </c>
      <c r="S558" s="26">
        <v>65</v>
      </c>
      <c r="T558" s="26">
        <v>-0.37</v>
      </c>
      <c r="U558" s="26">
        <v>-0.03</v>
      </c>
      <c r="V558" s="26">
        <v>1296.29</v>
      </c>
    </row>
    <row r="559" spans="1:22" ht="16.8" x14ac:dyDescent="0.3">
      <c r="A559" s="20">
        <v>55.8</v>
      </c>
      <c r="B559" s="20">
        <v>65</v>
      </c>
      <c r="C559" s="26">
        <v>65.37</v>
      </c>
      <c r="D559" s="20">
        <v>-0.37</v>
      </c>
      <c r="E559" s="20">
        <v>0.01</v>
      </c>
      <c r="F559" s="26">
        <v>1611.42</v>
      </c>
      <c r="Q559" s="20">
        <v>55.8</v>
      </c>
      <c r="R559" s="20">
        <v>65.319999999999993</v>
      </c>
      <c r="S559" s="26">
        <v>65</v>
      </c>
      <c r="T559" s="26">
        <v>-0.32</v>
      </c>
      <c r="U559" s="26">
        <v>0.05</v>
      </c>
      <c r="V559" s="20">
        <v>1356.16</v>
      </c>
    </row>
    <row r="560" spans="1:22" ht="16.8" x14ac:dyDescent="0.3">
      <c r="A560" s="20">
        <v>55.9</v>
      </c>
      <c r="B560" s="20">
        <v>65</v>
      </c>
      <c r="C560" s="20">
        <v>65.38</v>
      </c>
      <c r="D560" s="20">
        <v>-0.38</v>
      </c>
      <c r="E560" s="20">
        <v>-0.01</v>
      </c>
      <c r="F560" s="26">
        <v>1603.66</v>
      </c>
      <c r="Q560" s="20">
        <v>55.9</v>
      </c>
      <c r="R560" s="20">
        <v>65.319999999999993</v>
      </c>
      <c r="S560" s="26">
        <v>65</v>
      </c>
      <c r="T560" s="26">
        <v>-0.32</v>
      </c>
      <c r="U560" s="26">
        <v>0</v>
      </c>
      <c r="V560" s="26">
        <v>1323.68</v>
      </c>
    </row>
    <row r="561" spans="1:22" ht="16.8" x14ac:dyDescent="0.3">
      <c r="A561" s="20">
        <v>56</v>
      </c>
      <c r="B561" s="20">
        <v>65</v>
      </c>
      <c r="C561" s="26">
        <v>65.31</v>
      </c>
      <c r="D561" s="20">
        <v>-0.31</v>
      </c>
      <c r="E561" s="20">
        <v>0.06</v>
      </c>
      <c r="F561" s="20">
        <v>1642.54</v>
      </c>
      <c r="Q561" s="20">
        <v>56</v>
      </c>
      <c r="R561" s="20">
        <v>65.36</v>
      </c>
      <c r="S561" s="26">
        <v>65</v>
      </c>
      <c r="T561" s="26">
        <v>-0.36</v>
      </c>
      <c r="U561" s="26">
        <v>-0.04</v>
      </c>
      <c r="V561" s="20">
        <v>1289.9100000000001</v>
      </c>
    </row>
    <row r="562" spans="1:22" ht="16.8" x14ac:dyDescent="0.3">
      <c r="A562" s="20">
        <v>56.1</v>
      </c>
      <c r="B562" s="20">
        <v>65</v>
      </c>
      <c r="C562" s="26">
        <v>65.38</v>
      </c>
      <c r="D562" s="20">
        <v>-0.38</v>
      </c>
      <c r="E562" s="20">
        <v>-7.0000000000000007E-2</v>
      </c>
      <c r="F562" s="26">
        <v>1601.02</v>
      </c>
      <c r="Q562" s="20">
        <v>56.1</v>
      </c>
      <c r="R562" s="20">
        <v>65.34</v>
      </c>
      <c r="S562" s="26">
        <v>65</v>
      </c>
      <c r="T562" s="26">
        <v>-0.34</v>
      </c>
      <c r="U562" s="26">
        <v>0.02</v>
      </c>
      <c r="V562" s="20">
        <v>1328.68</v>
      </c>
    </row>
    <row r="563" spans="1:22" ht="16.8" x14ac:dyDescent="0.3">
      <c r="A563" s="20">
        <v>56.2</v>
      </c>
      <c r="B563" s="20">
        <v>65</v>
      </c>
      <c r="C563" s="20">
        <v>65.349999999999994</v>
      </c>
      <c r="D563" s="20">
        <v>-0.35</v>
      </c>
      <c r="E563" s="20">
        <v>0.03</v>
      </c>
      <c r="F563" s="20">
        <v>1621.32</v>
      </c>
      <c r="Q563" s="20">
        <v>56.2</v>
      </c>
      <c r="R563" s="20">
        <v>65.36</v>
      </c>
      <c r="S563" s="26">
        <v>65</v>
      </c>
      <c r="T563" s="26">
        <v>-0.36</v>
      </c>
      <c r="U563" s="26">
        <v>-0.02</v>
      </c>
      <c r="V563" s="26">
        <v>1304.0899999999999</v>
      </c>
    </row>
    <row r="564" spans="1:22" ht="16.8" x14ac:dyDescent="0.3">
      <c r="A564" s="20">
        <v>56.3</v>
      </c>
      <c r="B564" s="20">
        <v>65</v>
      </c>
      <c r="C564" s="26">
        <v>65.3</v>
      </c>
      <c r="D564" s="20">
        <v>-0.3</v>
      </c>
      <c r="E564" s="20">
        <v>0.05</v>
      </c>
      <c r="F564" s="26">
        <v>1649.21</v>
      </c>
      <c r="Q564" s="20">
        <v>56.3</v>
      </c>
      <c r="R564" s="20">
        <v>65.319999999999993</v>
      </c>
      <c r="S564" s="26">
        <v>65</v>
      </c>
      <c r="T564" s="26">
        <v>-0.32</v>
      </c>
      <c r="U564" s="20">
        <v>0.04</v>
      </c>
      <c r="V564" s="20">
        <v>1346.8</v>
      </c>
    </row>
    <row r="565" spans="1:22" ht="16.8" x14ac:dyDescent="0.3">
      <c r="A565" s="20">
        <v>56.4</v>
      </c>
      <c r="B565" s="20">
        <v>65</v>
      </c>
      <c r="C565" s="20">
        <v>65.31</v>
      </c>
      <c r="D565" s="20">
        <v>-0.31</v>
      </c>
      <c r="E565" s="20">
        <v>-0.01</v>
      </c>
      <c r="F565" s="26">
        <v>1644.79</v>
      </c>
      <c r="Q565" s="20">
        <v>56.4</v>
      </c>
      <c r="R565" s="20">
        <v>65.290000000000006</v>
      </c>
      <c r="S565" s="26">
        <v>65</v>
      </c>
      <c r="T565" s="26">
        <v>-0.28999999999999998</v>
      </c>
      <c r="U565" s="26">
        <v>0.03</v>
      </c>
      <c r="V565" s="26">
        <v>1346</v>
      </c>
    </row>
    <row r="566" spans="1:22" ht="16.8" x14ac:dyDescent="0.3">
      <c r="A566" s="20">
        <v>56.5</v>
      </c>
      <c r="B566" s="20">
        <v>65</v>
      </c>
      <c r="C566" s="26">
        <v>65.3</v>
      </c>
      <c r="D566" s="20">
        <v>-0.3</v>
      </c>
      <c r="E566" s="20">
        <v>0.01</v>
      </c>
      <c r="F566" s="20">
        <v>1649.21</v>
      </c>
      <c r="Q566" s="20">
        <v>56.5</v>
      </c>
      <c r="R566" s="20">
        <v>65.290000000000006</v>
      </c>
      <c r="S566" s="26">
        <v>65</v>
      </c>
      <c r="T566" s="26">
        <v>-0.28999999999999998</v>
      </c>
      <c r="U566" s="20">
        <v>0</v>
      </c>
      <c r="V566" s="20">
        <v>1324.17</v>
      </c>
    </row>
    <row r="567" spans="1:22" ht="16.8" x14ac:dyDescent="0.3">
      <c r="A567" s="20">
        <v>56.6</v>
      </c>
      <c r="B567" s="20">
        <v>65</v>
      </c>
      <c r="C567" s="26">
        <v>65.3</v>
      </c>
      <c r="D567" s="20">
        <v>-0.3</v>
      </c>
      <c r="E567" s="20">
        <v>0</v>
      </c>
      <c r="F567" s="26">
        <v>1651.41</v>
      </c>
      <c r="Q567" s="20">
        <v>56.6</v>
      </c>
      <c r="R567" s="20">
        <v>65.28</v>
      </c>
      <c r="S567" s="26">
        <v>65</v>
      </c>
      <c r="T567" s="26">
        <v>-0.28000000000000003</v>
      </c>
      <c r="U567" s="26">
        <v>0.01</v>
      </c>
      <c r="V567" s="26">
        <v>1330.08</v>
      </c>
    </row>
    <row r="568" spans="1:22" ht="16.8" x14ac:dyDescent="0.3">
      <c r="A568" s="20">
        <v>56.7</v>
      </c>
      <c r="B568" s="20">
        <v>65</v>
      </c>
      <c r="C568" s="20">
        <v>65.349999999999994</v>
      </c>
      <c r="D568" s="20">
        <v>-0.35</v>
      </c>
      <c r="E568" s="20">
        <v>-0.05</v>
      </c>
      <c r="F568" s="26">
        <v>1623.75</v>
      </c>
      <c r="Q568" s="20">
        <v>56.7</v>
      </c>
      <c r="R568" s="20">
        <v>65.260000000000005</v>
      </c>
      <c r="S568" s="20">
        <v>65</v>
      </c>
      <c r="T568" s="26">
        <v>-0.26</v>
      </c>
      <c r="U568" s="26">
        <v>0.02</v>
      </c>
      <c r="V568" s="20">
        <v>1337.32</v>
      </c>
    </row>
    <row r="569" spans="1:22" ht="16.8" x14ac:dyDescent="0.3">
      <c r="A569" s="20">
        <v>56.8</v>
      </c>
      <c r="B569" s="20">
        <v>65</v>
      </c>
      <c r="C569" s="26">
        <v>65.3</v>
      </c>
      <c r="D569" s="20">
        <v>-0.3</v>
      </c>
      <c r="E569" s="20">
        <v>0.05</v>
      </c>
      <c r="F569" s="20">
        <v>1651.41</v>
      </c>
      <c r="Q569" s="20">
        <v>56.8</v>
      </c>
      <c r="R569" s="20">
        <v>65.28</v>
      </c>
      <c r="S569" s="26">
        <v>65</v>
      </c>
      <c r="T569" s="26">
        <v>-0.28000000000000003</v>
      </c>
      <c r="U569" s="26">
        <v>-0.02</v>
      </c>
      <c r="V569" s="20">
        <v>1312.93</v>
      </c>
    </row>
    <row r="570" spans="1:22" ht="16.8" x14ac:dyDescent="0.3">
      <c r="A570" s="20">
        <v>56.9</v>
      </c>
      <c r="B570" s="20">
        <v>65</v>
      </c>
      <c r="C570" s="20">
        <v>65.28</v>
      </c>
      <c r="D570" s="20">
        <v>-0.28000000000000003</v>
      </c>
      <c r="E570" s="20">
        <v>0.02</v>
      </c>
      <c r="F570" s="26">
        <v>1662.33</v>
      </c>
      <c r="Q570" s="20">
        <v>56.9</v>
      </c>
      <c r="R570" s="20">
        <v>65.25</v>
      </c>
      <c r="S570" s="26">
        <v>65</v>
      </c>
      <c r="T570" s="26">
        <v>-0.25</v>
      </c>
      <c r="U570" s="26">
        <v>0.02</v>
      </c>
      <c r="V570" s="26">
        <v>1342.64</v>
      </c>
    </row>
    <row r="571" spans="1:22" ht="16.8" x14ac:dyDescent="0.3">
      <c r="A571" s="20">
        <v>57</v>
      </c>
      <c r="B571" s="20">
        <v>65</v>
      </c>
      <c r="C571" s="26">
        <v>65.23</v>
      </c>
      <c r="D571" s="20">
        <v>-0.23</v>
      </c>
      <c r="E571" s="20">
        <v>0.04</v>
      </c>
      <c r="F571" s="26">
        <v>1685.16</v>
      </c>
      <c r="Q571" s="20">
        <v>57</v>
      </c>
      <c r="R571" s="20">
        <v>65.290000000000006</v>
      </c>
      <c r="S571" s="26">
        <v>65</v>
      </c>
      <c r="T571" s="26">
        <v>-0.28999999999999998</v>
      </c>
      <c r="U571" s="26">
        <v>-0.03</v>
      </c>
      <c r="V571" s="20">
        <v>1299.76</v>
      </c>
    </row>
    <row r="572" spans="1:22" ht="16.8" x14ac:dyDescent="0.3">
      <c r="A572" s="20">
        <v>57.1</v>
      </c>
      <c r="B572" s="20">
        <v>65</v>
      </c>
      <c r="C572" s="26">
        <v>65.290000000000006</v>
      </c>
      <c r="D572" s="20">
        <v>-0.28999999999999998</v>
      </c>
      <c r="E572" s="20">
        <v>-0.06</v>
      </c>
      <c r="F572" s="20">
        <v>1653.64</v>
      </c>
      <c r="Q572" s="20">
        <v>57.1</v>
      </c>
      <c r="R572" s="20">
        <v>65.25</v>
      </c>
      <c r="S572" s="26">
        <v>65</v>
      </c>
      <c r="T572" s="26">
        <v>-0.25</v>
      </c>
      <c r="U572" s="26">
        <v>0.03</v>
      </c>
      <c r="V572" s="26">
        <v>1346.62</v>
      </c>
    </row>
    <row r="573" spans="1:22" ht="16.8" x14ac:dyDescent="0.3">
      <c r="A573" s="20">
        <v>57.2</v>
      </c>
      <c r="B573" s="20">
        <v>65</v>
      </c>
      <c r="C573" s="26">
        <v>65.3</v>
      </c>
      <c r="D573" s="20">
        <v>-0.3</v>
      </c>
      <c r="E573" s="20">
        <v>-0.01</v>
      </c>
      <c r="F573" s="26">
        <v>1649.21</v>
      </c>
      <c r="Q573" s="20">
        <v>57.2</v>
      </c>
      <c r="R573" s="20">
        <v>65.22</v>
      </c>
      <c r="S573" s="26">
        <v>65</v>
      </c>
      <c r="T573" s="26">
        <v>-0.22</v>
      </c>
      <c r="U573" s="26">
        <v>0.03</v>
      </c>
      <c r="V573" s="20">
        <v>1351.26</v>
      </c>
    </row>
    <row r="574" spans="1:22" ht="16.8" x14ac:dyDescent="0.3">
      <c r="A574" s="20">
        <v>57.3</v>
      </c>
      <c r="B574" s="20">
        <v>65</v>
      </c>
      <c r="C574" s="20">
        <v>65.3</v>
      </c>
      <c r="D574" s="20">
        <v>-0.3</v>
      </c>
      <c r="E574" s="20">
        <v>0</v>
      </c>
      <c r="F574" s="20">
        <v>1649.21</v>
      </c>
      <c r="Q574" s="20">
        <v>57.3</v>
      </c>
      <c r="R574" s="20">
        <v>65.209999999999994</v>
      </c>
      <c r="S574" s="26">
        <v>65</v>
      </c>
      <c r="T574" s="26">
        <v>-0.21</v>
      </c>
      <c r="U574" s="26">
        <v>0.01</v>
      </c>
      <c r="V574" s="26">
        <v>1336.2</v>
      </c>
    </row>
    <row r="575" spans="1:22" ht="16.8" x14ac:dyDescent="0.3">
      <c r="A575" s="20">
        <v>57.4</v>
      </c>
      <c r="B575" s="20">
        <v>65</v>
      </c>
      <c r="C575" s="26">
        <v>65.290000000000006</v>
      </c>
      <c r="D575" s="20">
        <v>-0.28999999999999998</v>
      </c>
      <c r="E575" s="20">
        <v>0.02</v>
      </c>
      <c r="F575" s="26">
        <v>1658.02</v>
      </c>
      <c r="Q575" s="20">
        <v>57.4</v>
      </c>
      <c r="R575" s="20">
        <v>65.180000000000007</v>
      </c>
      <c r="S575" s="26">
        <v>65</v>
      </c>
      <c r="T575" s="26">
        <v>-0.18</v>
      </c>
      <c r="U575" s="26">
        <v>0.03</v>
      </c>
      <c r="V575" s="20">
        <v>1356.78</v>
      </c>
    </row>
    <row r="576" spans="1:22" ht="16.8" x14ac:dyDescent="0.3">
      <c r="A576" s="20">
        <v>57.5</v>
      </c>
      <c r="B576" s="20">
        <v>65</v>
      </c>
      <c r="C576" s="26">
        <v>65.27</v>
      </c>
      <c r="D576" s="20">
        <v>-0.27</v>
      </c>
      <c r="E576" s="20">
        <v>0.01</v>
      </c>
      <c r="F576" s="26">
        <v>1664.47</v>
      </c>
      <c r="Q576" s="20">
        <v>57.5</v>
      </c>
      <c r="R576" s="20">
        <v>65.19</v>
      </c>
      <c r="S576" s="26">
        <v>65</v>
      </c>
      <c r="T576" s="26">
        <v>-0.19</v>
      </c>
      <c r="U576" s="26">
        <v>-0.01</v>
      </c>
      <c r="V576" s="26">
        <v>1328.61</v>
      </c>
    </row>
    <row r="577" spans="1:22" ht="16.8" x14ac:dyDescent="0.3">
      <c r="A577" s="20">
        <v>57.6</v>
      </c>
      <c r="B577" s="20">
        <v>65</v>
      </c>
      <c r="C577" s="20">
        <v>65.290000000000006</v>
      </c>
      <c r="D577" s="20">
        <v>-0.28999999999999998</v>
      </c>
      <c r="E577" s="20">
        <v>-0.02</v>
      </c>
      <c r="F577" s="20">
        <v>1653.64</v>
      </c>
      <c r="Q577" s="20">
        <v>57.6</v>
      </c>
      <c r="R577" s="20">
        <v>65.180000000000007</v>
      </c>
      <c r="S577" s="26">
        <v>65</v>
      </c>
      <c r="T577" s="26">
        <v>-0.18</v>
      </c>
      <c r="U577" s="26">
        <v>0.01</v>
      </c>
      <c r="V577" s="20">
        <v>1340.03</v>
      </c>
    </row>
    <row r="578" spans="1:22" ht="16.8" x14ac:dyDescent="0.3">
      <c r="A578" s="20">
        <v>57.7</v>
      </c>
      <c r="B578" s="20">
        <v>65</v>
      </c>
      <c r="C578" s="26">
        <v>65.290000000000006</v>
      </c>
      <c r="D578" s="20">
        <v>-0.28999999999999998</v>
      </c>
      <c r="E578" s="20">
        <v>0</v>
      </c>
      <c r="F578" s="26">
        <v>1653.64</v>
      </c>
      <c r="Q578" s="20">
        <v>57.7</v>
      </c>
      <c r="R578" s="20">
        <v>65.19</v>
      </c>
      <c r="S578" s="26">
        <v>65</v>
      </c>
      <c r="T578" s="26">
        <v>-0.19</v>
      </c>
      <c r="U578" s="26">
        <v>-0.01</v>
      </c>
      <c r="V578" s="26">
        <v>1327.71</v>
      </c>
    </row>
    <row r="579" spans="1:22" ht="16.8" x14ac:dyDescent="0.3">
      <c r="A579" s="20">
        <v>57.8</v>
      </c>
      <c r="B579" s="20">
        <v>65</v>
      </c>
      <c r="C579" s="20">
        <v>65.33</v>
      </c>
      <c r="D579" s="20">
        <v>-0.33</v>
      </c>
      <c r="E579" s="20">
        <v>-0.03</v>
      </c>
      <c r="F579" s="26">
        <v>1635.68</v>
      </c>
      <c r="Q579" s="20">
        <v>57.8</v>
      </c>
      <c r="R579" s="20">
        <v>65.14</v>
      </c>
      <c r="S579" s="20">
        <v>65</v>
      </c>
      <c r="T579" s="26">
        <v>-0.14000000000000001</v>
      </c>
      <c r="U579" s="26">
        <v>0.05</v>
      </c>
      <c r="V579" s="20">
        <v>1372.14</v>
      </c>
    </row>
    <row r="580" spans="1:22" ht="16.8" x14ac:dyDescent="0.3">
      <c r="A580" s="20">
        <v>57.9</v>
      </c>
      <c r="B580" s="20">
        <v>65</v>
      </c>
      <c r="C580" s="26">
        <v>65.31</v>
      </c>
      <c r="D580" s="20">
        <v>-0.31</v>
      </c>
      <c r="E580" s="20">
        <v>0.02</v>
      </c>
      <c r="F580" s="20">
        <v>1647.01</v>
      </c>
      <c r="Q580" s="20">
        <v>57.9</v>
      </c>
      <c r="R580" s="20">
        <v>65.14</v>
      </c>
      <c r="S580" s="26">
        <v>65</v>
      </c>
      <c r="T580" s="26">
        <v>-0.14000000000000001</v>
      </c>
      <c r="U580" s="26">
        <v>0</v>
      </c>
      <c r="V580" s="20">
        <v>1340.09</v>
      </c>
    </row>
    <row r="581" spans="1:22" ht="16.8" x14ac:dyDescent="0.3">
      <c r="A581" s="20">
        <v>58</v>
      </c>
      <c r="B581" s="20">
        <v>65</v>
      </c>
      <c r="C581" s="26">
        <v>65.33</v>
      </c>
      <c r="D581" s="20">
        <v>-0.33</v>
      </c>
      <c r="E581" s="20">
        <v>-0.02</v>
      </c>
      <c r="F581" s="26">
        <v>1633.34</v>
      </c>
      <c r="Q581" s="20">
        <v>58</v>
      </c>
      <c r="R581" s="20">
        <v>65.13</v>
      </c>
      <c r="S581" s="26">
        <v>65</v>
      </c>
      <c r="T581" s="26">
        <v>-0.13</v>
      </c>
      <c r="U581" s="26">
        <v>0.01</v>
      </c>
      <c r="V581" s="26">
        <v>1346.36</v>
      </c>
    </row>
    <row r="582" spans="1:22" ht="16.8" x14ac:dyDescent="0.3">
      <c r="A582" s="20">
        <v>58.1</v>
      </c>
      <c r="B582" s="20">
        <v>65</v>
      </c>
      <c r="C582" s="20">
        <v>65.3</v>
      </c>
      <c r="D582" s="20">
        <v>-0.3</v>
      </c>
      <c r="E582" s="20">
        <v>0.03</v>
      </c>
      <c r="F582" s="26">
        <v>1651.41</v>
      </c>
      <c r="Q582" s="20">
        <v>58.1</v>
      </c>
      <c r="R582" s="20">
        <v>65.14</v>
      </c>
      <c r="S582" s="26">
        <v>65</v>
      </c>
      <c r="T582" s="26">
        <v>-0.14000000000000001</v>
      </c>
      <c r="U582" s="26">
        <v>-0.01</v>
      </c>
      <c r="V582" s="20">
        <v>1334.13</v>
      </c>
    </row>
    <row r="583" spans="1:22" ht="16.8" x14ac:dyDescent="0.3">
      <c r="A583" s="20">
        <v>58.2</v>
      </c>
      <c r="B583" s="20">
        <v>65</v>
      </c>
      <c r="C583" s="26">
        <v>65.290000000000006</v>
      </c>
      <c r="D583" s="20">
        <v>-0.28999999999999998</v>
      </c>
      <c r="E583" s="20">
        <v>0.01</v>
      </c>
      <c r="F583" s="20">
        <v>1655.84</v>
      </c>
      <c r="Q583" s="20">
        <v>58.2</v>
      </c>
      <c r="R583" s="20">
        <v>65.11</v>
      </c>
      <c r="S583" s="26">
        <v>65</v>
      </c>
      <c r="T583" s="26">
        <v>-0.11</v>
      </c>
      <c r="U583" s="26">
        <v>0.03</v>
      </c>
      <c r="V583" s="26">
        <v>1365.49</v>
      </c>
    </row>
    <row r="584" spans="1:22" ht="16.8" x14ac:dyDescent="0.3">
      <c r="A584" s="20">
        <v>58.3</v>
      </c>
      <c r="B584" s="20">
        <v>65</v>
      </c>
      <c r="C584" s="26">
        <v>65.239999999999995</v>
      </c>
      <c r="D584" s="20">
        <v>-0.24</v>
      </c>
      <c r="E584" s="20">
        <v>0.05</v>
      </c>
      <c r="F584" s="26">
        <v>1681.06</v>
      </c>
      <c r="Q584" s="20">
        <v>58.3</v>
      </c>
      <c r="R584" s="20">
        <v>65.08</v>
      </c>
      <c r="S584" s="26">
        <v>65</v>
      </c>
      <c r="T584" s="26">
        <v>-0.08</v>
      </c>
      <c r="U584" s="26">
        <v>0.02</v>
      </c>
      <c r="V584" s="20">
        <v>1363.88</v>
      </c>
    </row>
    <row r="585" spans="1:22" ht="16.8" x14ac:dyDescent="0.3">
      <c r="A585" s="20">
        <v>58.4</v>
      </c>
      <c r="B585" s="20">
        <v>65</v>
      </c>
      <c r="C585" s="20">
        <v>65.27</v>
      </c>
      <c r="D585" s="20">
        <v>-0.27</v>
      </c>
      <c r="E585" s="20">
        <v>-0.03</v>
      </c>
      <c r="F585" s="20">
        <v>1664.47</v>
      </c>
      <c r="Q585" s="20">
        <v>58.4</v>
      </c>
      <c r="R585" s="20">
        <v>65.12</v>
      </c>
      <c r="S585" s="26">
        <v>65</v>
      </c>
      <c r="T585" s="26">
        <v>-0.12</v>
      </c>
      <c r="U585" s="26">
        <v>-0.03</v>
      </c>
      <c r="V585" s="26">
        <v>1321.42</v>
      </c>
    </row>
    <row r="586" spans="1:22" ht="16.8" x14ac:dyDescent="0.3">
      <c r="A586" s="20">
        <v>58.5</v>
      </c>
      <c r="B586" s="20">
        <v>65</v>
      </c>
      <c r="C586" s="26">
        <v>65.28</v>
      </c>
      <c r="D586" s="20">
        <v>-0.28000000000000003</v>
      </c>
      <c r="E586" s="20">
        <v>-0.01</v>
      </c>
      <c r="F586" s="26">
        <v>1660.19</v>
      </c>
      <c r="Q586" s="20">
        <v>58.5</v>
      </c>
      <c r="R586" s="20">
        <v>65.099999999999994</v>
      </c>
      <c r="S586" s="26">
        <v>65</v>
      </c>
      <c r="T586" s="26">
        <v>-0.1</v>
      </c>
      <c r="U586" s="26">
        <v>0.02</v>
      </c>
      <c r="V586" s="20">
        <v>1355.48</v>
      </c>
    </row>
    <row r="587" spans="1:22" ht="16.8" x14ac:dyDescent="0.3">
      <c r="A587" s="20">
        <v>58.6</v>
      </c>
      <c r="B587" s="20">
        <v>65</v>
      </c>
      <c r="C587" s="20">
        <v>65.22</v>
      </c>
      <c r="D587" s="20">
        <v>-0.22</v>
      </c>
      <c r="E587" s="20">
        <v>0.06</v>
      </c>
      <c r="F587" s="26">
        <v>1691.18</v>
      </c>
      <c r="Q587" s="20">
        <v>58.6</v>
      </c>
      <c r="R587" s="20">
        <v>65.099999999999994</v>
      </c>
      <c r="S587" s="26">
        <v>65</v>
      </c>
      <c r="T587" s="26">
        <v>-0.1</v>
      </c>
      <c r="U587" s="26">
        <v>0</v>
      </c>
      <c r="V587" s="26">
        <v>1344.67</v>
      </c>
    </row>
    <row r="588" spans="1:22" ht="16.8" x14ac:dyDescent="0.3">
      <c r="A588" s="20">
        <v>58.7</v>
      </c>
      <c r="B588" s="20">
        <v>65</v>
      </c>
      <c r="C588" s="26">
        <v>65.31</v>
      </c>
      <c r="D588" s="20">
        <v>-0.31</v>
      </c>
      <c r="E588" s="20">
        <v>-0.09</v>
      </c>
      <c r="F588" s="20">
        <v>1642.54</v>
      </c>
      <c r="Q588" s="20">
        <v>58.7</v>
      </c>
      <c r="R588" s="20">
        <v>65.08</v>
      </c>
      <c r="S588" s="26">
        <v>65</v>
      </c>
      <c r="T588" s="26">
        <v>-0.08</v>
      </c>
      <c r="U588" s="26">
        <v>0.02</v>
      </c>
      <c r="V588" s="20">
        <v>1357.62</v>
      </c>
    </row>
    <row r="589" spans="1:22" ht="16.8" x14ac:dyDescent="0.3">
      <c r="A589" s="20">
        <v>58.8</v>
      </c>
      <c r="B589" s="20">
        <v>65</v>
      </c>
      <c r="C589" s="26">
        <v>65.17</v>
      </c>
      <c r="D589" s="20">
        <v>-0.17</v>
      </c>
      <c r="E589" s="20">
        <v>0.14000000000000001</v>
      </c>
      <c r="F589" s="26">
        <v>1711.95</v>
      </c>
      <c r="Q589" s="20">
        <v>58.8</v>
      </c>
      <c r="R589" s="20">
        <v>65.05</v>
      </c>
      <c r="S589" s="26">
        <v>65</v>
      </c>
      <c r="T589" s="26">
        <v>-0.05</v>
      </c>
      <c r="U589" s="26">
        <v>0.03</v>
      </c>
      <c r="V589" s="20">
        <v>1373.25</v>
      </c>
    </row>
    <row r="590" spans="1:22" ht="16.8" x14ac:dyDescent="0.3">
      <c r="A590" s="20">
        <v>58.9</v>
      </c>
      <c r="B590" s="20">
        <v>65</v>
      </c>
      <c r="C590" s="20">
        <v>65.34</v>
      </c>
      <c r="D590" s="20">
        <v>-0.34</v>
      </c>
      <c r="E590" s="20">
        <v>-0.17</v>
      </c>
      <c r="F590" s="26">
        <v>1626.18</v>
      </c>
      <c r="Q590" s="20">
        <v>58.9</v>
      </c>
      <c r="R590" s="20">
        <v>65.09</v>
      </c>
      <c r="S590" s="26">
        <v>65</v>
      </c>
      <c r="T590" s="26">
        <v>-0.09</v>
      </c>
      <c r="U590" s="26">
        <v>-0.04</v>
      </c>
      <c r="V590" s="26">
        <v>1318.98</v>
      </c>
    </row>
    <row r="591" spans="1:22" ht="16.8" x14ac:dyDescent="0.3">
      <c r="A591" s="20">
        <v>59</v>
      </c>
      <c r="B591" s="20">
        <v>65</v>
      </c>
      <c r="C591" s="26">
        <v>65.099999999999994</v>
      </c>
      <c r="D591" s="20">
        <v>-0.1</v>
      </c>
      <c r="E591" s="20">
        <v>0.24</v>
      </c>
      <c r="F591" s="20">
        <v>1735.78</v>
      </c>
      <c r="Q591" s="20">
        <v>59</v>
      </c>
      <c r="R591" s="20">
        <v>65.05</v>
      </c>
      <c r="S591" s="26">
        <v>65</v>
      </c>
      <c r="T591" s="26">
        <v>-0.05</v>
      </c>
      <c r="U591" s="26">
        <v>0.04</v>
      </c>
      <c r="V591" s="20">
        <v>1378.18</v>
      </c>
    </row>
    <row r="592" spans="1:22" ht="16.8" x14ac:dyDescent="0.3">
      <c r="A592" s="20">
        <v>59.1</v>
      </c>
      <c r="B592" s="20">
        <v>65</v>
      </c>
      <c r="C592" s="20">
        <v>65.349999999999994</v>
      </c>
      <c r="D592" s="20">
        <v>-0.35</v>
      </c>
      <c r="E592" s="20">
        <v>-0.25</v>
      </c>
      <c r="F592" s="26">
        <v>1609.34</v>
      </c>
      <c r="Q592" s="20">
        <v>59.1</v>
      </c>
      <c r="R592" s="20">
        <v>65.05</v>
      </c>
      <c r="S592" s="26">
        <v>65</v>
      </c>
      <c r="T592" s="20">
        <v>-0.05</v>
      </c>
      <c r="U592" s="20">
        <v>0</v>
      </c>
      <c r="V592" s="26">
        <v>1351.63</v>
      </c>
    </row>
    <row r="593" spans="1:22" ht="16.8" x14ac:dyDescent="0.3">
      <c r="A593" s="20">
        <v>59.2</v>
      </c>
      <c r="B593" s="20">
        <v>65</v>
      </c>
      <c r="C593" s="26">
        <v>65.11</v>
      </c>
      <c r="D593" s="20">
        <v>-0.11</v>
      </c>
      <c r="E593" s="20">
        <v>0.24</v>
      </c>
      <c r="F593" s="20">
        <v>1729.43</v>
      </c>
      <c r="Q593" s="20">
        <v>59.2</v>
      </c>
      <c r="R593" s="20">
        <v>65.040000000000006</v>
      </c>
      <c r="S593" s="26">
        <v>65</v>
      </c>
      <c r="T593" s="26">
        <v>-0.04</v>
      </c>
      <c r="U593" s="26">
        <v>0.01</v>
      </c>
      <c r="V593" s="20">
        <v>1358.1</v>
      </c>
    </row>
    <row r="594" spans="1:22" ht="16.8" x14ac:dyDescent="0.3">
      <c r="A594" s="20">
        <v>59.3</v>
      </c>
      <c r="B594" s="20">
        <v>65</v>
      </c>
      <c r="C594" s="26">
        <v>65.319999999999993</v>
      </c>
      <c r="D594" s="20">
        <v>-0.32</v>
      </c>
      <c r="E594" s="20">
        <v>-0.21</v>
      </c>
      <c r="F594" s="26">
        <v>1638.52</v>
      </c>
      <c r="Q594" s="20">
        <v>59.3</v>
      </c>
      <c r="R594" s="20">
        <v>65.03</v>
      </c>
      <c r="S594" s="26">
        <v>65</v>
      </c>
      <c r="T594" s="20">
        <v>-0.03</v>
      </c>
      <c r="U594" s="20">
        <v>0.02</v>
      </c>
      <c r="V594" s="26">
        <v>1365.9</v>
      </c>
    </row>
    <row r="595" spans="1:22" ht="16.8" x14ac:dyDescent="0.3">
      <c r="A595" s="20">
        <v>59.4</v>
      </c>
      <c r="B595" s="20">
        <v>65</v>
      </c>
      <c r="C595" s="20">
        <v>65.12</v>
      </c>
      <c r="D595" s="20">
        <v>-0.12</v>
      </c>
      <c r="E595" s="20">
        <v>0.2</v>
      </c>
      <c r="F595" s="26">
        <v>1732.44</v>
      </c>
      <c r="Q595" s="20">
        <v>59.4</v>
      </c>
      <c r="R595" s="20">
        <v>65</v>
      </c>
      <c r="S595" s="26">
        <v>65</v>
      </c>
      <c r="T595" s="26">
        <v>0</v>
      </c>
      <c r="U595" s="26">
        <v>0.03</v>
      </c>
      <c r="V595" s="20">
        <v>1381.67</v>
      </c>
    </row>
    <row r="596" spans="1:22" ht="16.8" x14ac:dyDescent="0.3">
      <c r="A596" s="20">
        <v>59.5</v>
      </c>
      <c r="B596" s="20">
        <v>65</v>
      </c>
      <c r="C596" s="26">
        <v>65.31</v>
      </c>
      <c r="D596" s="20">
        <v>-0.31</v>
      </c>
      <c r="E596" s="20">
        <v>-0.19</v>
      </c>
      <c r="F596" s="20">
        <v>1647.01</v>
      </c>
      <c r="Q596" s="20">
        <v>59.5</v>
      </c>
      <c r="R596" s="20">
        <v>65.040000000000006</v>
      </c>
      <c r="S596" s="26">
        <v>65</v>
      </c>
      <c r="T596" s="20">
        <v>-0.04</v>
      </c>
      <c r="U596" s="20">
        <v>-0.05</v>
      </c>
      <c r="V596" s="26">
        <v>1320.92</v>
      </c>
    </row>
    <row r="597" spans="1:22" ht="16.8" x14ac:dyDescent="0.3">
      <c r="A597" s="20">
        <v>59.6</v>
      </c>
      <c r="B597" s="20">
        <v>65</v>
      </c>
      <c r="C597" s="26">
        <v>65.180000000000007</v>
      </c>
      <c r="D597" s="20">
        <v>-0.18</v>
      </c>
      <c r="E597" s="20">
        <v>0.12</v>
      </c>
      <c r="F597" s="26">
        <v>1709.93</v>
      </c>
      <c r="Q597" s="20">
        <v>59.6</v>
      </c>
      <c r="R597" s="20">
        <v>65.040000000000006</v>
      </c>
      <c r="S597" s="26">
        <v>65</v>
      </c>
      <c r="T597" s="26">
        <v>-0.04</v>
      </c>
      <c r="U597" s="26">
        <v>0.01</v>
      </c>
      <c r="V597" s="20">
        <v>1359.14</v>
      </c>
    </row>
    <row r="598" spans="1:22" ht="16.8" x14ac:dyDescent="0.3">
      <c r="A598" s="20">
        <v>59.7</v>
      </c>
      <c r="B598" s="20">
        <v>65</v>
      </c>
      <c r="C598" s="20">
        <v>65.239999999999995</v>
      </c>
      <c r="D598" s="20">
        <v>-0.24</v>
      </c>
      <c r="E598" s="20">
        <v>-0.06</v>
      </c>
      <c r="F598" s="26">
        <v>1683.11</v>
      </c>
      <c r="Q598" s="20">
        <v>59.7</v>
      </c>
      <c r="R598" s="20">
        <v>65.010000000000005</v>
      </c>
      <c r="S598" s="26">
        <v>65</v>
      </c>
      <c r="T598" s="26">
        <v>-0.01</v>
      </c>
      <c r="U598" s="26">
        <v>0.02</v>
      </c>
      <c r="V598" s="26">
        <v>1373.57</v>
      </c>
    </row>
    <row r="599" spans="1:22" ht="16.8" x14ac:dyDescent="0.3">
      <c r="A599" s="20">
        <v>59.8</v>
      </c>
      <c r="B599" s="20">
        <v>65</v>
      </c>
      <c r="C599" s="26">
        <v>65.13</v>
      </c>
      <c r="D599" s="20">
        <v>-0.13</v>
      </c>
      <c r="E599" s="20">
        <v>0.11</v>
      </c>
      <c r="F599" s="20">
        <v>1736.32</v>
      </c>
      <c r="Q599" s="20">
        <v>59.8</v>
      </c>
      <c r="R599" s="20">
        <v>65.03</v>
      </c>
      <c r="S599" s="26">
        <v>65</v>
      </c>
      <c r="T599" s="26">
        <v>-0.03</v>
      </c>
      <c r="U599" s="26">
        <v>-0.02</v>
      </c>
      <c r="V599" s="20">
        <v>1344.47</v>
      </c>
    </row>
    <row r="600" spans="1:22" ht="16.8" x14ac:dyDescent="0.3">
      <c r="A600" s="20">
        <v>59.9</v>
      </c>
      <c r="B600" s="20">
        <v>65</v>
      </c>
      <c r="C600" s="26">
        <v>65.260000000000005</v>
      </c>
      <c r="D600" s="20">
        <v>-0.26</v>
      </c>
      <c r="E600" s="20">
        <v>-0.14000000000000001</v>
      </c>
      <c r="F600" s="26">
        <v>1670.75</v>
      </c>
      <c r="Q600" s="20">
        <v>59.9</v>
      </c>
      <c r="R600" s="20">
        <v>65.040000000000006</v>
      </c>
      <c r="S600" s="26">
        <v>65</v>
      </c>
      <c r="T600" s="26">
        <v>-0.04</v>
      </c>
      <c r="U600" s="26">
        <v>-0.01</v>
      </c>
      <c r="V600" s="20">
        <v>1348.38</v>
      </c>
    </row>
    <row r="601" spans="1:22" ht="16.8" x14ac:dyDescent="0.3">
      <c r="A601" s="20">
        <v>60</v>
      </c>
      <c r="B601" s="20">
        <v>65</v>
      </c>
      <c r="C601" s="20">
        <v>65.14</v>
      </c>
      <c r="D601" s="20">
        <v>-0.14000000000000001</v>
      </c>
      <c r="E601" s="20">
        <v>0.12</v>
      </c>
      <c r="F601" s="20">
        <v>1728.31</v>
      </c>
      <c r="Q601" s="20">
        <v>60</v>
      </c>
      <c r="R601" s="20">
        <v>65.010000000000005</v>
      </c>
      <c r="S601" s="26">
        <v>65</v>
      </c>
      <c r="T601" s="26">
        <v>-0.01</v>
      </c>
      <c r="U601" s="20">
        <v>0.02</v>
      </c>
      <c r="V601" s="26">
        <v>1373.38</v>
      </c>
    </row>
    <row r="602" spans="1:22" ht="16.8" x14ac:dyDescent="0.3">
      <c r="A602" s="24">
        <v>60.1</v>
      </c>
      <c r="B602" s="24">
        <v>65</v>
      </c>
      <c r="C602" s="25">
        <v>65.209999999999994</v>
      </c>
      <c r="D602" s="24">
        <v>-0.21</v>
      </c>
      <c r="E602" s="24">
        <v>-7.0000000000000007E-2</v>
      </c>
      <c r="F602" s="25">
        <v>1697.11</v>
      </c>
      <c r="Q602" s="24">
        <v>60.1</v>
      </c>
      <c r="R602" s="24">
        <v>65.040000000000006</v>
      </c>
      <c r="S602" s="25">
        <v>65</v>
      </c>
      <c r="T602" s="25">
        <v>-0.04</v>
      </c>
      <c r="U602" s="25">
        <v>-0.03</v>
      </c>
      <c r="V602" s="24">
        <v>1331.08</v>
      </c>
    </row>
  </sheetData>
  <mergeCells count="22">
    <mergeCell ref="H27:I27"/>
    <mergeCell ref="H17:K17"/>
    <mergeCell ref="J18:K18"/>
    <mergeCell ref="J19:K19"/>
    <mergeCell ref="H21:J21"/>
    <mergeCell ref="H22:J22"/>
    <mergeCell ref="X18:AA18"/>
    <mergeCell ref="Z19:AA19"/>
    <mergeCell ref="Z20:AA20"/>
    <mergeCell ref="X22:Z22"/>
    <mergeCell ref="X23:Z23"/>
    <mergeCell ref="X35:Z35"/>
    <mergeCell ref="H28:I28"/>
    <mergeCell ref="H30:I30"/>
    <mergeCell ref="H31:I31"/>
    <mergeCell ref="H33:J33"/>
    <mergeCell ref="H34:J34"/>
    <mergeCell ref="X28:Y28"/>
    <mergeCell ref="X29:Y29"/>
    <mergeCell ref="X31:Y31"/>
    <mergeCell ref="X32:Y32"/>
    <mergeCell ref="X34:Z34"/>
  </mergeCells>
  <dataValidations count="6">
    <dataValidation allowBlank="1" showInputMessage="1" showErrorMessage="1" prompt="TBL_HST[CH6]" sqref="V2:V602 F2:F602" xr:uid="{AA150B34-6A9D-43FB-9878-AD39E4DF2150}"/>
    <dataValidation allowBlank="1" showInputMessage="1" showErrorMessage="1" prompt="TBL_HST[CH5]" sqref="U2:U602 E2:E602" xr:uid="{82A04EF2-C96D-4A70-9E37-123D6077AAF2}"/>
    <dataValidation allowBlank="1" showInputMessage="1" showErrorMessage="1" prompt="TBL_HST[CH4]" sqref="T2:T602 D2:D411 D413:D602 F412" xr:uid="{E28B9D88-3067-4F6C-A84E-B6B816462142}"/>
    <dataValidation allowBlank="1" showInputMessage="1" showErrorMessage="1" prompt="TBL_HST[CH3]" sqref="S2:S602 C2:C602" xr:uid="{60E6A9CE-3772-455F-91BF-B03ADE4234C5}"/>
    <dataValidation allowBlank="1" showInputMessage="1" showErrorMessage="1" prompt="TBL_HST[CH2]" sqref="R2:R602 B2:B602" xr:uid="{3015BFB4-C942-44BB-86EC-88960CF90B26}"/>
    <dataValidation allowBlank="1" showInputMessage="1" showErrorMessage="1" prompt="TBL_HST[CH1]" sqref="Q2:Q602 A2:A602" xr:uid="{624BD7A8-C599-40EF-81C6-3A39FF9FC715}"/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0E6E-1527-4C1E-8B10-4FFF51931A63}">
  <dimension ref="A1:AA602"/>
  <sheetViews>
    <sheetView topLeftCell="D2" workbookViewId="0">
      <selection activeCell="J21" sqref="J21"/>
    </sheetView>
  </sheetViews>
  <sheetFormatPr defaultRowHeight="14.4" x14ac:dyDescent="0.3"/>
  <cols>
    <col min="1" max="6" width="8.88671875" style="29"/>
    <col min="8" max="8" width="12.77734375" customWidth="1"/>
    <col min="9" max="9" width="20.109375" customWidth="1"/>
    <col min="11" max="11" width="23.44140625" customWidth="1"/>
    <col min="24" max="24" width="17.77734375" customWidth="1"/>
    <col min="25" max="25" width="13.109375" customWidth="1"/>
    <col min="27" max="27" width="17.6640625" customWidth="1"/>
  </cols>
  <sheetData>
    <row r="1" spans="1:22" x14ac:dyDescent="0.3">
      <c r="A1" s="29" t="s">
        <v>36</v>
      </c>
      <c r="B1" s="29" t="s">
        <v>37</v>
      </c>
      <c r="C1" s="29" t="s">
        <v>38</v>
      </c>
      <c r="D1" s="29" t="s">
        <v>39</v>
      </c>
      <c r="E1" s="29" t="s">
        <v>40</v>
      </c>
      <c r="F1" s="29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68</v>
      </c>
      <c r="C2" s="20">
        <v>29.56</v>
      </c>
      <c r="D2" s="20">
        <v>38.44</v>
      </c>
      <c r="E2" s="20">
        <v>6</v>
      </c>
      <c r="F2" s="26">
        <v>2048</v>
      </c>
      <c r="Q2" s="20">
        <v>0.1</v>
      </c>
      <c r="R2" s="20">
        <v>35.200000000000003</v>
      </c>
      <c r="S2" s="26">
        <v>68</v>
      </c>
      <c r="T2" s="26">
        <v>32.799999999999997</v>
      </c>
      <c r="U2" s="26">
        <v>32.799999999999997</v>
      </c>
      <c r="V2" s="20">
        <v>4095</v>
      </c>
    </row>
    <row r="3" spans="1:22" ht="16.8" x14ac:dyDescent="0.3">
      <c r="A3" s="20">
        <v>0.2</v>
      </c>
      <c r="B3" s="20">
        <v>68</v>
      </c>
      <c r="C3" s="26">
        <v>29.57</v>
      </c>
      <c r="D3" s="20">
        <v>38.43</v>
      </c>
      <c r="E3" s="20">
        <v>-0.01</v>
      </c>
      <c r="F3" s="20">
        <v>3410.45</v>
      </c>
      <c r="Q3" s="20">
        <v>0.2</v>
      </c>
      <c r="R3" s="20">
        <v>36.15</v>
      </c>
      <c r="S3" s="26">
        <v>68</v>
      </c>
      <c r="T3" s="26">
        <v>31.85</v>
      </c>
      <c r="U3" s="26">
        <v>-0.94</v>
      </c>
      <c r="V3" s="26">
        <v>4095</v>
      </c>
    </row>
    <row r="4" spans="1:22" ht="16.8" x14ac:dyDescent="0.3">
      <c r="A4" s="20">
        <v>0.3</v>
      </c>
      <c r="B4" s="20">
        <v>68</v>
      </c>
      <c r="C4" s="26">
        <v>29.73</v>
      </c>
      <c r="D4" s="20">
        <v>38.270000000000003</v>
      </c>
      <c r="E4" s="20">
        <v>-0.16</v>
      </c>
      <c r="F4" s="26">
        <v>3294.79</v>
      </c>
      <c r="Q4" s="20">
        <v>0.3</v>
      </c>
      <c r="R4" s="20">
        <v>36.18</v>
      </c>
      <c r="S4" s="26">
        <v>68</v>
      </c>
      <c r="T4" s="26">
        <v>31.82</v>
      </c>
      <c r="U4" s="26">
        <v>-0.03</v>
      </c>
      <c r="V4" s="20">
        <v>4095</v>
      </c>
    </row>
    <row r="5" spans="1:22" ht="16.8" x14ac:dyDescent="0.3">
      <c r="A5" s="20">
        <v>0.4</v>
      </c>
      <c r="B5" s="20">
        <v>68</v>
      </c>
      <c r="C5" s="20">
        <v>29.68</v>
      </c>
      <c r="D5" s="20">
        <v>38.32</v>
      </c>
      <c r="E5" s="20">
        <v>0.05</v>
      </c>
      <c r="F5" s="20">
        <v>3419.82</v>
      </c>
      <c r="Q5" s="20">
        <v>0.4</v>
      </c>
      <c r="R5" s="20">
        <v>36.22</v>
      </c>
      <c r="S5" s="26">
        <v>68</v>
      </c>
      <c r="T5" s="26">
        <v>31.78</v>
      </c>
      <c r="U5" s="26">
        <v>-0.04</v>
      </c>
      <c r="V5" s="20">
        <v>4095</v>
      </c>
    </row>
    <row r="6" spans="1:22" ht="16.8" x14ac:dyDescent="0.3">
      <c r="A6" s="20">
        <v>0.5</v>
      </c>
      <c r="B6" s="20">
        <v>68</v>
      </c>
      <c r="C6" s="26">
        <v>29.72</v>
      </c>
      <c r="D6" s="20">
        <v>38.28</v>
      </c>
      <c r="E6" s="20">
        <v>-0.04</v>
      </c>
      <c r="F6" s="26">
        <v>3389.44</v>
      </c>
      <c r="Q6" s="20">
        <v>0.5</v>
      </c>
      <c r="R6" s="20">
        <v>36.42</v>
      </c>
      <c r="S6" s="26">
        <v>68</v>
      </c>
      <c r="T6" s="26">
        <v>31.58</v>
      </c>
      <c r="U6" s="26">
        <v>-0.2</v>
      </c>
      <c r="V6" s="26">
        <v>4095</v>
      </c>
    </row>
    <row r="7" spans="1:22" ht="16.8" x14ac:dyDescent="0.3">
      <c r="A7" s="20">
        <v>0.6</v>
      </c>
      <c r="B7" s="20">
        <v>68</v>
      </c>
      <c r="C7" s="20">
        <v>29.83</v>
      </c>
      <c r="D7" s="20">
        <v>38.17</v>
      </c>
      <c r="E7" s="20">
        <v>-0.11</v>
      </c>
      <c r="F7" s="26">
        <v>3343</v>
      </c>
      <c r="Q7" s="20">
        <v>0.6</v>
      </c>
      <c r="R7" s="20">
        <v>36.65</v>
      </c>
      <c r="S7" s="26">
        <v>68</v>
      </c>
      <c r="T7" s="26">
        <v>31.35</v>
      </c>
      <c r="U7" s="26">
        <v>-0.23</v>
      </c>
      <c r="V7" s="20">
        <v>4095</v>
      </c>
    </row>
    <row r="8" spans="1:22" ht="16.8" x14ac:dyDescent="0.3">
      <c r="A8" s="20">
        <v>0.7</v>
      </c>
      <c r="B8" s="20">
        <v>68</v>
      </c>
      <c r="C8" s="26">
        <v>29.98</v>
      </c>
      <c r="D8" s="20">
        <v>38.020000000000003</v>
      </c>
      <c r="E8" s="20">
        <v>-0.15</v>
      </c>
      <c r="F8" s="20">
        <v>3307.79</v>
      </c>
      <c r="Q8" s="20">
        <v>0.7</v>
      </c>
      <c r="R8" s="20">
        <v>36.94</v>
      </c>
      <c r="S8" s="26">
        <v>68</v>
      </c>
      <c r="T8" s="26">
        <v>31.06</v>
      </c>
      <c r="U8" s="26">
        <v>-0.28999999999999998</v>
      </c>
      <c r="V8" s="26">
        <v>4095</v>
      </c>
    </row>
    <row r="9" spans="1:22" ht="16.8" x14ac:dyDescent="0.3">
      <c r="A9" s="20">
        <v>0.8</v>
      </c>
      <c r="B9" s="20">
        <v>68</v>
      </c>
      <c r="C9" s="26">
        <v>30.15</v>
      </c>
      <c r="D9" s="20">
        <v>37.85</v>
      </c>
      <c r="E9" s="20">
        <v>-0.17</v>
      </c>
      <c r="F9" s="26">
        <v>3281.4</v>
      </c>
      <c r="Q9" s="20">
        <v>0.8</v>
      </c>
      <c r="R9" s="20">
        <v>37.29</v>
      </c>
      <c r="S9" s="26">
        <v>68</v>
      </c>
      <c r="T9" s="26">
        <v>30.71</v>
      </c>
      <c r="U9" s="26">
        <v>-0.35</v>
      </c>
      <c r="V9" s="20">
        <v>4095</v>
      </c>
    </row>
    <row r="10" spans="1:22" ht="16.8" x14ac:dyDescent="0.3">
      <c r="A10" s="20">
        <v>0.9</v>
      </c>
      <c r="B10" s="20">
        <v>68</v>
      </c>
      <c r="C10" s="20">
        <v>30.43</v>
      </c>
      <c r="D10" s="20">
        <v>37.57</v>
      </c>
      <c r="E10" s="20">
        <v>-0.28000000000000003</v>
      </c>
      <c r="F10" s="20">
        <v>3195.71</v>
      </c>
      <c r="Q10" s="20">
        <v>0.9</v>
      </c>
      <c r="R10" s="20">
        <v>37.81</v>
      </c>
      <c r="S10" s="26">
        <v>68</v>
      </c>
      <c r="T10" s="26">
        <v>30.19</v>
      </c>
      <c r="U10" s="26">
        <v>-0.52</v>
      </c>
      <c r="V10" s="26">
        <v>4095</v>
      </c>
    </row>
    <row r="11" spans="1:22" ht="16.8" x14ac:dyDescent="0.3">
      <c r="A11" s="20">
        <v>1</v>
      </c>
      <c r="B11" s="20">
        <v>68</v>
      </c>
      <c r="C11" s="26">
        <v>30.77</v>
      </c>
      <c r="D11" s="20">
        <v>37.229999999999997</v>
      </c>
      <c r="E11" s="20">
        <v>-0.34</v>
      </c>
      <c r="F11" s="26">
        <v>3186.72</v>
      </c>
      <c r="Q11" s="20">
        <v>1</v>
      </c>
      <c r="R11" s="20">
        <v>38.35</v>
      </c>
      <c r="S11" s="26">
        <v>68</v>
      </c>
      <c r="T11" s="26">
        <v>29.65</v>
      </c>
      <c r="U11" s="26">
        <v>-0.53</v>
      </c>
      <c r="V11" s="20">
        <v>4095</v>
      </c>
    </row>
    <row r="12" spans="1:22" ht="16.8" x14ac:dyDescent="0.3">
      <c r="A12" s="20">
        <v>1.1000000000000001</v>
      </c>
      <c r="B12" s="20">
        <v>68</v>
      </c>
      <c r="C12" s="26">
        <v>31.14</v>
      </c>
      <c r="D12" s="20">
        <v>36.86</v>
      </c>
      <c r="E12" s="20">
        <v>-0.37</v>
      </c>
      <c r="F12" s="26">
        <v>3203.66</v>
      </c>
      <c r="Q12" s="32">
        <v>1.1000000000000001</v>
      </c>
      <c r="R12" s="32">
        <v>38.92</v>
      </c>
      <c r="S12" s="34">
        <v>68</v>
      </c>
      <c r="T12" s="32">
        <v>29.08</v>
      </c>
      <c r="U12" s="34">
        <v>-0.56999999999999995</v>
      </c>
      <c r="V12" s="34">
        <v>4095</v>
      </c>
    </row>
    <row r="13" spans="1:22" ht="16.8" x14ac:dyDescent="0.3">
      <c r="A13" s="20">
        <v>1.2</v>
      </c>
      <c r="B13" s="20">
        <v>68</v>
      </c>
      <c r="C13" s="20">
        <v>31.53</v>
      </c>
      <c r="D13" s="20">
        <v>36.47</v>
      </c>
      <c r="E13" s="20">
        <v>-0.39</v>
      </c>
      <c r="F13" s="20">
        <v>3215.3</v>
      </c>
      <c r="Q13" s="32">
        <v>1.2</v>
      </c>
      <c r="R13" s="32">
        <v>39.520000000000003</v>
      </c>
      <c r="S13" s="34">
        <v>68</v>
      </c>
      <c r="T13" s="34">
        <v>28.48</v>
      </c>
      <c r="U13" s="34">
        <v>-0.6</v>
      </c>
      <c r="V13" s="32">
        <v>4095</v>
      </c>
    </row>
    <row r="14" spans="1:22" ht="16.8" x14ac:dyDescent="0.3">
      <c r="A14" s="20">
        <v>1.3</v>
      </c>
      <c r="B14" s="20">
        <v>68</v>
      </c>
      <c r="C14" s="26">
        <v>32</v>
      </c>
      <c r="D14" s="20">
        <v>36</v>
      </c>
      <c r="E14" s="20">
        <v>-0.46</v>
      </c>
      <c r="F14" s="26">
        <v>3244.23</v>
      </c>
      <c r="Q14" s="32">
        <v>1.3</v>
      </c>
      <c r="R14" s="32">
        <v>40.18</v>
      </c>
      <c r="S14" s="34">
        <v>68</v>
      </c>
      <c r="T14" s="32">
        <v>27.82</v>
      </c>
      <c r="U14" s="34">
        <v>-0.66</v>
      </c>
      <c r="V14" s="34">
        <v>4095</v>
      </c>
    </row>
    <row r="15" spans="1:22" ht="16.8" x14ac:dyDescent="0.3">
      <c r="A15" s="20">
        <v>1.4</v>
      </c>
      <c r="B15" s="20">
        <v>68</v>
      </c>
      <c r="C15" s="20">
        <v>32.53</v>
      </c>
      <c r="D15" s="20">
        <v>35.47</v>
      </c>
      <c r="E15" s="20">
        <v>-0.53</v>
      </c>
      <c r="F15" s="20">
        <v>3268.77</v>
      </c>
      <c r="Q15" s="32">
        <v>1.4</v>
      </c>
      <c r="R15" s="32">
        <v>40.83</v>
      </c>
      <c r="S15" s="34">
        <v>68</v>
      </c>
      <c r="T15" s="34">
        <v>27.17</v>
      </c>
      <c r="U15" s="34">
        <v>-0.65</v>
      </c>
      <c r="V15" s="32">
        <v>4095</v>
      </c>
    </row>
    <row r="16" spans="1:22" ht="16.8" x14ac:dyDescent="0.3">
      <c r="A16" s="20">
        <v>1.5</v>
      </c>
      <c r="B16" s="20">
        <v>68</v>
      </c>
      <c r="C16" s="26">
        <v>32.979999999999997</v>
      </c>
      <c r="D16" s="20">
        <v>35.020000000000003</v>
      </c>
      <c r="E16" s="20">
        <v>-0.45</v>
      </c>
      <c r="F16" s="26">
        <v>3239.46</v>
      </c>
      <c r="Q16" s="32">
        <v>1.5</v>
      </c>
      <c r="R16" s="32">
        <v>41.53</v>
      </c>
      <c r="S16" s="34">
        <v>68</v>
      </c>
      <c r="T16" s="34">
        <v>26.47</v>
      </c>
      <c r="U16" s="34">
        <v>-0.7</v>
      </c>
      <c r="V16" s="32">
        <v>3943.45</v>
      </c>
    </row>
    <row r="17" spans="1:27" ht="16.8" x14ac:dyDescent="0.3">
      <c r="A17" s="20">
        <v>1.6</v>
      </c>
      <c r="B17" s="20">
        <v>68</v>
      </c>
      <c r="C17" s="26">
        <v>33.479999999999997</v>
      </c>
      <c r="D17" s="20">
        <v>34.520000000000003</v>
      </c>
      <c r="E17" s="20">
        <v>-0.5</v>
      </c>
      <c r="F17" s="26">
        <v>3257.67</v>
      </c>
      <c r="Q17" s="32">
        <v>1.6</v>
      </c>
      <c r="R17" s="32">
        <v>42.2</v>
      </c>
      <c r="S17" s="34">
        <v>68</v>
      </c>
      <c r="T17" s="34">
        <v>25.8</v>
      </c>
      <c r="U17" s="34">
        <v>-0.67</v>
      </c>
      <c r="V17" s="34">
        <v>3918.32</v>
      </c>
    </row>
    <row r="18" spans="1:27" ht="16.8" x14ac:dyDescent="0.3">
      <c r="A18" s="20">
        <v>1.7</v>
      </c>
      <c r="B18" s="20">
        <v>68</v>
      </c>
      <c r="C18" s="20">
        <v>33.979999999999997</v>
      </c>
      <c r="D18" s="20">
        <v>34.020000000000003</v>
      </c>
      <c r="E18" s="20">
        <v>-0.5</v>
      </c>
      <c r="F18" s="20">
        <v>3257.67</v>
      </c>
      <c r="H18" s="55" t="s">
        <v>46</v>
      </c>
      <c r="I18" s="56"/>
      <c r="J18" s="56"/>
      <c r="K18" s="57"/>
      <c r="Q18" s="32">
        <v>1.7</v>
      </c>
      <c r="R18" s="32">
        <v>42.97</v>
      </c>
      <c r="S18" s="34">
        <v>68</v>
      </c>
      <c r="T18" s="34">
        <v>25.03</v>
      </c>
      <c r="U18" s="34">
        <v>-0.77</v>
      </c>
      <c r="V18" s="32">
        <v>3770.3</v>
      </c>
      <c r="X18" s="55" t="s">
        <v>46</v>
      </c>
      <c r="Y18" s="56"/>
      <c r="Z18" s="56"/>
      <c r="AA18" s="57"/>
    </row>
    <row r="19" spans="1:27" ht="16.8" x14ac:dyDescent="0.3">
      <c r="A19" s="20">
        <v>1.8</v>
      </c>
      <c r="B19" s="20">
        <v>68</v>
      </c>
      <c r="C19" s="26">
        <v>34.549999999999997</v>
      </c>
      <c r="D19" s="20">
        <v>33.450000000000003</v>
      </c>
      <c r="E19" s="20">
        <v>-0.57999999999999996</v>
      </c>
      <c r="F19" s="26">
        <v>3282.95</v>
      </c>
      <c r="H19" s="30" t="s">
        <v>47</v>
      </c>
      <c r="I19" s="30" t="s">
        <v>48</v>
      </c>
      <c r="J19" s="55" t="s">
        <v>49</v>
      </c>
      <c r="K19" s="57"/>
      <c r="Q19" s="32">
        <v>1.8</v>
      </c>
      <c r="R19" s="32">
        <v>43.67</v>
      </c>
      <c r="S19" s="34">
        <v>68</v>
      </c>
      <c r="T19" s="32">
        <v>24.33</v>
      </c>
      <c r="U19" s="32">
        <v>-0.69</v>
      </c>
      <c r="V19" s="34">
        <v>3774.16</v>
      </c>
      <c r="X19" s="30" t="s">
        <v>47</v>
      </c>
      <c r="Y19" s="30" t="s">
        <v>48</v>
      </c>
      <c r="Z19" s="55" t="s">
        <v>49</v>
      </c>
      <c r="AA19" s="57"/>
    </row>
    <row r="20" spans="1:27" ht="16.8" x14ac:dyDescent="0.3">
      <c r="A20" s="20">
        <v>1.9</v>
      </c>
      <c r="B20" s="20">
        <v>68</v>
      </c>
      <c r="C20" s="26">
        <v>35.119999999999997</v>
      </c>
      <c r="D20" s="20">
        <v>32.880000000000003</v>
      </c>
      <c r="E20" s="20">
        <v>-0.56000000000000005</v>
      </c>
      <c r="F20" s="20">
        <v>3279.19</v>
      </c>
      <c r="H20" s="30">
        <f>C2+0.1*(B2-C2)</f>
        <v>33.403999999999996</v>
      </c>
      <c r="I20" s="30">
        <f>C2+0.9*(B5-C2)</f>
        <v>64.155999999999992</v>
      </c>
      <c r="J20" s="55">
        <f>A90-A27</f>
        <v>6.3000000000000007</v>
      </c>
      <c r="K20" s="57"/>
      <c r="Q20" s="32">
        <v>1.9</v>
      </c>
      <c r="R20" s="32">
        <v>44.4</v>
      </c>
      <c r="S20" s="34">
        <v>68</v>
      </c>
      <c r="T20" s="34">
        <v>23.6</v>
      </c>
      <c r="U20" s="34">
        <v>-0.73</v>
      </c>
      <c r="V20" s="32">
        <v>3678.17</v>
      </c>
      <c r="X20" s="30">
        <f>R2+0.1*(S2-R2)</f>
        <v>38.480000000000004</v>
      </c>
      <c r="Y20" s="30">
        <f>R2+0.9*(S2-R2)</f>
        <v>64.72</v>
      </c>
      <c r="Z20" s="55">
        <f>Q68-Q12</f>
        <v>5.6</v>
      </c>
      <c r="AA20" s="57"/>
    </row>
    <row r="21" spans="1:27" ht="16.8" x14ac:dyDescent="0.3">
      <c r="A21" s="20">
        <v>2</v>
      </c>
      <c r="B21" s="20">
        <v>68</v>
      </c>
      <c r="C21" s="20">
        <v>35.6</v>
      </c>
      <c r="D21" s="20">
        <v>32.4</v>
      </c>
      <c r="E21" s="20">
        <v>-0.48</v>
      </c>
      <c r="F21" s="26">
        <v>3251.84</v>
      </c>
      <c r="Q21" s="32">
        <v>2</v>
      </c>
      <c r="R21" s="32">
        <v>45.13</v>
      </c>
      <c r="S21" s="34">
        <v>68</v>
      </c>
      <c r="T21" s="32">
        <v>22.87</v>
      </c>
      <c r="U21" s="32">
        <v>-0.73</v>
      </c>
      <c r="V21" s="34">
        <v>3610.88</v>
      </c>
    </row>
    <row r="22" spans="1:27" ht="16.8" x14ac:dyDescent="0.3">
      <c r="A22" s="20">
        <v>2.1</v>
      </c>
      <c r="B22" s="20">
        <v>68</v>
      </c>
      <c r="C22" s="26">
        <v>36.18</v>
      </c>
      <c r="D22" s="20">
        <v>31.82</v>
      </c>
      <c r="E22" s="20">
        <v>-0.57999999999999996</v>
      </c>
      <c r="F22" s="26">
        <v>3284.18</v>
      </c>
      <c r="H22" s="55" t="s">
        <v>50</v>
      </c>
      <c r="I22" s="56"/>
      <c r="J22" s="57"/>
      <c r="Q22" s="32">
        <v>2.1</v>
      </c>
      <c r="R22" s="32">
        <v>45.86</v>
      </c>
      <c r="S22" s="32">
        <v>68</v>
      </c>
      <c r="T22" s="34">
        <v>22.14</v>
      </c>
      <c r="U22" s="34">
        <v>-0.73</v>
      </c>
      <c r="V22" s="32">
        <v>3549.29</v>
      </c>
      <c r="X22" s="55" t="s">
        <v>50</v>
      </c>
      <c r="Y22" s="56"/>
      <c r="Z22" s="57"/>
    </row>
    <row r="23" spans="1:27" ht="16.8" x14ac:dyDescent="0.3">
      <c r="A23" s="20">
        <v>2.2000000000000002</v>
      </c>
      <c r="B23" s="20">
        <v>68</v>
      </c>
      <c r="C23" s="26">
        <v>36.74</v>
      </c>
      <c r="D23" s="20">
        <v>31.26</v>
      </c>
      <c r="E23" s="20">
        <v>-0.56000000000000005</v>
      </c>
      <c r="F23" s="20">
        <v>3276.66</v>
      </c>
      <c r="H23" s="58">
        <f>((MAX(C2:C155)-68)/68)*100</f>
        <v>1.9999999999999991</v>
      </c>
      <c r="I23" s="58"/>
      <c r="J23" s="58"/>
      <c r="Q23" s="32">
        <v>2.2000000000000002</v>
      </c>
      <c r="R23" s="32">
        <v>46.57</v>
      </c>
      <c r="S23" s="34">
        <v>68</v>
      </c>
      <c r="T23" s="34">
        <v>21.43</v>
      </c>
      <c r="U23" s="34">
        <v>-0.72</v>
      </c>
      <c r="V23" s="34">
        <v>3487.31</v>
      </c>
      <c r="X23" s="58">
        <f>((MAX(R2:R251)-68)/68)*100</f>
        <v>0.88235294117646224</v>
      </c>
      <c r="Y23" s="58"/>
      <c r="Z23" s="58"/>
    </row>
    <row r="24" spans="1:27" ht="16.8" x14ac:dyDescent="0.3">
      <c r="A24" s="20">
        <v>2.2999999999999998</v>
      </c>
      <c r="B24" s="20">
        <v>68</v>
      </c>
      <c r="C24" s="20">
        <v>37.29</v>
      </c>
      <c r="D24" s="20">
        <v>30.71</v>
      </c>
      <c r="E24" s="20">
        <v>-0.56000000000000005</v>
      </c>
      <c r="F24" s="26">
        <v>3276.64</v>
      </c>
      <c r="Q24" s="32">
        <v>2.2999999999999998</v>
      </c>
      <c r="R24" s="32">
        <v>47.29</v>
      </c>
      <c r="S24" s="34">
        <v>68</v>
      </c>
      <c r="T24" s="34">
        <v>20.71</v>
      </c>
      <c r="U24" s="34">
        <v>-0.72</v>
      </c>
      <c r="V24" s="32">
        <v>3417.52</v>
      </c>
    </row>
    <row r="25" spans="1:27" ht="16.8" x14ac:dyDescent="0.3">
      <c r="A25" s="20">
        <v>2.4</v>
      </c>
      <c r="B25" s="20">
        <v>68</v>
      </c>
      <c r="C25" s="26">
        <v>37.83</v>
      </c>
      <c r="D25" s="20">
        <v>30.17</v>
      </c>
      <c r="E25" s="20">
        <v>-0.54</v>
      </c>
      <c r="F25" s="20">
        <v>3271.43</v>
      </c>
      <c r="H25" s="29" t="s">
        <v>51</v>
      </c>
      <c r="I25" s="29">
        <f>ABS(AVERAGE(C301:C602))</f>
        <v>68.242748344370824</v>
      </c>
      <c r="Q25" s="32">
        <v>2.4</v>
      </c>
      <c r="R25" s="32">
        <v>47.96</v>
      </c>
      <c r="S25" s="34">
        <v>68</v>
      </c>
      <c r="T25" s="34">
        <v>20.04</v>
      </c>
      <c r="U25" s="34">
        <v>-0.67</v>
      </c>
      <c r="V25" s="32">
        <v>3390.74</v>
      </c>
      <c r="X25" s="29" t="s">
        <v>51</v>
      </c>
      <c r="Y25" s="29">
        <f>ABS(AVERAGE(R301:R602))</f>
        <v>68.096920529801338</v>
      </c>
    </row>
    <row r="26" spans="1:27" ht="16.8" x14ac:dyDescent="0.3">
      <c r="A26" s="20">
        <v>2.5</v>
      </c>
      <c r="B26" s="20">
        <v>68</v>
      </c>
      <c r="C26" s="20">
        <v>38.39</v>
      </c>
      <c r="D26" s="20">
        <v>29.61</v>
      </c>
      <c r="E26" s="20">
        <v>-0.56000000000000005</v>
      </c>
      <c r="F26" s="26">
        <v>3277.92</v>
      </c>
      <c r="H26" s="29" t="s">
        <v>52</v>
      </c>
      <c r="I26" s="29">
        <f>ABS((I25-68)/68)*100</f>
        <v>0.35698285936885887</v>
      </c>
      <c r="Q26" s="32">
        <v>2.5</v>
      </c>
      <c r="R26" s="32">
        <v>48.73</v>
      </c>
      <c r="S26" s="34">
        <v>68</v>
      </c>
      <c r="T26" s="34">
        <v>19.27</v>
      </c>
      <c r="U26" s="34">
        <v>-0.77</v>
      </c>
      <c r="V26" s="34">
        <v>3236.35</v>
      </c>
      <c r="X26" s="29" t="s">
        <v>52</v>
      </c>
      <c r="Y26" s="29">
        <f>((Y25-68)/68)*100</f>
        <v>0.14253019088432031</v>
      </c>
    </row>
    <row r="27" spans="1:27" ht="16.8" x14ac:dyDescent="0.3">
      <c r="A27" s="45">
        <v>2.6</v>
      </c>
      <c r="B27" s="20">
        <v>68</v>
      </c>
      <c r="C27" s="26">
        <v>38.869999999999997</v>
      </c>
      <c r="D27" s="20">
        <v>29.13</v>
      </c>
      <c r="E27" s="20">
        <v>-0.48</v>
      </c>
      <c r="F27" s="26">
        <v>3248.84</v>
      </c>
      <c r="Q27" s="32">
        <v>2.6</v>
      </c>
      <c r="R27" s="32">
        <v>49.36</v>
      </c>
      <c r="S27" s="34">
        <v>68</v>
      </c>
      <c r="T27" s="34">
        <v>18.64</v>
      </c>
      <c r="U27" s="34">
        <v>-0.64</v>
      </c>
      <c r="V27" s="32">
        <v>3272.48</v>
      </c>
    </row>
    <row r="28" spans="1:27" ht="16.8" x14ac:dyDescent="0.3">
      <c r="A28" s="20">
        <v>2.7</v>
      </c>
      <c r="B28" s="20">
        <v>68</v>
      </c>
      <c r="C28" s="26">
        <v>39.46</v>
      </c>
      <c r="D28" s="20">
        <v>28.54</v>
      </c>
      <c r="E28" s="20">
        <v>-0.59</v>
      </c>
      <c r="F28" s="20">
        <v>3287.84</v>
      </c>
      <c r="H28" s="58" t="s">
        <v>53</v>
      </c>
      <c r="I28" s="58"/>
      <c r="Q28" s="32">
        <v>2.7</v>
      </c>
      <c r="R28" s="32">
        <v>50</v>
      </c>
      <c r="S28" s="34">
        <v>68</v>
      </c>
      <c r="T28" s="34">
        <v>18</v>
      </c>
      <c r="U28" s="34">
        <v>-0.64</v>
      </c>
      <c r="V28" s="34">
        <v>3209.63</v>
      </c>
      <c r="X28" s="58" t="s">
        <v>53</v>
      </c>
      <c r="Y28" s="58"/>
    </row>
    <row r="29" spans="1:27" ht="16.8" x14ac:dyDescent="0.3">
      <c r="A29" s="20">
        <v>2.8</v>
      </c>
      <c r="B29" s="20">
        <v>68</v>
      </c>
      <c r="C29" s="20">
        <v>39.979999999999997</v>
      </c>
      <c r="D29" s="20">
        <v>28.02</v>
      </c>
      <c r="E29" s="20">
        <v>-0.52</v>
      </c>
      <c r="F29" s="26">
        <v>3263.3</v>
      </c>
      <c r="H29" s="58" cm="1">
        <f t="array" ref="H29">SUMPRODUCT(ABS(D2:D603)*0.1)</f>
        <v>201.03899999999956</v>
      </c>
      <c r="I29" s="58"/>
      <c r="Q29" s="32">
        <v>2.8</v>
      </c>
      <c r="R29" s="32">
        <v>50.66</v>
      </c>
      <c r="S29" s="34">
        <v>68</v>
      </c>
      <c r="T29" s="34">
        <v>17.34</v>
      </c>
      <c r="U29" s="34">
        <v>-0.66</v>
      </c>
      <c r="V29" s="32">
        <v>3122.88</v>
      </c>
      <c r="X29" s="58" cm="1">
        <f t="array" ref="X29">SUMPRODUCT(ABS(T2:T603)*0.1)</f>
        <v>124.23000000000081</v>
      </c>
      <c r="Y29" s="58"/>
    </row>
    <row r="30" spans="1:27" ht="16.8" x14ac:dyDescent="0.3">
      <c r="A30" s="20">
        <v>2.9</v>
      </c>
      <c r="B30" s="20">
        <v>68</v>
      </c>
      <c r="C30" s="26">
        <v>40.51</v>
      </c>
      <c r="D30" s="20">
        <v>27.49</v>
      </c>
      <c r="E30" s="20">
        <v>-0.53</v>
      </c>
      <c r="F30" s="26">
        <v>3267.43</v>
      </c>
      <c r="Q30" s="32">
        <v>2.9</v>
      </c>
      <c r="R30" s="32">
        <v>51.26</v>
      </c>
      <c r="S30" s="34">
        <v>68</v>
      </c>
      <c r="T30" s="34">
        <v>16.739999999999998</v>
      </c>
      <c r="U30" s="34">
        <v>-0.6</v>
      </c>
      <c r="V30" s="34">
        <v>3105</v>
      </c>
    </row>
    <row r="31" spans="1:27" ht="16.8" x14ac:dyDescent="0.3">
      <c r="A31" s="20">
        <v>3</v>
      </c>
      <c r="B31" s="20">
        <v>68</v>
      </c>
      <c r="C31" s="26">
        <v>40.97</v>
      </c>
      <c r="D31" s="20">
        <v>27.03</v>
      </c>
      <c r="E31" s="20">
        <v>-0.47</v>
      </c>
      <c r="F31" s="20">
        <v>3245.78</v>
      </c>
      <c r="H31" s="58" t="s">
        <v>54</v>
      </c>
      <c r="I31" s="58"/>
      <c r="Q31" s="32">
        <v>3</v>
      </c>
      <c r="R31" s="32">
        <v>51.85</v>
      </c>
      <c r="S31" s="32">
        <v>68</v>
      </c>
      <c r="T31" s="34">
        <v>16.149999999999999</v>
      </c>
      <c r="U31" s="34">
        <v>-0.59</v>
      </c>
      <c r="V31" s="32">
        <v>3057.93</v>
      </c>
      <c r="X31" s="58" t="s">
        <v>54</v>
      </c>
      <c r="Y31" s="58"/>
    </row>
    <row r="32" spans="1:27" ht="16.8" x14ac:dyDescent="0.3">
      <c r="A32" s="20">
        <v>3.1</v>
      </c>
      <c r="B32" s="20">
        <v>68</v>
      </c>
      <c r="C32" s="20">
        <v>41.46</v>
      </c>
      <c r="D32" s="20">
        <v>26.54</v>
      </c>
      <c r="E32" s="20">
        <v>-0.49</v>
      </c>
      <c r="F32" s="26">
        <v>3253.3</v>
      </c>
      <c r="H32" s="58" cm="1">
        <f t="array" ref="H32">SUMPRODUCT(((D2:D603)^2)*0.1)</f>
        <v>4947.46334999998</v>
      </c>
      <c r="I32" s="58"/>
      <c r="Q32" s="32">
        <v>3.1</v>
      </c>
      <c r="R32" s="32">
        <v>52.42</v>
      </c>
      <c r="S32" s="34">
        <v>68</v>
      </c>
      <c r="T32" s="32">
        <v>15.58</v>
      </c>
      <c r="U32" s="32">
        <v>-0.56999999999999995</v>
      </c>
      <c r="V32" s="34">
        <v>3012.17</v>
      </c>
      <c r="X32" s="58" cm="1">
        <f t="array" ref="X32">SUMPRODUCT(((T2:T603)^2)*0.1)</f>
        <v>2340.1911400000126</v>
      </c>
      <c r="Y32" s="58"/>
    </row>
    <row r="33" spans="1:26" ht="16.8" x14ac:dyDescent="0.3">
      <c r="A33" s="20">
        <v>3.2</v>
      </c>
      <c r="B33" s="20">
        <v>68</v>
      </c>
      <c r="C33" s="26">
        <v>41.96</v>
      </c>
      <c r="D33" s="20">
        <v>26.04</v>
      </c>
      <c r="E33" s="20">
        <v>-0.5</v>
      </c>
      <c r="F33" s="26">
        <v>3259.1</v>
      </c>
      <c r="Q33" s="32">
        <v>3.2</v>
      </c>
      <c r="R33" s="32">
        <v>53.01</v>
      </c>
      <c r="S33" s="34">
        <v>68</v>
      </c>
      <c r="T33" s="34">
        <v>14.99</v>
      </c>
      <c r="U33" s="34">
        <v>-0.57999999999999996</v>
      </c>
      <c r="V33" s="34">
        <v>2945.4</v>
      </c>
    </row>
    <row r="34" spans="1:26" ht="16.8" x14ac:dyDescent="0.3">
      <c r="A34" s="20">
        <v>3.3</v>
      </c>
      <c r="B34" s="20">
        <v>68</v>
      </c>
      <c r="C34" s="26">
        <v>42.48</v>
      </c>
      <c r="D34" s="20">
        <v>25.52</v>
      </c>
      <c r="E34" s="20">
        <v>-0.52</v>
      </c>
      <c r="F34" s="20">
        <v>3263.32</v>
      </c>
      <c r="H34" s="58" t="s">
        <v>55</v>
      </c>
      <c r="I34" s="58"/>
      <c r="J34" s="58"/>
      <c r="Q34" s="32">
        <v>3.3</v>
      </c>
      <c r="R34" s="32">
        <v>53.57</v>
      </c>
      <c r="S34" s="34">
        <v>68</v>
      </c>
      <c r="T34" s="32">
        <v>14.43</v>
      </c>
      <c r="U34" s="32">
        <v>-0.56000000000000005</v>
      </c>
      <c r="V34" s="34">
        <v>2898.24</v>
      </c>
      <c r="X34" s="58" t="s">
        <v>55</v>
      </c>
      <c r="Y34" s="58"/>
      <c r="Z34" s="58"/>
    </row>
    <row r="35" spans="1:26" ht="16.8" x14ac:dyDescent="0.3">
      <c r="A35" s="20">
        <v>3.4</v>
      </c>
      <c r="B35" s="20">
        <v>68</v>
      </c>
      <c r="C35" s="20">
        <v>42.97</v>
      </c>
      <c r="D35" s="20">
        <v>25.03</v>
      </c>
      <c r="E35" s="20">
        <v>-0.49</v>
      </c>
      <c r="F35" s="26">
        <v>3254.76</v>
      </c>
      <c r="H35" s="58" cm="1">
        <f t="array" ref="H35">SUMPRODUCT(A2:A603 * ABS(D2:D603) * 0.1)</f>
        <v>1056.3715999999995</v>
      </c>
      <c r="I35" s="58"/>
      <c r="J35" s="58"/>
      <c r="Q35" s="32">
        <v>3.4</v>
      </c>
      <c r="R35" s="32">
        <v>54.06</v>
      </c>
      <c r="S35" s="34">
        <v>68</v>
      </c>
      <c r="T35" s="34">
        <v>13.94</v>
      </c>
      <c r="U35" s="34">
        <v>-0.49</v>
      </c>
      <c r="V35" s="32">
        <v>2904.62</v>
      </c>
      <c r="X35" s="58" cm="1">
        <f t="array" ref="X35">SUMPRODUCT(Q2:Q603 * ABS(T2:T603) * 0.1)</f>
        <v>655.64740000000052</v>
      </c>
      <c r="Y35" s="58"/>
      <c r="Z35" s="58"/>
    </row>
    <row r="36" spans="1:26" ht="16.8" x14ac:dyDescent="0.3">
      <c r="A36" s="20">
        <v>3.5</v>
      </c>
      <c r="B36" s="20">
        <v>68</v>
      </c>
      <c r="C36" s="26">
        <v>43.45</v>
      </c>
      <c r="D36" s="20">
        <v>24.55</v>
      </c>
      <c r="E36" s="20">
        <v>-0.48</v>
      </c>
      <c r="F36" s="20">
        <v>3248.83</v>
      </c>
      <c r="Q36" s="32">
        <v>3.5</v>
      </c>
      <c r="R36" s="32">
        <v>54.6</v>
      </c>
      <c r="S36" s="34">
        <v>68</v>
      </c>
      <c r="T36" s="32">
        <v>13.4</v>
      </c>
      <c r="U36" s="32">
        <v>-0.54</v>
      </c>
      <c r="V36" s="34">
        <v>2810.29</v>
      </c>
    </row>
    <row r="37" spans="1:26" ht="16.8" x14ac:dyDescent="0.3">
      <c r="A37" s="20">
        <v>3.6</v>
      </c>
      <c r="B37" s="20">
        <v>68</v>
      </c>
      <c r="C37" s="26">
        <v>43.97</v>
      </c>
      <c r="D37" s="20">
        <v>24.03</v>
      </c>
      <c r="E37" s="20">
        <v>-0.52</v>
      </c>
      <c r="F37" s="26">
        <v>3264.7</v>
      </c>
      <c r="Q37" s="32">
        <v>3.6</v>
      </c>
      <c r="R37" s="32">
        <v>55.12</v>
      </c>
      <c r="S37" s="34">
        <v>68</v>
      </c>
      <c r="T37" s="34">
        <v>12.88</v>
      </c>
      <c r="U37" s="34">
        <v>-0.52</v>
      </c>
      <c r="V37" s="32">
        <v>2766.1</v>
      </c>
    </row>
    <row r="38" spans="1:26" ht="16.8" x14ac:dyDescent="0.3">
      <c r="A38" s="20">
        <v>3.7</v>
      </c>
      <c r="B38" s="20">
        <v>68</v>
      </c>
      <c r="C38" s="20">
        <v>44.47</v>
      </c>
      <c r="D38" s="20">
        <v>23.53</v>
      </c>
      <c r="E38" s="20">
        <v>-0.5</v>
      </c>
      <c r="F38" s="26">
        <v>3257.67</v>
      </c>
      <c r="Q38" s="32">
        <v>3.7</v>
      </c>
      <c r="R38" s="32">
        <v>55.62</v>
      </c>
      <c r="S38" s="34">
        <v>68</v>
      </c>
      <c r="T38" s="34">
        <v>12.38</v>
      </c>
      <c r="U38" s="34">
        <v>-0.49</v>
      </c>
      <c r="V38" s="34">
        <v>2738.29</v>
      </c>
    </row>
    <row r="39" spans="1:26" ht="16.8" x14ac:dyDescent="0.3">
      <c r="A39" s="20">
        <v>3.8</v>
      </c>
      <c r="B39" s="20">
        <v>68</v>
      </c>
      <c r="C39" s="26">
        <v>44.93</v>
      </c>
      <c r="D39" s="20">
        <v>23.07</v>
      </c>
      <c r="E39" s="20">
        <v>-0.46</v>
      </c>
      <c r="F39" s="20">
        <v>3244.22</v>
      </c>
      <c r="Q39" s="32">
        <v>3.8</v>
      </c>
      <c r="R39" s="32">
        <v>56.12</v>
      </c>
      <c r="S39" s="34">
        <v>68</v>
      </c>
      <c r="T39" s="34">
        <v>11.88</v>
      </c>
      <c r="U39" s="32">
        <v>-0.5</v>
      </c>
      <c r="V39" s="32">
        <v>2677.47</v>
      </c>
    </row>
    <row r="40" spans="1:26" ht="16.8" x14ac:dyDescent="0.3">
      <c r="A40" s="20">
        <v>3.9</v>
      </c>
      <c r="B40" s="20">
        <v>68</v>
      </c>
      <c r="C40" s="26">
        <v>45.36</v>
      </c>
      <c r="D40" s="20">
        <v>22.64</v>
      </c>
      <c r="E40" s="20">
        <v>-0.43</v>
      </c>
      <c r="F40" s="26">
        <v>3229.57</v>
      </c>
      <c r="Q40" s="32">
        <v>3.9</v>
      </c>
      <c r="R40" s="32">
        <v>56.53</v>
      </c>
      <c r="S40" s="34">
        <v>68</v>
      </c>
      <c r="T40" s="34">
        <v>11.47</v>
      </c>
      <c r="U40" s="34">
        <v>-0.42</v>
      </c>
      <c r="V40" s="32">
        <v>2696.12</v>
      </c>
    </row>
    <row r="41" spans="1:26" ht="16.8" x14ac:dyDescent="0.3">
      <c r="A41" s="20">
        <v>4</v>
      </c>
      <c r="B41" s="20">
        <v>68</v>
      </c>
      <c r="C41" s="20">
        <v>45.83</v>
      </c>
      <c r="D41" s="20">
        <v>22.17</v>
      </c>
      <c r="E41" s="20">
        <v>-0.48</v>
      </c>
      <c r="F41" s="26">
        <v>3248.83</v>
      </c>
      <c r="Q41" s="32">
        <v>4</v>
      </c>
      <c r="R41" s="32">
        <v>57</v>
      </c>
      <c r="S41" s="34">
        <v>68</v>
      </c>
      <c r="T41" s="34">
        <v>11</v>
      </c>
      <c r="U41" s="32">
        <v>-0.47</v>
      </c>
      <c r="V41" s="34">
        <v>2608.09</v>
      </c>
    </row>
    <row r="42" spans="1:26" ht="16.8" x14ac:dyDescent="0.3">
      <c r="A42" s="20">
        <v>4.0999999999999996</v>
      </c>
      <c r="B42" s="20">
        <v>68</v>
      </c>
      <c r="C42" s="26">
        <v>46.32</v>
      </c>
      <c r="D42" s="20">
        <v>21.68</v>
      </c>
      <c r="E42" s="20">
        <v>-0.49</v>
      </c>
      <c r="F42" s="20">
        <v>3253.31</v>
      </c>
      <c r="Q42" s="32">
        <v>4.0999999999999996</v>
      </c>
      <c r="R42" s="32">
        <v>57.45</v>
      </c>
      <c r="S42" s="34">
        <v>68</v>
      </c>
      <c r="T42" s="34">
        <v>10.55</v>
      </c>
      <c r="U42" s="34">
        <v>-0.44</v>
      </c>
      <c r="V42" s="32">
        <v>2577.85</v>
      </c>
    </row>
    <row r="43" spans="1:26" ht="16.8" x14ac:dyDescent="0.3">
      <c r="A43" s="20">
        <v>4.2</v>
      </c>
      <c r="B43" s="20">
        <v>68</v>
      </c>
      <c r="C43" s="20">
        <v>46.78</v>
      </c>
      <c r="D43" s="20">
        <v>21.22</v>
      </c>
      <c r="E43" s="20">
        <v>-0.46</v>
      </c>
      <c r="F43" s="26">
        <v>3242.66</v>
      </c>
      <c r="Q43" s="32">
        <v>4.2</v>
      </c>
      <c r="R43" s="32">
        <v>57.86</v>
      </c>
      <c r="S43" s="34">
        <v>68</v>
      </c>
      <c r="T43" s="34">
        <v>10.14</v>
      </c>
      <c r="U43" s="34">
        <v>-0.41</v>
      </c>
      <c r="V43" s="34">
        <v>2558.1</v>
      </c>
    </row>
    <row r="44" spans="1:26" ht="16.8" x14ac:dyDescent="0.3">
      <c r="A44" s="20">
        <v>4.3</v>
      </c>
      <c r="B44" s="20">
        <v>68</v>
      </c>
      <c r="C44" s="26">
        <v>47.25</v>
      </c>
      <c r="D44" s="20">
        <v>20.75</v>
      </c>
      <c r="E44" s="20">
        <v>-0.47</v>
      </c>
      <c r="F44" s="20">
        <v>3245.78</v>
      </c>
      <c r="Q44" s="32">
        <v>4.3</v>
      </c>
      <c r="R44" s="32">
        <v>58.23</v>
      </c>
      <c r="S44" s="34">
        <v>68</v>
      </c>
      <c r="T44" s="34">
        <v>9.77</v>
      </c>
      <c r="U44" s="34">
        <v>-0.37</v>
      </c>
      <c r="V44" s="32">
        <v>2550.2399999999998</v>
      </c>
    </row>
    <row r="45" spans="1:26" ht="16.8" x14ac:dyDescent="0.3">
      <c r="A45" s="20">
        <v>4.4000000000000004</v>
      </c>
      <c r="B45" s="20">
        <v>68</v>
      </c>
      <c r="C45" s="26">
        <v>47.66</v>
      </c>
      <c r="D45" s="20">
        <v>20.34</v>
      </c>
      <c r="E45" s="20">
        <v>-0.41</v>
      </c>
      <c r="F45" s="26">
        <v>3222.59</v>
      </c>
      <c r="Q45" s="32">
        <v>4.4000000000000004</v>
      </c>
      <c r="R45" s="32">
        <v>58.69</v>
      </c>
      <c r="S45" s="34">
        <v>68</v>
      </c>
      <c r="T45" s="34">
        <v>9.31</v>
      </c>
      <c r="U45" s="34">
        <v>-0.46</v>
      </c>
      <c r="V45" s="34">
        <v>2429.0700000000002</v>
      </c>
    </row>
    <row r="46" spans="1:26" ht="16.8" x14ac:dyDescent="0.3">
      <c r="A46" s="20">
        <v>4.5</v>
      </c>
      <c r="B46" s="20">
        <v>68</v>
      </c>
      <c r="C46" s="20">
        <v>48.17</v>
      </c>
      <c r="D46" s="20">
        <v>19.829999999999998</v>
      </c>
      <c r="E46" s="20">
        <v>-0.52</v>
      </c>
      <c r="F46" s="26">
        <v>3263.32</v>
      </c>
      <c r="Q46" s="32">
        <v>4.5</v>
      </c>
      <c r="R46" s="32">
        <v>59.02</v>
      </c>
      <c r="S46" s="34">
        <v>68</v>
      </c>
      <c r="T46" s="34">
        <v>8.98</v>
      </c>
      <c r="U46" s="34">
        <v>-0.33</v>
      </c>
      <c r="V46" s="32">
        <v>2493.04</v>
      </c>
    </row>
    <row r="47" spans="1:26" ht="16.8" x14ac:dyDescent="0.3">
      <c r="A47" s="20">
        <v>4.5999999999999996</v>
      </c>
      <c r="B47" s="20">
        <v>68</v>
      </c>
      <c r="C47" s="26">
        <v>48.63</v>
      </c>
      <c r="D47" s="20">
        <v>19.37</v>
      </c>
      <c r="E47" s="20">
        <v>-0.46</v>
      </c>
      <c r="F47" s="20">
        <v>3242.66</v>
      </c>
      <c r="Q47" s="32">
        <v>4.5999999999999996</v>
      </c>
      <c r="R47" s="32">
        <v>59.38</v>
      </c>
      <c r="S47" s="34">
        <v>68</v>
      </c>
      <c r="T47" s="34">
        <v>8.6199999999999992</v>
      </c>
      <c r="U47" s="34">
        <v>-0.36</v>
      </c>
      <c r="V47" s="34">
        <v>2428.96</v>
      </c>
    </row>
    <row r="48" spans="1:26" ht="16.8" x14ac:dyDescent="0.3">
      <c r="A48" s="20">
        <v>4.7</v>
      </c>
      <c r="B48" s="20">
        <v>68</v>
      </c>
      <c r="C48" s="20">
        <v>49.06</v>
      </c>
      <c r="D48" s="20">
        <v>18.940000000000001</v>
      </c>
      <c r="E48" s="20">
        <v>-0.43</v>
      </c>
      <c r="F48" s="26">
        <v>3229.57</v>
      </c>
      <c r="Q48" s="32">
        <v>4.7</v>
      </c>
      <c r="R48" s="32">
        <v>59.75</v>
      </c>
      <c r="S48" s="34">
        <v>68</v>
      </c>
      <c r="T48" s="34">
        <v>8.25</v>
      </c>
      <c r="U48" s="32">
        <v>-0.37</v>
      </c>
      <c r="V48" s="32">
        <v>2380.91</v>
      </c>
    </row>
    <row r="49" spans="1:22" ht="16.8" x14ac:dyDescent="0.3">
      <c r="A49" s="20">
        <v>4.8</v>
      </c>
      <c r="B49" s="20">
        <v>68</v>
      </c>
      <c r="C49" s="26">
        <v>49.53</v>
      </c>
      <c r="D49" s="20">
        <v>18.47</v>
      </c>
      <c r="E49" s="20">
        <v>-0.47</v>
      </c>
      <c r="F49" s="26">
        <v>3247.3</v>
      </c>
      <c r="Q49" s="32">
        <v>4.8</v>
      </c>
      <c r="R49" s="32">
        <v>60.1</v>
      </c>
      <c r="S49" s="34">
        <v>68</v>
      </c>
      <c r="T49" s="34">
        <v>7.9</v>
      </c>
      <c r="U49" s="34">
        <v>-0.35</v>
      </c>
      <c r="V49" s="32">
        <v>2352.9699999999998</v>
      </c>
    </row>
    <row r="50" spans="1:22" ht="16.8" x14ac:dyDescent="0.3">
      <c r="A50" s="20">
        <v>4.9000000000000004</v>
      </c>
      <c r="B50" s="20">
        <v>68</v>
      </c>
      <c r="C50" s="26">
        <v>49.93</v>
      </c>
      <c r="D50" s="20">
        <v>18.07</v>
      </c>
      <c r="E50" s="20">
        <v>-0.4</v>
      </c>
      <c r="F50" s="20">
        <v>3217.17</v>
      </c>
      <c r="Q50" s="32">
        <v>4.9000000000000004</v>
      </c>
      <c r="R50" s="32">
        <v>60.39</v>
      </c>
      <c r="S50" s="34">
        <v>68</v>
      </c>
      <c r="T50" s="34">
        <v>7.61</v>
      </c>
      <c r="U50" s="34">
        <v>-0.28999999999999998</v>
      </c>
      <c r="V50" s="34">
        <v>2371.62</v>
      </c>
    </row>
    <row r="51" spans="1:22" ht="16.8" x14ac:dyDescent="0.3">
      <c r="A51" s="20">
        <v>5</v>
      </c>
      <c r="B51" s="20">
        <v>68</v>
      </c>
      <c r="C51" s="20">
        <v>50.42</v>
      </c>
      <c r="D51" s="20">
        <v>17.579999999999998</v>
      </c>
      <c r="E51" s="20">
        <v>-0.49</v>
      </c>
      <c r="F51" s="26">
        <v>3254.78</v>
      </c>
      <c r="Q51" s="32">
        <v>5</v>
      </c>
      <c r="R51" s="32">
        <v>60.77</v>
      </c>
      <c r="S51" s="34">
        <v>68</v>
      </c>
      <c r="T51" s="34">
        <v>7.23</v>
      </c>
      <c r="U51" s="34">
        <v>-0.38</v>
      </c>
      <c r="V51" s="32">
        <v>2258.86</v>
      </c>
    </row>
    <row r="52" spans="1:22" ht="16.8" x14ac:dyDescent="0.3">
      <c r="A52" s="20">
        <v>5.0999999999999996</v>
      </c>
      <c r="B52" s="20">
        <v>68</v>
      </c>
      <c r="C52" s="26">
        <v>50.86</v>
      </c>
      <c r="D52" s="20">
        <v>17.14</v>
      </c>
      <c r="E52" s="20">
        <v>-0.44</v>
      </c>
      <c r="F52" s="20">
        <v>3234.61</v>
      </c>
      <c r="Q52" s="32">
        <v>5.0999999999999996</v>
      </c>
      <c r="R52" s="32">
        <v>61.06</v>
      </c>
      <c r="S52" s="34">
        <v>68</v>
      </c>
      <c r="T52" s="34">
        <v>6.94</v>
      </c>
      <c r="U52" s="34">
        <v>-0.28999999999999998</v>
      </c>
      <c r="V52" s="34">
        <v>2294.1799999999998</v>
      </c>
    </row>
    <row r="53" spans="1:22" ht="16.8" x14ac:dyDescent="0.3">
      <c r="A53" s="20">
        <v>5.2</v>
      </c>
      <c r="B53" s="20">
        <v>68</v>
      </c>
      <c r="C53" s="20">
        <v>51.28</v>
      </c>
      <c r="D53" s="20">
        <v>16.72</v>
      </c>
      <c r="E53" s="20">
        <v>-0.42</v>
      </c>
      <c r="F53" s="26">
        <v>3227.83</v>
      </c>
      <c r="Q53" s="32">
        <v>5.2</v>
      </c>
      <c r="R53" s="32">
        <v>61.35</v>
      </c>
      <c r="S53" s="34">
        <v>68</v>
      </c>
      <c r="T53" s="34">
        <v>6.65</v>
      </c>
      <c r="U53" s="34">
        <v>-0.28000000000000003</v>
      </c>
      <c r="V53" s="32">
        <v>2269.25</v>
      </c>
    </row>
    <row r="54" spans="1:22" ht="16.8" x14ac:dyDescent="0.3">
      <c r="A54" s="20">
        <v>5.3</v>
      </c>
      <c r="B54" s="20">
        <v>68</v>
      </c>
      <c r="C54" s="26">
        <v>51.68</v>
      </c>
      <c r="D54" s="20">
        <v>16.32</v>
      </c>
      <c r="E54" s="20">
        <v>-0.4</v>
      </c>
      <c r="F54" s="26">
        <v>3217.17</v>
      </c>
      <c r="Q54" s="32">
        <v>5.3</v>
      </c>
      <c r="R54" s="32">
        <v>61.72</v>
      </c>
      <c r="S54" s="34">
        <v>68</v>
      </c>
      <c r="T54" s="34">
        <v>6.28</v>
      </c>
      <c r="U54" s="34">
        <v>-0.37</v>
      </c>
      <c r="V54" s="34">
        <v>2155.56</v>
      </c>
    </row>
    <row r="55" spans="1:22" ht="16.8" x14ac:dyDescent="0.3">
      <c r="A55" s="20">
        <v>5.4</v>
      </c>
      <c r="B55" s="20">
        <v>68</v>
      </c>
      <c r="C55" s="26">
        <v>52.15</v>
      </c>
      <c r="D55" s="20">
        <v>15.85</v>
      </c>
      <c r="E55" s="20">
        <v>-0.47</v>
      </c>
      <c r="F55" s="20">
        <v>3247.32</v>
      </c>
      <c r="Q55" s="32">
        <v>5.4</v>
      </c>
      <c r="R55" s="32">
        <v>61.95</v>
      </c>
      <c r="S55" s="34">
        <v>68</v>
      </c>
      <c r="T55" s="34">
        <v>6.05</v>
      </c>
      <c r="U55" s="34">
        <v>-0.23</v>
      </c>
      <c r="V55" s="32">
        <v>2234.7199999999998</v>
      </c>
    </row>
    <row r="56" spans="1:22" ht="16.8" x14ac:dyDescent="0.3">
      <c r="A56" s="20">
        <v>5.5</v>
      </c>
      <c r="B56" s="20">
        <v>68</v>
      </c>
      <c r="C56" s="20">
        <v>52.57</v>
      </c>
      <c r="D56" s="20">
        <v>15.43</v>
      </c>
      <c r="E56" s="20">
        <v>-0.42</v>
      </c>
      <c r="F56" s="26">
        <v>3224.38</v>
      </c>
      <c r="Q56" s="32">
        <v>5.5</v>
      </c>
      <c r="R56" s="32">
        <v>62.23</v>
      </c>
      <c r="S56" s="34">
        <v>68</v>
      </c>
      <c r="T56" s="34">
        <v>5.77</v>
      </c>
      <c r="U56" s="34">
        <v>-0.28000000000000003</v>
      </c>
      <c r="V56" s="34">
        <v>2165.02</v>
      </c>
    </row>
    <row r="57" spans="1:22" ht="16.8" x14ac:dyDescent="0.3">
      <c r="A57" s="20">
        <v>5.6</v>
      </c>
      <c r="B57" s="20">
        <v>68</v>
      </c>
      <c r="C57" s="26">
        <v>53.05</v>
      </c>
      <c r="D57" s="20">
        <v>14.95</v>
      </c>
      <c r="E57" s="20">
        <v>-0.48</v>
      </c>
      <c r="F57" s="26">
        <v>3248.83</v>
      </c>
      <c r="Q57" s="32">
        <v>5.6</v>
      </c>
      <c r="R57" s="32">
        <v>62.5</v>
      </c>
      <c r="S57" s="34">
        <v>68</v>
      </c>
      <c r="T57" s="34">
        <v>5.5</v>
      </c>
      <c r="U57" s="34">
        <v>-0.27</v>
      </c>
      <c r="V57" s="32">
        <v>2146.1</v>
      </c>
    </row>
    <row r="58" spans="1:22" ht="16.8" x14ac:dyDescent="0.3">
      <c r="A58" s="20">
        <v>5.7</v>
      </c>
      <c r="B58" s="20">
        <v>68</v>
      </c>
      <c r="C58" s="20">
        <v>53.42</v>
      </c>
      <c r="D58" s="20">
        <v>14.58</v>
      </c>
      <c r="E58" s="20">
        <v>-0.37</v>
      </c>
      <c r="F58" s="20">
        <v>3205.38</v>
      </c>
      <c r="Q58" s="32">
        <v>5.7</v>
      </c>
      <c r="R58" s="32">
        <v>62.75</v>
      </c>
      <c r="S58" s="34">
        <v>68</v>
      </c>
      <c r="T58" s="34">
        <v>5.25</v>
      </c>
      <c r="U58" s="34">
        <v>-0.25</v>
      </c>
      <c r="V58" s="32">
        <v>2129.27</v>
      </c>
    </row>
    <row r="59" spans="1:22" ht="16.8" x14ac:dyDescent="0.3">
      <c r="A59" s="20">
        <v>5.8</v>
      </c>
      <c r="B59" s="20">
        <v>68</v>
      </c>
      <c r="C59" s="26">
        <v>53.89</v>
      </c>
      <c r="D59" s="20">
        <v>14.11</v>
      </c>
      <c r="E59" s="20">
        <v>-0.47</v>
      </c>
      <c r="F59" s="26">
        <v>3222.53</v>
      </c>
      <c r="Q59" s="32">
        <v>5.8</v>
      </c>
      <c r="R59" s="32">
        <v>63.01</v>
      </c>
      <c r="S59" s="34">
        <v>68</v>
      </c>
      <c r="T59" s="32">
        <v>4.99</v>
      </c>
      <c r="U59" s="32">
        <v>-0.26</v>
      </c>
      <c r="V59" s="34">
        <v>2092.1999999999998</v>
      </c>
    </row>
    <row r="60" spans="1:22" ht="16.8" x14ac:dyDescent="0.3">
      <c r="A60" s="20">
        <v>5.9</v>
      </c>
      <c r="B60" s="20">
        <v>68</v>
      </c>
      <c r="C60" s="26">
        <v>54.27</v>
      </c>
      <c r="D60" s="20">
        <v>13.73</v>
      </c>
      <c r="E60" s="20">
        <v>-0.38</v>
      </c>
      <c r="F60" s="26">
        <v>3209.58</v>
      </c>
      <c r="Q60" s="32">
        <v>5.9</v>
      </c>
      <c r="R60" s="32">
        <v>63.21</v>
      </c>
      <c r="S60" s="34">
        <v>68</v>
      </c>
      <c r="T60" s="34">
        <v>4.79</v>
      </c>
      <c r="U60" s="34">
        <v>-0.2</v>
      </c>
      <c r="V60" s="32">
        <v>2112.79</v>
      </c>
    </row>
    <row r="61" spans="1:22" ht="16.8" x14ac:dyDescent="0.3">
      <c r="A61" s="20">
        <v>6</v>
      </c>
      <c r="B61" s="20">
        <v>68</v>
      </c>
      <c r="C61" s="20">
        <v>54.61</v>
      </c>
      <c r="D61" s="20">
        <v>13.39</v>
      </c>
      <c r="E61" s="20">
        <v>-0.34</v>
      </c>
      <c r="F61" s="20">
        <v>3147.92</v>
      </c>
      <c r="Q61" s="32">
        <v>6</v>
      </c>
      <c r="R61" s="32">
        <v>63.42</v>
      </c>
      <c r="S61" s="34">
        <v>68</v>
      </c>
      <c r="T61" s="32">
        <v>4.58</v>
      </c>
      <c r="U61" s="32">
        <v>-0.22</v>
      </c>
      <c r="V61" s="34">
        <v>2075.34</v>
      </c>
    </row>
    <row r="62" spans="1:22" ht="16.8" x14ac:dyDescent="0.3">
      <c r="A62" s="20">
        <v>6.1</v>
      </c>
      <c r="B62" s="20">
        <v>68</v>
      </c>
      <c r="C62" s="26">
        <v>55.09</v>
      </c>
      <c r="D62" s="20">
        <v>12.91</v>
      </c>
      <c r="E62" s="20">
        <v>-0.48</v>
      </c>
      <c r="F62" s="26">
        <v>3248.83</v>
      </c>
      <c r="Q62" s="32">
        <v>6.1</v>
      </c>
      <c r="R62" s="32">
        <v>63.67</v>
      </c>
      <c r="S62" s="34">
        <v>68</v>
      </c>
      <c r="T62" s="34">
        <v>4.33</v>
      </c>
      <c r="U62" s="34">
        <v>-0.25</v>
      </c>
      <c r="V62" s="32">
        <v>2019.73</v>
      </c>
    </row>
    <row r="63" spans="1:22" ht="16.8" x14ac:dyDescent="0.3">
      <c r="A63" s="20">
        <v>6.2</v>
      </c>
      <c r="B63" s="20">
        <v>68</v>
      </c>
      <c r="C63" s="20">
        <v>55.48</v>
      </c>
      <c r="D63" s="20">
        <v>12.52</v>
      </c>
      <c r="E63" s="20">
        <v>-0.39</v>
      </c>
      <c r="F63" s="20">
        <v>3213.43</v>
      </c>
      <c r="Q63" s="32">
        <v>6.2</v>
      </c>
      <c r="R63" s="32">
        <v>63.92</v>
      </c>
      <c r="S63" s="34">
        <v>68</v>
      </c>
      <c r="T63" s="34">
        <v>4.08</v>
      </c>
      <c r="U63" s="34">
        <v>-0.25</v>
      </c>
      <c r="V63" s="34">
        <v>1987.89</v>
      </c>
    </row>
    <row r="64" spans="1:22" ht="16.8" x14ac:dyDescent="0.3">
      <c r="A64" s="20">
        <v>6.3</v>
      </c>
      <c r="B64" s="20">
        <v>68</v>
      </c>
      <c r="C64" s="26">
        <v>55.9</v>
      </c>
      <c r="D64" s="20">
        <v>12.1</v>
      </c>
      <c r="E64" s="20">
        <v>-0.42</v>
      </c>
      <c r="F64" s="26">
        <v>3226.12</v>
      </c>
      <c r="Q64" s="32">
        <v>6.3</v>
      </c>
      <c r="R64" s="32">
        <v>64.05</v>
      </c>
      <c r="S64" s="34">
        <v>68</v>
      </c>
      <c r="T64" s="34">
        <v>3.95</v>
      </c>
      <c r="U64" s="34">
        <v>-0.13</v>
      </c>
      <c r="V64" s="32">
        <v>2067.2600000000002</v>
      </c>
    </row>
    <row r="65" spans="1:22" ht="16.8" x14ac:dyDescent="0.3">
      <c r="A65" s="20">
        <v>6.4</v>
      </c>
      <c r="B65" s="20">
        <v>68</v>
      </c>
      <c r="C65" s="26">
        <v>56.24</v>
      </c>
      <c r="D65" s="20">
        <v>11.76</v>
      </c>
      <c r="E65" s="20">
        <v>-0.34</v>
      </c>
      <c r="F65" s="26">
        <v>3147.92</v>
      </c>
      <c r="Q65" s="32">
        <v>6.4</v>
      </c>
      <c r="R65" s="32">
        <v>64.31</v>
      </c>
      <c r="S65" s="34">
        <v>68</v>
      </c>
      <c r="T65" s="34">
        <v>3.69</v>
      </c>
      <c r="U65" s="34">
        <v>-0.26</v>
      </c>
      <c r="V65" s="34">
        <v>1935.68</v>
      </c>
    </row>
    <row r="66" spans="1:22" ht="16.8" x14ac:dyDescent="0.3">
      <c r="A66" s="20">
        <v>6.5</v>
      </c>
      <c r="B66" s="20">
        <v>68</v>
      </c>
      <c r="C66" s="20">
        <v>56.65</v>
      </c>
      <c r="D66" s="20">
        <v>11.35</v>
      </c>
      <c r="E66" s="20">
        <v>-0.41</v>
      </c>
      <c r="F66" s="20">
        <v>3222.59</v>
      </c>
      <c r="Q66" s="32">
        <v>6.5</v>
      </c>
      <c r="R66" s="32">
        <v>64.540000000000006</v>
      </c>
      <c r="S66" s="34">
        <v>68</v>
      </c>
      <c r="T66" s="32">
        <v>3.46</v>
      </c>
      <c r="U66" s="34">
        <v>-0.23</v>
      </c>
      <c r="V66" s="32">
        <v>1930.76</v>
      </c>
    </row>
    <row r="67" spans="1:22" ht="16.8" x14ac:dyDescent="0.3">
      <c r="A67" s="20">
        <v>6.6</v>
      </c>
      <c r="B67" s="20">
        <v>68</v>
      </c>
      <c r="C67" s="26">
        <v>57.02</v>
      </c>
      <c r="D67" s="20">
        <v>10.98</v>
      </c>
      <c r="E67" s="20">
        <v>-0.37</v>
      </c>
      <c r="F67" s="26">
        <v>3198.98</v>
      </c>
      <c r="Q67" s="32">
        <v>6.6</v>
      </c>
      <c r="R67" s="32">
        <v>64.66</v>
      </c>
      <c r="S67" s="34">
        <v>68</v>
      </c>
      <c r="T67" s="34">
        <v>3.34</v>
      </c>
      <c r="U67" s="34">
        <v>-0.12</v>
      </c>
      <c r="V67" s="34">
        <v>1997.85</v>
      </c>
    </row>
    <row r="68" spans="1:22" ht="16.8" x14ac:dyDescent="0.3">
      <c r="A68" s="20">
        <v>6.7</v>
      </c>
      <c r="B68" s="20">
        <v>68</v>
      </c>
      <c r="C68" s="26">
        <v>57.36</v>
      </c>
      <c r="D68" s="20">
        <v>10.64</v>
      </c>
      <c r="E68" s="20">
        <v>-0.35</v>
      </c>
      <c r="F68" s="26">
        <v>3160.74</v>
      </c>
      <c r="Q68" s="32">
        <v>6.7</v>
      </c>
      <c r="R68" s="32">
        <v>64.84</v>
      </c>
      <c r="S68" s="34">
        <v>68</v>
      </c>
      <c r="T68" s="32">
        <v>3.16</v>
      </c>
      <c r="U68" s="34">
        <v>-0.19</v>
      </c>
      <c r="V68" s="32">
        <v>1925.81</v>
      </c>
    </row>
    <row r="69" spans="1:22" ht="16.8" x14ac:dyDescent="0.3">
      <c r="A69" s="20">
        <v>6.8</v>
      </c>
      <c r="B69" s="20">
        <v>68</v>
      </c>
      <c r="C69" s="20">
        <v>57.72</v>
      </c>
      <c r="D69" s="20">
        <v>10.28</v>
      </c>
      <c r="E69" s="20">
        <v>-0.36</v>
      </c>
      <c r="F69" s="20">
        <v>3179.84</v>
      </c>
      <c r="Q69" s="20">
        <v>6.8</v>
      </c>
      <c r="R69" s="20">
        <v>64.98</v>
      </c>
      <c r="S69" s="26">
        <v>68</v>
      </c>
      <c r="T69" s="26">
        <v>3.02</v>
      </c>
      <c r="U69" s="26">
        <v>-0.14000000000000001</v>
      </c>
      <c r="V69" s="26">
        <v>1946.78</v>
      </c>
    </row>
    <row r="70" spans="1:22" ht="16.8" x14ac:dyDescent="0.3">
      <c r="A70" s="20">
        <v>6.9</v>
      </c>
      <c r="B70" s="20">
        <v>68</v>
      </c>
      <c r="C70" s="26">
        <v>58.15</v>
      </c>
      <c r="D70" s="20">
        <v>9.85</v>
      </c>
      <c r="E70" s="20">
        <v>-0.42</v>
      </c>
      <c r="F70" s="26">
        <v>3227.85</v>
      </c>
      <c r="Q70" s="20">
        <v>6.9</v>
      </c>
      <c r="R70" s="20">
        <v>65.22</v>
      </c>
      <c r="S70" s="26">
        <v>68</v>
      </c>
      <c r="T70" s="26">
        <v>2.78</v>
      </c>
      <c r="U70" s="26">
        <v>-0.24</v>
      </c>
      <c r="V70" s="20">
        <v>1833.97</v>
      </c>
    </row>
    <row r="71" spans="1:22" ht="16.8" x14ac:dyDescent="0.3">
      <c r="A71" s="20">
        <v>7</v>
      </c>
      <c r="B71" s="20">
        <v>68</v>
      </c>
      <c r="C71" s="26">
        <v>58.49</v>
      </c>
      <c r="D71" s="20">
        <v>9.51</v>
      </c>
      <c r="E71" s="20">
        <v>-0.35</v>
      </c>
      <c r="F71" s="26">
        <v>3160.7</v>
      </c>
      <c r="Q71" s="20">
        <v>7</v>
      </c>
      <c r="R71" s="20">
        <v>65.34</v>
      </c>
      <c r="S71" s="26">
        <v>68</v>
      </c>
      <c r="T71" s="26">
        <v>2.66</v>
      </c>
      <c r="U71" s="26">
        <v>-0.12</v>
      </c>
      <c r="V71" s="20">
        <v>1911.6</v>
      </c>
    </row>
    <row r="72" spans="1:22" ht="16.8" x14ac:dyDescent="0.3">
      <c r="A72" s="20">
        <v>7.1</v>
      </c>
      <c r="B72" s="20">
        <v>68</v>
      </c>
      <c r="C72" s="20">
        <v>58.9</v>
      </c>
      <c r="D72" s="20">
        <v>9.1</v>
      </c>
      <c r="E72" s="20">
        <v>-0.41</v>
      </c>
      <c r="F72" s="20">
        <v>3220.8</v>
      </c>
      <c r="Q72" s="20">
        <v>7.1</v>
      </c>
      <c r="R72" s="20">
        <v>65.459999999999994</v>
      </c>
      <c r="S72" s="26">
        <v>68</v>
      </c>
      <c r="T72" s="26">
        <v>2.54</v>
      </c>
      <c r="U72" s="26">
        <v>-0.12</v>
      </c>
      <c r="V72" s="26">
        <v>1897.54</v>
      </c>
    </row>
    <row r="73" spans="1:22" ht="16.8" x14ac:dyDescent="0.3">
      <c r="A73" s="20">
        <v>7.2</v>
      </c>
      <c r="B73" s="20">
        <v>68</v>
      </c>
      <c r="C73" s="26">
        <v>59.19</v>
      </c>
      <c r="D73" s="20">
        <v>8.81</v>
      </c>
      <c r="E73" s="20">
        <v>-0.28999999999999998</v>
      </c>
      <c r="F73" s="26">
        <v>3068.58</v>
      </c>
      <c r="Q73" s="20">
        <v>7.2</v>
      </c>
      <c r="R73" s="20">
        <v>65.599999999999994</v>
      </c>
      <c r="S73" s="26">
        <v>68</v>
      </c>
      <c r="T73" s="26">
        <v>2.4</v>
      </c>
      <c r="U73" s="26">
        <v>-0.14000000000000001</v>
      </c>
      <c r="V73" s="20">
        <v>1868.3</v>
      </c>
    </row>
    <row r="74" spans="1:22" ht="16.8" x14ac:dyDescent="0.3">
      <c r="A74" s="20">
        <v>7.3</v>
      </c>
      <c r="B74" s="20">
        <v>68</v>
      </c>
      <c r="C74" s="20">
        <v>59.58</v>
      </c>
      <c r="D74" s="20">
        <v>8.42</v>
      </c>
      <c r="E74" s="20">
        <v>-0.39</v>
      </c>
      <c r="F74" s="20">
        <v>3215.28</v>
      </c>
      <c r="Q74" s="20">
        <v>7.3</v>
      </c>
      <c r="R74" s="20">
        <v>65.790000000000006</v>
      </c>
      <c r="S74" s="26">
        <v>68</v>
      </c>
      <c r="T74" s="26">
        <v>2.21</v>
      </c>
      <c r="U74" s="26">
        <v>-0.19</v>
      </c>
      <c r="V74" s="26">
        <v>1806.17</v>
      </c>
    </row>
    <row r="75" spans="1:22" ht="16.8" x14ac:dyDescent="0.3">
      <c r="A75" s="20">
        <v>7.4</v>
      </c>
      <c r="B75" s="20">
        <v>68</v>
      </c>
      <c r="C75" s="26">
        <v>59.96</v>
      </c>
      <c r="D75" s="20">
        <v>8.0399999999999991</v>
      </c>
      <c r="E75" s="20">
        <v>-0.37</v>
      </c>
      <c r="F75" s="26">
        <v>3199.01</v>
      </c>
      <c r="Q75" s="20">
        <v>7.4</v>
      </c>
      <c r="R75" s="20">
        <v>65.87</v>
      </c>
      <c r="S75" s="26">
        <v>68</v>
      </c>
      <c r="T75" s="20">
        <v>2.13</v>
      </c>
      <c r="U75" s="26">
        <v>-0.09</v>
      </c>
      <c r="V75" s="20">
        <v>1869.61</v>
      </c>
    </row>
    <row r="76" spans="1:22" ht="16.8" x14ac:dyDescent="0.3">
      <c r="A76" s="20">
        <v>7.5</v>
      </c>
      <c r="B76" s="20">
        <v>68</v>
      </c>
      <c r="C76" s="26">
        <v>60.29</v>
      </c>
      <c r="D76" s="20">
        <v>7.71</v>
      </c>
      <c r="E76" s="20">
        <v>-0.33</v>
      </c>
      <c r="F76" s="26">
        <v>3135.13</v>
      </c>
      <c r="Q76" s="20">
        <v>7.5</v>
      </c>
      <c r="R76" s="20">
        <v>65.989999999999995</v>
      </c>
      <c r="S76" s="26">
        <v>68</v>
      </c>
      <c r="T76" s="26">
        <v>2.0099999999999998</v>
      </c>
      <c r="U76" s="26">
        <v>-0.11</v>
      </c>
      <c r="V76" s="26">
        <v>1837.38</v>
      </c>
    </row>
    <row r="77" spans="1:22" ht="16.8" x14ac:dyDescent="0.3">
      <c r="A77" s="20">
        <v>7.6</v>
      </c>
      <c r="B77" s="20">
        <v>68</v>
      </c>
      <c r="C77" s="20">
        <v>60.64</v>
      </c>
      <c r="D77" s="20">
        <v>7.36</v>
      </c>
      <c r="E77" s="20">
        <v>-0.36</v>
      </c>
      <c r="F77" s="20">
        <v>3179.88</v>
      </c>
      <c r="Q77" s="20">
        <v>7.6</v>
      </c>
      <c r="R77" s="20">
        <v>66.12</v>
      </c>
      <c r="S77" s="26">
        <v>68</v>
      </c>
      <c r="T77" s="26">
        <v>1.88</v>
      </c>
      <c r="U77" s="26">
        <v>-0.14000000000000001</v>
      </c>
      <c r="V77" s="20">
        <v>1800.78</v>
      </c>
    </row>
    <row r="78" spans="1:22" ht="16.8" x14ac:dyDescent="0.3">
      <c r="A78" s="20">
        <v>7.7</v>
      </c>
      <c r="B78" s="20">
        <v>68</v>
      </c>
      <c r="C78" s="26">
        <v>60.98</v>
      </c>
      <c r="D78" s="20">
        <v>7.02</v>
      </c>
      <c r="E78" s="20">
        <v>-0.33</v>
      </c>
      <c r="F78" s="26">
        <v>3135.11</v>
      </c>
      <c r="Q78" s="20">
        <v>7.7</v>
      </c>
      <c r="R78" s="20">
        <v>66.209999999999994</v>
      </c>
      <c r="S78" s="26">
        <v>68</v>
      </c>
      <c r="T78" s="26">
        <v>1.79</v>
      </c>
      <c r="U78" s="26">
        <v>-0.08</v>
      </c>
      <c r="V78" s="26">
        <v>1834.3</v>
      </c>
    </row>
    <row r="79" spans="1:22" ht="16.8" x14ac:dyDescent="0.3">
      <c r="A79" s="20">
        <v>7.8</v>
      </c>
      <c r="B79" s="20">
        <v>68</v>
      </c>
      <c r="C79" s="20">
        <v>61.27</v>
      </c>
      <c r="D79" s="20">
        <v>6.73</v>
      </c>
      <c r="E79" s="20">
        <v>-0.28999999999999998</v>
      </c>
      <c r="F79" s="26">
        <v>3075.49</v>
      </c>
      <c r="Q79" s="20">
        <v>7.8</v>
      </c>
      <c r="R79" s="20">
        <v>66.33</v>
      </c>
      <c r="S79" s="26">
        <v>68</v>
      </c>
      <c r="T79" s="20">
        <v>1.67</v>
      </c>
      <c r="U79" s="26">
        <v>-0.13</v>
      </c>
      <c r="V79" s="20">
        <v>1780.26</v>
      </c>
    </row>
    <row r="80" spans="1:22" ht="16.8" x14ac:dyDescent="0.3">
      <c r="A80" s="20">
        <v>7.9</v>
      </c>
      <c r="B80" s="20">
        <v>68</v>
      </c>
      <c r="C80" s="26">
        <v>61.6</v>
      </c>
      <c r="D80" s="20">
        <v>6.4</v>
      </c>
      <c r="E80" s="20">
        <v>-0.33</v>
      </c>
      <c r="F80" s="20">
        <v>3141.53</v>
      </c>
      <c r="Q80" s="20">
        <v>7.9</v>
      </c>
      <c r="R80" s="20">
        <v>66.489999999999995</v>
      </c>
      <c r="S80" s="26">
        <v>68</v>
      </c>
      <c r="T80" s="26">
        <v>1.51</v>
      </c>
      <c r="U80" s="26">
        <v>-0.15</v>
      </c>
      <c r="V80" s="26">
        <v>1740.11</v>
      </c>
    </row>
    <row r="81" spans="1:22" ht="16.8" x14ac:dyDescent="0.3">
      <c r="A81" s="20">
        <v>8</v>
      </c>
      <c r="B81" s="20">
        <v>68</v>
      </c>
      <c r="C81" s="26">
        <v>61.97</v>
      </c>
      <c r="D81" s="20">
        <v>6.03</v>
      </c>
      <c r="E81" s="20">
        <v>-0.37</v>
      </c>
      <c r="F81" s="26">
        <v>3199.01</v>
      </c>
      <c r="Q81" s="20">
        <v>8</v>
      </c>
      <c r="R81" s="20">
        <v>66.58</v>
      </c>
      <c r="S81" s="26">
        <v>68</v>
      </c>
      <c r="T81" s="20">
        <v>1.42</v>
      </c>
      <c r="U81" s="26">
        <v>-0.1</v>
      </c>
      <c r="V81" s="20">
        <v>1770.05</v>
      </c>
    </row>
    <row r="82" spans="1:22" ht="16.8" x14ac:dyDescent="0.3">
      <c r="A82" s="20">
        <v>8.1</v>
      </c>
      <c r="B82" s="20">
        <v>68</v>
      </c>
      <c r="C82" s="20">
        <v>62.26</v>
      </c>
      <c r="D82" s="20">
        <v>5.74</v>
      </c>
      <c r="E82" s="20">
        <v>-0.28999999999999998</v>
      </c>
      <c r="F82" s="20">
        <v>3061.74</v>
      </c>
      <c r="Q82" s="20">
        <v>8.1</v>
      </c>
      <c r="R82" s="20">
        <v>66.650000000000006</v>
      </c>
      <c r="S82" s="26">
        <v>68</v>
      </c>
      <c r="T82" s="26">
        <v>1.35</v>
      </c>
      <c r="U82" s="26">
        <v>-0.06</v>
      </c>
      <c r="V82" s="26">
        <v>1786.91</v>
      </c>
    </row>
    <row r="83" spans="1:22" ht="16.8" x14ac:dyDescent="0.3">
      <c r="A83" s="20">
        <v>8.1999999999999993</v>
      </c>
      <c r="B83" s="20">
        <v>68</v>
      </c>
      <c r="C83" s="26">
        <v>62.55</v>
      </c>
      <c r="D83" s="20">
        <v>5.45</v>
      </c>
      <c r="E83" s="20">
        <v>-0.28999999999999998</v>
      </c>
      <c r="F83" s="26">
        <v>3061.71</v>
      </c>
      <c r="Q83" s="20">
        <v>8.1999999999999993</v>
      </c>
      <c r="R83" s="20">
        <v>66.78</v>
      </c>
      <c r="S83" s="26">
        <v>68</v>
      </c>
      <c r="T83" s="20">
        <v>1.22</v>
      </c>
      <c r="U83" s="26">
        <v>-0.13</v>
      </c>
      <c r="V83" s="20">
        <v>1719.64</v>
      </c>
    </row>
    <row r="84" spans="1:22" ht="16.8" x14ac:dyDescent="0.3">
      <c r="A84" s="20">
        <v>8.3000000000000007</v>
      </c>
      <c r="B84" s="20">
        <v>68</v>
      </c>
      <c r="C84" s="26">
        <v>62.86</v>
      </c>
      <c r="D84" s="20">
        <v>5.14</v>
      </c>
      <c r="E84" s="20">
        <v>-0.31</v>
      </c>
      <c r="F84" s="26">
        <v>3109.46</v>
      </c>
      <c r="Q84" s="20">
        <v>8.3000000000000007</v>
      </c>
      <c r="R84" s="20">
        <v>66.81</v>
      </c>
      <c r="S84" s="26">
        <v>68</v>
      </c>
      <c r="T84" s="26">
        <v>1.19</v>
      </c>
      <c r="U84" s="26">
        <v>-0.03</v>
      </c>
      <c r="V84" s="20">
        <v>1790.22</v>
      </c>
    </row>
    <row r="85" spans="1:22" ht="16.8" x14ac:dyDescent="0.3">
      <c r="A85" s="20">
        <v>8.4</v>
      </c>
      <c r="B85" s="20">
        <v>68</v>
      </c>
      <c r="C85" s="20">
        <v>63.21</v>
      </c>
      <c r="D85" s="20">
        <v>4.79</v>
      </c>
      <c r="E85" s="20">
        <v>-0.35</v>
      </c>
      <c r="F85" s="20">
        <v>3167.11</v>
      </c>
      <c r="Q85" s="20">
        <v>8.4</v>
      </c>
      <c r="R85" s="20">
        <v>66.95</v>
      </c>
      <c r="S85" s="26">
        <v>68</v>
      </c>
      <c r="T85" s="26">
        <v>1.05</v>
      </c>
      <c r="U85" s="26">
        <v>-0.15</v>
      </c>
      <c r="V85" s="26">
        <v>1683.28</v>
      </c>
    </row>
    <row r="86" spans="1:22" ht="16.8" x14ac:dyDescent="0.3">
      <c r="A86" s="20">
        <v>8.5</v>
      </c>
      <c r="B86" s="20">
        <v>68</v>
      </c>
      <c r="C86" s="26">
        <v>63.55</v>
      </c>
      <c r="D86" s="20">
        <v>4.45</v>
      </c>
      <c r="E86" s="20">
        <v>-0.33</v>
      </c>
      <c r="F86" s="26">
        <v>3141.53</v>
      </c>
      <c r="Q86" s="20">
        <v>8.5</v>
      </c>
      <c r="R86" s="20">
        <v>67.010000000000005</v>
      </c>
      <c r="S86" s="26">
        <v>68</v>
      </c>
      <c r="T86" s="26">
        <v>0.99</v>
      </c>
      <c r="U86" s="26">
        <v>-0.06</v>
      </c>
      <c r="V86" s="20">
        <v>1743.27</v>
      </c>
    </row>
    <row r="87" spans="1:22" ht="16.8" x14ac:dyDescent="0.3">
      <c r="A87" s="20">
        <v>8.6</v>
      </c>
      <c r="B87" s="20">
        <v>68</v>
      </c>
      <c r="C87" s="20">
        <v>63.8</v>
      </c>
      <c r="D87" s="20">
        <v>4.2</v>
      </c>
      <c r="E87" s="20">
        <v>-0.26</v>
      </c>
      <c r="F87" s="26">
        <v>3014.33</v>
      </c>
      <c r="Q87" s="20">
        <v>8.6</v>
      </c>
      <c r="R87" s="20">
        <v>67.12</v>
      </c>
      <c r="S87" s="26">
        <v>68</v>
      </c>
      <c r="T87" s="26">
        <v>0.88</v>
      </c>
      <c r="U87" s="26">
        <v>-0.1</v>
      </c>
      <c r="V87" s="26">
        <v>1691.37</v>
      </c>
    </row>
    <row r="88" spans="1:22" ht="16.8" x14ac:dyDescent="0.3">
      <c r="A88" s="20">
        <v>8.6999999999999993</v>
      </c>
      <c r="B88" s="20">
        <v>68</v>
      </c>
      <c r="C88" s="26">
        <v>64.14</v>
      </c>
      <c r="D88" s="20">
        <v>3.86</v>
      </c>
      <c r="E88" s="20">
        <v>-0.33</v>
      </c>
      <c r="F88" s="20">
        <v>3141.56</v>
      </c>
      <c r="Q88" s="20">
        <v>8.6999999999999993</v>
      </c>
      <c r="R88" s="20">
        <v>67.16</v>
      </c>
      <c r="S88" s="26">
        <v>68</v>
      </c>
      <c r="T88" s="26">
        <v>0.84</v>
      </c>
      <c r="U88" s="26">
        <v>-0.04</v>
      </c>
      <c r="V88" s="20">
        <v>1735.44</v>
      </c>
    </row>
    <row r="89" spans="1:22" ht="16.8" x14ac:dyDescent="0.3">
      <c r="A89" s="20">
        <v>8.8000000000000007</v>
      </c>
      <c r="B89" s="20">
        <v>68</v>
      </c>
      <c r="C89" s="26">
        <v>64.400000000000006</v>
      </c>
      <c r="D89" s="20">
        <v>3.6</v>
      </c>
      <c r="E89" s="20">
        <v>-0.26</v>
      </c>
      <c r="F89" s="26">
        <v>3014.33</v>
      </c>
      <c r="Q89" s="20">
        <v>8.8000000000000007</v>
      </c>
      <c r="R89" s="20">
        <v>67.28</v>
      </c>
      <c r="S89" s="26">
        <v>68</v>
      </c>
      <c r="T89" s="26">
        <v>0.72</v>
      </c>
      <c r="U89" s="26">
        <v>-0.13</v>
      </c>
      <c r="V89" s="26">
        <v>1648.65</v>
      </c>
    </row>
    <row r="90" spans="1:22" ht="16.8" x14ac:dyDescent="0.3">
      <c r="A90" s="45">
        <v>8.9</v>
      </c>
      <c r="B90" s="20">
        <v>68</v>
      </c>
      <c r="C90" s="20">
        <v>64.709999999999994</v>
      </c>
      <c r="D90" s="20">
        <v>3.29</v>
      </c>
      <c r="E90" s="20">
        <v>-0.32</v>
      </c>
      <c r="F90" s="26">
        <v>3115.87</v>
      </c>
      <c r="Q90" s="20">
        <v>8.9</v>
      </c>
      <c r="R90" s="20">
        <v>67.33</v>
      </c>
      <c r="S90" s="26">
        <v>68</v>
      </c>
      <c r="T90" s="26">
        <v>0.67</v>
      </c>
      <c r="U90" s="26">
        <v>-0.05</v>
      </c>
      <c r="V90" s="20">
        <v>1703.13</v>
      </c>
    </row>
    <row r="91" spans="1:22" ht="16.8" x14ac:dyDescent="0.3">
      <c r="A91" s="20">
        <v>9</v>
      </c>
      <c r="B91" s="20">
        <v>68</v>
      </c>
      <c r="C91" s="26">
        <v>64.94</v>
      </c>
      <c r="D91" s="20">
        <v>3.06</v>
      </c>
      <c r="E91" s="20">
        <v>-0.23</v>
      </c>
      <c r="F91" s="20">
        <v>2961.29</v>
      </c>
      <c r="Q91" s="20">
        <v>9</v>
      </c>
      <c r="R91" s="20">
        <v>67.45</v>
      </c>
      <c r="S91" s="26">
        <v>68</v>
      </c>
      <c r="T91" s="26">
        <v>0.55000000000000004</v>
      </c>
      <c r="U91" s="26">
        <v>-0.12</v>
      </c>
      <c r="V91" s="26">
        <v>1629.47</v>
      </c>
    </row>
    <row r="92" spans="1:22" ht="16.8" x14ac:dyDescent="0.3">
      <c r="A92" s="20">
        <v>9.1</v>
      </c>
      <c r="B92" s="20">
        <v>68</v>
      </c>
      <c r="C92" s="26">
        <v>65.27</v>
      </c>
      <c r="D92" s="20">
        <v>2.73</v>
      </c>
      <c r="E92" s="20">
        <v>-0.33</v>
      </c>
      <c r="F92" s="26">
        <v>3135.13</v>
      </c>
      <c r="Q92" s="20">
        <v>9.1</v>
      </c>
      <c r="R92" s="20">
        <v>67.48</v>
      </c>
      <c r="S92" s="26">
        <v>68</v>
      </c>
      <c r="T92" s="26">
        <v>0.52</v>
      </c>
      <c r="U92" s="26">
        <v>-0.02</v>
      </c>
      <c r="V92" s="20">
        <v>1699.79</v>
      </c>
    </row>
    <row r="93" spans="1:22" ht="16.8" x14ac:dyDescent="0.3">
      <c r="A93" s="20">
        <v>9.1999999999999993</v>
      </c>
      <c r="B93" s="20">
        <v>68</v>
      </c>
      <c r="C93" s="20">
        <v>65.55</v>
      </c>
      <c r="D93" s="20">
        <v>2.4500000000000002</v>
      </c>
      <c r="E93" s="20">
        <v>-0.28000000000000003</v>
      </c>
      <c r="F93" s="20">
        <v>3048.05</v>
      </c>
      <c r="Q93" s="20">
        <v>9.1999999999999993</v>
      </c>
      <c r="R93" s="20">
        <v>67.52</v>
      </c>
      <c r="S93" s="26">
        <v>68</v>
      </c>
      <c r="T93" s="26">
        <v>0.48</v>
      </c>
      <c r="U93" s="20">
        <v>-0.04</v>
      </c>
      <c r="V93" s="26">
        <v>1682.05</v>
      </c>
    </row>
    <row r="94" spans="1:22" ht="16.8" x14ac:dyDescent="0.3">
      <c r="A94" s="20">
        <v>9.3000000000000007</v>
      </c>
      <c r="B94" s="20">
        <v>68</v>
      </c>
      <c r="C94" s="26">
        <v>65.83</v>
      </c>
      <c r="D94" s="20">
        <v>2.17</v>
      </c>
      <c r="E94" s="20">
        <v>-0.28000000000000003</v>
      </c>
      <c r="F94" s="26">
        <v>3048.05</v>
      </c>
      <c r="Q94" s="20">
        <v>9.3000000000000007</v>
      </c>
      <c r="R94" s="20">
        <v>67.63</v>
      </c>
      <c r="S94" s="26">
        <v>68</v>
      </c>
      <c r="T94" s="26">
        <v>0.37</v>
      </c>
      <c r="U94" s="26">
        <v>-0.11</v>
      </c>
      <c r="V94" s="20">
        <v>1609.33</v>
      </c>
    </row>
    <row r="95" spans="1:22" ht="16.8" x14ac:dyDescent="0.3">
      <c r="A95" s="20">
        <v>9.4</v>
      </c>
      <c r="B95" s="20">
        <v>68</v>
      </c>
      <c r="C95" s="20">
        <v>66.08</v>
      </c>
      <c r="D95" s="20">
        <v>1.92</v>
      </c>
      <c r="E95" s="20">
        <v>-0.25</v>
      </c>
      <c r="F95" s="26">
        <v>2976.56</v>
      </c>
      <c r="Q95" s="20">
        <v>9.4</v>
      </c>
      <c r="R95" s="20">
        <v>67.67</v>
      </c>
      <c r="S95" s="26">
        <v>68</v>
      </c>
      <c r="T95" s="26">
        <v>0.33</v>
      </c>
      <c r="U95" s="26">
        <v>-0.04</v>
      </c>
      <c r="V95" s="26">
        <v>1658.21</v>
      </c>
    </row>
    <row r="96" spans="1:22" ht="16.8" x14ac:dyDescent="0.3">
      <c r="A96" s="20">
        <v>9.5</v>
      </c>
      <c r="B96" s="20">
        <v>68</v>
      </c>
      <c r="C96" s="26">
        <v>66.34</v>
      </c>
      <c r="D96" s="20">
        <v>1.66</v>
      </c>
      <c r="E96" s="20">
        <v>-0.26</v>
      </c>
      <c r="F96" s="20">
        <v>2954.42</v>
      </c>
      <c r="Q96" s="20">
        <v>9.5</v>
      </c>
      <c r="R96" s="20">
        <v>67.7</v>
      </c>
      <c r="S96" s="26">
        <v>68</v>
      </c>
      <c r="T96" s="26">
        <v>0.3</v>
      </c>
      <c r="U96" s="26">
        <v>-0.02</v>
      </c>
      <c r="V96" s="20">
        <v>1667.1</v>
      </c>
    </row>
    <row r="97" spans="1:22" ht="16.8" x14ac:dyDescent="0.3">
      <c r="A97" s="20">
        <v>9.6</v>
      </c>
      <c r="B97" s="20">
        <v>68</v>
      </c>
      <c r="C97" s="26">
        <v>66.62</v>
      </c>
      <c r="D97" s="20">
        <v>1.38</v>
      </c>
      <c r="E97" s="20">
        <v>-0.28000000000000003</v>
      </c>
      <c r="F97" s="26">
        <v>2966.41</v>
      </c>
      <c r="Q97" s="20">
        <v>9.6</v>
      </c>
      <c r="R97" s="20">
        <v>67.78</v>
      </c>
      <c r="S97" s="26">
        <v>68</v>
      </c>
      <c r="T97" s="26">
        <v>0.22</v>
      </c>
      <c r="U97" s="26">
        <v>-0.09</v>
      </c>
      <c r="V97" s="26">
        <v>1604.11</v>
      </c>
    </row>
    <row r="98" spans="1:22" ht="16.8" x14ac:dyDescent="0.3">
      <c r="A98" s="20">
        <v>9.6999999999999993</v>
      </c>
      <c r="B98" s="20">
        <v>68</v>
      </c>
      <c r="C98" s="20">
        <v>66.819999999999993</v>
      </c>
      <c r="D98" s="20">
        <v>1.18</v>
      </c>
      <c r="E98" s="20">
        <v>-0.2</v>
      </c>
      <c r="F98" s="26">
        <v>2915.27</v>
      </c>
      <c r="Q98" s="20">
        <v>9.6999999999999993</v>
      </c>
      <c r="R98" s="20">
        <v>67.819999999999993</v>
      </c>
      <c r="S98" s="26">
        <v>68</v>
      </c>
      <c r="T98" s="26">
        <v>0.18</v>
      </c>
      <c r="U98" s="26">
        <v>-0.03</v>
      </c>
      <c r="V98" s="20">
        <v>1641.83</v>
      </c>
    </row>
    <row r="99" spans="1:22" ht="16.8" x14ac:dyDescent="0.3">
      <c r="A99" s="20">
        <v>9.8000000000000007</v>
      </c>
      <c r="B99" s="20">
        <v>68</v>
      </c>
      <c r="C99" s="26">
        <v>67.13</v>
      </c>
      <c r="D99" s="20">
        <v>0.87</v>
      </c>
      <c r="E99" s="20">
        <v>-0.31</v>
      </c>
      <c r="F99" s="20">
        <v>2991.05</v>
      </c>
      <c r="Q99" s="20">
        <v>9.8000000000000007</v>
      </c>
      <c r="R99" s="20">
        <v>67.83</v>
      </c>
      <c r="S99" s="26">
        <v>68</v>
      </c>
      <c r="T99" s="20">
        <v>0.17</v>
      </c>
      <c r="U99" s="26">
        <v>-0.02</v>
      </c>
      <c r="V99" s="26">
        <v>1651.73</v>
      </c>
    </row>
    <row r="100" spans="1:22" ht="16.8" x14ac:dyDescent="0.3">
      <c r="A100" s="20">
        <v>9.9</v>
      </c>
      <c r="B100" s="20">
        <v>68</v>
      </c>
      <c r="C100" s="20">
        <v>67.37</v>
      </c>
      <c r="D100" s="20">
        <v>0.63</v>
      </c>
      <c r="E100" s="20">
        <v>-0.25</v>
      </c>
      <c r="F100" s="26">
        <v>2728.73</v>
      </c>
      <c r="Q100" s="20">
        <v>9.9</v>
      </c>
      <c r="R100" s="20">
        <v>67.92</v>
      </c>
      <c r="S100" s="26">
        <v>68</v>
      </c>
      <c r="T100" s="26">
        <v>0.08</v>
      </c>
      <c r="U100" s="26">
        <v>-0.09</v>
      </c>
      <c r="V100" s="20">
        <v>1582.31</v>
      </c>
    </row>
    <row r="101" spans="1:22" ht="16.8" x14ac:dyDescent="0.3">
      <c r="A101" s="20">
        <v>10</v>
      </c>
      <c r="B101" s="20">
        <v>68</v>
      </c>
      <c r="C101" s="26">
        <v>67.55</v>
      </c>
      <c r="D101" s="20">
        <v>0.45</v>
      </c>
      <c r="E101" s="20">
        <v>-0.18</v>
      </c>
      <c r="F101" s="20">
        <v>2551.46</v>
      </c>
      <c r="Q101" s="20">
        <v>10</v>
      </c>
      <c r="R101" s="20">
        <v>67.95</v>
      </c>
      <c r="S101" s="26">
        <v>68</v>
      </c>
      <c r="T101" s="20">
        <v>0.05</v>
      </c>
      <c r="U101" s="26">
        <v>-0.02</v>
      </c>
      <c r="V101" s="26">
        <v>1627.16</v>
      </c>
    </row>
    <row r="102" spans="1:22" ht="16.8" x14ac:dyDescent="0.3">
      <c r="A102" s="20">
        <v>10.1</v>
      </c>
      <c r="B102" s="20">
        <v>68</v>
      </c>
      <c r="C102" s="26">
        <v>67.849999999999994</v>
      </c>
      <c r="D102" s="20">
        <v>0.15</v>
      </c>
      <c r="E102" s="20">
        <v>-0.28999999999999998</v>
      </c>
      <c r="F102" s="26">
        <v>2355.36</v>
      </c>
      <c r="Q102" s="20">
        <v>10.1</v>
      </c>
      <c r="R102" s="20">
        <v>67.94</v>
      </c>
      <c r="S102" s="26">
        <v>68</v>
      </c>
      <c r="T102" s="26">
        <v>0.06</v>
      </c>
      <c r="U102" s="26">
        <v>0.01</v>
      </c>
      <c r="V102" s="20">
        <v>1653.02</v>
      </c>
    </row>
    <row r="103" spans="1:22" ht="16.8" x14ac:dyDescent="0.3">
      <c r="A103" s="20">
        <v>10.199999999999999</v>
      </c>
      <c r="B103" s="20">
        <v>68</v>
      </c>
      <c r="C103" s="20">
        <v>68.09</v>
      </c>
      <c r="D103" s="20">
        <v>-0.09</v>
      </c>
      <c r="E103" s="20">
        <v>-0.24</v>
      </c>
      <c r="F103" s="26">
        <v>1978.64</v>
      </c>
      <c r="Q103" s="20">
        <v>10.199999999999999</v>
      </c>
      <c r="R103" s="20">
        <v>68.02</v>
      </c>
      <c r="S103" s="26">
        <v>68</v>
      </c>
      <c r="T103" s="20">
        <v>-0.02</v>
      </c>
      <c r="U103" s="26">
        <v>-0.08</v>
      </c>
      <c r="V103" s="20">
        <v>1572.54</v>
      </c>
    </row>
    <row r="104" spans="1:22" ht="16.8" x14ac:dyDescent="0.3">
      <c r="A104" s="20">
        <v>10.3</v>
      </c>
      <c r="B104" s="20">
        <v>68</v>
      </c>
      <c r="C104" s="26">
        <v>68.290000000000006</v>
      </c>
      <c r="D104" s="20">
        <v>-0.28999999999999998</v>
      </c>
      <c r="E104" s="20">
        <v>-0.21</v>
      </c>
      <c r="F104" s="20">
        <v>1788.22</v>
      </c>
      <c r="Q104" s="20">
        <v>10.3</v>
      </c>
      <c r="R104" s="20">
        <v>68.09</v>
      </c>
      <c r="S104" s="26">
        <v>68</v>
      </c>
      <c r="T104" s="26">
        <v>-0.09</v>
      </c>
      <c r="U104" s="20">
        <v>-7.0000000000000007E-2</v>
      </c>
      <c r="V104" s="26">
        <v>1566.32</v>
      </c>
    </row>
    <row r="105" spans="1:22" ht="16.8" x14ac:dyDescent="0.3">
      <c r="A105" s="20">
        <v>10.4</v>
      </c>
      <c r="B105" s="20">
        <v>68</v>
      </c>
      <c r="C105" s="20">
        <v>68.56</v>
      </c>
      <c r="D105" s="20">
        <v>-0.56000000000000005</v>
      </c>
      <c r="E105" s="20">
        <v>-0.27</v>
      </c>
      <c r="F105" s="26">
        <v>1665.6</v>
      </c>
      <c r="Q105" s="20">
        <v>10.4</v>
      </c>
      <c r="R105" s="20">
        <v>68.14</v>
      </c>
      <c r="S105" s="26">
        <v>68</v>
      </c>
      <c r="T105" s="26">
        <v>-0.14000000000000001</v>
      </c>
      <c r="U105" s="26">
        <v>-0.05</v>
      </c>
      <c r="V105" s="20">
        <v>1576.21</v>
      </c>
    </row>
    <row r="106" spans="1:22" ht="16.8" x14ac:dyDescent="0.3">
      <c r="A106" s="20">
        <v>10.5</v>
      </c>
      <c r="B106" s="20">
        <v>68</v>
      </c>
      <c r="C106" s="26">
        <v>68.760000000000005</v>
      </c>
      <c r="D106" s="20">
        <v>-0.76</v>
      </c>
      <c r="E106" s="20">
        <v>-0.2</v>
      </c>
      <c r="F106" s="26">
        <v>954.32</v>
      </c>
      <c r="Q106" s="20">
        <v>10.5</v>
      </c>
      <c r="R106" s="20">
        <v>68.13</v>
      </c>
      <c r="S106" s="26">
        <v>68</v>
      </c>
      <c r="T106" s="26">
        <v>-0.13</v>
      </c>
      <c r="U106" s="26">
        <v>0.01</v>
      </c>
      <c r="V106" s="26">
        <v>1619.89</v>
      </c>
    </row>
    <row r="107" spans="1:22" ht="16.8" x14ac:dyDescent="0.3">
      <c r="A107" s="20">
        <v>10.6</v>
      </c>
      <c r="B107" s="20">
        <v>68</v>
      </c>
      <c r="C107" s="26">
        <v>68.92</v>
      </c>
      <c r="D107" s="20">
        <v>-0.92</v>
      </c>
      <c r="E107" s="20">
        <v>-0.17</v>
      </c>
      <c r="F107" s="20">
        <v>389.88</v>
      </c>
      <c r="Q107" s="20">
        <v>10.6</v>
      </c>
      <c r="R107" s="20">
        <v>68.17</v>
      </c>
      <c r="S107" s="26">
        <v>68</v>
      </c>
      <c r="T107" s="26">
        <v>-0.17</v>
      </c>
      <c r="U107" s="26">
        <v>-0.04</v>
      </c>
      <c r="V107" s="20">
        <v>1576.21</v>
      </c>
    </row>
    <row r="108" spans="1:22" ht="16.8" x14ac:dyDescent="0.3">
      <c r="A108" s="20">
        <v>10.7</v>
      </c>
      <c r="B108" s="20">
        <v>68</v>
      </c>
      <c r="C108" s="20">
        <v>69.09</v>
      </c>
      <c r="D108" s="20">
        <v>-1.0900000000000001</v>
      </c>
      <c r="E108" s="20">
        <v>-0.17</v>
      </c>
      <c r="F108" s="26">
        <v>386.72</v>
      </c>
      <c r="Q108" s="20">
        <v>10.7</v>
      </c>
      <c r="R108" s="20">
        <v>68.19</v>
      </c>
      <c r="S108" s="26">
        <v>68</v>
      </c>
      <c r="T108" s="20">
        <v>-0.19</v>
      </c>
      <c r="U108" s="26">
        <v>-0.02</v>
      </c>
      <c r="V108" s="26">
        <v>1591.35</v>
      </c>
    </row>
    <row r="109" spans="1:22" ht="16.8" x14ac:dyDescent="0.3">
      <c r="A109" s="20">
        <v>10.8</v>
      </c>
      <c r="B109" s="20">
        <v>68</v>
      </c>
      <c r="C109" s="26">
        <v>69.2</v>
      </c>
      <c r="D109" s="20">
        <v>-1.2</v>
      </c>
      <c r="E109" s="20">
        <v>-0.11</v>
      </c>
      <c r="F109" s="20">
        <v>381.91</v>
      </c>
      <c r="Q109" s="20">
        <v>10.8</v>
      </c>
      <c r="R109" s="20">
        <v>68.23</v>
      </c>
      <c r="S109" s="26">
        <v>68</v>
      </c>
      <c r="T109" s="26">
        <v>-0.23</v>
      </c>
      <c r="U109" s="26">
        <v>-0.04</v>
      </c>
      <c r="V109" s="20">
        <v>1565.82</v>
      </c>
    </row>
    <row r="110" spans="1:22" ht="16.8" x14ac:dyDescent="0.3">
      <c r="A110" s="20">
        <v>10.9</v>
      </c>
      <c r="B110" s="20">
        <v>68</v>
      </c>
      <c r="C110" s="20">
        <v>69.260000000000005</v>
      </c>
      <c r="D110" s="20">
        <v>-1.26</v>
      </c>
      <c r="E110" s="20">
        <v>-0.05</v>
      </c>
      <c r="F110" s="26">
        <v>381.91</v>
      </c>
      <c r="Q110" s="20">
        <v>10.9</v>
      </c>
      <c r="R110" s="20">
        <v>68.239999999999995</v>
      </c>
      <c r="S110" s="26">
        <v>68</v>
      </c>
      <c r="T110" s="20">
        <v>-0.24</v>
      </c>
      <c r="U110" s="26">
        <v>-0.02</v>
      </c>
      <c r="V110" s="26">
        <v>1580.81</v>
      </c>
    </row>
    <row r="111" spans="1:22" ht="16.8" x14ac:dyDescent="0.3">
      <c r="A111" s="20">
        <v>11</v>
      </c>
      <c r="B111" s="20">
        <v>68</v>
      </c>
      <c r="C111" s="26">
        <v>69.290000000000006</v>
      </c>
      <c r="D111" s="20">
        <v>-1.29</v>
      </c>
      <c r="E111" s="20">
        <v>-0.04</v>
      </c>
      <c r="F111" s="26">
        <v>381.91</v>
      </c>
      <c r="Q111" s="20">
        <v>11</v>
      </c>
      <c r="R111" s="20">
        <v>68.319999999999993</v>
      </c>
      <c r="S111" s="26">
        <v>68</v>
      </c>
      <c r="T111" s="26">
        <v>-0.32</v>
      </c>
      <c r="U111" s="26">
        <v>-7.0000000000000007E-2</v>
      </c>
      <c r="V111" s="20">
        <v>1525.33</v>
      </c>
    </row>
    <row r="112" spans="1:22" ht="16.8" x14ac:dyDescent="0.3">
      <c r="A112" s="20">
        <v>11.1</v>
      </c>
      <c r="B112" s="20">
        <v>68</v>
      </c>
      <c r="C112" s="26">
        <v>69.36</v>
      </c>
      <c r="D112" s="20">
        <v>-1.36</v>
      </c>
      <c r="E112" s="20">
        <v>-7.0000000000000007E-2</v>
      </c>
      <c r="F112" s="20">
        <v>381.91</v>
      </c>
      <c r="Q112" s="20">
        <v>11.1</v>
      </c>
      <c r="R112" s="20">
        <v>68.28</v>
      </c>
      <c r="S112" s="26">
        <v>68</v>
      </c>
      <c r="T112" s="26">
        <v>-0.28000000000000003</v>
      </c>
      <c r="U112" s="26">
        <v>0.03</v>
      </c>
      <c r="V112" s="26">
        <v>1609.21</v>
      </c>
    </row>
    <row r="113" spans="1:22" ht="16.8" x14ac:dyDescent="0.3">
      <c r="A113" s="20">
        <v>11.2</v>
      </c>
      <c r="B113" s="20">
        <v>68</v>
      </c>
      <c r="C113" s="20">
        <v>69.3</v>
      </c>
      <c r="D113" s="20">
        <v>-1.3</v>
      </c>
      <c r="E113" s="20">
        <v>0.06</v>
      </c>
      <c r="F113" s="26">
        <v>381.91</v>
      </c>
      <c r="Q113" s="20">
        <v>11.2</v>
      </c>
      <c r="R113" s="20">
        <v>68.319999999999993</v>
      </c>
      <c r="S113" s="26">
        <v>68</v>
      </c>
      <c r="T113" s="26">
        <v>-0.32</v>
      </c>
      <c r="U113" s="26">
        <v>-0.03</v>
      </c>
      <c r="V113" s="20">
        <v>1554.36</v>
      </c>
    </row>
    <row r="114" spans="1:22" ht="16.8" x14ac:dyDescent="0.3">
      <c r="A114" s="20">
        <v>11.3</v>
      </c>
      <c r="B114" s="20">
        <v>68</v>
      </c>
      <c r="C114" s="26">
        <v>69.239999999999995</v>
      </c>
      <c r="D114" s="20">
        <v>-1.24</v>
      </c>
      <c r="E114" s="20">
        <v>0.06</v>
      </c>
      <c r="F114" s="20">
        <v>381.91</v>
      </c>
      <c r="Q114" s="20">
        <v>11.3</v>
      </c>
      <c r="R114" s="20">
        <v>68.400000000000006</v>
      </c>
      <c r="S114" s="20">
        <v>68</v>
      </c>
      <c r="T114" s="26">
        <v>-0.4</v>
      </c>
      <c r="U114" s="26">
        <v>-0.08</v>
      </c>
      <c r="V114" s="20">
        <v>1503.42</v>
      </c>
    </row>
    <row r="115" spans="1:22" ht="16.8" x14ac:dyDescent="0.3">
      <c r="A115" s="20">
        <v>11.4</v>
      </c>
      <c r="B115" s="20">
        <v>68</v>
      </c>
      <c r="C115" s="26">
        <v>69.13</v>
      </c>
      <c r="D115" s="20">
        <v>-1.1299999999999999</v>
      </c>
      <c r="E115" s="20">
        <v>0.11</v>
      </c>
      <c r="F115" s="26">
        <v>381.91</v>
      </c>
      <c r="Q115" s="20">
        <v>11.4</v>
      </c>
      <c r="R115" s="20">
        <v>68.37</v>
      </c>
      <c r="S115" s="26">
        <v>68</v>
      </c>
      <c r="T115" s="26">
        <v>-0.37</v>
      </c>
      <c r="U115" s="26">
        <v>0.02</v>
      </c>
      <c r="V115" s="26">
        <v>1585.75</v>
      </c>
    </row>
    <row r="116" spans="1:22" ht="16.8" x14ac:dyDescent="0.3">
      <c r="A116" s="20">
        <v>11.5</v>
      </c>
      <c r="B116" s="20">
        <v>68</v>
      </c>
      <c r="C116" s="20">
        <v>68.92</v>
      </c>
      <c r="D116" s="20">
        <v>-0.92</v>
      </c>
      <c r="E116" s="20">
        <v>0.21</v>
      </c>
      <c r="F116" s="26">
        <v>392.75</v>
      </c>
      <c r="Q116" s="20">
        <v>11.5</v>
      </c>
      <c r="R116" s="20">
        <v>68.39</v>
      </c>
      <c r="S116" s="20">
        <v>68</v>
      </c>
      <c r="T116" s="26">
        <v>-0.39</v>
      </c>
      <c r="U116" s="26">
        <v>-0.02</v>
      </c>
      <c r="V116" s="20">
        <v>1551.67</v>
      </c>
    </row>
    <row r="117" spans="1:22" ht="16.8" x14ac:dyDescent="0.3">
      <c r="A117" s="20">
        <v>11.6</v>
      </c>
      <c r="B117" s="20">
        <v>68</v>
      </c>
      <c r="C117" s="26">
        <v>68.790000000000006</v>
      </c>
      <c r="D117" s="20">
        <v>-0.79</v>
      </c>
      <c r="E117" s="20">
        <v>0.13</v>
      </c>
      <c r="F117" s="20">
        <v>544.79</v>
      </c>
      <c r="Q117" s="20">
        <v>11.6</v>
      </c>
      <c r="R117" s="20">
        <v>68.37</v>
      </c>
      <c r="S117" s="26">
        <v>68</v>
      </c>
      <c r="T117" s="26">
        <v>-0.37</v>
      </c>
      <c r="U117" s="26">
        <v>0.02</v>
      </c>
      <c r="V117" s="26">
        <v>1577.83</v>
      </c>
    </row>
    <row r="118" spans="1:22" ht="16.8" x14ac:dyDescent="0.3">
      <c r="A118" s="20">
        <v>11.7</v>
      </c>
      <c r="B118" s="20">
        <v>68</v>
      </c>
      <c r="C118" s="20">
        <v>68.62</v>
      </c>
      <c r="D118" s="20">
        <v>-0.62</v>
      </c>
      <c r="E118" s="20">
        <v>0.17</v>
      </c>
      <c r="F118" s="26">
        <v>1598.34</v>
      </c>
      <c r="Q118" s="20">
        <v>11.7</v>
      </c>
      <c r="R118" s="20">
        <v>68.48</v>
      </c>
      <c r="S118" s="26">
        <v>68</v>
      </c>
      <c r="T118" s="26">
        <v>-0.48</v>
      </c>
      <c r="U118" s="26">
        <v>-0.1</v>
      </c>
      <c r="V118" s="20">
        <v>1467.86</v>
      </c>
    </row>
    <row r="119" spans="1:22" ht="16.8" x14ac:dyDescent="0.3">
      <c r="A119" s="20">
        <v>11.8</v>
      </c>
      <c r="B119" s="20">
        <v>68</v>
      </c>
      <c r="C119" s="26">
        <v>68.45</v>
      </c>
      <c r="D119" s="20">
        <v>-0.45</v>
      </c>
      <c r="E119" s="20">
        <v>0.17</v>
      </c>
      <c r="F119" s="26">
        <v>1704.89</v>
      </c>
      <c r="Q119" s="20">
        <v>11.8</v>
      </c>
      <c r="R119" s="20">
        <v>68.52</v>
      </c>
      <c r="S119" s="26">
        <v>68</v>
      </c>
      <c r="T119" s="26">
        <v>-0.52</v>
      </c>
      <c r="U119" s="26">
        <v>-0.04</v>
      </c>
      <c r="V119" s="26">
        <v>1508.63</v>
      </c>
    </row>
    <row r="120" spans="1:22" ht="16.8" x14ac:dyDescent="0.3">
      <c r="A120" s="20">
        <v>11.9</v>
      </c>
      <c r="B120" s="20">
        <v>68</v>
      </c>
      <c r="C120" s="26">
        <v>68.2</v>
      </c>
      <c r="D120" s="20">
        <v>-0.2</v>
      </c>
      <c r="E120" s="20">
        <v>0.25</v>
      </c>
      <c r="F120" s="20">
        <v>1862.41</v>
      </c>
      <c r="Q120" s="20">
        <v>11.9</v>
      </c>
      <c r="R120" s="20">
        <v>68.52</v>
      </c>
      <c r="S120" s="26">
        <v>68</v>
      </c>
      <c r="T120" s="26">
        <v>-0.52</v>
      </c>
      <c r="U120" s="26">
        <v>0</v>
      </c>
      <c r="V120" s="20">
        <v>1537.85</v>
      </c>
    </row>
    <row r="121" spans="1:22" ht="16.8" x14ac:dyDescent="0.3">
      <c r="A121" s="20">
        <v>12</v>
      </c>
      <c r="B121" s="20">
        <v>68</v>
      </c>
      <c r="C121" s="20">
        <v>68.010000000000005</v>
      </c>
      <c r="D121" s="20">
        <v>-0.01</v>
      </c>
      <c r="E121" s="20">
        <v>0.19</v>
      </c>
      <c r="F121" s="26">
        <v>2047.35</v>
      </c>
      <c r="Q121" s="20">
        <v>12</v>
      </c>
      <c r="R121" s="20">
        <v>68.489999999999995</v>
      </c>
      <c r="S121" s="26">
        <v>68</v>
      </c>
      <c r="T121" s="26">
        <v>-0.49</v>
      </c>
      <c r="U121" s="26">
        <v>0.02</v>
      </c>
      <c r="V121" s="26">
        <v>1558.96</v>
      </c>
    </row>
    <row r="122" spans="1:22" ht="16.8" x14ac:dyDescent="0.3">
      <c r="A122" s="20">
        <v>12.1</v>
      </c>
      <c r="B122" s="20">
        <v>68</v>
      </c>
      <c r="C122" s="26">
        <v>67.849999999999994</v>
      </c>
      <c r="D122" s="20">
        <v>0.15</v>
      </c>
      <c r="E122" s="20">
        <v>0.17</v>
      </c>
      <c r="F122" s="20">
        <v>2267.2600000000002</v>
      </c>
      <c r="Q122" s="20">
        <v>12.1</v>
      </c>
      <c r="R122" s="20">
        <v>68.53</v>
      </c>
      <c r="S122" s="26">
        <v>68</v>
      </c>
      <c r="T122" s="26">
        <v>-0.53</v>
      </c>
      <c r="U122" s="26">
        <v>-0.03</v>
      </c>
      <c r="V122" s="20">
        <v>1509.68</v>
      </c>
    </row>
    <row r="123" spans="1:22" ht="16.8" x14ac:dyDescent="0.3">
      <c r="A123" s="20">
        <v>12.2</v>
      </c>
      <c r="B123" s="20">
        <v>68</v>
      </c>
      <c r="C123" s="20">
        <v>67.67</v>
      </c>
      <c r="D123" s="20">
        <v>0.33</v>
      </c>
      <c r="E123" s="20">
        <v>0.18</v>
      </c>
      <c r="F123" s="26">
        <v>2478.1799999999998</v>
      </c>
      <c r="Q123" s="20">
        <v>12.2</v>
      </c>
      <c r="R123" s="20">
        <v>68.56</v>
      </c>
      <c r="S123" s="26">
        <v>68</v>
      </c>
      <c r="T123" s="26">
        <v>-0.56000000000000005</v>
      </c>
      <c r="U123" s="26">
        <v>-0.03</v>
      </c>
      <c r="V123" s="26">
        <v>1502.98</v>
      </c>
    </row>
    <row r="124" spans="1:22" ht="16.8" x14ac:dyDescent="0.3">
      <c r="A124" s="20">
        <v>12.3</v>
      </c>
      <c r="B124" s="20">
        <v>68</v>
      </c>
      <c r="C124" s="26">
        <v>67.48</v>
      </c>
      <c r="D124" s="20">
        <v>0.52</v>
      </c>
      <c r="E124" s="20">
        <v>0.19</v>
      </c>
      <c r="F124" s="26">
        <v>2615.48</v>
      </c>
      <c r="Q124" s="20">
        <v>12.3</v>
      </c>
      <c r="R124" s="20">
        <v>68.52</v>
      </c>
      <c r="S124" s="26">
        <v>68</v>
      </c>
      <c r="T124" s="26">
        <v>-0.52</v>
      </c>
      <c r="U124" s="26">
        <v>0.04</v>
      </c>
      <c r="V124" s="20">
        <v>1563.28</v>
      </c>
    </row>
    <row r="125" spans="1:22" ht="16.8" x14ac:dyDescent="0.3">
      <c r="A125" s="20">
        <v>12.4</v>
      </c>
      <c r="B125" s="20">
        <v>68</v>
      </c>
      <c r="C125" s="26">
        <v>67.400000000000006</v>
      </c>
      <c r="D125" s="20">
        <v>0.6</v>
      </c>
      <c r="E125" s="20">
        <v>0.08</v>
      </c>
      <c r="F125" s="20">
        <v>2483.1799999999998</v>
      </c>
      <c r="Q125" s="20">
        <v>12.4</v>
      </c>
      <c r="R125" s="20">
        <v>68.569999999999993</v>
      </c>
      <c r="S125" s="26">
        <v>68</v>
      </c>
      <c r="T125" s="26">
        <v>-0.56999999999999995</v>
      </c>
      <c r="U125" s="26">
        <v>-0.05</v>
      </c>
      <c r="V125" s="26">
        <v>1486.84</v>
      </c>
    </row>
    <row r="126" spans="1:22" ht="16.8" x14ac:dyDescent="0.3">
      <c r="A126" s="20">
        <v>12.5</v>
      </c>
      <c r="B126" s="20">
        <v>68</v>
      </c>
      <c r="C126" s="20">
        <v>67.31</v>
      </c>
      <c r="D126" s="20">
        <v>0.69</v>
      </c>
      <c r="E126" s="20">
        <v>0.09</v>
      </c>
      <c r="F126" s="26">
        <v>2601.91</v>
      </c>
      <c r="Q126" s="20">
        <v>12.5</v>
      </c>
      <c r="R126" s="20">
        <v>68.56</v>
      </c>
      <c r="S126" s="26">
        <v>68</v>
      </c>
      <c r="T126" s="26">
        <v>-0.56000000000000005</v>
      </c>
      <c r="U126" s="26">
        <v>0.01</v>
      </c>
      <c r="V126" s="20">
        <v>1529.5</v>
      </c>
    </row>
    <row r="127" spans="1:22" ht="16.8" x14ac:dyDescent="0.3">
      <c r="A127" s="20">
        <v>12.6</v>
      </c>
      <c r="B127" s="20">
        <v>68</v>
      </c>
      <c r="C127" s="26">
        <v>67.209999999999994</v>
      </c>
      <c r="D127" s="20">
        <v>0.79</v>
      </c>
      <c r="E127" s="20">
        <v>0.1</v>
      </c>
      <c r="F127" s="26">
        <v>2768.23</v>
      </c>
      <c r="Q127" s="20">
        <v>12.6</v>
      </c>
      <c r="R127" s="20">
        <v>68.55</v>
      </c>
      <c r="S127" s="26">
        <v>68</v>
      </c>
      <c r="T127" s="26">
        <v>-0.55000000000000004</v>
      </c>
      <c r="U127" s="26">
        <v>0.01</v>
      </c>
      <c r="V127" s="20">
        <v>1529.52</v>
      </c>
    </row>
    <row r="128" spans="1:22" ht="16.8" x14ac:dyDescent="0.3">
      <c r="A128" s="20">
        <v>12.7</v>
      </c>
      <c r="B128" s="20">
        <v>68</v>
      </c>
      <c r="C128" s="20">
        <v>67.180000000000007</v>
      </c>
      <c r="D128" s="20">
        <v>0.82</v>
      </c>
      <c r="E128" s="20">
        <v>0.03</v>
      </c>
      <c r="F128" s="20">
        <v>2638.36</v>
      </c>
      <c r="Q128" s="20">
        <v>12.7</v>
      </c>
      <c r="R128" s="20">
        <v>68.569999999999993</v>
      </c>
      <c r="S128" s="26">
        <v>68</v>
      </c>
      <c r="T128" s="20">
        <v>-0.56999999999999995</v>
      </c>
      <c r="U128" s="20">
        <v>-0.02</v>
      </c>
      <c r="V128" s="26">
        <v>1499.74</v>
      </c>
    </row>
    <row r="129" spans="1:22" ht="16.8" x14ac:dyDescent="0.3">
      <c r="A129" s="20">
        <v>12.8</v>
      </c>
      <c r="B129" s="20">
        <v>68</v>
      </c>
      <c r="C129" s="26">
        <v>67.180000000000007</v>
      </c>
      <c r="D129" s="20">
        <v>0.82</v>
      </c>
      <c r="E129" s="20">
        <v>0</v>
      </c>
      <c r="F129" s="26">
        <v>2550</v>
      </c>
      <c r="Q129" s="20">
        <v>12.8</v>
      </c>
      <c r="R129" s="20">
        <v>68.569999999999993</v>
      </c>
      <c r="S129" s="26">
        <v>68</v>
      </c>
      <c r="T129" s="26">
        <v>-0.56999999999999995</v>
      </c>
      <c r="U129" s="26">
        <v>0</v>
      </c>
      <c r="V129" s="20">
        <v>1516.64</v>
      </c>
    </row>
    <row r="130" spans="1:22" ht="16.8" x14ac:dyDescent="0.3">
      <c r="A130" s="20">
        <v>12.9</v>
      </c>
      <c r="B130" s="20">
        <v>68</v>
      </c>
      <c r="C130" s="26">
        <v>67.239999999999995</v>
      </c>
      <c r="D130" s="20">
        <v>0.76</v>
      </c>
      <c r="E130" s="20">
        <v>-0.06</v>
      </c>
      <c r="F130" s="20">
        <v>2640.64</v>
      </c>
      <c r="Q130" s="20">
        <v>12.9</v>
      </c>
      <c r="R130" s="20">
        <v>68.58</v>
      </c>
      <c r="S130" s="26">
        <v>68</v>
      </c>
      <c r="T130" s="20">
        <v>-0.57999999999999996</v>
      </c>
      <c r="U130" s="20">
        <v>-0.01</v>
      </c>
      <c r="V130" s="26">
        <v>1507.81</v>
      </c>
    </row>
    <row r="131" spans="1:22" ht="16.8" x14ac:dyDescent="0.3">
      <c r="A131" s="20">
        <v>13</v>
      </c>
      <c r="B131" s="20">
        <v>68</v>
      </c>
      <c r="C131" s="20">
        <v>67.3</v>
      </c>
      <c r="D131" s="20">
        <v>0.7</v>
      </c>
      <c r="E131" s="20">
        <v>-0.06</v>
      </c>
      <c r="F131" s="26">
        <v>2554.39</v>
      </c>
      <c r="Q131" s="20">
        <v>13</v>
      </c>
      <c r="R131" s="20">
        <v>68.5</v>
      </c>
      <c r="S131" s="26">
        <v>68</v>
      </c>
      <c r="T131" s="26">
        <v>-0.5</v>
      </c>
      <c r="U131" s="26">
        <v>0.08</v>
      </c>
      <c r="V131" s="20">
        <v>1587.05</v>
      </c>
    </row>
    <row r="132" spans="1:22" ht="16.8" x14ac:dyDescent="0.3">
      <c r="A132" s="20">
        <v>13.1</v>
      </c>
      <c r="B132" s="20">
        <v>68</v>
      </c>
      <c r="C132" s="26">
        <v>67.319999999999993</v>
      </c>
      <c r="D132" s="20">
        <v>0.68</v>
      </c>
      <c r="E132" s="20">
        <v>-0.02</v>
      </c>
      <c r="F132" s="26">
        <v>2417.09</v>
      </c>
      <c r="Q132" s="20">
        <v>13.1</v>
      </c>
      <c r="R132" s="20">
        <v>68.540000000000006</v>
      </c>
      <c r="S132" s="26">
        <v>68</v>
      </c>
      <c r="T132" s="26">
        <v>-0.54</v>
      </c>
      <c r="U132" s="26">
        <v>-0.04</v>
      </c>
      <c r="V132" s="26">
        <v>1487.64</v>
      </c>
    </row>
    <row r="133" spans="1:22" ht="16.8" x14ac:dyDescent="0.3">
      <c r="A133" s="20">
        <v>13.2</v>
      </c>
      <c r="B133" s="20">
        <v>68</v>
      </c>
      <c r="C133" s="26">
        <v>67.430000000000007</v>
      </c>
      <c r="D133" s="20">
        <v>0.56999999999999995</v>
      </c>
      <c r="E133" s="20">
        <v>-0.11</v>
      </c>
      <c r="F133" s="20">
        <v>2523.84</v>
      </c>
      <c r="Q133" s="20">
        <v>13.2</v>
      </c>
      <c r="R133" s="20">
        <v>68.56</v>
      </c>
      <c r="S133" s="26">
        <v>68</v>
      </c>
      <c r="T133" s="26">
        <v>-0.56000000000000005</v>
      </c>
      <c r="U133" s="26">
        <v>-0.02</v>
      </c>
      <c r="V133" s="20">
        <v>1501.9</v>
      </c>
    </row>
    <row r="134" spans="1:22" ht="16.8" x14ac:dyDescent="0.3">
      <c r="A134" s="20">
        <v>13.3</v>
      </c>
      <c r="B134" s="20">
        <v>68</v>
      </c>
      <c r="C134" s="20">
        <v>67.52</v>
      </c>
      <c r="D134" s="20">
        <v>0.48</v>
      </c>
      <c r="E134" s="20">
        <v>-0.09</v>
      </c>
      <c r="F134" s="26">
        <v>2402.7199999999998</v>
      </c>
      <c r="Q134" s="20">
        <v>13.3</v>
      </c>
      <c r="R134" s="20">
        <v>68.540000000000006</v>
      </c>
      <c r="S134" s="26">
        <v>68</v>
      </c>
      <c r="T134" s="26">
        <v>-0.54</v>
      </c>
      <c r="U134" s="26">
        <v>0.02</v>
      </c>
      <c r="V134" s="26">
        <v>1527.65</v>
      </c>
    </row>
    <row r="135" spans="1:22" ht="16.8" x14ac:dyDescent="0.3">
      <c r="A135" s="20">
        <v>13.4</v>
      </c>
      <c r="B135" s="20">
        <v>68</v>
      </c>
      <c r="C135" s="26">
        <v>67.63</v>
      </c>
      <c r="D135" s="20">
        <v>0.37</v>
      </c>
      <c r="E135" s="20">
        <v>-0.1</v>
      </c>
      <c r="F135" s="26">
        <v>2359.4699999999998</v>
      </c>
      <c r="Q135" s="20">
        <v>13.4</v>
      </c>
      <c r="R135" s="20">
        <v>68.569999999999993</v>
      </c>
      <c r="S135" s="26">
        <v>68</v>
      </c>
      <c r="T135" s="26">
        <v>-0.56999999999999995</v>
      </c>
      <c r="U135" s="26">
        <v>-0.03</v>
      </c>
      <c r="V135" s="20">
        <v>1484.35</v>
      </c>
    </row>
    <row r="136" spans="1:22" ht="16.8" x14ac:dyDescent="0.3">
      <c r="A136" s="20">
        <v>13.5</v>
      </c>
      <c r="B136" s="20">
        <v>68</v>
      </c>
      <c r="C136" s="20">
        <v>67.75</v>
      </c>
      <c r="D136" s="20">
        <v>0.25</v>
      </c>
      <c r="E136" s="20">
        <v>-0.12</v>
      </c>
      <c r="F136" s="20">
        <v>2357.59</v>
      </c>
      <c r="Q136" s="20">
        <v>13.5</v>
      </c>
      <c r="R136" s="20">
        <v>68.540000000000006</v>
      </c>
      <c r="S136" s="26">
        <v>68</v>
      </c>
      <c r="T136" s="26">
        <v>-0.54</v>
      </c>
      <c r="U136" s="26">
        <v>0.03</v>
      </c>
      <c r="V136" s="26">
        <v>1537.16</v>
      </c>
    </row>
    <row r="137" spans="1:22" ht="16.8" x14ac:dyDescent="0.3">
      <c r="A137" s="20">
        <v>13.6</v>
      </c>
      <c r="B137" s="20">
        <v>68</v>
      </c>
      <c r="C137" s="26">
        <v>67.92</v>
      </c>
      <c r="D137" s="20">
        <v>0.08</v>
      </c>
      <c r="E137" s="20">
        <v>-0.17</v>
      </c>
      <c r="F137" s="26">
        <v>2178.6999999999998</v>
      </c>
      <c r="Q137" s="20">
        <v>13.6</v>
      </c>
      <c r="R137" s="20">
        <v>68.569999999999993</v>
      </c>
      <c r="S137" s="26">
        <v>68</v>
      </c>
      <c r="T137" s="26">
        <v>-0.56999999999999995</v>
      </c>
      <c r="U137" s="26">
        <v>-0.03</v>
      </c>
      <c r="V137" s="20">
        <v>1481.67</v>
      </c>
    </row>
    <row r="138" spans="1:22" ht="16.8" x14ac:dyDescent="0.3">
      <c r="A138" s="20">
        <v>13.7</v>
      </c>
      <c r="B138" s="20">
        <v>68</v>
      </c>
      <c r="C138" s="26">
        <v>68.010000000000005</v>
      </c>
      <c r="D138" s="20">
        <v>-0.01</v>
      </c>
      <c r="E138" s="20">
        <v>-0.09</v>
      </c>
      <c r="F138" s="20">
        <v>2041.32</v>
      </c>
      <c r="Q138" s="20">
        <v>13.7</v>
      </c>
      <c r="R138" s="20">
        <v>68.540000000000006</v>
      </c>
      <c r="S138" s="26">
        <v>68</v>
      </c>
      <c r="T138" s="26">
        <v>-0.54</v>
      </c>
      <c r="U138" s="26">
        <v>0.03</v>
      </c>
      <c r="V138" s="26">
        <v>1534.48</v>
      </c>
    </row>
    <row r="139" spans="1:22" ht="16.8" x14ac:dyDescent="0.3">
      <c r="A139" s="20">
        <v>13.8</v>
      </c>
      <c r="B139" s="20">
        <v>68</v>
      </c>
      <c r="C139" s="20">
        <v>68.2</v>
      </c>
      <c r="D139" s="20">
        <v>-0.2</v>
      </c>
      <c r="E139" s="20">
        <v>-0.2</v>
      </c>
      <c r="F139" s="26">
        <v>1858.3</v>
      </c>
      <c r="Q139" s="20">
        <v>13.8</v>
      </c>
      <c r="R139" s="20">
        <v>68.53</v>
      </c>
      <c r="S139" s="26">
        <v>68</v>
      </c>
      <c r="T139" s="26">
        <v>-0.53</v>
      </c>
      <c r="U139" s="26">
        <v>0.01</v>
      </c>
      <c r="V139" s="20">
        <v>1516.26</v>
      </c>
    </row>
    <row r="140" spans="1:22" ht="16.8" x14ac:dyDescent="0.3">
      <c r="A140" s="20">
        <v>13.9</v>
      </c>
      <c r="B140" s="20">
        <v>68</v>
      </c>
      <c r="C140" s="26">
        <v>68.319999999999993</v>
      </c>
      <c r="D140" s="20">
        <v>-0.32</v>
      </c>
      <c r="E140" s="20">
        <v>-0.12</v>
      </c>
      <c r="F140" s="26">
        <v>1768.39</v>
      </c>
      <c r="Q140" s="20">
        <v>13.9</v>
      </c>
      <c r="R140" s="20">
        <v>68.540000000000006</v>
      </c>
      <c r="S140" s="26">
        <v>68</v>
      </c>
      <c r="T140" s="26">
        <v>-0.54</v>
      </c>
      <c r="U140" s="26">
        <v>-0.01</v>
      </c>
      <c r="V140" s="20">
        <v>1501.44</v>
      </c>
    </row>
    <row r="141" spans="1:22" ht="16.8" x14ac:dyDescent="0.3">
      <c r="A141" s="20">
        <v>14</v>
      </c>
      <c r="B141" s="20">
        <v>68</v>
      </c>
      <c r="C141" s="20">
        <v>68.45</v>
      </c>
      <c r="D141" s="20">
        <v>-0.45</v>
      </c>
      <c r="E141" s="20">
        <v>-0.13</v>
      </c>
      <c r="F141" s="20">
        <v>1704.89</v>
      </c>
      <c r="Q141" s="20">
        <v>14</v>
      </c>
      <c r="R141" s="20">
        <v>68.569999999999993</v>
      </c>
      <c r="S141" s="26">
        <v>68</v>
      </c>
      <c r="T141" s="26">
        <v>-0.56999999999999995</v>
      </c>
      <c r="U141" s="26">
        <v>-0.03</v>
      </c>
      <c r="V141" s="26">
        <v>1476.41</v>
      </c>
    </row>
    <row r="142" spans="1:22" ht="16.8" x14ac:dyDescent="0.3">
      <c r="A142" s="20">
        <v>14.1</v>
      </c>
      <c r="B142" s="20">
        <v>68</v>
      </c>
      <c r="C142" s="26">
        <v>68.58</v>
      </c>
      <c r="D142" s="20">
        <v>-0.57999999999999996</v>
      </c>
      <c r="E142" s="20">
        <v>-0.13</v>
      </c>
      <c r="F142" s="26">
        <v>1655.09</v>
      </c>
      <c r="Q142" s="20">
        <v>14.1</v>
      </c>
      <c r="R142" s="20">
        <v>68.569999999999993</v>
      </c>
      <c r="S142" s="26">
        <v>68</v>
      </c>
      <c r="T142" s="20">
        <v>-0.56999999999999995</v>
      </c>
      <c r="U142" s="20">
        <v>0.01</v>
      </c>
      <c r="V142" s="20">
        <v>1506.85</v>
      </c>
    </row>
    <row r="143" spans="1:22" ht="16.8" x14ac:dyDescent="0.3">
      <c r="A143" s="20">
        <v>14.2</v>
      </c>
      <c r="B143" s="20">
        <v>68</v>
      </c>
      <c r="C143" s="26">
        <v>68.72</v>
      </c>
      <c r="D143" s="20">
        <v>-0.72</v>
      </c>
      <c r="E143" s="20">
        <v>-0.14000000000000001</v>
      </c>
      <c r="F143" s="26">
        <v>1226.69</v>
      </c>
      <c r="Q143" s="20">
        <v>14.2</v>
      </c>
      <c r="R143" s="20">
        <v>68.53</v>
      </c>
      <c r="S143" s="26">
        <v>68</v>
      </c>
      <c r="T143" s="26">
        <v>-0.53</v>
      </c>
      <c r="U143" s="26">
        <v>0.04</v>
      </c>
      <c r="V143" s="26">
        <v>1536.67</v>
      </c>
    </row>
    <row r="144" spans="1:22" ht="16.8" x14ac:dyDescent="0.3">
      <c r="A144" s="20">
        <v>14.3</v>
      </c>
      <c r="B144" s="20">
        <v>68</v>
      </c>
      <c r="C144" s="20">
        <v>68.78</v>
      </c>
      <c r="D144" s="20">
        <v>-0.78</v>
      </c>
      <c r="E144" s="20">
        <v>-0.06</v>
      </c>
      <c r="F144" s="20">
        <v>670.29</v>
      </c>
      <c r="Q144" s="20">
        <v>14.3</v>
      </c>
      <c r="R144" s="20">
        <v>68.53</v>
      </c>
      <c r="S144" s="26">
        <v>68</v>
      </c>
      <c r="T144" s="26">
        <v>-0.53</v>
      </c>
      <c r="U144" s="26">
        <v>-0.01</v>
      </c>
      <c r="V144" s="20">
        <v>1497.5</v>
      </c>
    </row>
    <row r="145" spans="1:22" ht="16.8" x14ac:dyDescent="0.3">
      <c r="A145" s="20">
        <v>14.4</v>
      </c>
      <c r="B145" s="20">
        <v>68</v>
      </c>
      <c r="C145" s="26">
        <v>68.86</v>
      </c>
      <c r="D145" s="20">
        <v>-0.86</v>
      </c>
      <c r="E145" s="20">
        <v>-0.08</v>
      </c>
      <c r="F145" s="26">
        <v>393.14</v>
      </c>
      <c r="Q145" s="20">
        <v>14.4</v>
      </c>
      <c r="R145" s="20">
        <v>68.540000000000006</v>
      </c>
      <c r="S145" s="26">
        <v>68</v>
      </c>
      <c r="T145" s="26">
        <v>-0.54</v>
      </c>
      <c r="U145" s="26">
        <v>-0.01</v>
      </c>
      <c r="V145" s="26">
        <v>1494.85</v>
      </c>
    </row>
    <row r="146" spans="1:22" ht="16.8" x14ac:dyDescent="0.3">
      <c r="A146" s="20">
        <v>14.5</v>
      </c>
      <c r="B146" s="20">
        <v>68</v>
      </c>
      <c r="C146" s="26">
        <v>68.900000000000006</v>
      </c>
      <c r="D146" s="20">
        <v>-0.9</v>
      </c>
      <c r="E146" s="20">
        <v>-0.04</v>
      </c>
      <c r="F146" s="20">
        <v>390.9</v>
      </c>
      <c r="Q146" s="20">
        <v>14.5</v>
      </c>
      <c r="R146" s="20">
        <v>68.569999999999993</v>
      </c>
      <c r="S146" s="26">
        <v>68</v>
      </c>
      <c r="T146" s="26">
        <v>-0.56999999999999995</v>
      </c>
      <c r="U146" s="26">
        <v>-0.02</v>
      </c>
      <c r="V146" s="20">
        <v>1477.28</v>
      </c>
    </row>
    <row r="147" spans="1:22" ht="16.8" x14ac:dyDescent="0.3">
      <c r="A147" s="20">
        <v>14.6</v>
      </c>
      <c r="B147" s="20">
        <v>68</v>
      </c>
      <c r="C147" s="20">
        <v>68.92</v>
      </c>
      <c r="D147" s="20">
        <v>-0.92</v>
      </c>
      <c r="E147" s="20">
        <v>-0.02</v>
      </c>
      <c r="F147" s="26">
        <v>390.08</v>
      </c>
      <c r="Q147" s="20">
        <v>14.6</v>
      </c>
      <c r="R147" s="20">
        <v>68.540000000000006</v>
      </c>
      <c r="S147" s="26">
        <v>68</v>
      </c>
      <c r="T147" s="26">
        <v>-0.54</v>
      </c>
      <c r="U147" s="26">
        <v>0.02</v>
      </c>
      <c r="V147" s="20">
        <v>1516.56</v>
      </c>
    </row>
    <row r="148" spans="1:22" ht="16.8" x14ac:dyDescent="0.3">
      <c r="A148" s="20">
        <v>14.7</v>
      </c>
      <c r="B148" s="20">
        <v>68</v>
      </c>
      <c r="C148" s="26">
        <v>68.959999999999994</v>
      </c>
      <c r="D148" s="20">
        <v>-0.96</v>
      </c>
      <c r="E148" s="20">
        <v>-0.04</v>
      </c>
      <c r="F148" s="26">
        <v>388.12</v>
      </c>
      <c r="Q148" s="20">
        <v>14.7</v>
      </c>
      <c r="R148" s="20">
        <v>68.55</v>
      </c>
      <c r="S148" s="26">
        <v>68</v>
      </c>
      <c r="T148" s="26">
        <v>-0.55000000000000004</v>
      </c>
      <c r="U148" s="20">
        <v>-0.01</v>
      </c>
      <c r="V148" s="26">
        <v>1489.53</v>
      </c>
    </row>
    <row r="149" spans="1:22" ht="16.8" x14ac:dyDescent="0.3">
      <c r="A149" s="20">
        <v>14.8</v>
      </c>
      <c r="B149" s="20">
        <v>68</v>
      </c>
      <c r="C149" s="26">
        <v>68.88</v>
      </c>
      <c r="D149" s="20">
        <v>-0.88</v>
      </c>
      <c r="E149" s="20">
        <v>0.08</v>
      </c>
      <c r="F149" s="20">
        <v>392.46</v>
      </c>
      <c r="Q149" s="20">
        <v>14.8</v>
      </c>
      <c r="R149" s="20">
        <v>68.540000000000006</v>
      </c>
      <c r="S149" s="26">
        <v>68</v>
      </c>
      <c r="T149" s="26">
        <v>-0.54</v>
      </c>
      <c r="U149" s="26">
        <v>0.01</v>
      </c>
      <c r="V149" s="20">
        <v>1501.75</v>
      </c>
    </row>
    <row r="150" spans="1:22" ht="16.8" x14ac:dyDescent="0.3">
      <c r="A150" s="20">
        <v>14.9</v>
      </c>
      <c r="B150" s="20">
        <v>68</v>
      </c>
      <c r="C150" s="20">
        <v>68.87</v>
      </c>
      <c r="D150" s="20">
        <v>-0.87</v>
      </c>
      <c r="E150" s="20">
        <v>0.01</v>
      </c>
      <c r="F150" s="26">
        <v>392.91</v>
      </c>
      <c r="Q150" s="20">
        <v>14.9</v>
      </c>
      <c r="R150" s="20">
        <v>68.56</v>
      </c>
      <c r="S150" s="26">
        <v>68</v>
      </c>
      <c r="T150" s="26">
        <v>-0.56000000000000005</v>
      </c>
      <c r="U150" s="26">
        <v>-0.02</v>
      </c>
      <c r="V150" s="26">
        <v>1479.46</v>
      </c>
    </row>
    <row r="151" spans="1:22" ht="16.8" x14ac:dyDescent="0.3">
      <c r="A151" s="20">
        <v>15</v>
      </c>
      <c r="B151" s="20">
        <v>68</v>
      </c>
      <c r="C151" s="26">
        <v>68.8</v>
      </c>
      <c r="D151" s="20">
        <v>-0.8</v>
      </c>
      <c r="E151" s="20">
        <v>7.0000000000000007E-2</v>
      </c>
      <c r="F151" s="26">
        <v>474.05</v>
      </c>
      <c r="Q151" s="20">
        <v>15</v>
      </c>
      <c r="R151" s="20">
        <v>68.53</v>
      </c>
      <c r="S151" s="26">
        <v>68</v>
      </c>
      <c r="T151" s="26">
        <v>-0.53</v>
      </c>
      <c r="U151" s="26">
        <v>0.03</v>
      </c>
      <c r="V151" s="20">
        <v>1520.11</v>
      </c>
    </row>
    <row r="152" spans="1:22" ht="16.8" x14ac:dyDescent="0.3">
      <c r="A152" s="20">
        <v>15.1</v>
      </c>
      <c r="B152" s="20">
        <v>68</v>
      </c>
      <c r="C152" s="20">
        <v>68.62</v>
      </c>
      <c r="D152" s="20">
        <v>-0.62</v>
      </c>
      <c r="E152" s="20">
        <v>0.18</v>
      </c>
      <c r="F152" s="20">
        <v>1607.56</v>
      </c>
      <c r="Q152" s="20">
        <v>15.1</v>
      </c>
      <c r="R152" s="20">
        <v>68.53</v>
      </c>
      <c r="S152" s="26">
        <v>68</v>
      </c>
      <c r="T152" s="26">
        <v>-0.53</v>
      </c>
      <c r="U152" s="26">
        <v>0</v>
      </c>
      <c r="V152" s="26">
        <v>1494.48</v>
      </c>
    </row>
    <row r="153" spans="1:22" ht="16.8" x14ac:dyDescent="0.3">
      <c r="A153" s="20">
        <v>15.2</v>
      </c>
      <c r="B153" s="20">
        <v>68</v>
      </c>
      <c r="C153" s="26">
        <v>68.459999999999994</v>
      </c>
      <c r="D153" s="20">
        <v>-0.46</v>
      </c>
      <c r="E153" s="20">
        <v>0.16</v>
      </c>
      <c r="F153" s="26">
        <v>1702.17</v>
      </c>
      <c r="Q153" s="20">
        <v>15.2</v>
      </c>
      <c r="R153" s="20">
        <v>68.540000000000006</v>
      </c>
      <c r="S153" s="26">
        <v>68</v>
      </c>
      <c r="T153" s="26">
        <v>-0.54</v>
      </c>
      <c r="U153" s="26">
        <v>-0.02</v>
      </c>
      <c r="V153" s="20">
        <v>1478.32</v>
      </c>
    </row>
    <row r="154" spans="1:22" ht="16.8" x14ac:dyDescent="0.3">
      <c r="A154" s="20">
        <v>15.3</v>
      </c>
      <c r="B154" s="20">
        <v>68</v>
      </c>
      <c r="C154" s="26">
        <v>68.349999999999994</v>
      </c>
      <c r="D154" s="20">
        <v>-0.35</v>
      </c>
      <c r="E154" s="20">
        <v>0.11</v>
      </c>
      <c r="F154" s="26">
        <v>1745.62</v>
      </c>
      <c r="Q154" s="20">
        <v>15.3</v>
      </c>
      <c r="R154" s="20">
        <v>68.52</v>
      </c>
      <c r="S154" s="26">
        <v>68</v>
      </c>
      <c r="T154" s="26">
        <v>-0.52</v>
      </c>
      <c r="U154" s="26">
        <v>0.02</v>
      </c>
      <c r="V154" s="26">
        <v>1511.57</v>
      </c>
    </row>
    <row r="155" spans="1:22" ht="16.8" x14ac:dyDescent="0.3">
      <c r="A155" s="20">
        <v>15.4</v>
      </c>
      <c r="B155" s="20">
        <v>68</v>
      </c>
      <c r="C155" s="20">
        <v>68.2</v>
      </c>
      <c r="D155" s="20">
        <v>-0.2</v>
      </c>
      <c r="E155" s="20">
        <v>0.15</v>
      </c>
      <c r="F155" s="20">
        <v>1855.68</v>
      </c>
      <c r="Q155" s="20">
        <v>15.4</v>
      </c>
      <c r="R155" s="20">
        <v>68.53</v>
      </c>
      <c r="S155" s="26">
        <v>68</v>
      </c>
      <c r="T155" s="20">
        <v>-0.53</v>
      </c>
      <c r="U155" s="26">
        <v>-0.01</v>
      </c>
      <c r="V155" s="20">
        <v>1484.57</v>
      </c>
    </row>
    <row r="156" spans="1:22" ht="16.8" x14ac:dyDescent="0.3">
      <c r="A156" s="20">
        <v>15.5</v>
      </c>
      <c r="B156" s="20">
        <v>68</v>
      </c>
      <c r="C156" s="26">
        <v>68.02</v>
      </c>
      <c r="D156" s="20">
        <v>-0.02</v>
      </c>
      <c r="E156" s="20">
        <v>0.19</v>
      </c>
      <c r="F156" s="26">
        <v>2041.5</v>
      </c>
      <c r="Q156" s="20">
        <v>15.5</v>
      </c>
      <c r="R156" s="20">
        <v>68.52</v>
      </c>
      <c r="S156" s="26">
        <v>68</v>
      </c>
      <c r="T156" s="26">
        <v>-0.52</v>
      </c>
      <c r="U156" s="26">
        <v>0.01</v>
      </c>
      <c r="V156" s="26">
        <v>1496.88</v>
      </c>
    </row>
    <row r="157" spans="1:22" ht="16.8" x14ac:dyDescent="0.3">
      <c r="A157" s="20">
        <v>15.6</v>
      </c>
      <c r="B157" s="20">
        <v>68</v>
      </c>
      <c r="C157" s="26">
        <v>67.87</v>
      </c>
      <c r="D157" s="20">
        <v>0.13</v>
      </c>
      <c r="E157" s="20">
        <v>0.15</v>
      </c>
      <c r="F157" s="26">
        <v>2236.23</v>
      </c>
      <c r="Q157" s="20">
        <v>15.6</v>
      </c>
      <c r="R157" s="20">
        <v>68.52</v>
      </c>
      <c r="S157" s="26">
        <v>68</v>
      </c>
      <c r="T157" s="20">
        <v>-0.52</v>
      </c>
      <c r="U157" s="26">
        <v>0</v>
      </c>
      <c r="V157" s="20">
        <v>1489.54</v>
      </c>
    </row>
    <row r="158" spans="1:22" ht="16.8" x14ac:dyDescent="0.3">
      <c r="A158" s="20">
        <v>15.7</v>
      </c>
      <c r="B158" s="20">
        <v>68</v>
      </c>
      <c r="C158" s="20">
        <v>67.72</v>
      </c>
      <c r="D158" s="20">
        <v>0.28000000000000003</v>
      </c>
      <c r="E158" s="20">
        <v>0.15</v>
      </c>
      <c r="F158" s="20">
        <v>2404.85</v>
      </c>
      <c r="Q158" s="20">
        <v>15.7</v>
      </c>
      <c r="R158" s="20">
        <v>68.52</v>
      </c>
      <c r="S158" s="26">
        <v>68</v>
      </c>
      <c r="T158" s="26">
        <v>-0.52</v>
      </c>
      <c r="U158" s="26">
        <v>0</v>
      </c>
      <c r="V158" s="20">
        <v>1488.29</v>
      </c>
    </row>
    <row r="159" spans="1:22" ht="16.8" x14ac:dyDescent="0.3">
      <c r="A159" s="20">
        <v>15.8</v>
      </c>
      <c r="B159" s="20">
        <v>68</v>
      </c>
      <c r="C159" s="26">
        <v>67.599999999999994</v>
      </c>
      <c r="D159" s="20">
        <v>0.4</v>
      </c>
      <c r="E159" s="20">
        <v>0.12</v>
      </c>
      <c r="F159" s="26">
        <v>2408.31</v>
      </c>
      <c r="Q159" s="20">
        <v>15.8</v>
      </c>
      <c r="R159" s="20">
        <v>68.53</v>
      </c>
      <c r="S159" s="26">
        <v>68</v>
      </c>
      <c r="T159" s="26">
        <v>-0.53</v>
      </c>
      <c r="U159" s="26">
        <v>-0.01</v>
      </c>
      <c r="V159" s="26">
        <v>1479.58</v>
      </c>
    </row>
    <row r="160" spans="1:22" ht="16.8" x14ac:dyDescent="0.3">
      <c r="A160" s="20">
        <v>15.9</v>
      </c>
      <c r="B160" s="20">
        <v>68</v>
      </c>
      <c r="C160" s="26">
        <v>67.56</v>
      </c>
      <c r="D160" s="20">
        <v>0.44</v>
      </c>
      <c r="E160" s="20">
        <v>0.04</v>
      </c>
      <c r="F160" s="26">
        <v>2244.41</v>
      </c>
      <c r="Q160" s="20">
        <v>15.9</v>
      </c>
      <c r="R160" s="20">
        <v>68.489999999999995</v>
      </c>
      <c r="S160" s="26">
        <v>68</v>
      </c>
      <c r="T160" s="26">
        <v>-0.49</v>
      </c>
      <c r="U160" s="26">
        <v>0.03</v>
      </c>
      <c r="V160" s="20">
        <v>1514.25</v>
      </c>
    </row>
    <row r="161" spans="1:22" ht="16.8" x14ac:dyDescent="0.3">
      <c r="A161" s="20">
        <v>16</v>
      </c>
      <c r="B161" s="20">
        <v>68</v>
      </c>
      <c r="C161" s="20">
        <v>67.459999999999994</v>
      </c>
      <c r="D161" s="20">
        <v>0.54</v>
      </c>
      <c r="E161" s="20">
        <v>0.1</v>
      </c>
      <c r="F161" s="20">
        <v>2469.4</v>
      </c>
      <c r="Q161" s="20">
        <v>16</v>
      </c>
      <c r="R161" s="20">
        <v>68.52</v>
      </c>
      <c r="S161" s="26">
        <v>68</v>
      </c>
      <c r="T161" s="26">
        <v>-0.52</v>
      </c>
      <c r="U161" s="26">
        <v>-0.02</v>
      </c>
      <c r="V161" s="26">
        <v>1466.33</v>
      </c>
    </row>
    <row r="162" spans="1:22" ht="16.8" x14ac:dyDescent="0.3">
      <c r="A162" s="20">
        <v>16.100000000000001</v>
      </c>
      <c r="B162" s="20">
        <v>68</v>
      </c>
      <c r="C162" s="26">
        <v>67.42</v>
      </c>
      <c r="D162" s="20">
        <v>0.57999999999999996</v>
      </c>
      <c r="E162" s="20">
        <v>0.04</v>
      </c>
      <c r="F162" s="26">
        <v>2364.2600000000002</v>
      </c>
      <c r="Q162" s="20">
        <v>16.100000000000001</v>
      </c>
      <c r="R162" s="20">
        <v>68.5</v>
      </c>
      <c r="S162" s="26">
        <v>68</v>
      </c>
      <c r="T162" s="20">
        <v>-0.5</v>
      </c>
      <c r="U162" s="20">
        <v>0.02</v>
      </c>
      <c r="V162" s="20">
        <v>1498.26</v>
      </c>
    </row>
    <row r="163" spans="1:22" ht="16.8" x14ac:dyDescent="0.3">
      <c r="A163" s="20">
        <v>16.2</v>
      </c>
      <c r="B163" s="20">
        <v>68</v>
      </c>
      <c r="C163" s="20">
        <v>67.37</v>
      </c>
      <c r="D163" s="20">
        <v>0.63</v>
      </c>
      <c r="E163" s="20">
        <v>0.05</v>
      </c>
      <c r="F163" s="20">
        <v>2436.46</v>
      </c>
      <c r="Q163" s="20">
        <v>16.2</v>
      </c>
      <c r="R163" s="20">
        <v>68.510000000000005</v>
      </c>
      <c r="S163" s="26">
        <v>68</v>
      </c>
      <c r="T163" s="26">
        <v>-0.51</v>
      </c>
      <c r="U163" s="26">
        <v>-0.01</v>
      </c>
      <c r="V163" s="26">
        <v>1477.42</v>
      </c>
    </row>
    <row r="164" spans="1:22" ht="16.8" x14ac:dyDescent="0.3">
      <c r="A164" s="20">
        <v>16.3</v>
      </c>
      <c r="B164" s="20">
        <v>68</v>
      </c>
      <c r="C164" s="26">
        <v>67.38</v>
      </c>
      <c r="D164" s="20">
        <v>0.62</v>
      </c>
      <c r="E164" s="20">
        <v>0</v>
      </c>
      <c r="F164" s="26">
        <v>2308.16</v>
      </c>
      <c r="Q164" s="20">
        <v>16.3</v>
      </c>
      <c r="R164" s="20">
        <v>68.489999999999995</v>
      </c>
      <c r="S164" s="26">
        <v>68</v>
      </c>
      <c r="T164" s="20">
        <v>-0.49</v>
      </c>
      <c r="U164" s="20">
        <v>0.02</v>
      </c>
      <c r="V164" s="20">
        <v>1497.2</v>
      </c>
    </row>
    <row r="165" spans="1:22" ht="16.8" x14ac:dyDescent="0.3">
      <c r="A165" s="20">
        <v>16.399999999999999</v>
      </c>
      <c r="B165" s="20">
        <v>68</v>
      </c>
      <c r="C165" s="26">
        <v>67.42</v>
      </c>
      <c r="D165" s="20">
        <v>0.57999999999999996</v>
      </c>
      <c r="E165" s="20">
        <v>-0.04</v>
      </c>
      <c r="F165" s="26">
        <v>2374.8200000000002</v>
      </c>
      <c r="Q165" s="20">
        <v>16.399999999999999</v>
      </c>
      <c r="R165" s="20">
        <v>68.45</v>
      </c>
      <c r="S165" s="26">
        <v>68</v>
      </c>
      <c r="T165" s="26">
        <v>-0.45</v>
      </c>
      <c r="U165" s="26">
        <v>0.04</v>
      </c>
      <c r="V165" s="26">
        <v>1521.11</v>
      </c>
    </row>
    <row r="166" spans="1:22" ht="16.8" x14ac:dyDescent="0.3">
      <c r="A166" s="20">
        <v>16.5</v>
      </c>
      <c r="B166" s="20">
        <v>68</v>
      </c>
      <c r="C166" s="20">
        <v>67.430000000000007</v>
      </c>
      <c r="D166" s="20">
        <v>0.56999999999999995</v>
      </c>
      <c r="E166" s="20">
        <v>-0.01</v>
      </c>
      <c r="F166" s="20">
        <v>2273.41</v>
      </c>
      <c r="Q166" s="20">
        <v>16.5</v>
      </c>
      <c r="R166" s="20">
        <v>68.459999999999994</v>
      </c>
      <c r="S166" s="26">
        <v>68</v>
      </c>
      <c r="T166" s="26">
        <v>-0.46</v>
      </c>
      <c r="U166" s="26">
        <v>-0.01</v>
      </c>
      <c r="V166" s="20">
        <v>1482.1</v>
      </c>
    </row>
    <row r="167" spans="1:22" ht="16.8" x14ac:dyDescent="0.3">
      <c r="A167" s="20">
        <v>16.600000000000001</v>
      </c>
      <c r="B167" s="20">
        <v>68</v>
      </c>
      <c r="C167" s="26">
        <v>67.52</v>
      </c>
      <c r="D167" s="20">
        <v>0.48</v>
      </c>
      <c r="E167" s="20">
        <v>-0.09</v>
      </c>
      <c r="F167" s="26">
        <v>2393.7199999999998</v>
      </c>
      <c r="Q167" s="20">
        <v>16.600000000000001</v>
      </c>
      <c r="R167" s="20">
        <v>68.45</v>
      </c>
      <c r="S167" s="26">
        <v>68</v>
      </c>
      <c r="T167" s="26">
        <v>-0.45</v>
      </c>
      <c r="U167" s="26">
        <v>0.01</v>
      </c>
      <c r="V167" s="20">
        <v>1494.54</v>
      </c>
    </row>
    <row r="168" spans="1:22" ht="16.8" x14ac:dyDescent="0.3">
      <c r="A168" s="20">
        <v>16.7</v>
      </c>
      <c r="B168" s="20">
        <v>68</v>
      </c>
      <c r="C168" s="20">
        <v>67.56</v>
      </c>
      <c r="D168" s="20">
        <v>0.44</v>
      </c>
      <c r="E168" s="20">
        <v>-0.04</v>
      </c>
      <c r="F168" s="26">
        <v>2244.4699999999998</v>
      </c>
      <c r="Q168" s="20">
        <v>16.7</v>
      </c>
      <c r="R168" s="20">
        <v>68.400000000000006</v>
      </c>
      <c r="S168" s="26">
        <v>68</v>
      </c>
      <c r="T168" s="26">
        <v>-0.4</v>
      </c>
      <c r="U168" s="26">
        <v>0.06</v>
      </c>
      <c r="V168" s="26">
        <v>1539.53</v>
      </c>
    </row>
    <row r="169" spans="1:22" ht="16.8" x14ac:dyDescent="0.3">
      <c r="A169" s="20">
        <v>16.8</v>
      </c>
      <c r="B169" s="20">
        <v>68</v>
      </c>
      <c r="C169" s="26">
        <v>67.64</v>
      </c>
      <c r="D169" s="20">
        <v>0.36</v>
      </c>
      <c r="E169" s="20">
        <v>-0.08</v>
      </c>
      <c r="F169" s="20">
        <v>2297.23</v>
      </c>
      <c r="Q169" s="20">
        <v>16.8</v>
      </c>
      <c r="R169" s="20">
        <v>68.41</v>
      </c>
      <c r="S169" s="26">
        <v>68</v>
      </c>
      <c r="T169" s="26">
        <v>-0.41</v>
      </c>
      <c r="U169" s="26">
        <v>-0.02</v>
      </c>
      <c r="V169" s="20">
        <v>1481.03</v>
      </c>
    </row>
    <row r="170" spans="1:22" ht="16.8" x14ac:dyDescent="0.3">
      <c r="A170" s="20">
        <v>16.899999999999999</v>
      </c>
      <c r="B170" s="20">
        <v>68</v>
      </c>
      <c r="C170" s="26">
        <v>67.67</v>
      </c>
      <c r="D170" s="20">
        <v>0.33</v>
      </c>
      <c r="E170" s="20">
        <v>-0.03</v>
      </c>
      <c r="F170" s="26">
        <v>2152.5100000000002</v>
      </c>
      <c r="Q170" s="20">
        <v>16.899999999999999</v>
      </c>
      <c r="R170" s="20">
        <v>68.36</v>
      </c>
      <c r="S170" s="26">
        <v>68</v>
      </c>
      <c r="T170" s="26">
        <v>-0.36</v>
      </c>
      <c r="U170" s="26">
        <v>0.06</v>
      </c>
      <c r="V170" s="26">
        <v>1544.4</v>
      </c>
    </row>
    <row r="171" spans="1:22" ht="16.8" x14ac:dyDescent="0.3">
      <c r="A171" s="20">
        <v>17</v>
      </c>
      <c r="B171" s="20">
        <v>68</v>
      </c>
      <c r="C171" s="20">
        <v>67.760000000000005</v>
      </c>
      <c r="D171" s="20">
        <v>0.24</v>
      </c>
      <c r="E171" s="20">
        <v>-0.09</v>
      </c>
      <c r="F171" s="20">
        <v>2279.5700000000002</v>
      </c>
      <c r="Q171" s="20">
        <v>17</v>
      </c>
      <c r="R171" s="20">
        <v>68.39</v>
      </c>
      <c r="S171" s="26">
        <v>68</v>
      </c>
      <c r="T171" s="26">
        <v>-0.39</v>
      </c>
      <c r="U171" s="26">
        <v>-0.03</v>
      </c>
      <c r="V171" s="20">
        <v>1471.07</v>
      </c>
    </row>
    <row r="172" spans="1:22" ht="16.8" x14ac:dyDescent="0.3">
      <c r="A172" s="20">
        <v>17.100000000000001</v>
      </c>
      <c r="B172" s="20">
        <v>68</v>
      </c>
      <c r="C172" s="26">
        <v>67.86</v>
      </c>
      <c r="D172" s="20">
        <v>0.14000000000000001</v>
      </c>
      <c r="E172" s="20">
        <v>-0.1</v>
      </c>
      <c r="F172" s="26">
        <v>2243.4</v>
      </c>
      <c r="Q172" s="20">
        <v>17.100000000000001</v>
      </c>
      <c r="R172" s="20">
        <v>68.38</v>
      </c>
      <c r="S172" s="26">
        <v>68</v>
      </c>
      <c r="T172" s="26">
        <v>-0.38</v>
      </c>
      <c r="U172" s="26">
        <v>0.01</v>
      </c>
      <c r="V172" s="26">
        <v>1501.97</v>
      </c>
    </row>
    <row r="173" spans="1:22" ht="16.8" x14ac:dyDescent="0.3">
      <c r="A173" s="20">
        <v>17.2</v>
      </c>
      <c r="B173" s="20">
        <v>68</v>
      </c>
      <c r="C173" s="26">
        <v>67.98</v>
      </c>
      <c r="D173" s="20">
        <v>0.02</v>
      </c>
      <c r="E173" s="20">
        <v>-0.12</v>
      </c>
      <c r="F173" s="26">
        <v>2075.4</v>
      </c>
      <c r="Q173" s="20">
        <v>17.2</v>
      </c>
      <c r="R173" s="20">
        <v>68.430000000000007</v>
      </c>
      <c r="S173" s="26">
        <v>68</v>
      </c>
      <c r="T173" s="26">
        <v>-0.43</v>
      </c>
      <c r="U173" s="26">
        <v>-0.05</v>
      </c>
      <c r="V173" s="20">
        <v>1450.25</v>
      </c>
    </row>
    <row r="174" spans="1:22" ht="16.8" x14ac:dyDescent="0.3">
      <c r="A174" s="20">
        <v>17.3</v>
      </c>
      <c r="B174" s="20">
        <v>68</v>
      </c>
      <c r="C174" s="20">
        <v>68.05</v>
      </c>
      <c r="D174" s="20">
        <v>-0.05</v>
      </c>
      <c r="E174" s="20">
        <v>-7.0000000000000007E-2</v>
      </c>
      <c r="F174" s="20">
        <v>1994.07</v>
      </c>
      <c r="Q174" s="20">
        <v>17.3</v>
      </c>
      <c r="R174" s="20">
        <v>68.39</v>
      </c>
      <c r="S174" s="26">
        <v>68</v>
      </c>
      <c r="T174" s="26">
        <v>-0.39</v>
      </c>
      <c r="U174" s="26">
        <v>0.04</v>
      </c>
      <c r="V174" s="26">
        <v>1523.02</v>
      </c>
    </row>
    <row r="175" spans="1:22" ht="16.8" x14ac:dyDescent="0.3">
      <c r="A175" s="20">
        <v>17.399999999999999</v>
      </c>
      <c r="B175" s="20">
        <v>68</v>
      </c>
      <c r="C175" s="26">
        <v>68.08</v>
      </c>
      <c r="D175" s="20">
        <v>-0.08</v>
      </c>
      <c r="E175" s="20">
        <v>-0.03</v>
      </c>
      <c r="F175" s="26">
        <v>1965.83</v>
      </c>
      <c r="Q175" s="20">
        <v>17.399999999999999</v>
      </c>
      <c r="R175" s="20">
        <v>68.36</v>
      </c>
      <c r="S175" s="26">
        <v>68</v>
      </c>
      <c r="T175" s="26">
        <v>-0.36</v>
      </c>
      <c r="U175" s="26">
        <v>0.03</v>
      </c>
      <c r="V175" s="20">
        <v>1521.46</v>
      </c>
    </row>
    <row r="176" spans="1:22" ht="16.8" x14ac:dyDescent="0.3">
      <c r="A176" s="20">
        <v>17.5</v>
      </c>
      <c r="B176" s="20">
        <v>68</v>
      </c>
      <c r="C176" s="20">
        <v>68.23</v>
      </c>
      <c r="D176" s="20">
        <v>-0.23</v>
      </c>
      <c r="E176" s="20">
        <v>-0.15</v>
      </c>
      <c r="F176" s="26">
        <v>1836.37</v>
      </c>
      <c r="Q176" s="20">
        <v>17.5</v>
      </c>
      <c r="R176" s="20">
        <v>68.37</v>
      </c>
      <c r="S176" s="26">
        <v>68</v>
      </c>
      <c r="T176" s="26">
        <v>-0.37</v>
      </c>
      <c r="U176" s="26">
        <v>-0.02</v>
      </c>
      <c r="V176" s="26">
        <v>1481.31</v>
      </c>
    </row>
    <row r="177" spans="1:22" ht="16.8" x14ac:dyDescent="0.3">
      <c r="A177" s="20">
        <v>17.600000000000001</v>
      </c>
      <c r="B177" s="20">
        <v>68</v>
      </c>
      <c r="C177" s="26">
        <v>68.3</v>
      </c>
      <c r="D177" s="20">
        <v>-0.3</v>
      </c>
      <c r="E177" s="20">
        <v>-7.0000000000000007E-2</v>
      </c>
      <c r="F177" s="20">
        <v>1785.59</v>
      </c>
      <c r="Q177" s="20">
        <v>17.600000000000001</v>
      </c>
      <c r="R177" s="20">
        <v>68.38</v>
      </c>
      <c r="S177" s="26">
        <v>68</v>
      </c>
      <c r="T177" s="20">
        <v>-0.38</v>
      </c>
      <c r="U177" s="26">
        <v>-0.01</v>
      </c>
      <c r="V177" s="20">
        <v>1485.16</v>
      </c>
    </row>
    <row r="178" spans="1:22" ht="16.8" x14ac:dyDescent="0.3">
      <c r="A178" s="20">
        <v>17.7</v>
      </c>
      <c r="B178" s="20">
        <v>68</v>
      </c>
      <c r="C178" s="26">
        <v>68.34</v>
      </c>
      <c r="D178" s="20">
        <v>-0.34</v>
      </c>
      <c r="E178" s="20">
        <v>-0.05</v>
      </c>
      <c r="F178" s="26">
        <v>1751.28</v>
      </c>
      <c r="Q178" s="20">
        <v>17.7</v>
      </c>
      <c r="R178" s="20">
        <v>68.37</v>
      </c>
      <c r="S178" s="26">
        <v>68</v>
      </c>
      <c r="T178" s="26">
        <v>-0.37</v>
      </c>
      <c r="U178" s="26">
        <v>0.01</v>
      </c>
      <c r="V178" s="20">
        <v>1497.79</v>
      </c>
    </row>
    <row r="179" spans="1:22" ht="16.8" x14ac:dyDescent="0.3">
      <c r="A179" s="20">
        <v>17.8</v>
      </c>
      <c r="B179" s="20">
        <v>68</v>
      </c>
      <c r="C179" s="20">
        <v>68.400000000000006</v>
      </c>
      <c r="D179" s="20">
        <v>-0.4</v>
      </c>
      <c r="E179" s="20">
        <v>-0.05</v>
      </c>
      <c r="F179" s="20">
        <v>1723.2</v>
      </c>
      <c r="Q179" s="20">
        <v>17.8</v>
      </c>
      <c r="R179" s="20">
        <v>68.36</v>
      </c>
      <c r="S179" s="26">
        <v>68</v>
      </c>
      <c r="T179" s="20">
        <v>-0.36</v>
      </c>
      <c r="U179" s="26">
        <v>0.02</v>
      </c>
      <c r="V179" s="26">
        <v>1505.72</v>
      </c>
    </row>
    <row r="180" spans="1:22" ht="16.8" x14ac:dyDescent="0.3">
      <c r="A180" s="20">
        <v>17.899999999999999</v>
      </c>
      <c r="B180" s="20">
        <v>68</v>
      </c>
      <c r="C180" s="26">
        <v>68.489999999999995</v>
      </c>
      <c r="D180" s="20">
        <v>-0.49</v>
      </c>
      <c r="E180" s="20">
        <v>-0.09</v>
      </c>
      <c r="F180" s="26">
        <v>1693.67</v>
      </c>
      <c r="Q180" s="20">
        <v>17.899999999999999</v>
      </c>
      <c r="R180" s="20">
        <v>68.36</v>
      </c>
      <c r="S180" s="26">
        <v>68</v>
      </c>
      <c r="T180" s="26">
        <v>-0.36</v>
      </c>
      <c r="U180" s="26">
        <v>-0.01</v>
      </c>
      <c r="V180" s="20">
        <v>1485.2</v>
      </c>
    </row>
    <row r="181" spans="1:22" ht="16.8" x14ac:dyDescent="0.3">
      <c r="A181" s="20">
        <v>18</v>
      </c>
      <c r="B181" s="20">
        <v>68</v>
      </c>
      <c r="C181" s="20">
        <v>68.510000000000005</v>
      </c>
      <c r="D181" s="20">
        <v>-0.51</v>
      </c>
      <c r="E181" s="20">
        <v>-0.02</v>
      </c>
      <c r="F181" s="26">
        <v>1684.82</v>
      </c>
      <c r="Q181" s="20">
        <v>18</v>
      </c>
      <c r="R181" s="20">
        <v>68.31</v>
      </c>
      <c r="S181" s="26">
        <v>68</v>
      </c>
      <c r="T181" s="26">
        <v>-0.31</v>
      </c>
      <c r="U181" s="26">
        <v>0.06</v>
      </c>
      <c r="V181" s="26">
        <v>1542.62</v>
      </c>
    </row>
    <row r="182" spans="1:22" ht="16.8" x14ac:dyDescent="0.3">
      <c r="A182" s="20">
        <v>18.100000000000001</v>
      </c>
      <c r="B182" s="20">
        <v>68</v>
      </c>
      <c r="C182" s="26">
        <v>68.61</v>
      </c>
      <c r="D182" s="20">
        <v>-0.61</v>
      </c>
      <c r="E182" s="20">
        <v>-0.1</v>
      </c>
      <c r="F182" s="20">
        <v>1633.64</v>
      </c>
      <c r="Q182" s="20">
        <v>18.100000000000001</v>
      </c>
      <c r="R182" s="20">
        <v>68.34</v>
      </c>
      <c r="S182" s="26">
        <v>68</v>
      </c>
      <c r="T182" s="26">
        <v>-0.34</v>
      </c>
      <c r="U182" s="26">
        <v>-0.03</v>
      </c>
      <c r="V182" s="20">
        <v>1469.41</v>
      </c>
    </row>
    <row r="183" spans="1:22" ht="16.8" x14ac:dyDescent="0.3">
      <c r="A183" s="20">
        <v>18.2</v>
      </c>
      <c r="B183" s="20">
        <v>68</v>
      </c>
      <c r="C183" s="26">
        <v>68.599999999999994</v>
      </c>
      <c r="D183" s="20">
        <v>-0.6</v>
      </c>
      <c r="E183" s="20">
        <v>0.01</v>
      </c>
      <c r="F183" s="26">
        <v>1647.65</v>
      </c>
      <c r="Q183" s="20">
        <v>18.2</v>
      </c>
      <c r="R183" s="20">
        <v>68.19</v>
      </c>
      <c r="S183" s="26">
        <v>68</v>
      </c>
      <c r="T183" s="26">
        <v>-0.19</v>
      </c>
      <c r="U183" s="26">
        <v>0.15</v>
      </c>
      <c r="V183" s="26">
        <v>1634.59</v>
      </c>
    </row>
    <row r="184" spans="1:22" ht="16.8" x14ac:dyDescent="0.3">
      <c r="A184" s="20">
        <v>18.3</v>
      </c>
      <c r="B184" s="20">
        <v>68</v>
      </c>
      <c r="C184" s="20">
        <v>68.66</v>
      </c>
      <c r="D184" s="20">
        <v>-0.66</v>
      </c>
      <c r="E184" s="20">
        <v>-0.06</v>
      </c>
      <c r="F184" s="20">
        <v>1501.32</v>
      </c>
      <c r="Q184" s="20">
        <v>18.3</v>
      </c>
      <c r="R184" s="20">
        <v>68.28</v>
      </c>
      <c r="S184" s="26">
        <v>68</v>
      </c>
      <c r="T184" s="20">
        <v>-0.28000000000000003</v>
      </c>
      <c r="U184" s="20">
        <v>-0.1</v>
      </c>
      <c r="V184" s="20">
        <v>1428.93</v>
      </c>
    </row>
    <row r="185" spans="1:22" ht="16.8" x14ac:dyDescent="0.3">
      <c r="A185" s="20">
        <v>18.399999999999999</v>
      </c>
      <c r="B185" s="20">
        <v>68</v>
      </c>
      <c r="C185" s="26">
        <v>68.64</v>
      </c>
      <c r="D185" s="20">
        <v>-0.64</v>
      </c>
      <c r="E185" s="20">
        <v>0.02</v>
      </c>
      <c r="F185" s="26">
        <v>1547.88</v>
      </c>
      <c r="Q185" s="20">
        <v>18.399999999999999</v>
      </c>
      <c r="R185" s="20">
        <v>67.62</v>
      </c>
      <c r="S185" s="26">
        <v>68</v>
      </c>
      <c r="T185" s="26">
        <v>0.38</v>
      </c>
      <c r="U185" s="26">
        <v>0.66</v>
      </c>
      <c r="V185" s="26">
        <v>2112.62</v>
      </c>
    </row>
    <row r="186" spans="1:22" ht="16.8" x14ac:dyDescent="0.3">
      <c r="A186" s="20">
        <v>18.5</v>
      </c>
      <c r="B186" s="20">
        <v>68</v>
      </c>
      <c r="C186" s="26">
        <v>68.650000000000006</v>
      </c>
      <c r="D186" s="20">
        <v>-0.65</v>
      </c>
      <c r="E186" s="20">
        <v>-0.01</v>
      </c>
      <c r="F186" s="26">
        <v>1513.54</v>
      </c>
      <c r="Q186" s="20">
        <v>18.5</v>
      </c>
      <c r="R186" s="20">
        <v>68.31</v>
      </c>
      <c r="S186" s="26">
        <v>68</v>
      </c>
      <c r="T186" s="20">
        <v>-0.31</v>
      </c>
      <c r="U186" s="20">
        <v>-0.68</v>
      </c>
      <c r="V186" s="20">
        <v>980.33</v>
      </c>
    </row>
    <row r="187" spans="1:22" ht="16.8" x14ac:dyDescent="0.3">
      <c r="A187" s="20">
        <v>18.600000000000001</v>
      </c>
      <c r="B187" s="20">
        <v>68</v>
      </c>
      <c r="C187" s="20">
        <v>68.709999999999994</v>
      </c>
      <c r="D187" s="20">
        <v>-0.71</v>
      </c>
      <c r="E187" s="20">
        <v>-0.05</v>
      </c>
      <c r="F187" s="20">
        <v>1313.26</v>
      </c>
      <c r="Q187" s="20">
        <v>18.600000000000001</v>
      </c>
      <c r="R187" s="20">
        <v>67.37</v>
      </c>
      <c r="S187" s="26">
        <v>68</v>
      </c>
      <c r="T187" s="26">
        <v>0.63</v>
      </c>
      <c r="U187" s="26">
        <v>0.93</v>
      </c>
      <c r="V187" s="20">
        <v>2362.13</v>
      </c>
    </row>
    <row r="188" spans="1:22" ht="16.8" x14ac:dyDescent="0.3">
      <c r="A188" s="20">
        <v>18.7</v>
      </c>
      <c r="B188" s="20">
        <v>68</v>
      </c>
      <c r="C188" s="26">
        <v>68.67</v>
      </c>
      <c r="D188" s="20">
        <v>-0.67</v>
      </c>
      <c r="E188" s="20">
        <v>0.04</v>
      </c>
      <c r="F188" s="26">
        <v>1461.99</v>
      </c>
      <c r="Q188" s="20">
        <v>18.7</v>
      </c>
      <c r="R188" s="20">
        <v>68.3</v>
      </c>
      <c r="S188" s="26">
        <v>68</v>
      </c>
      <c r="T188" s="26">
        <v>-0.3</v>
      </c>
      <c r="U188" s="26">
        <v>-0.93</v>
      </c>
      <c r="V188" s="26">
        <v>799.68</v>
      </c>
    </row>
    <row r="189" spans="1:22" ht="16.8" x14ac:dyDescent="0.3">
      <c r="A189" s="20">
        <v>18.8</v>
      </c>
      <c r="B189" s="20">
        <v>68</v>
      </c>
      <c r="C189" s="20">
        <v>68.680000000000007</v>
      </c>
      <c r="D189" s="20">
        <v>-0.68</v>
      </c>
      <c r="E189" s="20">
        <v>-0.01</v>
      </c>
      <c r="F189" s="26">
        <v>1418.14</v>
      </c>
      <c r="Q189" s="20">
        <v>18.8</v>
      </c>
      <c r="R189" s="20">
        <v>67.31</v>
      </c>
      <c r="S189" s="26">
        <v>68</v>
      </c>
      <c r="T189" s="26">
        <v>0.69</v>
      </c>
      <c r="U189" s="26">
        <v>0.99</v>
      </c>
      <c r="V189" s="20">
        <v>2416.4499999999998</v>
      </c>
    </row>
    <row r="190" spans="1:22" ht="16.8" x14ac:dyDescent="0.3">
      <c r="A190" s="20">
        <v>18.899999999999999</v>
      </c>
      <c r="B190" s="20">
        <v>68</v>
      </c>
      <c r="C190" s="26">
        <v>68.61</v>
      </c>
      <c r="D190" s="20">
        <v>-0.61</v>
      </c>
      <c r="E190" s="20">
        <v>7.0000000000000007E-2</v>
      </c>
      <c r="F190" s="20">
        <v>1616.51</v>
      </c>
      <c r="Q190" s="20">
        <v>18.899999999999999</v>
      </c>
      <c r="R190" s="20">
        <v>68.31</v>
      </c>
      <c r="S190" s="26">
        <v>68</v>
      </c>
      <c r="T190" s="26">
        <v>-0.31</v>
      </c>
      <c r="U190" s="26">
        <v>-1</v>
      </c>
      <c r="V190" s="26">
        <v>744.43</v>
      </c>
    </row>
    <row r="191" spans="1:22" ht="16.8" x14ac:dyDescent="0.3">
      <c r="A191" s="20">
        <v>19</v>
      </c>
      <c r="B191" s="20">
        <v>68</v>
      </c>
      <c r="C191" s="26">
        <v>68.63</v>
      </c>
      <c r="D191" s="20">
        <v>-0.63</v>
      </c>
      <c r="E191" s="20">
        <v>-0.01</v>
      </c>
      <c r="F191" s="26">
        <v>1588.82</v>
      </c>
      <c r="Q191" s="20">
        <v>19</v>
      </c>
      <c r="R191" s="20">
        <v>67.31</v>
      </c>
      <c r="S191" s="26">
        <v>68</v>
      </c>
      <c r="T191" s="26">
        <v>0.69</v>
      </c>
      <c r="U191" s="26">
        <v>1</v>
      </c>
      <c r="V191" s="20">
        <v>2423.46</v>
      </c>
    </row>
    <row r="192" spans="1:22" ht="16.8" x14ac:dyDescent="0.3">
      <c r="A192" s="20">
        <v>19.100000000000001</v>
      </c>
      <c r="B192" s="20">
        <v>68</v>
      </c>
      <c r="C192" s="20">
        <v>68.599999999999994</v>
      </c>
      <c r="D192" s="20">
        <v>-0.6</v>
      </c>
      <c r="E192" s="20">
        <v>0.02</v>
      </c>
      <c r="F192" s="20">
        <v>1641.86</v>
      </c>
      <c r="Q192" s="20">
        <v>19.100000000000001</v>
      </c>
      <c r="R192" s="20">
        <v>68.3</v>
      </c>
      <c r="S192" s="26">
        <v>68</v>
      </c>
      <c r="T192" s="20">
        <v>-0.3</v>
      </c>
      <c r="U192" s="20">
        <v>-0.99</v>
      </c>
      <c r="V192" s="26">
        <v>752.8</v>
      </c>
    </row>
    <row r="193" spans="1:22" ht="16.8" x14ac:dyDescent="0.3">
      <c r="A193" s="20">
        <v>19.2</v>
      </c>
      <c r="B193" s="20">
        <v>68</v>
      </c>
      <c r="C193" s="26">
        <v>68.52</v>
      </c>
      <c r="D193" s="20">
        <v>-0.52</v>
      </c>
      <c r="E193" s="20">
        <v>0.08</v>
      </c>
      <c r="F193" s="26">
        <v>1681.77</v>
      </c>
      <c r="Q193" s="20">
        <v>19.2</v>
      </c>
      <c r="R193" s="20">
        <v>67.31</v>
      </c>
      <c r="S193" s="26">
        <v>68</v>
      </c>
      <c r="T193" s="26">
        <v>0.69</v>
      </c>
      <c r="U193" s="26">
        <v>0.99</v>
      </c>
      <c r="V193" s="20">
        <v>2418.31</v>
      </c>
    </row>
    <row r="194" spans="1:22" ht="16.8" x14ac:dyDescent="0.3">
      <c r="A194" s="20">
        <v>19.3</v>
      </c>
      <c r="B194" s="20">
        <v>68</v>
      </c>
      <c r="C194" s="20">
        <v>68.510000000000005</v>
      </c>
      <c r="D194" s="20">
        <v>-0.51</v>
      </c>
      <c r="E194" s="20">
        <v>0.01</v>
      </c>
      <c r="F194" s="26">
        <v>1684.82</v>
      </c>
      <c r="Q194" s="20">
        <v>19.3</v>
      </c>
      <c r="R194" s="20">
        <v>68.349999999999994</v>
      </c>
      <c r="S194" s="26">
        <v>68</v>
      </c>
      <c r="T194" s="26">
        <v>-0.35</v>
      </c>
      <c r="U194" s="26">
        <v>-1.04</v>
      </c>
      <c r="V194" s="26">
        <v>709.02</v>
      </c>
    </row>
    <row r="195" spans="1:22" ht="16.8" x14ac:dyDescent="0.3">
      <c r="A195" s="20">
        <v>19.399999999999999</v>
      </c>
      <c r="B195" s="20">
        <v>68</v>
      </c>
      <c r="C195" s="26">
        <v>68.430000000000007</v>
      </c>
      <c r="D195" s="20">
        <v>-0.43</v>
      </c>
      <c r="E195" s="20">
        <v>0.08</v>
      </c>
      <c r="F195" s="20">
        <v>1714.26</v>
      </c>
      <c r="Q195" s="20">
        <v>19.399999999999999</v>
      </c>
      <c r="R195" s="20">
        <v>67.31</v>
      </c>
      <c r="S195" s="26">
        <v>68</v>
      </c>
      <c r="T195" s="26">
        <v>0.69</v>
      </c>
      <c r="U195" s="26">
        <v>1.04</v>
      </c>
      <c r="V195" s="20">
        <v>2455.6799999999998</v>
      </c>
    </row>
    <row r="196" spans="1:22" ht="16.8" x14ac:dyDescent="0.3">
      <c r="A196" s="20">
        <v>19.5</v>
      </c>
      <c r="B196" s="20">
        <v>68</v>
      </c>
      <c r="C196" s="26">
        <v>68.45</v>
      </c>
      <c r="D196" s="20">
        <v>-0.45</v>
      </c>
      <c r="E196" s="20">
        <v>-0.02</v>
      </c>
      <c r="F196" s="26">
        <v>1706.24</v>
      </c>
      <c r="Q196" s="20">
        <v>19.5</v>
      </c>
      <c r="R196" s="20">
        <v>68.37</v>
      </c>
      <c r="S196" s="26">
        <v>68</v>
      </c>
      <c r="T196" s="26">
        <v>-0.37</v>
      </c>
      <c r="U196" s="26">
        <v>-1.06</v>
      </c>
      <c r="V196" s="26">
        <v>687.47</v>
      </c>
    </row>
    <row r="197" spans="1:22" ht="16.8" x14ac:dyDescent="0.3">
      <c r="A197" s="20">
        <v>19.600000000000001</v>
      </c>
      <c r="B197" s="20">
        <v>68</v>
      </c>
      <c r="C197" s="20">
        <v>68.34</v>
      </c>
      <c r="D197" s="20">
        <v>-0.34</v>
      </c>
      <c r="E197" s="20">
        <v>0.11</v>
      </c>
      <c r="F197" s="20">
        <v>1754.12</v>
      </c>
      <c r="Q197" s="20">
        <v>19.600000000000001</v>
      </c>
      <c r="R197" s="20">
        <v>67.38</v>
      </c>
      <c r="S197" s="26">
        <v>68</v>
      </c>
      <c r="T197" s="20">
        <v>0.62</v>
      </c>
      <c r="U197" s="26">
        <v>0.99</v>
      </c>
      <c r="V197" s="20">
        <v>2407.65</v>
      </c>
    </row>
    <row r="198" spans="1:22" ht="16.8" x14ac:dyDescent="0.3">
      <c r="A198" s="20">
        <v>19.7</v>
      </c>
      <c r="B198" s="20">
        <v>68</v>
      </c>
      <c r="C198" s="26">
        <v>68.349999999999994</v>
      </c>
      <c r="D198" s="20">
        <v>-0.35</v>
      </c>
      <c r="E198" s="20">
        <v>-0.01</v>
      </c>
      <c r="F198" s="26">
        <v>1748.44</v>
      </c>
      <c r="Q198" s="20">
        <v>19.7</v>
      </c>
      <c r="R198" s="20">
        <v>68.38</v>
      </c>
      <c r="S198" s="26">
        <v>68</v>
      </c>
      <c r="T198" s="26">
        <v>-0.38</v>
      </c>
      <c r="U198" s="26">
        <v>-1</v>
      </c>
      <c r="V198" s="26">
        <v>735.43</v>
      </c>
    </row>
    <row r="199" spans="1:22" ht="16.8" x14ac:dyDescent="0.3">
      <c r="A199" s="20">
        <v>19.8</v>
      </c>
      <c r="B199" s="20">
        <v>68</v>
      </c>
      <c r="C199" s="26">
        <v>68.33</v>
      </c>
      <c r="D199" s="20">
        <v>-0.33</v>
      </c>
      <c r="E199" s="20">
        <v>0.02</v>
      </c>
      <c r="F199" s="26">
        <v>1759.82</v>
      </c>
      <c r="Q199" s="20">
        <v>19.8</v>
      </c>
      <c r="R199" s="20">
        <v>67.430000000000007</v>
      </c>
      <c r="S199" s="26">
        <v>68</v>
      </c>
      <c r="T199" s="20">
        <v>0.56999999999999995</v>
      </c>
      <c r="U199" s="26">
        <v>0.95</v>
      </c>
      <c r="V199" s="20">
        <v>2369.58</v>
      </c>
    </row>
    <row r="200" spans="1:22" ht="16.8" x14ac:dyDescent="0.3">
      <c r="A200" s="20">
        <v>19.899999999999999</v>
      </c>
      <c r="B200" s="20">
        <v>68</v>
      </c>
      <c r="C200" s="20">
        <v>68.290000000000006</v>
      </c>
      <c r="D200" s="20">
        <v>-0.28999999999999998</v>
      </c>
      <c r="E200" s="20">
        <v>0.04</v>
      </c>
      <c r="F200" s="20">
        <v>1788.49</v>
      </c>
      <c r="Q200" s="20">
        <v>19.899999999999999</v>
      </c>
      <c r="R200" s="20">
        <v>68.41</v>
      </c>
      <c r="S200" s="26">
        <v>68</v>
      </c>
      <c r="T200" s="26">
        <v>-0.41</v>
      </c>
      <c r="U200" s="26">
        <v>-0.98</v>
      </c>
      <c r="V200" s="20">
        <v>750.08</v>
      </c>
    </row>
    <row r="201" spans="1:22" ht="16.8" x14ac:dyDescent="0.3">
      <c r="A201" s="20">
        <v>20</v>
      </c>
      <c r="B201" s="20">
        <v>68</v>
      </c>
      <c r="C201" s="26">
        <v>68.25</v>
      </c>
      <c r="D201" s="20">
        <v>-0.25</v>
      </c>
      <c r="E201" s="20">
        <v>0.04</v>
      </c>
      <c r="F201" s="26">
        <v>1820.95</v>
      </c>
      <c r="Q201" s="20">
        <v>20</v>
      </c>
      <c r="R201" s="20">
        <v>67.459999999999994</v>
      </c>
      <c r="S201" s="26">
        <v>68</v>
      </c>
      <c r="T201" s="26">
        <v>0.54</v>
      </c>
      <c r="U201" s="26">
        <v>0.94</v>
      </c>
      <c r="V201" s="26">
        <v>2358.4299999999998</v>
      </c>
    </row>
    <row r="202" spans="1:22" ht="16.8" x14ac:dyDescent="0.3">
      <c r="A202" s="20">
        <v>20.100000000000001</v>
      </c>
      <c r="B202" s="20">
        <v>68</v>
      </c>
      <c r="C202" s="20">
        <v>68.209999999999994</v>
      </c>
      <c r="D202" s="20">
        <v>-0.21</v>
      </c>
      <c r="E202" s="20">
        <v>0.04</v>
      </c>
      <c r="F202" s="20">
        <v>1851.65</v>
      </c>
      <c r="Q202" s="20">
        <v>20.100000000000001</v>
      </c>
      <c r="R202" s="20">
        <v>68.44</v>
      </c>
      <c r="S202" s="26">
        <v>68</v>
      </c>
      <c r="T202" s="26">
        <v>-0.44</v>
      </c>
      <c r="U202" s="26">
        <v>-0.98</v>
      </c>
      <c r="V202" s="20">
        <v>744.96</v>
      </c>
    </row>
    <row r="203" spans="1:22" ht="16.8" x14ac:dyDescent="0.3">
      <c r="A203" s="20">
        <v>20.2</v>
      </c>
      <c r="B203" s="20">
        <v>68</v>
      </c>
      <c r="C203" s="26">
        <v>68.19</v>
      </c>
      <c r="D203" s="20">
        <v>-0.19</v>
      </c>
      <c r="E203" s="20">
        <v>0.02</v>
      </c>
      <c r="F203" s="26">
        <v>1867.89</v>
      </c>
      <c r="Q203" s="20">
        <v>20.2</v>
      </c>
      <c r="R203" s="20">
        <v>67.489999999999995</v>
      </c>
      <c r="S203" s="26">
        <v>68</v>
      </c>
      <c r="T203" s="26">
        <v>0.51</v>
      </c>
      <c r="U203" s="26">
        <v>0.94</v>
      </c>
      <c r="V203" s="26">
        <v>2353.21</v>
      </c>
    </row>
    <row r="204" spans="1:22" ht="16.8" x14ac:dyDescent="0.3">
      <c r="A204" s="20">
        <v>20.3</v>
      </c>
      <c r="B204" s="20">
        <v>68</v>
      </c>
      <c r="C204" s="26">
        <v>68.150000000000006</v>
      </c>
      <c r="D204" s="20">
        <v>-0.15</v>
      </c>
      <c r="E204" s="20">
        <v>0.04</v>
      </c>
      <c r="F204" s="26">
        <v>1902.21</v>
      </c>
      <c r="Q204" s="20">
        <v>20.3</v>
      </c>
      <c r="R204" s="20">
        <v>68.430000000000007</v>
      </c>
      <c r="S204" s="26">
        <v>68</v>
      </c>
      <c r="T204" s="20">
        <v>-0.43</v>
      </c>
      <c r="U204" s="26">
        <v>-0.93</v>
      </c>
      <c r="V204" s="20">
        <v>776.95</v>
      </c>
    </row>
    <row r="205" spans="1:22" ht="16.8" x14ac:dyDescent="0.3">
      <c r="A205" s="20">
        <v>20.399999999999999</v>
      </c>
      <c r="B205" s="20">
        <v>68</v>
      </c>
      <c r="C205" s="20">
        <v>68.12</v>
      </c>
      <c r="D205" s="20">
        <v>-0.12</v>
      </c>
      <c r="E205" s="20">
        <v>0.02</v>
      </c>
      <c r="F205" s="20">
        <v>1923.9</v>
      </c>
      <c r="Q205" s="20">
        <v>20.399999999999999</v>
      </c>
      <c r="R205" s="20">
        <v>67.5</v>
      </c>
      <c r="S205" s="26">
        <v>68</v>
      </c>
      <c r="T205" s="26">
        <v>0.5</v>
      </c>
      <c r="U205" s="26">
        <v>0.93</v>
      </c>
      <c r="V205" s="26">
        <v>2339.85</v>
      </c>
    </row>
    <row r="206" spans="1:22" ht="16.8" x14ac:dyDescent="0.3">
      <c r="A206" s="20">
        <v>20.5</v>
      </c>
      <c r="B206" s="20">
        <v>68</v>
      </c>
      <c r="C206" s="26">
        <v>68.08</v>
      </c>
      <c r="D206" s="20">
        <v>-0.08</v>
      </c>
      <c r="E206" s="20">
        <v>0.04</v>
      </c>
      <c r="F206" s="26">
        <v>1965.83</v>
      </c>
      <c r="Q206" s="20">
        <v>20.5</v>
      </c>
      <c r="R206" s="20">
        <v>68.5</v>
      </c>
      <c r="S206" s="26">
        <v>68</v>
      </c>
      <c r="T206" s="20">
        <v>-0.5</v>
      </c>
      <c r="U206" s="26">
        <v>-1</v>
      </c>
      <c r="V206" s="20">
        <v>716.11</v>
      </c>
    </row>
    <row r="207" spans="1:22" ht="16.8" x14ac:dyDescent="0.3">
      <c r="A207" s="20">
        <v>20.6</v>
      </c>
      <c r="B207" s="20">
        <v>68</v>
      </c>
      <c r="C207" s="20">
        <v>68.06</v>
      </c>
      <c r="D207" s="20">
        <v>-0.06</v>
      </c>
      <c r="E207" s="20">
        <v>0.02</v>
      </c>
      <c r="F207" s="20">
        <v>1981.82</v>
      </c>
      <c r="Q207" s="20">
        <v>20.6</v>
      </c>
      <c r="R207" s="20">
        <v>67.5</v>
      </c>
      <c r="S207" s="26">
        <v>68</v>
      </c>
      <c r="T207" s="26">
        <v>0.5</v>
      </c>
      <c r="U207" s="26">
        <v>1</v>
      </c>
      <c r="V207" s="20">
        <v>2394.67</v>
      </c>
    </row>
    <row r="208" spans="1:22" ht="16.8" x14ac:dyDescent="0.3">
      <c r="A208" s="20">
        <v>20.7</v>
      </c>
      <c r="B208" s="20">
        <v>68</v>
      </c>
      <c r="C208" s="26">
        <v>68.09</v>
      </c>
      <c r="D208" s="20">
        <v>-0.09</v>
      </c>
      <c r="E208" s="20">
        <v>-0.03</v>
      </c>
      <c r="F208" s="26">
        <v>1954.09</v>
      </c>
      <c r="Q208" s="20">
        <v>20.7</v>
      </c>
      <c r="R208" s="20">
        <v>68.510000000000005</v>
      </c>
      <c r="S208" s="26">
        <v>68</v>
      </c>
      <c r="T208" s="20">
        <v>-0.51</v>
      </c>
      <c r="U208" s="26">
        <v>-1.01</v>
      </c>
      <c r="V208" s="26">
        <v>708.65</v>
      </c>
    </row>
    <row r="209" spans="1:22" ht="16.8" x14ac:dyDescent="0.3">
      <c r="A209" s="20">
        <v>20.8</v>
      </c>
      <c r="B209" s="20">
        <v>68</v>
      </c>
      <c r="C209" s="26">
        <v>68.069999999999993</v>
      </c>
      <c r="D209" s="20">
        <v>-7.0000000000000007E-2</v>
      </c>
      <c r="E209" s="20">
        <v>0.02</v>
      </c>
      <c r="F209" s="26">
        <v>1977.79</v>
      </c>
      <c r="Q209" s="20">
        <v>20.8</v>
      </c>
      <c r="R209" s="20">
        <v>67.459999999999994</v>
      </c>
      <c r="S209" s="26">
        <v>68</v>
      </c>
      <c r="T209" s="26">
        <v>0.54</v>
      </c>
      <c r="U209" s="26">
        <v>1.05</v>
      </c>
      <c r="V209" s="20">
        <v>2438.0100000000002</v>
      </c>
    </row>
    <row r="210" spans="1:22" ht="16.8" x14ac:dyDescent="0.3">
      <c r="A210" s="20">
        <v>20.9</v>
      </c>
      <c r="B210" s="20">
        <v>68</v>
      </c>
      <c r="C210" s="20">
        <v>68.08</v>
      </c>
      <c r="D210" s="20">
        <v>-0.08</v>
      </c>
      <c r="E210" s="20">
        <v>-0.02</v>
      </c>
      <c r="F210" s="20">
        <v>1961.9</v>
      </c>
      <c r="Q210" s="20">
        <v>20.9</v>
      </c>
      <c r="R210" s="20">
        <v>68.510000000000005</v>
      </c>
      <c r="S210" s="26">
        <v>68</v>
      </c>
      <c r="T210" s="20">
        <v>-0.51</v>
      </c>
      <c r="U210" s="26">
        <v>-1.05</v>
      </c>
      <c r="V210" s="26">
        <v>678.25</v>
      </c>
    </row>
    <row r="211" spans="1:22" ht="16.8" x14ac:dyDescent="0.3">
      <c r="A211" s="20">
        <v>21</v>
      </c>
      <c r="B211" s="20">
        <v>68</v>
      </c>
      <c r="C211" s="26">
        <v>68.05</v>
      </c>
      <c r="D211" s="20">
        <v>-0.05</v>
      </c>
      <c r="E211" s="20">
        <v>0.03</v>
      </c>
      <c r="F211" s="26">
        <v>1989.97</v>
      </c>
      <c r="Q211" s="20">
        <v>21</v>
      </c>
      <c r="R211" s="20">
        <v>67.52</v>
      </c>
      <c r="S211" s="26">
        <v>68</v>
      </c>
      <c r="T211" s="26">
        <v>0.48</v>
      </c>
      <c r="U211" s="26">
        <v>0.99</v>
      </c>
      <c r="V211" s="20">
        <v>2385.88</v>
      </c>
    </row>
    <row r="212" spans="1:22" ht="16.8" x14ac:dyDescent="0.3">
      <c r="A212" s="20">
        <v>21.1</v>
      </c>
      <c r="B212" s="20">
        <v>68</v>
      </c>
      <c r="C212" s="26">
        <v>68.12</v>
      </c>
      <c r="D212" s="20">
        <v>-0.12</v>
      </c>
      <c r="E212" s="20">
        <v>-0.06</v>
      </c>
      <c r="F212" s="20">
        <v>1927.6</v>
      </c>
      <c r="Q212" s="20">
        <v>21.1</v>
      </c>
      <c r="R212" s="20">
        <v>68.510000000000005</v>
      </c>
      <c r="S212" s="26">
        <v>68</v>
      </c>
      <c r="T212" s="20">
        <v>-0.51</v>
      </c>
      <c r="U212" s="26">
        <v>-0.99</v>
      </c>
      <c r="V212" s="26">
        <v>720.84</v>
      </c>
    </row>
    <row r="213" spans="1:22" ht="16.8" x14ac:dyDescent="0.3">
      <c r="A213" s="20">
        <v>21.2</v>
      </c>
      <c r="B213" s="20">
        <v>68</v>
      </c>
      <c r="C213" s="20">
        <v>68.14</v>
      </c>
      <c r="D213" s="20">
        <v>-0.14000000000000001</v>
      </c>
      <c r="E213" s="20">
        <v>-0.02</v>
      </c>
      <c r="F213" s="26">
        <v>1905.77</v>
      </c>
      <c r="Q213" s="20">
        <v>21.2</v>
      </c>
      <c r="R213" s="20">
        <v>67.430000000000007</v>
      </c>
      <c r="S213" s="26">
        <v>68</v>
      </c>
      <c r="T213" s="20">
        <v>0.56999999999999995</v>
      </c>
      <c r="U213" s="26">
        <v>1.08</v>
      </c>
      <c r="V213" s="20">
        <v>2467.83</v>
      </c>
    </row>
    <row r="214" spans="1:22" ht="16.8" x14ac:dyDescent="0.3">
      <c r="A214" s="20">
        <v>21.3</v>
      </c>
      <c r="B214" s="20">
        <v>68</v>
      </c>
      <c r="C214" s="26">
        <v>68.09</v>
      </c>
      <c r="D214" s="20">
        <v>-0.09</v>
      </c>
      <c r="E214" s="20">
        <v>0.06</v>
      </c>
      <c r="F214" s="26">
        <v>1957.98</v>
      </c>
      <c r="Q214" s="20">
        <v>21.3</v>
      </c>
      <c r="R214" s="20">
        <v>68.510000000000005</v>
      </c>
      <c r="S214" s="26">
        <v>68</v>
      </c>
      <c r="T214" s="26">
        <v>-0.51</v>
      </c>
      <c r="U214" s="26">
        <v>-1.08</v>
      </c>
      <c r="V214" s="26">
        <v>653.96</v>
      </c>
    </row>
    <row r="215" spans="1:22" ht="16.8" x14ac:dyDescent="0.3">
      <c r="A215" s="20">
        <v>21.4</v>
      </c>
      <c r="B215" s="20">
        <v>68</v>
      </c>
      <c r="C215" s="20">
        <v>68.17</v>
      </c>
      <c r="D215" s="20">
        <v>-0.17</v>
      </c>
      <c r="E215" s="20">
        <v>-0.08</v>
      </c>
      <c r="F215" s="20">
        <v>1881.38</v>
      </c>
      <c r="Q215" s="20">
        <v>21.4</v>
      </c>
      <c r="R215" s="20">
        <v>67.52</v>
      </c>
      <c r="S215" s="26">
        <v>68</v>
      </c>
      <c r="T215" s="20">
        <v>0.48</v>
      </c>
      <c r="U215" s="26">
        <v>0.99</v>
      </c>
      <c r="V215" s="20">
        <v>2385.96</v>
      </c>
    </row>
    <row r="216" spans="1:22" ht="16.8" x14ac:dyDescent="0.3">
      <c r="A216" s="20">
        <v>21.5</v>
      </c>
      <c r="B216" s="20">
        <v>68</v>
      </c>
      <c r="C216" s="26">
        <v>68.150000000000006</v>
      </c>
      <c r="D216" s="20">
        <v>-0.15</v>
      </c>
      <c r="E216" s="20">
        <v>0.02</v>
      </c>
      <c r="F216" s="26">
        <v>1898.68</v>
      </c>
      <c r="Q216" s="20">
        <v>21.5</v>
      </c>
      <c r="R216" s="20">
        <v>68.540000000000006</v>
      </c>
      <c r="S216" s="26">
        <v>68</v>
      </c>
      <c r="T216" s="26">
        <v>-0.54</v>
      </c>
      <c r="U216" s="26">
        <v>-1.02</v>
      </c>
      <c r="V216" s="26">
        <v>691.09</v>
      </c>
    </row>
    <row r="217" spans="1:22" ht="16.8" x14ac:dyDescent="0.3">
      <c r="A217" s="20">
        <v>21.6</v>
      </c>
      <c r="B217" s="20">
        <v>68</v>
      </c>
      <c r="C217" s="26">
        <v>68.180000000000007</v>
      </c>
      <c r="D217" s="20">
        <v>-0.18</v>
      </c>
      <c r="E217" s="20">
        <v>-0.02</v>
      </c>
      <c r="F217" s="20">
        <v>1877.99</v>
      </c>
      <c r="Q217" s="20">
        <v>21.6</v>
      </c>
      <c r="R217" s="20">
        <v>67.55</v>
      </c>
      <c r="S217" s="26">
        <v>68</v>
      </c>
      <c r="T217" s="20">
        <v>0.45</v>
      </c>
      <c r="U217" s="26">
        <v>0.99</v>
      </c>
      <c r="V217" s="20">
        <v>2380.38</v>
      </c>
    </row>
    <row r="218" spans="1:22" ht="16.8" x14ac:dyDescent="0.3">
      <c r="A218" s="20">
        <v>21.7</v>
      </c>
      <c r="B218" s="20">
        <v>68</v>
      </c>
      <c r="C218" s="20">
        <v>68.19</v>
      </c>
      <c r="D218" s="20">
        <v>-0.19</v>
      </c>
      <c r="E218" s="20">
        <v>-0.01</v>
      </c>
      <c r="F218" s="26">
        <v>1867.89</v>
      </c>
      <c r="Q218" s="20">
        <v>21.7</v>
      </c>
      <c r="R218" s="20">
        <v>68.53</v>
      </c>
      <c r="S218" s="26">
        <v>68</v>
      </c>
      <c r="T218" s="26">
        <v>-0.53</v>
      </c>
      <c r="U218" s="26">
        <v>-0.98</v>
      </c>
      <c r="V218" s="26">
        <v>722.68</v>
      </c>
    </row>
    <row r="219" spans="1:22" ht="16.8" x14ac:dyDescent="0.3">
      <c r="A219" s="20">
        <v>21.8</v>
      </c>
      <c r="B219" s="20">
        <v>68</v>
      </c>
      <c r="C219" s="26">
        <v>68.22</v>
      </c>
      <c r="D219" s="20">
        <v>-0.22</v>
      </c>
      <c r="E219" s="20">
        <v>-0.03</v>
      </c>
      <c r="F219" s="26">
        <v>1845.41</v>
      </c>
      <c r="Q219" s="20">
        <v>21.8</v>
      </c>
      <c r="R219" s="20">
        <v>67.62</v>
      </c>
      <c r="S219" s="26">
        <v>68</v>
      </c>
      <c r="T219" s="26">
        <v>0.38</v>
      </c>
      <c r="U219" s="26">
        <v>0.91</v>
      </c>
      <c r="V219" s="20">
        <v>2307.0100000000002</v>
      </c>
    </row>
    <row r="220" spans="1:22" ht="16.8" x14ac:dyDescent="0.3">
      <c r="A220" s="20">
        <v>21.9</v>
      </c>
      <c r="B220" s="20">
        <v>68</v>
      </c>
      <c r="C220" s="20">
        <v>68.23</v>
      </c>
      <c r="D220" s="20">
        <v>-0.23</v>
      </c>
      <c r="E220" s="20">
        <v>-0.02</v>
      </c>
      <c r="F220" s="20">
        <v>1833.11</v>
      </c>
      <c r="Q220" s="20">
        <v>21.9</v>
      </c>
      <c r="R220" s="20">
        <v>68.55</v>
      </c>
      <c r="S220" s="26">
        <v>68</v>
      </c>
      <c r="T220" s="26">
        <v>-0.55000000000000004</v>
      </c>
      <c r="U220" s="26">
        <v>-0.93</v>
      </c>
      <c r="V220" s="20">
        <v>762.22</v>
      </c>
    </row>
    <row r="221" spans="1:22" ht="16.8" x14ac:dyDescent="0.3">
      <c r="A221" s="20">
        <v>22</v>
      </c>
      <c r="B221" s="20">
        <v>68</v>
      </c>
      <c r="C221" s="26">
        <v>68.27</v>
      </c>
      <c r="D221" s="20">
        <v>-0.27</v>
      </c>
      <c r="E221" s="20">
        <v>-0.04</v>
      </c>
      <c r="F221" s="26">
        <v>1806.09</v>
      </c>
      <c r="Q221" s="20">
        <v>22</v>
      </c>
      <c r="R221" s="20">
        <v>67.52</v>
      </c>
      <c r="S221" s="26">
        <v>68</v>
      </c>
      <c r="T221" s="26">
        <v>0.48</v>
      </c>
      <c r="U221" s="26">
        <v>1.03</v>
      </c>
      <c r="V221" s="26">
        <v>2415.66</v>
      </c>
    </row>
    <row r="222" spans="1:22" ht="16.8" x14ac:dyDescent="0.3">
      <c r="A222" s="20">
        <v>22.1</v>
      </c>
      <c r="B222" s="20">
        <v>68</v>
      </c>
      <c r="C222" s="26">
        <v>68.260000000000005</v>
      </c>
      <c r="D222" s="20">
        <v>-0.26</v>
      </c>
      <c r="E222" s="20">
        <v>0.01</v>
      </c>
      <c r="F222" s="20">
        <v>1811.99</v>
      </c>
      <c r="Q222" s="20">
        <v>22.1</v>
      </c>
      <c r="R222" s="20">
        <v>68.53</v>
      </c>
      <c r="S222" s="26">
        <v>68</v>
      </c>
      <c r="T222" s="26">
        <v>-0.53</v>
      </c>
      <c r="U222" s="20">
        <v>-1.01</v>
      </c>
      <c r="V222" s="20">
        <v>705.23</v>
      </c>
    </row>
    <row r="223" spans="1:22" ht="16.8" x14ac:dyDescent="0.3">
      <c r="A223" s="20">
        <v>22.2</v>
      </c>
      <c r="B223" s="20">
        <v>68</v>
      </c>
      <c r="C223" s="20">
        <v>68.27</v>
      </c>
      <c r="D223" s="20">
        <v>-0.27</v>
      </c>
      <c r="E223" s="20">
        <v>-0.01</v>
      </c>
      <c r="F223" s="26">
        <v>1803.14</v>
      </c>
      <c r="Q223" s="20">
        <v>22.2</v>
      </c>
      <c r="R223" s="20">
        <v>67.5</v>
      </c>
      <c r="S223" s="26">
        <v>68</v>
      </c>
      <c r="T223" s="26">
        <v>0.5</v>
      </c>
      <c r="U223" s="26">
        <v>1.02</v>
      </c>
      <c r="V223" s="26">
        <v>2412.1999999999998</v>
      </c>
    </row>
    <row r="224" spans="1:22" ht="16.8" x14ac:dyDescent="0.3">
      <c r="A224" s="20">
        <v>22.3</v>
      </c>
      <c r="B224" s="20">
        <v>68</v>
      </c>
      <c r="C224" s="26">
        <v>68.319999999999993</v>
      </c>
      <c r="D224" s="20">
        <v>-0.32</v>
      </c>
      <c r="E224" s="20">
        <v>-0.05</v>
      </c>
      <c r="F224" s="26">
        <v>1768.39</v>
      </c>
      <c r="Q224" s="20">
        <v>22.3</v>
      </c>
      <c r="R224" s="20">
        <v>68.510000000000005</v>
      </c>
      <c r="S224" s="26">
        <v>68</v>
      </c>
      <c r="T224" s="20">
        <v>-0.51</v>
      </c>
      <c r="U224" s="26">
        <v>-1.01</v>
      </c>
      <c r="V224" s="20">
        <v>707.89</v>
      </c>
    </row>
    <row r="225" spans="1:22" ht="16.8" x14ac:dyDescent="0.3">
      <c r="A225" s="20">
        <v>22.4</v>
      </c>
      <c r="B225" s="20">
        <v>68</v>
      </c>
      <c r="C225" s="26">
        <v>68.34</v>
      </c>
      <c r="D225" s="20">
        <v>-0.34</v>
      </c>
      <c r="E225" s="20">
        <v>-0.02</v>
      </c>
      <c r="F225" s="20">
        <v>1751.28</v>
      </c>
      <c r="Q225" s="20">
        <v>22.4</v>
      </c>
      <c r="R225" s="20">
        <v>67.489999999999995</v>
      </c>
      <c r="S225" s="26">
        <v>68</v>
      </c>
      <c r="T225" s="26">
        <v>0.51</v>
      </c>
      <c r="U225" s="26">
        <v>1.02</v>
      </c>
      <c r="V225" s="26">
        <v>2407.4299999999998</v>
      </c>
    </row>
    <row r="226" spans="1:22" ht="16.8" x14ac:dyDescent="0.3">
      <c r="A226" s="20">
        <v>22.5</v>
      </c>
      <c r="B226" s="20">
        <v>68</v>
      </c>
      <c r="C226" s="20">
        <v>68.33</v>
      </c>
      <c r="D226" s="20">
        <v>-0.33</v>
      </c>
      <c r="E226" s="20">
        <v>0.01</v>
      </c>
      <c r="F226" s="26">
        <v>1759.82</v>
      </c>
      <c r="Q226" s="20">
        <v>22.5</v>
      </c>
      <c r="R226" s="20">
        <v>68.56</v>
      </c>
      <c r="S226" s="20">
        <v>68</v>
      </c>
      <c r="T226" s="26">
        <v>-0.56000000000000005</v>
      </c>
      <c r="U226" s="26">
        <v>-1.06</v>
      </c>
      <c r="V226" s="20">
        <v>657.06</v>
      </c>
    </row>
    <row r="227" spans="1:22" ht="16.8" x14ac:dyDescent="0.3">
      <c r="A227" s="20">
        <v>22.6</v>
      </c>
      <c r="B227" s="20">
        <v>68</v>
      </c>
      <c r="C227" s="26">
        <v>68.3</v>
      </c>
      <c r="D227" s="20">
        <v>-0.3</v>
      </c>
      <c r="E227" s="20">
        <v>0.03</v>
      </c>
      <c r="F227" s="20">
        <v>1782.68</v>
      </c>
      <c r="Q227" s="20">
        <v>22.6</v>
      </c>
      <c r="R227" s="20">
        <v>67.53</v>
      </c>
      <c r="S227" s="26">
        <v>68</v>
      </c>
      <c r="T227" s="26">
        <v>0.47</v>
      </c>
      <c r="U227" s="26">
        <v>1.02</v>
      </c>
      <c r="V227" s="26">
        <v>2406.58</v>
      </c>
    </row>
    <row r="228" spans="1:22" ht="16.8" x14ac:dyDescent="0.3">
      <c r="A228" s="20">
        <v>22.7</v>
      </c>
      <c r="B228" s="20">
        <v>68</v>
      </c>
      <c r="C228" s="20">
        <v>68.349999999999994</v>
      </c>
      <c r="D228" s="20">
        <v>-0.35</v>
      </c>
      <c r="E228" s="20">
        <v>-0.05</v>
      </c>
      <c r="F228" s="26">
        <v>1748.44</v>
      </c>
      <c r="Q228" s="20">
        <v>22.7</v>
      </c>
      <c r="R228" s="20">
        <v>68.52</v>
      </c>
      <c r="S228" s="26">
        <v>68</v>
      </c>
      <c r="T228" s="26">
        <v>-0.52</v>
      </c>
      <c r="U228" s="26">
        <v>-0.98</v>
      </c>
      <c r="V228" s="20">
        <v>724.57</v>
      </c>
    </row>
    <row r="229" spans="1:22" ht="16.8" x14ac:dyDescent="0.3">
      <c r="A229" s="20">
        <v>22.8</v>
      </c>
      <c r="B229" s="20">
        <v>68</v>
      </c>
      <c r="C229" s="26">
        <v>68.31</v>
      </c>
      <c r="D229" s="20">
        <v>-0.31</v>
      </c>
      <c r="E229" s="20">
        <v>0.04</v>
      </c>
      <c r="F229" s="26">
        <v>1774.08</v>
      </c>
      <c r="Q229" s="20">
        <v>22.8</v>
      </c>
      <c r="R229" s="20">
        <v>67.53</v>
      </c>
      <c r="S229" s="26">
        <v>68</v>
      </c>
      <c r="T229" s="26">
        <v>0.47</v>
      </c>
      <c r="U229" s="26">
        <v>0.99</v>
      </c>
      <c r="V229" s="20">
        <v>2383.44</v>
      </c>
    </row>
    <row r="230" spans="1:22" ht="16.8" x14ac:dyDescent="0.3">
      <c r="A230" s="20">
        <v>22.9</v>
      </c>
      <c r="B230" s="20">
        <v>68</v>
      </c>
      <c r="C230" s="26">
        <v>68.28</v>
      </c>
      <c r="D230" s="20">
        <v>-0.28000000000000003</v>
      </c>
      <c r="E230" s="20">
        <v>0.04</v>
      </c>
      <c r="F230" s="20">
        <v>1800.22</v>
      </c>
      <c r="Q230" s="20">
        <v>22.9</v>
      </c>
      <c r="R230" s="20">
        <v>68.489999999999995</v>
      </c>
      <c r="S230" s="26">
        <v>68</v>
      </c>
      <c r="T230" s="26">
        <v>-0.49</v>
      </c>
      <c r="U230" s="26">
        <v>-0.96</v>
      </c>
      <c r="V230" s="26">
        <v>748.19</v>
      </c>
    </row>
    <row r="231" spans="1:22" ht="16.8" x14ac:dyDescent="0.3">
      <c r="A231" s="20">
        <v>23</v>
      </c>
      <c r="B231" s="20">
        <v>68</v>
      </c>
      <c r="C231" s="20">
        <v>68.319999999999993</v>
      </c>
      <c r="D231" s="20">
        <v>-0.32</v>
      </c>
      <c r="E231" s="20">
        <v>-0.04</v>
      </c>
      <c r="F231" s="26">
        <v>1768.39</v>
      </c>
      <c r="Q231" s="20">
        <v>23</v>
      </c>
      <c r="R231" s="20">
        <v>67.58</v>
      </c>
      <c r="S231" s="26">
        <v>68</v>
      </c>
      <c r="T231" s="26">
        <v>0.42</v>
      </c>
      <c r="U231" s="26">
        <v>0.91</v>
      </c>
      <c r="V231" s="20">
        <v>2314.33</v>
      </c>
    </row>
    <row r="232" spans="1:22" ht="16.8" x14ac:dyDescent="0.3">
      <c r="A232" s="20">
        <v>23.1</v>
      </c>
      <c r="B232" s="20">
        <v>68</v>
      </c>
      <c r="C232" s="26">
        <v>68.3</v>
      </c>
      <c r="D232" s="20">
        <v>-0.3</v>
      </c>
      <c r="E232" s="20">
        <v>0.02</v>
      </c>
      <c r="F232" s="26">
        <v>1782.68</v>
      </c>
      <c r="Q232" s="20">
        <v>23.1</v>
      </c>
      <c r="R232" s="20">
        <v>68.53</v>
      </c>
      <c r="S232" s="26">
        <v>68</v>
      </c>
      <c r="T232" s="20">
        <v>-0.53</v>
      </c>
      <c r="U232" s="20">
        <v>-0.96</v>
      </c>
      <c r="V232" s="26">
        <v>739.86</v>
      </c>
    </row>
    <row r="233" spans="1:22" ht="16.8" x14ac:dyDescent="0.3">
      <c r="A233" s="20">
        <v>23.2</v>
      </c>
      <c r="B233" s="20">
        <v>68</v>
      </c>
      <c r="C233" s="26">
        <v>68.34</v>
      </c>
      <c r="D233" s="20">
        <v>-0.34</v>
      </c>
      <c r="E233" s="20">
        <v>-0.04</v>
      </c>
      <c r="F233" s="20">
        <v>1754.12</v>
      </c>
      <c r="Q233" s="20">
        <v>23.2</v>
      </c>
      <c r="R233" s="20">
        <v>67.55</v>
      </c>
      <c r="S233" s="20">
        <v>68</v>
      </c>
      <c r="T233" s="26">
        <v>0.45</v>
      </c>
      <c r="U233" s="26">
        <v>0.98</v>
      </c>
      <c r="V233" s="20">
        <v>2372.9899999999998</v>
      </c>
    </row>
    <row r="234" spans="1:22" ht="16.8" x14ac:dyDescent="0.3">
      <c r="A234" s="20">
        <v>23.3</v>
      </c>
      <c r="B234" s="20">
        <v>68</v>
      </c>
      <c r="C234" s="20">
        <v>68.28</v>
      </c>
      <c r="D234" s="20">
        <v>-0.28000000000000003</v>
      </c>
      <c r="E234" s="20">
        <v>0.06</v>
      </c>
      <c r="F234" s="26">
        <v>1800.22</v>
      </c>
      <c r="Q234" s="20">
        <v>23.3</v>
      </c>
      <c r="R234" s="20">
        <v>68.5</v>
      </c>
      <c r="S234" s="26">
        <v>68</v>
      </c>
      <c r="T234" s="26">
        <v>-0.5</v>
      </c>
      <c r="U234" s="20">
        <v>-0.95</v>
      </c>
      <c r="V234" s="26">
        <v>751.2</v>
      </c>
    </row>
    <row r="235" spans="1:22" ht="16.8" x14ac:dyDescent="0.3">
      <c r="A235" s="20">
        <v>23.4</v>
      </c>
      <c r="B235" s="20">
        <v>68</v>
      </c>
      <c r="C235" s="26">
        <v>68.3</v>
      </c>
      <c r="D235" s="20">
        <v>-0.3</v>
      </c>
      <c r="E235" s="20">
        <v>-0.03</v>
      </c>
      <c r="F235" s="20">
        <v>1779.82</v>
      </c>
      <c r="Q235" s="20">
        <v>23.4</v>
      </c>
      <c r="R235" s="20">
        <v>67.569999999999993</v>
      </c>
      <c r="S235" s="20">
        <v>68</v>
      </c>
      <c r="T235" s="26">
        <v>0.43</v>
      </c>
      <c r="U235" s="26">
        <v>0.93</v>
      </c>
      <c r="V235" s="20">
        <v>2333.5700000000002</v>
      </c>
    </row>
    <row r="236" spans="1:22" ht="16.8" x14ac:dyDescent="0.3">
      <c r="A236" s="20">
        <v>23.5</v>
      </c>
      <c r="B236" s="20">
        <v>68</v>
      </c>
      <c r="C236" s="26">
        <v>68.33</v>
      </c>
      <c r="D236" s="20">
        <v>-0.33</v>
      </c>
      <c r="E236" s="20">
        <v>-0.02</v>
      </c>
      <c r="F236" s="26">
        <v>1762.68</v>
      </c>
      <c r="Q236" s="20">
        <v>23.5</v>
      </c>
      <c r="R236" s="20">
        <v>68.55</v>
      </c>
      <c r="S236" s="26">
        <v>68</v>
      </c>
      <c r="T236" s="26">
        <v>-0.55000000000000004</v>
      </c>
      <c r="U236" s="26">
        <v>-0.98</v>
      </c>
      <c r="V236" s="26">
        <v>718.5</v>
      </c>
    </row>
    <row r="237" spans="1:22" ht="16.8" x14ac:dyDescent="0.3">
      <c r="A237" s="20">
        <v>23.6</v>
      </c>
      <c r="B237" s="20">
        <v>68</v>
      </c>
      <c r="C237" s="20">
        <v>68.31</v>
      </c>
      <c r="D237" s="20">
        <v>-0.31</v>
      </c>
      <c r="E237" s="20">
        <v>0.02</v>
      </c>
      <c r="F237" s="26">
        <v>1776.95</v>
      </c>
      <c r="Q237" s="20">
        <v>23.6</v>
      </c>
      <c r="R237" s="20">
        <v>67.569999999999993</v>
      </c>
      <c r="S237" s="26">
        <v>68</v>
      </c>
      <c r="T237" s="26">
        <v>0.43</v>
      </c>
      <c r="U237" s="26">
        <v>0.98</v>
      </c>
      <c r="V237" s="20">
        <v>2369.85</v>
      </c>
    </row>
    <row r="238" spans="1:22" ht="16.8" x14ac:dyDescent="0.3">
      <c r="A238" s="20">
        <v>23.7</v>
      </c>
      <c r="B238" s="20">
        <v>68</v>
      </c>
      <c r="C238" s="26">
        <v>68.3</v>
      </c>
      <c r="D238" s="20">
        <v>-0.3</v>
      </c>
      <c r="E238" s="20">
        <v>0.01</v>
      </c>
      <c r="F238" s="20">
        <v>1782.68</v>
      </c>
      <c r="Q238" s="20">
        <v>23.7</v>
      </c>
      <c r="R238" s="20">
        <v>68.540000000000006</v>
      </c>
      <c r="S238" s="26">
        <v>68</v>
      </c>
      <c r="T238" s="26">
        <v>-0.54</v>
      </c>
      <c r="U238" s="26">
        <v>-0.98</v>
      </c>
      <c r="V238" s="20">
        <v>725.67</v>
      </c>
    </row>
    <row r="239" spans="1:22" ht="16.8" x14ac:dyDescent="0.3">
      <c r="A239" s="20">
        <v>23.8</v>
      </c>
      <c r="B239" s="20">
        <v>68</v>
      </c>
      <c r="C239" s="26">
        <v>68.28</v>
      </c>
      <c r="D239" s="20">
        <v>-0.28000000000000003</v>
      </c>
      <c r="E239" s="20">
        <v>0.02</v>
      </c>
      <c r="F239" s="26">
        <v>1794.33</v>
      </c>
      <c r="Q239" s="20">
        <v>23.8</v>
      </c>
      <c r="R239" s="20">
        <v>67.569999999999993</v>
      </c>
      <c r="S239" s="26">
        <v>68</v>
      </c>
      <c r="T239" s="20">
        <v>0.43</v>
      </c>
      <c r="U239" s="26">
        <v>0.98</v>
      </c>
      <c r="V239" s="26">
        <v>2363.4899999999998</v>
      </c>
    </row>
    <row r="240" spans="1:22" ht="16.8" x14ac:dyDescent="0.3">
      <c r="A240" s="20">
        <v>23.9</v>
      </c>
      <c r="B240" s="20">
        <v>68</v>
      </c>
      <c r="C240" s="20">
        <v>68.260000000000005</v>
      </c>
      <c r="D240" s="20">
        <v>-0.26</v>
      </c>
      <c r="E240" s="20">
        <v>0.02</v>
      </c>
      <c r="F240" s="26">
        <v>1809.01</v>
      </c>
      <c r="Q240" s="20">
        <v>23.9</v>
      </c>
      <c r="R240" s="20">
        <v>68.599999999999994</v>
      </c>
      <c r="S240" s="26">
        <v>68</v>
      </c>
      <c r="T240" s="26">
        <v>-0.6</v>
      </c>
      <c r="U240" s="26">
        <v>-1.03</v>
      </c>
      <c r="V240" s="20">
        <v>673.23</v>
      </c>
    </row>
    <row r="241" spans="1:22" ht="16.8" x14ac:dyDescent="0.3">
      <c r="A241" s="20">
        <v>24</v>
      </c>
      <c r="B241" s="20">
        <v>68</v>
      </c>
      <c r="C241" s="26">
        <v>68.23</v>
      </c>
      <c r="D241" s="20">
        <v>-0.23</v>
      </c>
      <c r="E241" s="20">
        <v>0.04</v>
      </c>
      <c r="F241" s="20">
        <v>1836.19</v>
      </c>
      <c r="Q241" s="20">
        <v>24</v>
      </c>
      <c r="R241" s="20">
        <v>67.599999999999994</v>
      </c>
      <c r="S241" s="26">
        <v>68</v>
      </c>
      <c r="T241" s="20">
        <v>0.4</v>
      </c>
      <c r="U241" s="26">
        <v>1</v>
      </c>
      <c r="V241" s="26">
        <v>2375.9299999999998</v>
      </c>
    </row>
    <row r="242" spans="1:22" ht="16.8" x14ac:dyDescent="0.3">
      <c r="A242" s="20">
        <v>24.1</v>
      </c>
      <c r="B242" s="20">
        <v>68</v>
      </c>
      <c r="C242" s="26">
        <v>68.23</v>
      </c>
      <c r="D242" s="20">
        <v>-0.23</v>
      </c>
      <c r="E242" s="20">
        <v>0</v>
      </c>
      <c r="F242" s="26">
        <v>1833.11</v>
      </c>
      <c r="Q242" s="20">
        <v>24.1</v>
      </c>
      <c r="R242" s="20">
        <v>68.58</v>
      </c>
      <c r="S242" s="26">
        <v>68</v>
      </c>
      <c r="T242" s="26">
        <v>-0.57999999999999996</v>
      </c>
      <c r="U242" s="26">
        <v>-0.98</v>
      </c>
      <c r="V242" s="20">
        <v>712.03</v>
      </c>
    </row>
    <row r="243" spans="1:22" ht="16.8" x14ac:dyDescent="0.3">
      <c r="A243" s="20">
        <v>24.2</v>
      </c>
      <c r="B243" s="20">
        <v>68</v>
      </c>
      <c r="C243" s="20">
        <v>68.260000000000005</v>
      </c>
      <c r="D243" s="20">
        <v>-0.26</v>
      </c>
      <c r="E243" s="20">
        <v>-0.03</v>
      </c>
      <c r="F243" s="20">
        <v>1809.01</v>
      </c>
      <c r="Q243" s="20">
        <v>24.2</v>
      </c>
      <c r="R243" s="20">
        <v>67.53</v>
      </c>
      <c r="S243" s="26">
        <v>68</v>
      </c>
      <c r="T243" s="26">
        <v>0.47</v>
      </c>
      <c r="U243" s="26">
        <v>1.05</v>
      </c>
      <c r="V243" s="20">
        <v>2422.94</v>
      </c>
    </row>
    <row r="244" spans="1:22" ht="16.8" x14ac:dyDescent="0.3">
      <c r="A244" s="20">
        <v>24.3</v>
      </c>
      <c r="B244" s="20">
        <v>68</v>
      </c>
      <c r="C244" s="26">
        <v>68.19</v>
      </c>
      <c r="D244" s="20">
        <v>-0.19</v>
      </c>
      <c r="E244" s="20">
        <v>0.08</v>
      </c>
      <c r="F244" s="26">
        <v>1867.89</v>
      </c>
      <c r="Q244" s="20">
        <v>24.3</v>
      </c>
      <c r="R244" s="20">
        <v>68.599999999999994</v>
      </c>
      <c r="S244" s="26">
        <v>68</v>
      </c>
      <c r="T244" s="20">
        <v>-0.6</v>
      </c>
      <c r="U244" s="20">
        <v>-1.06</v>
      </c>
      <c r="V244" s="26">
        <v>648.11</v>
      </c>
    </row>
    <row r="245" spans="1:22" ht="16.8" x14ac:dyDescent="0.3">
      <c r="A245" s="20">
        <v>24.4</v>
      </c>
      <c r="B245" s="20">
        <v>68</v>
      </c>
      <c r="C245" s="20">
        <v>68.23</v>
      </c>
      <c r="D245" s="20">
        <v>-0.23</v>
      </c>
      <c r="E245" s="20">
        <v>-0.04</v>
      </c>
      <c r="F245" s="20">
        <v>1836.19</v>
      </c>
      <c r="Q245" s="20">
        <v>24.4</v>
      </c>
      <c r="R245" s="20">
        <v>67.66</v>
      </c>
      <c r="S245" s="26">
        <v>68</v>
      </c>
      <c r="T245" s="26">
        <v>0.34</v>
      </c>
      <c r="U245" s="26">
        <v>0.93</v>
      </c>
      <c r="V245" s="20">
        <v>2315.54</v>
      </c>
    </row>
    <row r="246" spans="1:22" ht="16.8" x14ac:dyDescent="0.3">
      <c r="A246" s="20">
        <v>24.5</v>
      </c>
      <c r="B246" s="20">
        <v>68</v>
      </c>
      <c r="C246" s="26">
        <v>68.209999999999994</v>
      </c>
      <c r="D246" s="20">
        <v>-0.21</v>
      </c>
      <c r="E246" s="20">
        <v>0.02</v>
      </c>
      <c r="F246" s="26">
        <v>1851.65</v>
      </c>
      <c r="Q246" s="20">
        <v>24.5</v>
      </c>
      <c r="R246" s="20">
        <v>68.56</v>
      </c>
      <c r="S246" s="26">
        <v>68</v>
      </c>
      <c r="T246" s="20">
        <v>-0.56000000000000005</v>
      </c>
      <c r="U246" s="20">
        <v>-0.89</v>
      </c>
      <c r="V246" s="26">
        <v>782.22</v>
      </c>
    </row>
    <row r="247" spans="1:22" ht="16.8" x14ac:dyDescent="0.3">
      <c r="A247" s="20">
        <v>24.6</v>
      </c>
      <c r="B247" s="20">
        <v>68</v>
      </c>
      <c r="C247" s="26">
        <v>68.209999999999994</v>
      </c>
      <c r="D247" s="20">
        <v>-0.21</v>
      </c>
      <c r="E247" s="20">
        <v>0</v>
      </c>
      <c r="F247" s="26">
        <v>1848.53</v>
      </c>
      <c r="Q247" s="20">
        <v>24.6</v>
      </c>
      <c r="R247" s="20">
        <v>67.61</v>
      </c>
      <c r="S247" s="26">
        <v>68</v>
      </c>
      <c r="T247" s="26">
        <v>0.39</v>
      </c>
      <c r="U247" s="26">
        <v>0.95</v>
      </c>
      <c r="V247" s="20">
        <v>2336.73</v>
      </c>
    </row>
    <row r="248" spans="1:22" ht="16.8" x14ac:dyDescent="0.3">
      <c r="A248" s="20">
        <v>24.7</v>
      </c>
      <c r="B248" s="20">
        <v>68</v>
      </c>
      <c r="C248" s="20">
        <v>68.2</v>
      </c>
      <c r="D248" s="20">
        <v>-0.2</v>
      </c>
      <c r="E248" s="20">
        <v>0.02</v>
      </c>
      <c r="F248" s="20">
        <v>1861.25</v>
      </c>
      <c r="Q248" s="20">
        <v>24.7</v>
      </c>
      <c r="R248" s="20">
        <v>68.53</v>
      </c>
      <c r="S248" s="26">
        <v>68</v>
      </c>
      <c r="T248" s="20">
        <v>-0.53</v>
      </c>
      <c r="U248" s="26">
        <v>-0.93</v>
      </c>
      <c r="V248" s="26">
        <v>761.53</v>
      </c>
    </row>
    <row r="249" spans="1:22" ht="16.8" x14ac:dyDescent="0.3">
      <c r="A249" s="20">
        <v>24.8</v>
      </c>
      <c r="B249" s="20">
        <v>68</v>
      </c>
      <c r="C249" s="26">
        <v>68.13</v>
      </c>
      <c r="D249" s="20">
        <v>-0.13</v>
      </c>
      <c r="E249" s="20">
        <v>0.06</v>
      </c>
      <c r="F249" s="26">
        <v>1916.6</v>
      </c>
      <c r="Q249" s="20">
        <v>24.8</v>
      </c>
      <c r="R249" s="20">
        <v>67.61</v>
      </c>
      <c r="S249" s="26">
        <v>68</v>
      </c>
      <c r="T249" s="26">
        <v>0.39</v>
      </c>
      <c r="U249" s="26">
        <v>0.93</v>
      </c>
      <c r="V249" s="20">
        <v>2318.12</v>
      </c>
    </row>
    <row r="250" spans="1:22" ht="16.8" x14ac:dyDescent="0.3">
      <c r="A250" s="20">
        <v>24.9</v>
      </c>
      <c r="B250" s="20">
        <v>68</v>
      </c>
      <c r="C250" s="20">
        <v>68.17</v>
      </c>
      <c r="D250" s="20">
        <v>-0.17</v>
      </c>
      <c r="E250" s="20">
        <v>-0.04</v>
      </c>
      <c r="F250" s="20">
        <v>1884.8</v>
      </c>
      <c r="Q250" s="20">
        <v>24.9</v>
      </c>
      <c r="R250" s="20">
        <v>68.599999999999994</v>
      </c>
      <c r="S250" s="26">
        <v>68</v>
      </c>
      <c r="T250" s="26">
        <v>-0.6</v>
      </c>
      <c r="U250" s="26">
        <v>-0.99</v>
      </c>
      <c r="V250" s="26">
        <v>701.57</v>
      </c>
    </row>
    <row r="251" spans="1:22" ht="16.8" x14ac:dyDescent="0.3">
      <c r="A251" s="20">
        <v>25</v>
      </c>
      <c r="B251" s="20">
        <v>68</v>
      </c>
      <c r="C251" s="26">
        <v>68.19</v>
      </c>
      <c r="D251" s="20">
        <v>-0.19</v>
      </c>
      <c r="E251" s="20">
        <v>-0.02</v>
      </c>
      <c r="F251" s="26">
        <v>1864.56</v>
      </c>
      <c r="Q251" s="20">
        <v>25</v>
      </c>
      <c r="R251" s="20">
        <v>67.59</v>
      </c>
      <c r="S251" s="26">
        <v>68</v>
      </c>
      <c r="T251" s="26">
        <v>0.41</v>
      </c>
      <c r="U251" s="26">
        <v>1.01</v>
      </c>
      <c r="V251" s="20">
        <v>2381.2600000000002</v>
      </c>
    </row>
    <row r="252" spans="1:22" ht="16.8" x14ac:dyDescent="0.3">
      <c r="A252" s="20">
        <v>25.1</v>
      </c>
      <c r="B252" s="20">
        <v>68</v>
      </c>
      <c r="C252" s="26">
        <v>68.19</v>
      </c>
      <c r="D252" s="20">
        <v>-0.19</v>
      </c>
      <c r="E252" s="20">
        <v>0</v>
      </c>
      <c r="F252" s="26">
        <v>1864.56</v>
      </c>
      <c r="Q252" s="20">
        <v>25.1</v>
      </c>
      <c r="R252" s="20">
        <v>68.599999999999994</v>
      </c>
      <c r="S252" s="26">
        <v>68</v>
      </c>
      <c r="T252" s="26">
        <v>-0.6</v>
      </c>
      <c r="U252" s="26">
        <v>-1.01</v>
      </c>
      <c r="V252" s="26">
        <v>688.93</v>
      </c>
    </row>
    <row r="253" spans="1:22" ht="16.8" x14ac:dyDescent="0.3">
      <c r="A253" s="20">
        <v>25.2</v>
      </c>
      <c r="B253" s="20">
        <v>68</v>
      </c>
      <c r="C253" s="20">
        <v>68.12</v>
      </c>
      <c r="D253" s="20">
        <v>-0.12</v>
      </c>
      <c r="E253" s="20">
        <v>7.0000000000000007E-2</v>
      </c>
      <c r="F253" s="20">
        <v>1923.9</v>
      </c>
      <c r="Q253" s="20">
        <v>25.2</v>
      </c>
      <c r="R253" s="20">
        <v>67.599999999999994</v>
      </c>
      <c r="S253" s="20">
        <v>68</v>
      </c>
      <c r="T253" s="26">
        <v>0.4</v>
      </c>
      <c r="U253" s="26">
        <v>1</v>
      </c>
      <c r="V253" s="20">
        <v>2373.35</v>
      </c>
    </row>
    <row r="254" spans="1:22" ht="16.8" x14ac:dyDescent="0.3">
      <c r="A254" s="20">
        <v>25.3</v>
      </c>
      <c r="B254" s="20">
        <v>68</v>
      </c>
      <c r="C254" s="26">
        <v>68.12</v>
      </c>
      <c r="D254" s="20">
        <v>-0.12</v>
      </c>
      <c r="E254" s="20">
        <v>0</v>
      </c>
      <c r="F254" s="26">
        <v>1923.9</v>
      </c>
      <c r="Q254" s="20">
        <v>25.3</v>
      </c>
      <c r="R254" s="20">
        <v>68.599999999999994</v>
      </c>
      <c r="S254" s="26">
        <v>68</v>
      </c>
      <c r="T254" s="26">
        <v>-0.6</v>
      </c>
      <c r="U254" s="26">
        <v>-1</v>
      </c>
      <c r="V254" s="20">
        <v>694.54</v>
      </c>
    </row>
    <row r="255" spans="1:22" ht="16.8" x14ac:dyDescent="0.3">
      <c r="A255" s="20">
        <v>25.4</v>
      </c>
      <c r="B255" s="20">
        <v>68</v>
      </c>
      <c r="C255" s="20">
        <v>68.180000000000007</v>
      </c>
      <c r="D255" s="20">
        <v>-0.18</v>
      </c>
      <c r="E255" s="20">
        <v>-0.06</v>
      </c>
      <c r="F255" s="20">
        <v>1871.24</v>
      </c>
      <c r="Q255" s="20">
        <v>25.4</v>
      </c>
      <c r="R255" s="20">
        <v>67.61</v>
      </c>
      <c r="S255" s="26">
        <v>68</v>
      </c>
      <c r="T255" s="26">
        <v>0.39</v>
      </c>
      <c r="U255" s="26">
        <v>0.99</v>
      </c>
      <c r="V255" s="26">
        <v>2365.42</v>
      </c>
    </row>
    <row r="256" spans="1:22" ht="16.8" x14ac:dyDescent="0.3">
      <c r="A256" s="20">
        <v>25.5</v>
      </c>
      <c r="B256" s="20">
        <v>68</v>
      </c>
      <c r="C256" s="26">
        <v>68.22</v>
      </c>
      <c r="D256" s="20">
        <v>-0.22</v>
      </c>
      <c r="E256" s="20">
        <v>-0.03</v>
      </c>
      <c r="F256" s="26">
        <v>1845.41</v>
      </c>
      <c r="Q256" s="20">
        <v>25.5</v>
      </c>
      <c r="R256" s="20">
        <v>68.540000000000006</v>
      </c>
      <c r="S256" s="26">
        <v>68</v>
      </c>
      <c r="T256" s="26">
        <v>-0.54</v>
      </c>
      <c r="U256" s="26">
        <v>-0.93</v>
      </c>
      <c r="V256" s="20">
        <v>752.32</v>
      </c>
    </row>
    <row r="257" spans="1:22" ht="16.8" x14ac:dyDescent="0.3">
      <c r="A257" s="20">
        <v>25.6</v>
      </c>
      <c r="B257" s="20">
        <v>68</v>
      </c>
      <c r="C257" s="26">
        <v>68.180000000000007</v>
      </c>
      <c r="D257" s="20">
        <v>-0.18</v>
      </c>
      <c r="E257" s="20">
        <v>0.03</v>
      </c>
      <c r="F257" s="26">
        <v>1871.24</v>
      </c>
      <c r="Q257" s="20">
        <v>25.6</v>
      </c>
      <c r="R257" s="20">
        <v>67.599999999999994</v>
      </c>
      <c r="S257" s="26">
        <v>68</v>
      </c>
      <c r="T257" s="26">
        <v>0.4</v>
      </c>
      <c r="U257" s="26">
        <v>0.94</v>
      </c>
      <c r="V257" s="26">
        <v>2329.88</v>
      </c>
    </row>
    <row r="258" spans="1:22" ht="16.8" x14ac:dyDescent="0.3">
      <c r="A258" s="20">
        <v>25.7</v>
      </c>
      <c r="B258" s="20">
        <v>68</v>
      </c>
      <c r="C258" s="20">
        <v>68.209999999999994</v>
      </c>
      <c r="D258" s="20">
        <v>-0.21</v>
      </c>
      <c r="E258" s="20">
        <v>-0.02</v>
      </c>
      <c r="F258" s="20">
        <v>1851.65</v>
      </c>
      <c r="Q258" s="20">
        <v>25.7</v>
      </c>
      <c r="R258" s="20">
        <v>68.59</v>
      </c>
      <c r="S258" s="26">
        <v>68</v>
      </c>
      <c r="T258" s="26">
        <v>-0.59</v>
      </c>
      <c r="U258" s="26">
        <v>-0.99</v>
      </c>
      <c r="V258" s="20">
        <v>701.16</v>
      </c>
    </row>
    <row r="259" spans="1:22" ht="16.8" x14ac:dyDescent="0.3">
      <c r="A259" s="20">
        <v>25.8</v>
      </c>
      <c r="B259" s="20">
        <v>68</v>
      </c>
      <c r="C259" s="26">
        <v>68.180000000000007</v>
      </c>
      <c r="D259" s="20">
        <v>-0.18</v>
      </c>
      <c r="E259" s="20">
        <v>0.03</v>
      </c>
      <c r="F259" s="26">
        <v>1877.99</v>
      </c>
      <c r="Q259" s="20">
        <v>25.8</v>
      </c>
      <c r="R259" s="20">
        <v>67.55</v>
      </c>
      <c r="S259" s="26">
        <v>68</v>
      </c>
      <c r="T259" s="26">
        <v>0.45</v>
      </c>
      <c r="U259" s="26">
        <v>1.04</v>
      </c>
      <c r="V259" s="26">
        <v>2410.69</v>
      </c>
    </row>
    <row r="260" spans="1:22" ht="16.8" x14ac:dyDescent="0.3">
      <c r="A260" s="20">
        <v>25.9</v>
      </c>
      <c r="B260" s="20">
        <v>68</v>
      </c>
      <c r="C260" s="20">
        <v>68.16</v>
      </c>
      <c r="D260" s="20">
        <v>-0.16</v>
      </c>
      <c r="E260" s="20">
        <v>0.01</v>
      </c>
      <c r="F260" s="26">
        <v>1888.24</v>
      </c>
      <c r="Q260" s="20">
        <v>25.9</v>
      </c>
      <c r="R260" s="20">
        <v>68.59</v>
      </c>
      <c r="S260" s="26">
        <v>68</v>
      </c>
      <c r="T260" s="26">
        <v>-0.59</v>
      </c>
      <c r="U260" s="26">
        <v>-1.04</v>
      </c>
      <c r="V260" s="20">
        <v>664.27</v>
      </c>
    </row>
    <row r="261" spans="1:22" ht="16.8" x14ac:dyDescent="0.3">
      <c r="A261" s="20">
        <v>26</v>
      </c>
      <c r="B261" s="20">
        <v>68</v>
      </c>
      <c r="C261" s="26">
        <v>68.180000000000007</v>
      </c>
      <c r="D261" s="20">
        <v>-0.18</v>
      </c>
      <c r="E261" s="20">
        <v>-0.02</v>
      </c>
      <c r="F261" s="20">
        <v>1871.24</v>
      </c>
      <c r="Q261" s="20">
        <v>26</v>
      </c>
      <c r="R261" s="20">
        <v>67.55</v>
      </c>
      <c r="S261" s="26">
        <v>68</v>
      </c>
      <c r="T261" s="20">
        <v>0.45</v>
      </c>
      <c r="U261" s="20">
        <v>1.04</v>
      </c>
      <c r="V261" s="20">
        <v>2410.35</v>
      </c>
    </row>
    <row r="262" spans="1:22" ht="16.8" x14ac:dyDescent="0.3">
      <c r="A262" s="20">
        <v>26.1</v>
      </c>
      <c r="B262" s="20">
        <v>68</v>
      </c>
      <c r="C262" s="26">
        <v>68.2</v>
      </c>
      <c r="D262" s="20">
        <v>-0.2</v>
      </c>
      <c r="E262" s="20">
        <v>-0.02</v>
      </c>
      <c r="F262" s="26">
        <v>1857.96</v>
      </c>
      <c r="Q262" s="20">
        <v>26.1</v>
      </c>
      <c r="R262" s="20">
        <v>68.59</v>
      </c>
      <c r="S262" s="26">
        <v>68</v>
      </c>
      <c r="T262" s="26">
        <v>-0.59</v>
      </c>
      <c r="U262" s="26">
        <v>-1.04</v>
      </c>
      <c r="V262" s="26">
        <v>663.93</v>
      </c>
    </row>
    <row r="263" spans="1:22" ht="16.8" x14ac:dyDescent="0.3">
      <c r="A263" s="20">
        <v>26.2</v>
      </c>
      <c r="B263" s="20">
        <v>68</v>
      </c>
      <c r="C263" s="20">
        <v>68.28</v>
      </c>
      <c r="D263" s="20">
        <v>-0.28000000000000003</v>
      </c>
      <c r="E263" s="20">
        <v>-0.08</v>
      </c>
      <c r="F263" s="20">
        <v>1797.27</v>
      </c>
      <c r="Q263" s="20">
        <v>26.2</v>
      </c>
      <c r="R263" s="20">
        <v>67.62</v>
      </c>
      <c r="S263" s="26">
        <v>68</v>
      </c>
      <c r="T263" s="20">
        <v>0.38</v>
      </c>
      <c r="U263" s="26">
        <v>0.97</v>
      </c>
      <c r="V263" s="20">
        <v>2342.94</v>
      </c>
    </row>
    <row r="264" spans="1:22" ht="16.8" x14ac:dyDescent="0.3">
      <c r="A264" s="20">
        <v>26.3</v>
      </c>
      <c r="B264" s="20">
        <v>68</v>
      </c>
      <c r="C264" s="26">
        <v>68.2</v>
      </c>
      <c r="D264" s="20">
        <v>-0.2</v>
      </c>
      <c r="E264" s="20">
        <v>0.08</v>
      </c>
      <c r="F264" s="26">
        <v>1854.8</v>
      </c>
      <c r="Q264" s="20">
        <v>26.3</v>
      </c>
      <c r="R264" s="20">
        <v>68.61</v>
      </c>
      <c r="S264" s="26">
        <v>68</v>
      </c>
      <c r="T264" s="26">
        <v>-0.61</v>
      </c>
      <c r="U264" s="26">
        <v>-0.99</v>
      </c>
      <c r="V264" s="26">
        <v>695.89</v>
      </c>
    </row>
    <row r="265" spans="1:22" ht="16.8" x14ac:dyDescent="0.3">
      <c r="A265" s="20">
        <v>26.4</v>
      </c>
      <c r="B265" s="20">
        <v>68</v>
      </c>
      <c r="C265" s="20">
        <v>68.22</v>
      </c>
      <c r="D265" s="20">
        <v>-0.22</v>
      </c>
      <c r="E265" s="20">
        <v>-0.01</v>
      </c>
      <c r="F265" s="20">
        <v>1845.41</v>
      </c>
      <c r="Q265" s="20">
        <v>26.4</v>
      </c>
      <c r="R265" s="20">
        <v>67.63</v>
      </c>
      <c r="S265" s="26">
        <v>68</v>
      </c>
      <c r="T265" s="26">
        <v>0.37</v>
      </c>
      <c r="U265" s="26">
        <v>0.98</v>
      </c>
      <c r="V265" s="20">
        <v>2353.19</v>
      </c>
    </row>
    <row r="266" spans="1:22" ht="16.8" x14ac:dyDescent="0.3">
      <c r="A266" s="20">
        <v>26.5</v>
      </c>
      <c r="B266" s="20">
        <v>68</v>
      </c>
      <c r="C266" s="26">
        <v>68.28</v>
      </c>
      <c r="D266" s="20">
        <v>-0.28000000000000003</v>
      </c>
      <c r="E266" s="20">
        <v>-7.0000000000000007E-2</v>
      </c>
      <c r="F266" s="26">
        <v>1794.33</v>
      </c>
      <c r="Q266" s="20">
        <v>26.5</v>
      </c>
      <c r="R266" s="20">
        <v>68.58</v>
      </c>
      <c r="S266" s="26">
        <v>68</v>
      </c>
      <c r="T266" s="26">
        <v>-0.57999999999999996</v>
      </c>
      <c r="U266" s="26">
        <v>-0.95</v>
      </c>
      <c r="V266" s="26">
        <v>731.2</v>
      </c>
    </row>
    <row r="267" spans="1:22" ht="16.8" x14ac:dyDescent="0.3">
      <c r="A267" s="20">
        <v>26.6</v>
      </c>
      <c r="B267" s="20">
        <v>68</v>
      </c>
      <c r="C267" s="26">
        <v>68.239999999999995</v>
      </c>
      <c r="D267" s="20">
        <v>-0.24</v>
      </c>
      <c r="E267" s="20">
        <v>0.04</v>
      </c>
      <c r="F267" s="26">
        <v>1823.97</v>
      </c>
      <c r="Q267" s="20">
        <v>26.6</v>
      </c>
      <c r="R267" s="20">
        <v>67.58</v>
      </c>
      <c r="S267" s="26">
        <v>68</v>
      </c>
      <c r="T267" s="26">
        <v>0.42</v>
      </c>
      <c r="U267" s="26">
        <v>1</v>
      </c>
      <c r="V267" s="20">
        <v>2373.02</v>
      </c>
    </row>
    <row r="268" spans="1:22" ht="16.8" x14ac:dyDescent="0.3">
      <c r="A268" s="20">
        <v>26.7</v>
      </c>
      <c r="B268" s="20">
        <v>68</v>
      </c>
      <c r="C268" s="20">
        <v>68.25</v>
      </c>
      <c r="D268" s="20">
        <v>-0.25</v>
      </c>
      <c r="E268" s="20">
        <v>-0.01</v>
      </c>
      <c r="F268" s="20">
        <v>1817.94</v>
      </c>
      <c r="Q268" s="20">
        <v>26.7</v>
      </c>
      <c r="R268" s="20">
        <v>68.599999999999994</v>
      </c>
      <c r="S268" s="26">
        <v>68</v>
      </c>
      <c r="T268" s="26">
        <v>-0.6</v>
      </c>
      <c r="U268" s="20">
        <v>-1.02</v>
      </c>
      <c r="V268" s="26">
        <v>679.35</v>
      </c>
    </row>
    <row r="269" spans="1:22" ht="16.8" x14ac:dyDescent="0.3">
      <c r="A269" s="20">
        <v>26.8</v>
      </c>
      <c r="B269" s="20">
        <v>68</v>
      </c>
      <c r="C269" s="26">
        <v>68.3</v>
      </c>
      <c r="D269" s="20">
        <v>-0.3</v>
      </c>
      <c r="E269" s="20">
        <v>-0.05</v>
      </c>
      <c r="F269" s="26">
        <v>1779.82</v>
      </c>
      <c r="Q269" s="20">
        <v>26.8</v>
      </c>
      <c r="R269" s="20">
        <v>67.58</v>
      </c>
      <c r="S269" s="26">
        <v>68</v>
      </c>
      <c r="T269" s="26">
        <v>0.42</v>
      </c>
      <c r="U269" s="26">
        <v>1.02</v>
      </c>
      <c r="V269" s="20">
        <v>2392.2199999999998</v>
      </c>
    </row>
    <row r="270" spans="1:22" ht="16.8" x14ac:dyDescent="0.3">
      <c r="A270" s="20">
        <v>26.9</v>
      </c>
      <c r="B270" s="20">
        <v>68</v>
      </c>
      <c r="C270" s="26">
        <v>68.319999999999993</v>
      </c>
      <c r="D270" s="20">
        <v>-0.32</v>
      </c>
      <c r="E270" s="20">
        <v>-0.02</v>
      </c>
      <c r="F270" s="26">
        <v>1768.39</v>
      </c>
      <c r="Q270" s="20">
        <v>26.9</v>
      </c>
      <c r="R270" s="20">
        <v>68.569999999999993</v>
      </c>
      <c r="S270" s="26">
        <v>68</v>
      </c>
      <c r="T270" s="26">
        <v>-0.56999999999999995</v>
      </c>
      <c r="U270" s="20">
        <v>-0.99</v>
      </c>
      <c r="V270" s="20">
        <v>702.65</v>
      </c>
    </row>
    <row r="271" spans="1:22" ht="16.8" x14ac:dyDescent="0.3">
      <c r="A271" s="20">
        <v>27</v>
      </c>
      <c r="B271" s="20">
        <v>68</v>
      </c>
      <c r="C271" s="20">
        <v>68.31</v>
      </c>
      <c r="D271" s="20">
        <v>-0.31</v>
      </c>
      <c r="E271" s="20">
        <v>0.01</v>
      </c>
      <c r="F271" s="20">
        <v>1774.08</v>
      </c>
      <c r="Q271" s="20">
        <v>27</v>
      </c>
      <c r="R271" s="20">
        <v>67.59</v>
      </c>
      <c r="S271" s="26">
        <v>68</v>
      </c>
      <c r="T271" s="26">
        <v>0.41</v>
      </c>
      <c r="U271" s="26">
        <v>0.98</v>
      </c>
      <c r="V271" s="26">
        <v>2352.61</v>
      </c>
    </row>
    <row r="272" spans="1:22" ht="16.8" x14ac:dyDescent="0.3">
      <c r="A272" s="20">
        <v>27.1</v>
      </c>
      <c r="B272" s="20">
        <v>68</v>
      </c>
      <c r="C272" s="26">
        <v>68.319999999999993</v>
      </c>
      <c r="D272" s="20">
        <v>-0.32</v>
      </c>
      <c r="E272" s="20">
        <v>0</v>
      </c>
      <c r="F272" s="26">
        <v>1771.23</v>
      </c>
      <c r="Q272" s="20">
        <v>27.1</v>
      </c>
      <c r="R272" s="20">
        <v>68.55</v>
      </c>
      <c r="S272" s="26">
        <v>68</v>
      </c>
      <c r="T272" s="26">
        <v>-0.55000000000000004</v>
      </c>
      <c r="U272" s="26">
        <v>-0.96</v>
      </c>
      <c r="V272" s="20">
        <v>729.37</v>
      </c>
    </row>
    <row r="273" spans="1:22" ht="16.8" x14ac:dyDescent="0.3">
      <c r="A273" s="20">
        <v>27.2</v>
      </c>
      <c r="B273" s="20">
        <v>68</v>
      </c>
      <c r="C273" s="26">
        <v>68.25</v>
      </c>
      <c r="D273" s="20">
        <v>-0.25</v>
      </c>
      <c r="E273" s="20">
        <v>0.06</v>
      </c>
      <c r="F273" s="20">
        <v>1817.94</v>
      </c>
      <c r="Q273" s="20">
        <v>27.2</v>
      </c>
      <c r="R273" s="20">
        <v>67.59</v>
      </c>
      <c r="S273" s="26">
        <v>68</v>
      </c>
      <c r="T273" s="26">
        <v>0.41</v>
      </c>
      <c r="U273" s="26">
        <v>0.96</v>
      </c>
      <c r="V273" s="26">
        <v>2340.09</v>
      </c>
    </row>
    <row r="274" spans="1:22" ht="16.8" x14ac:dyDescent="0.3">
      <c r="A274" s="20">
        <v>27.3</v>
      </c>
      <c r="B274" s="20">
        <v>68</v>
      </c>
      <c r="C274" s="20">
        <v>68.28</v>
      </c>
      <c r="D274" s="20">
        <v>-0.28000000000000003</v>
      </c>
      <c r="E274" s="20">
        <v>-0.03</v>
      </c>
      <c r="F274" s="26">
        <v>1794.33</v>
      </c>
      <c r="Q274" s="20">
        <v>27.3</v>
      </c>
      <c r="R274" s="20">
        <v>68.599999999999994</v>
      </c>
      <c r="S274" s="26">
        <v>68</v>
      </c>
      <c r="T274" s="26">
        <v>-0.6</v>
      </c>
      <c r="U274" s="26">
        <v>-1.01</v>
      </c>
      <c r="V274" s="20">
        <v>684.31</v>
      </c>
    </row>
    <row r="275" spans="1:22" ht="16.8" x14ac:dyDescent="0.3">
      <c r="A275" s="20">
        <v>27.4</v>
      </c>
      <c r="B275" s="20">
        <v>68</v>
      </c>
      <c r="C275" s="26">
        <v>68.27</v>
      </c>
      <c r="D275" s="20">
        <v>-0.27</v>
      </c>
      <c r="E275" s="20">
        <v>0.01</v>
      </c>
      <c r="F275" s="26">
        <v>1803.14</v>
      </c>
      <c r="Q275" s="20">
        <v>27.4</v>
      </c>
      <c r="R275" s="20">
        <v>67.62</v>
      </c>
      <c r="S275" s="26">
        <v>68</v>
      </c>
      <c r="T275" s="26">
        <v>0.38</v>
      </c>
      <c r="U275" s="26">
        <v>0.98</v>
      </c>
      <c r="V275" s="26">
        <v>2346.37</v>
      </c>
    </row>
    <row r="276" spans="1:22" ht="16.8" x14ac:dyDescent="0.3">
      <c r="A276" s="20">
        <v>27.5</v>
      </c>
      <c r="B276" s="20">
        <v>68</v>
      </c>
      <c r="C276" s="20">
        <v>68.3</v>
      </c>
      <c r="D276" s="20">
        <v>-0.3</v>
      </c>
      <c r="E276" s="20">
        <v>-0.02</v>
      </c>
      <c r="F276" s="20">
        <v>1785.59</v>
      </c>
      <c r="Q276" s="20">
        <v>27.5</v>
      </c>
      <c r="R276" s="20">
        <v>68.58</v>
      </c>
      <c r="S276" s="26">
        <v>68</v>
      </c>
      <c r="T276" s="20">
        <v>-0.57999999999999996</v>
      </c>
      <c r="U276" s="26">
        <v>-0.96</v>
      </c>
      <c r="V276" s="20">
        <v>723.04</v>
      </c>
    </row>
    <row r="277" spans="1:22" ht="16.8" x14ac:dyDescent="0.3">
      <c r="A277" s="20">
        <v>27.6</v>
      </c>
      <c r="B277" s="20">
        <v>68</v>
      </c>
      <c r="C277" s="26">
        <v>68.28</v>
      </c>
      <c r="D277" s="20">
        <v>-0.28000000000000003</v>
      </c>
      <c r="E277" s="20">
        <v>0.01</v>
      </c>
      <c r="F277" s="26">
        <v>1794.33</v>
      </c>
      <c r="Q277" s="20">
        <v>27.6</v>
      </c>
      <c r="R277" s="20">
        <v>67.540000000000006</v>
      </c>
      <c r="S277" s="26">
        <v>68</v>
      </c>
      <c r="T277" s="26">
        <v>0.46</v>
      </c>
      <c r="U277" s="26">
        <v>1.04</v>
      </c>
      <c r="V277" s="26">
        <v>2408.23</v>
      </c>
    </row>
    <row r="278" spans="1:22" ht="16.8" x14ac:dyDescent="0.3">
      <c r="A278" s="20">
        <v>27.7</v>
      </c>
      <c r="B278" s="20">
        <v>68</v>
      </c>
      <c r="C278" s="26">
        <v>68.239999999999995</v>
      </c>
      <c r="D278" s="20">
        <v>-0.24</v>
      </c>
      <c r="E278" s="20">
        <v>0.04</v>
      </c>
      <c r="F278" s="26">
        <v>1823.97</v>
      </c>
      <c r="Q278" s="20">
        <v>27.7</v>
      </c>
      <c r="R278" s="20">
        <v>68.569999999999993</v>
      </c>
      <c r="S278" s="26">
        <v>68</v>
      </c>
      <c r="T278" s="26">
        <v>-0.56999999999999995</v>
      </c>
      <c r="U278" s="26">
        <v>-1.03</v>
      </c>
      <c r="V278" s="20">
        <v>669.28</v>
      </c>
    </row>
    <row r="279" spans="1:22" ht="16.8" x14ac:dyDescent="0.3">
      <c r="A279" s="20">
        <v>27.8</v>
      </c>
      <c r="B279" s="20">
        <v>68</v>
      </c>
      <c r="C279" s="20">
        <v>68.33</v>
      </c>
      <c r="D279" s="20">
        <v>-0.33</v>
      </c>
      <c r="E279" s="20">
        <v>-0.08</v>
      </c>
      <c r="F279" s="20">
        <v>1762.68</v>
      </c>
      <c r="Q279" s="20">
        <v>27.8</v>
      </c>
      <c r="R279" s="20">
        <v>67.599999999999994</v>
      </c>
      <c r="S279" s="20">
        <v>68</v>
      </c>
      <c r="T279" s="26">
        <v>0.4</v>
      </c>
      <c r="U279" s="26">
        <v>0.98</v>
      </c>
      <c r="V279" s="20">
        <v>2349.6799999999998</v>
      </c>
    </row>
    <row r="280" spans="1:22" ht="16.8" x14ac:dyDescent="0.3">
      <c r="A280" s="20">
        <v>27.9</v>
      </c>
      <c r="B280" s="20">
        <v>68</v>
      </c>
      <c r="C280" s="26">
        <v>68.31</v>
      </c>
      <c r="D280" s="20">
        <v>-0.31</v>
      </c>
      <c r="E280" s="20">
        <v>0.02</v>
      </c>
      <c r="F280" s="26">
        <v>1774.08</v>
      </c>
      <c r="Q280" s="20">
        <v>27.9</v>
      </c>
      <c r="R280" s="20">
        <v>68.599999999999994</v>
      </c>
      <c r="S280" s="26">
        <v>68</v>
      </c>
      <c r="T280" s="26">
        <v>-0.6</v>
      </c>
      <c r="U280" s="26">
        <v>-1</v>
      </c>
      <c r="V280" s="26">
        <v>689.15</v>
      </c>
    </row>
    <row r="281" spans="1:22" ht="16.8" x14ac:dyDescent="0.3">
      <c r="A281" s="20">
        <v>28</v>
      </c>
      <c r="B281" s="20">
        <v>68</v>
      </c>
      <c r="C281" s="26">
        <v>68.319999999999993</v>
      </c>
      <c r="D281" s="20">
        <v>-0.32</v>
      </c>
      <c r="E281" s="20">
        <v>0</v>
      </c>
      <c r="F281" s="20">
        <v>1771.23</v>
      </c>
      <c r="Q281" s="20">
        <v>28</v>
      </c>
      <c r="R281" s="20">
        <v>67.61</v>
      </c>
      <c r="S281" s="26">
        <v>68</v>
      </c>
      <c r="T281" s="20">
        <v>0.39</v>
      </c>
      <c r="U281" s="20">
        <v>0.99</v>
      </c>
      <c r="V281" s="20">
        <v>2360.0300000000002</v>
      </c>
    </row>
    <row r="282" spans="1:22" ht="16.8" x14ac:dyDescent="0.3">
      <c r="A282" s="20">
        <v>28.1</v>
      </c>
      <c r="B282" s="20">
        <v>68</v>
      </c>
      <c r="C282" s="20">
        <v>68.25</v>
      </c>
      <c r="D282" s="20">
        <v>-0.25</v>
      </c>
      <c r="E282" s="20">
        <v>0.06</v>
      </c>
      <c r="F282" s="26">
        <v>1817.94</v>
      </c>
      <c r="Q282" s="20">
        <v>28.1</v>
      </c>
      <c r="R282" s="20">
        <v>68.59</v>
      </c>
      <c r="S282" s="26">
        <v>68</v>
      </c>
      <c r="T282" s="26">
        <v>-0.59</v>
      </c>
      <c r="U282" s="26">
        <v>-0.98</v>
      </c>
      <c r="V282" s="26">
        <v>702.2</v>
      </c>
    </row>
    <row r="283" spans="1:22" ht="16.8" x14ac:dyDescent="0.3">
      <c r="A283" s="20">
        <v>28.2</v>
      </c>
      <c r="B283" s="20">
        <v>68</v>
      </c>
      <c r="C283" s="26">
        <v>68.27</v>
      </c>
      <c r="D283" s="20">
        <v>-0.27</v>
      </c>
      <c r="E283" s="20">
        <v>-0.02</v>
      </c>
      <c r="F283" s="26">
        <v>1806.09</v>
      </c>
      <c r="Q283" s="20">
        <v>28.2</v>
      </c>
      <c r="R283" s="20">
        <v>67.63</v>
      </c>
      <c r="S283" s="26">
        <v>68</v>
      </c>
      <c r="T283" s="20">
        <v>0.37</v>
      </c>
      <c r="U283" s="26">
        <v>0.96</v>
      </c>
      <c r="V283" s="20">
        <v>2331.11</v>
      </c>
    </row>
    <row r="284" spans="1:22" ht="16.8" x14ac:dyDescent="0.3">
      <c r="A284" s="20">
        <v>28.3</v>
      </c>
      <c r="B284" s="20">
        <v>68</v>
      </c>
      <c r="C284" s="20">
        <v>68.23</v>
      </c>
      <c r="D284" s="20">
        <v>-0.23</v>
      </c>
      <c r="E284" s="20">
        <v>0.04</v>
      </c>
      <c r="F284" s="20">
        <v>1833.11</v>
      </c>
      <c r="Q284" s="20">
        <v>28.3</v>
      </c>
      <c r="R284" s="20">
        <v>68.599999999999994</v>
      </c>
      <c r="S284" s="26">
        <v>68</v>
      </c>
      <c r="T284" s="26">
        <v>-0.6</v>
      </c>
      <c r="U284" s="26">
        <v>-0.97</v>
      </c>
      <c r="V284" s="26">
        <v>712.49</v>
      </c>
    </row>
    <row r="285" spans="1:22" ht="16.8" x14ac:dyDescent="0.3">
      <c r="A285" s="20">
        <v>28.4</v>
      </c>
      <c r="B285" s="20">
        <v>68</v>
      </c>
      <c r="C285" s="26">
        <v>68.260000000000005</v>
      </c>
      <c r="D285" s="20">
        <v>-0.26</v>
      </c>
      <c r="E285" s="20">
        <v>-0.02</v>
      </c>
      <c r="F285" s="26">
        <v>1814.96</v>
      </c>
      <c r="Q285" s="20">
        <v>28.4</v>
      </c>
      <c r="R285" s="20">
        <v>67.58</v>
      </c>
      <c r="S285" s="26">
        <v>68</v>
      </c>
      <c r="T285" s="20">
        <v>0.42</v>
      </c>
      <c r="U285" s="26">
        <v>1.02</v>
      </c>
      <c r="V285" s="20">
        <v>2388.81</v>
      </c>
    </row>
    <row r="286" spans="1:22" ht="16.8" x14ac:dyDescent="0.3">
      <c r="A286" s="20">
        <v>28.5</v>
      </c>
      <c r="B286" s="20">
        <v>68</v>
      </c>
      <c r="C286" s="26">
        <v>68.290000000000006</v>
      </c>
      <c r="D286" s="20">
        <v>-0.28999999999999998</v>
      </c>
      <c r="E286" s="20">
        <v>-0.03</v>
      </c>
      <c r="F286" s="20">
        <v>1791.4</v>
      </c>
      <c r="Q286" s="20">
        <v>28.5</v>
      </c>
      <c r="R286" s="20">
        <v>68.599999999999994</v>
      </c>
      <c r="S286" s="26">
        <v>68</v>
      </c>
      <c r="T286" s="26">
        <v>-0.6</v>
      </c>
      <c r="U286" s="26">
        <v>-1.02</v>
      </c>
      <c r="V286" s="26">
        <v>669.43</v>
      </c>
    </row>
    <row r="287" spans="1:22" ht="16.8" x14ac:dyDescent="0.3">
      <c r="A287" s="20">
        <v>28.6</v>
      </c>
      <c r="B287" s="20">
        <v>68</v>
      </c>
      <c r="C287" s="20">
        <v>68.23</v>
      </c>
      <c r="D287" s="20">
        <v>-0.23</v>
      </c>
      <c r="E287" s="20">
        <v>0.06</v>
      </c>
      <c r="F287" s="26">
        <v>1836.19</v>
      </c>
      <c r="Q287" s="20">
        <v>28.6</v>
      </c>
      <c r="R287" s="20">
        <v>67.569999999999993</v>
      </c>
      <c r="S287" s="26">
        <v>68</v>
      </c>
      <c r="T287" s="20">
        <v>0.43</v>
      </c>
      <c r="U287" s="26">
        <v>1.03</v>
      </c>
      <c r="V287" s="20">
        <v>2395.85</v>
      </c>
    </row>
    <row r="288" spans="1:22" ht="16.8" x14ac:dyDescent="0.3">
      <c r="A288" s="20">
        <v>28.7</v>
      </c>
      <c r="B288" s="20">
        <v>68</v>
      </c>
      <c r="C288" s="26">
        <v>68.25</v>
      </c>
      <c r="D288" s="20">
        <v>-0.25</v>
      </c>
      <c r="E288" s="20">
        <v>-0.02</v>
      </c>
      <c r="F288" s="26">
        <v>1820.95</v>
      </c>
      <c r="Q288" s="20">
        <v>28.7</v>
      </c>
      <c r="R288" s="20">
        <v>68.55</v>
      </c>
      <c r="S288" s="26">
        <v>68</v>
      </c>
      <c r="T288" s="26">
        <v>-0.55000000000000004</v>
      </c>
      <c r="U288" s="26">
        <v>-0.98</v>
      </c>
      <c r="V288" s="26">
        <v>707.67</v>
      </c>
    </row>
    <row r="289" spans="1:22" ht="16.8" x14ac:dyDescent="0.3">
      <c r="A289" s="20">
        <v>28.8</v>
      </c>
      <c r="B289" s="20">
        <v>68</v>
      </c>
      <c r="C289" s="26">
        <v>68.23</v>
      </c>
      <c r="D289" s="20">
        <v>-0.23</v>
      </c>
      <c r="E289" s="20">
        <v>0.02</v>
      </c>
      <c r="F289" s="20">
        <v>1836.19</v>
      </c>
      <c r="Q289" s="20">
        <v>28.8</v>
      </c>
      <c r="R289" s="20">
        <v>67.569999999999993</v>
      </c>
      <c r="S289" s="26">
        <v>68</v>
      </c>
      <c r="T289" s="26">
        <v>0.43</v>
      </c>
      <c r="U289" s="26">
        <v>0.98</v>
      </c>
      <c r="V289" s="20">
        <v>2359.02</v>
      </c>
    </row>
    <row r="290" spans="1:22" ht="16.8" x14ac:dyDescent="0.3">
      <c r="A290" s="20">
        <v>28.9</v>
      </c>
      <c r="B290" s="20">
        <v>68</v>
      </c>
      <c r="C290" s="20">
        <v>68.2</v>
      </c>
      <c r="D290" s="20">
        <v>-0.2</v>
      </c>
      <c r="E290" s="20">
        <v>0.03</v>
      </c>
      <c r="F290" s="26">
        <v>1861.25</v>
      </c>
      <c r="Q290" s="20">
        <v>28.9</v>
      </c>
      <c r="R290" s="20">
        <v>68.58</v>
      </c>
      <c r="S290" s="26">
        <v>68</v>
      </c>
      <c r="T290" s="26">
        <v>-0.57999999999999996</v>
      </c>
      <c r="U290" s="26">
        <v>-1.02</v>
      </c>
      <c r="V290" s="26">
        <v>677.57</v>
      </c>
    </row>
    <row r="291" spans="1:22" ht="16.8" x14ac:dyDescent="0.3">
      <c r="A291" s="20">
        <v>29</v>
      </c>
      <c r="B291" s="20">
        <v>68</v>
      </c>
      <c r="C291" s="26">
        <v>68.22</v>
      </c>
      <c r="D291" s="20">
        <v>-0.22</v>
      </c>
      <c r="E291" s="20">
        <v>-0.02</v>
      </c>
      <c r="F291" s="26">
        <v>1842.33</v>
      </c>
      <c r="Q291" s="20">
        <v>29</v>
      </c>
      <c r="R291" s="20">
        <v>67.58</v>
      </c>
      <c r="S291" s="26">
        <v>68</v>
      </c>
      <c r="T291" s="26">
        <v>0.42</v>
      </c>
      <c r="U291" s="26">
        <v>1</v>
      </c>
      <c r="V291" s="20">
        <v>2368.12</v>
      </c>
    </row>
    <row r="292" spans="1:22" ht="16.8" x14ac:dyDescent="0.3">
      <c r="A292" s="20">
        <v>29.1</v>
      </c>
      <c r="B292" s="20">
        <v>68</v>
      </c>
      <c r="C292" s="20">
        <v>68.2</v>
      </c>
      <c r="D292" s="20">
        <v>-0.2</v>
      </c>
      <c r="E292" s="20">
        <v>0.02</v>
      </c>
      <c r="F292" s="20">
        <v>1857.96</v>
      </c>
      <c r="Q292" s="20">
        <v>29.1</v>
      </c>
      <c r="R292" s="20">
        <v>68.56</v>
      </c>
      <c r="S292" s="26">
        <v>68</v>
      </c>
      <c r="T292" s="20">
        <v>-0.56000000000000005</v>
      </c>
      <c r="U292" s="26">
        <v>-0.98</v>
      </c>
      <c r="V292" s="20">
        <v>711.72</v>
      </c>
    </row>
    <row r="293" spans="1:22" ht="16.8" x14ac:dyDescent="0.3">
      <c r="A293" s="20">
        <v>29.2</v>
      </c>
      <c r="B293" s="20">
        <v>68</v>
      </c>
      <c r="C293" s="26">
        <v>68.260000000000005</v>
      </c>
      <c r="D293" s="20">
        <v>-0.26</v>
      </c>
      <c r="E293" s="20">
        <v>-0.06</v>
      </c>
      <c r="F293" s="26">
        <v>1809.01</v>
      </c>
      <c r="Q293" s="20">
        <v>29.2</v>
      </c>
      <c r="R293" s="20">
        <v>67.62</v>
      </c>
      <c r="S293" s="26">
        <v>68</v>
      </c>
      <c r="T293" s="26">
        <v>0.38</v>
      </c>
      <c r="U293" s="26">
        <v>0.94</v>
      </c>
      <c r="V293" s="26">
        <v>2319.69</v>
      </c>
    </row>
    <row r="294" spans="1:22" ht="16.8" x14ac:dyDescent="0.3">
      <c r="A294" s="20">
        <v>29.3</v>
      </c>
      <c r="B294" s="20">
        <v>68</v>
      </c>
      <c r="C294" s="26">
        <v>68.180000000000007</v>
      </c>
      <c r="D294" s="20">
        <v>-0.18</v>
      </c>
      <c r="E294" s="20">
        <v>0.09</v>
      </c>
      <c r="F294" s="20">
        <v>1877.99</v>
      </c>
      <c r="Q294" s="20">
        <v>29.3</v>
      </c>
      <c r="R294" s="20">
        <v>68.260000000000005</v>
      </c>
      <c r="S294" s="26">
        <v>68</v>
      </c>
      <c r="T294" s="26">
        <v>-0.26</v>
      </c>
      <c r="U294" s="26">
        <v>-0.64</v>
      </c>
      <c r="V294" s="20">
        <v>1011.47</v>
      </c>
    </row>
    <row r="295" spans="1:22" ht="16.8" x14ac:dyDescent="0.3">
      <c r="A295" s="20">
        <v>29.4</v>
      </c>
      <c r="B295" s="20">
        <v>68</v>
      </c>
      <c r="C295" s="20">
        <v>68.22</v>
      </c>
      <c r="D295" s="20">
        <v>-0.22</v>
      </c>
      <c r="E295" s="20">
        <v>-0.04</v>
      </c>
      <c r="F295" s="26">
        <v>1842.33</v>
      </c>
      <c r="Q295" s="20">
        <v>29.4</v>
      </c>
      <c r="R295" s="20">
        <v>67.63</v>
      </c>
      <c r="S295" s="26">
        <v>68</v>
      </c>
      <c r="T295" s="26">
        <v>0.37</v>
      </c>
      <c r="U295" s="26">
        <v>0.63</v>
      </c>
      <c r="V295" s="26">
        <v>2079.67</v>
      </c>
    </row>
    <row r="296" spans="1:22" ht="16.8" x14ac:dyDescent="0.3">
      <c r="A296" s="20">
        <v>29.5</v>
      </c>
      <c r="B296" s="20">
        <v>68</v>
      </c>
      <c r="C296" s="26">
        <v>68.25</v>
      </c>
      <c r="D296" s="20">
        <v>-0.25</v>
      </c>
      <c r="E296" s="20">
        <v>-0.03</v>
      </c>
      <c r="F296" s="20">
        <v>1817.94</v>
      </c>
      <c r="Q296" s="20">
        <v>29.5</v>
      </c>
      <c r="R296" s="20">
        <v>67.66</v>
      </c>
      <c r="S296" s="26">
        <v>68</v>
      </c>
      <c r="T296" s="26">
        <v>0.34</v>
      </c>
      <c r="U296" s="26">
        <v>-0.03</v>
      </c>
      <c r="V296" s="20">
        <v>1575.53</v>
      </c>
    </row>
    <row r="297" spans="1:22" ht="16.8" x14ac:dyDescent="0.3">
      <c r="A297" s="20">
        <v>29.6</v>
      </c>
      <c r="B297" s="20">
        <v>68</v>
      </c>
      <c r="C297" s="26">
        <v>68.25</v>
      </c>
      <c r="D297" s="20">
        <v>-0.25</v>
      </c>
      <c r="E297" s="20">
        <v>0</v>
      </c>
      <c r="F297" s="26">
        <v>1817.94</v>
      </c>
      <c r="Q297" s="20">
        <v>29.6</v>
      </c>
      <c r="R297" s="20">
        <v>67.61</v>
      </c>
      <c r="S297" s="26">
        <v>68</v>
      </c>
      <c r="T297" s="26">
        <v>0.39</v>
      </c>
      <c r="U297" s="26">
        <v>0.06</v>
      </c>
      <c r="V297" s="26">
        <v>1652.89</v>
      </c>
    </row>
    <row r="298" spans="1:22" ht="16.8" x14ac:dyDescent="0.3">
      <c r="A298" s="20">
        <v>29.7</v>
      </c>
      <c r="B298" s="20">
        <v>68</v>
      </c>
      <c r="C298" s="20">
        <v>68.23</v>
      </c>
      <c r="D298" s="20">
        <v>-0.23</v>
      </c>
      <c r="E298" s="20">
        <v>0.02</v>
      </c>
      <c r="F298" s="26">
        <v>1836.19</v>
      </c>
      <c r="Q298" s="20">
        <v>29.7</v>
      </c>
      <c r="R298" s="20">
        <v>67.58</v>
      </c>
      <c r="S298" s="26">
        <v>68</v>
      </c>
      <c r="T298" s="26">
        <v>0.42</v>
      </c>
      <c r="U298" s="26">
        <v>0.03</v>
      </c>
      <c r="V298" s="20">
        <v>1640.99</v>
      </c>
    </row>
    <row r="299" spans="1:22" ht="16.8" x14ac:dyDescent="0.3">
      <c r="A299" s="20">
        <v>29.8</v>
      </c>
      <c r="B299" s="20">
        <v>68</v>
      </c>
      <c r="C299" s="26">
        <v>68.239999999999995</v>
      </c>
      <c r="D299" s="20">
        <v>-0.24</v>
      </c>
      <c r="E299" s="20">
        <v>-0.01</v>
      </c>
      <c r="F299" s="20">
        <v>1830.06</v>
      </c>
      <c r="Q299" s="20">
        <v>29.8</v>
      </c>
      <c r="R299" s="20">
        <v>67.650000000000006</v>
      </c>
      <c r="S299" s="26">
        <v>68</v>
      </c>
      <c r="T299" s="26">
        <v>0.35</v>
      </c>
      <c r="U299" s="26">
        <v>-7.0000000000000007E-2</v>
      </c>
      <c r="V299" s="26">
        <v>1550.56</v>
      </c>
    </row>
    <row r="300" spans="1:22" ht="16.8" x14ac:dyDescent="0.3">
      <c r="A300" s="20">
        <v>29.9</v>
      </c>
      <c r="B300" s="20">
        <v>68</v>
      </c>
      <c r="C300" s="26">
        <v>68.260000000000005</v>
      </c>
      <c r="D300" s="20">
        <v>-0.26</v>
      </c>
      <c r="E300" s="20">
        <v>-0.02</v>
      </c>
      <c r="F300" s="26">
        <v>1811.99</v>
      </c>
      <c r="Q300" s="20">
        <v>29.9</v>
      </c>
      <c r="R300" s="20">
        <v>67.599999999999994</v>
      </c>
      <c r="S300" s="26">
        <v>68</v>
      </c>
      <c r="T300" s="26">
        <v>0.4</v>
      </c>
      <c r="U300" s="26">
        <v>0.05</v>
      </c>
      <c r="V300" s="20">
        <v>1650.97</v>
      </c>
    </row>
    <row r="301" spans="1:22" ht="16.8" x14ac:dyDescent="0.3">
      <c r="A301" s="20">
        <v>30</v>
      </c>
      <c r="B301" s="20">
        <v>68</v>
      </c>
      <c r="C301" s="20">
        <v>68.28</v>
      </c>
      <c r="D301" s="20">
        <v>-0.28000000000000003</v>
      </c>
      <c r="E301" s="20">
        <v>-0.02</v>
      </c>
      <c r="F301" s="26">
        <v>1794.33</v>
      </c>
      <c r="Q301" s="20">
        <v>30</v>
      </c>
      <c r="R301" s="20">
        <v>67.66</v>
      </c>
      <c r="S301" s="26">
        <v>68</v>
      </c>
      <c r="T301" s="26">
        <v>0.34</v>
      </c>
      <c r="U301" s="26">
        <v>-0.06</v>
      </c>
      <c r="V301" s="20">
        <v>1563.19</v>
      </c>
    </row>
    <row r="302" spans="1:22" ht="16.8" x14ac:dyDescent="0.3">
      <c r="A302" s="20">
        <v>30.1</v>
      </c>
      <c r="B302" s="20">
        <v>68</v>
      </c>
      <c r="C302" s="26">
        <v>68.260000000000005</v>
      </c>
      <c r="D302" s="20">
        <v>-0.26</v>
      </c>
      <c r="E302" s="20">
        <v>0.02</v>
      </c>
      <c r="F302" s="20">
        <v>1809.01</v>
      </c>
      <c r="Q302" s="20">
        <v>30.1</v>
      </c>
      <c r="R302" s="20">
        <v>67.67</v>
      </c>
      <c r="S302" s="26">
        <v>68</v>
      </c>
      <c r="T302" s="26">
        <v>0.33</v>
      </c>
      <c r="U302" s="26">
        <v>-0.02</v>
      </c>
      <c r="V302" s="26">
        <v>1591.76</v>
      </c>
    </row>
    <row r="303" spans="1:22" ht="16.8" x14ac:dyDescent="0.3">
      <c r="A303" s="20">
        <v>30.2</v>
      </c>
      <c r="B303" s="20">
        <v>68</v>
      </c>
      <c r="C303" s="20">
        <v>68.260000000000005</v>
      </c>
      <c r="D303" s="20">
        <v>-0.26</v>
      </c>
      <c r="E303" s="20">
        <v>0</v>
      </c>
      <c r="F303" s="26">
        <v>1809.01</v>
      </c>
      <c r="Q303" s="20">
        <v>30.2</v>
      </c>
      <c r="R303" s="20">
        <v>67.66</v>
      </c>
      <c r="S303" s="26">
        <v>68</v>
      </c>
      <c r="T303" s="26">
        <v>0.34</v>
      </c>
      <c r="U303" s="26">
        <v>0.02</v>
      </c>
      <c r="V303" s="20">
        <v>1619.63</v>
      </c>
    </row>
    <row r="304" spans="1:22" ht="16.8" x14ac:dyDescent="0.3">
      <c r="A304" s="20">
        <v>30.3</v>
      </c>
      <c r="B304" s="20">
        <v>68</v>
      </c>
      <c r="C304" s="26">
        <v>68.25</v>
      </c>
      <c r="D304" s="20">
        <v>-0.25</v>
      </c>
      <c r="E304" s="20">
        <v>0.01</v>
      </c>
      <c r="F304" s="20">
        <v>1817.94</v>
      </c>
      <c r="Q304" s="20">
        <v>30.3</v>
      </c>
      <c r="R304" s="20">
        <v>67.69</v>
      </c>
      <c r="S304" s="26">
        <v>68</v>
      </c>
      <c r="T304" s="26">
        <v>0.31</v>
      </c>
      <c r="U304" s="26">
        <v>-0.03</v>
      </c>
      <c r="V304" s="26">
        <v>1578.46</v>
      </c>
    </row>
    <row r="305" spans="1:22" ht="16.8" x14ac:dyDescent="0.3">
      <c r="A305" s="20">
        <v>30.4</v>
      </c>
      <c r="B305" s="20">
        <v>68</v>
      </c>
      <c r="C305" s="26">
        <v>68.260000000000005</v>
      </c>
      <c r="D305" s="20">
        <v>-0.26</v>
      </c>
      <c r="E305" s="20">
        <v>0</v>
      </c>
      <c r="F305" s="26">
        <v>1814.96</v>
      </c>
      <c r="Q305" s="20">
        <v>30.4</v>
      </c>
      <c r="R305" s="20">
        <v>67.67</v>
      </c>
      <c r="S305" s="26">
        <v>68</v>
      </c>
      <c r="T305" s="26">
        <v>0.33</v>
      </c>
      <c r="U305" s="26">
        <v>0.02</v>
      </c>
      <c r="V305" s="20">
        <v>1618.49</v>
      </c>
    </row>
    <row r="306" spans="1:22" ht="16.8" x14ac:dyDescent="0.3">
      <c r="A306" s="20">
        <v>30.5</v>
      </c>
      <c r="B306" s="20">
        <v>68</v>
      </c>
      <c r="C306" s="20">
        <v>68.239999999999995</v>
      </c>
      <c r="D306" s="20">
        <v>-0.24</v>
      </c>
      <c r="E306" s="20">
        <v>0.02</v>
      </c>
      <c r="F306" s="26">
        <v>1826.99</v>
      </c>
      <c r="Q306" s="20">
        <v>30.5</v>
      </c>
      <c r="R306" s="20">
        <v>67.7</v>
      </c>
      <c r="S306" s="26">
        <v>68</v>
      </c>
      <c r="T306" s="26">
        <v>0.3</v>
      </c>
      <c r="U306" s="26">
        <v>-0.03</v>
      </c>
      <c r="V306" s="26">
        <v>1577.28</v>
      </c>
    </row>
    <row r="307" spans="1:22" ht="16.8" x14ac:dyDescent="0.3">
      <c r="A307" s="20">
        <v>30.6</v>
      </c>
      <c r="B307" s="20">
        <v>68</v>
      </c>
      <c r="C307" s="26">
        <v>68.28</v>
      </c>
      <c r="D307" s="20">
        <v>-0.28000000000000003</v>
      </c>
      <c r="E307" s="20">
        <v>-0.04</v>
      </c>
      <c r="F307" s="20">
        <v>1794.33</v>
      </c>
      <c r="Q307" s="20">
        <v>30.6</v>
      </c>
      <c r="R307" s="20">
        <v>67.75</v>
      </c>
      <c r="S307" s="26">
        <v>68</v>
      </c>
      <c r="T307" s="20">
        <v>0.25</v>
      </c>
      <c r="U307" s="26">
        <v>-0.05</v>
      </c>
      <c r="V307" s="20">
        <v>1557.63</v>
      </c>
    </row>
    <row r="308" spans="1:22" ht="16.8" x14ac:dyDescent="0.3">
      <c r="A308" s="20">
        <v>30.7</v>
      </c>
      <c r="B308" s="20">
        <v>68</v>
      </c>
      <c r="C308" s="26">
        <v>68.28</v>
      </c>
      <c r="D308" s="20">
        <v>-0.28000000000000003</v>
      </c>
      <c r="E308" s="20">
        <v>0</v>
      </c>
      <c r="F308" s="26">
        <v>1797.27</v>
      </c>
      <c r="Q308" s="20">
        <v>30.7</v>
      </c>
      <c r="R308" s="20">
        <v>67.739999999999995</v>
      </c>
      <c r="S308" s="26">
        <v>68</v>
      </c>
      <c r="T308" s="26">
        <v>0.26</v>
      </c>
      <c r="U308" s="26">
        <v>0.01</v>
      </c>
      <c r="V308" s="20">
        <v>1602.23</v>
      </c>
    </row>
    <row r="309" spans="1:22" ht="16.8" x14ac:dyDescent="0.3">
      <c r="A309" s="20">
        <v>30.8</v>
      </c>
      <c r="B309" s="20">
        <v>68</v>
      </c>
      <c r="C309" s="20">
        <v>68.3</v>
      </c>
      <c r="D309" s="20">
        <v>-0.3</v>
      </c>
      <c r="E309" s="20">
        <v>-0.02</v>
      </c>
      <c r="F309" s="20">
        <v>1785.59</v>
      </c>
      <c r="Q309" s="20">
        <v>30.8</v>
      </c>
      <c r="R309" s="20">
        <v>67.72</v>
      </c>
      <c r="S309" s="26">
        <v>68</v>
      </c>
      <c r="T309" s="26">
        <v>0.28000000000000003</v>
      </c>
      <c r="U309" s="26">
        <v>0.02</v>
      </c>
      <c r="V309" s="26">
        <v>1619.11</v>
      </c>
    </row>
    <row r="310" spans="1:22" ht="16.8" x14ac:dyDescent="0.3">
      <c r="A310" s="20">
        <v>30.9</v>
      </c>
      <c r="B310" s="20">
        <v>68</v>
      </c>
      <c r="C310" s="26">
        <v>68.23</v>
      </c>
      <c r="D310" s="20">
        <v>-0.23</v>
      </c>
      <c r="E310" s="20">
        <v>0.06</v>
      </c>
      <c r="F310" s="26">
        <v>1833.11</v>
      </c>
      <c r="Q310" s="20">
        <v>30.9</v>
      </c>
      <c r="R310" s="20">
        <v>67.78</v>
      </c>
      <c r="S310" s="26">
        <v>68</v>
      </c>
      <c r="T310" s="26">
        <v>0.22</v>
      </c>
      <c r="U310" s="26">
        <v>-0.06</v>
      </c>
      <c r="V310" s="20">
        <v>1541.88</v>
      </c>
    </row>
    <row r="311" spans="1:22" ht="16.8" x14ac:dyDescent="0.3">
      <c r="A311" s="20">
        <v>31</v>
      </c>
      <c r="B311" s="20">
        <v>68</v>
      </c>
      <c r="C311" s="26">
        <v>68.260000000000005</v>
      </c>
      <c r="D311" s="20">
        <v>-0.26</v>
      </c>
      <c r="E311" s="20">
        <v>-0.03</v>
      </c>
      <c r="F311" s="26">
        <v>1809.01</v>
      </c>
      <c r="Q311" s="20">
        <v>31</v>
      </c>
      <c r="R311" s="20">
        <v>67.78</v>
      </c>
      <c r="S311" s="26">
        <v>68</v>
      </c>
      <c r="T311" s="26">
        <v>0.22</v>
      </c>
      <c r="U311" s="26">
        <v>0</v>
      </c>
      <c r="V311" s="26">
        <v>1591.13</v>
      </c>
    </row>
    <row r="312" spans="1:22" ht="16.8" x14ac:dyDescent="0.3">
      <c r="A312" s="20">
        <v>31.1</v>
      </c>
      <c r="B312" s="20">
        <v>68</v>
      </c>
      <c r="C312" s="20">
        <v>68.209999999999994</v>
      </c>
      <c r="D312" s="20">
        <v>-0.21</v>
      </c>
      <c r="E312" s="20">
        <v>0.05</v>
      </c>
      <c r="F312" s="20">
        <v>1848.53</v>
      </c>
      <c r="Q312" s="20">
        <v>31.1</v>
      </c>
      <c r="R312" s="20">
        <v>67.760000000000005</v>
      </c>
      <c r="S312" s="26">
        <v>68</v>
      </c>
      <c r="T312" s="20">
        <v>0.24</v>
      </c>
      <c r="U312" s="26">
        <v>0.02</v>
      </c>
      <c r="V312" s="20">
        <v>1614.01</v>
      </c>
    </row>
    <row r="313" spans="1:22" ht="16.8" x14ac:dyDescent="0.3">
      <c r="A313" s="20">
        <v>31.2</v>
      </c>
      <c r="B313" s="20">
        <v>68</v>
      </c>
      <c r="C313" s="26">
        <v>68.260000000000005</v>
      </c>
      <c r="D313" s="20">
        <v>-0.26</v>
      </c>
      <c r="E313" s="20">
        <v>-0.04</v>
      </c>
      <c r="F313" s="26">
        <v>1814.96</v>
      </c>
      <c r="Q313" s="20">
        <v>31.2</v>
      </c>
      <c r="R313" s="20">
        <v>67.8</v>
      </c>
      <c r="S313" s="26">
        <v>68</v>
      </c>
      <c r="T313" s="26">
        <v>0.2</v>
      </c>
      <c r="U313" s="26">
        <v>-0.04</v>
      </c>
      <c r="V313" s="26">
        <v>1559.05</v>
      </c>
    </row>
    <row r="314" spans="1:22" ht="16.8" x14ac:dyDescent="0.3">
      <c r="A314" s="20">
        <v>31.3</v>
      </c>
      <c r="B314" s="20">
        <v>68</v>
      </c>
      <c r="C314" s="20">
        <v>68.22</v>
      </c>
      <c r="D314" s="20">
        <v>-0.22</v>
      </c>
      <c r="E314" s="20">
        <v>0.03</v>
      </c>
      <c r="F314" s="26">
        <v>1839.24</v>
      </c>
      <c r="Q314" s="20">
        <v>31.3</v>
      </c>
      <c r="R314" s="20">
        <v>67.790000000000006</v>
      </c>
      <c r="S314" s="26">
        <v>68</v>
      </c>
      <c r="T314" s="20">
        <v>0.21</v>
      </c>
      <c r="U314" s="26">
        <v>0.01</v>
      </c>
      <c r="V314" s="20">
        <v>1597.43</v>
      </c>
    </row>
    <row r="315" spans="1:22" ht="16.8" x14ac:dyDescent="0.3">
      <c r="A315" s="20">
        <v>31.4</v>
      </c>
      <c r="B315" s="20">
        <v>68</v>
      </c>
      <c r="C315" s="26">
        <v>68.28</v>
      </c>
      <c r="D315" s="20">
        <v>-0.28000000000000003</v>
      </c>
      <c r="E315" s="20">
        <v>-0.05</v>
      </c>
      <c r="F315" s="20">
        <v>1800.22</v>
      </c>
      <c r="Q315" s="20">
        <v>31.4</v>
      </c>
      <c r="R315" s="20">
        <v>67.849999999999994</v>
      </c>
      <c r="S315" s="20">
        <v>68</v>
      </c>
      <c r="T315" s="26">
        <v>0.15</v>
      </c>
      <c r="U315" s="26">
        <v>-0.06</v>
      </c>
      <c r="V315" s="20">
        <v>1539.66</v>
      </c>
    </row>
    <row r="316" spans="1:22" ht="16.8" x14ac:dyDescent="0.3">
      <c r="A316" s="20">
        <v>31.5</v>
      </c>
      <c r="B316" s="20">
        <v>68</v>
      </c>
      <c r="C316" s="26">
        <v>68.239999999999995</v>
      </c>
      <c r="D316" s="20">
        <v>-0.24</v>
      </c>
      <c r="E316" s="20">
        <v>0.03</v>
      </c>
      <c r="F316" s="26">
        <v>1823.97</v>
      </c>
      <c r="Q316" s="20">
        <v>31.5</v>
      </c>
      <c r="R316" s="20">
        <v>67.86</v>
      </c>
      <c r="S316" s="26">
        <v>68</v>
      </c>
      <c r="T316" s="26">
        <v>0.14000000000000001</v>
      </c>
      <c r="U316" s="26">
        <v>-0.01</v>
      </c>
      <c r="V316" s="26">
        <v>1575.21</v>
      </c>
    </row>
    <row r="317" spans="1:22" ht="16.8" x14ac:dyDescent="0.3">
      <c r="A317" s="20">
        <v>31.6</v>
      </c>
      <c r="B317" s="20">
        <v>68</v>
      </c>
      <c r="C317" s="20">
        <v>68.23</v>
      </c>
      <c r="D317" s="20">
        <v>-0.23</v>
      </c>
      <c r="E317" s="20">
        <v>0.01</v>
      </c>
      <c r="F317" s="20">
        <v>1833.11</v>
      </c>
      <c r="Q317" s="20">
        <v>31.6</v>
      </c>
      <c r="R317" s="20">
        <v>67.87</v>
      </c>
      <c r="S317" s="20">
        <v>68</v>
      </c>
      <c r="T317" s="26">
        <v>0.13</v>
      </c>
      <c r="U317" s="26">
        <v>-0.01</v>
      </c>
      <c r="V317" s="20">
        <v>1574.2</v>
      </c>
    </row>
    <row r="318" spans="1:22" ht="16.8" x14ac:dyDescent="0.3">
      <c r="A318" s="20">
        <v>31.7</v>
      </c>
      <c r="B318" s="20">
        <v>68</v>
      </c>
      <c r="C318" s="26">
        <v>68.260000000000005</v>
      </c>
      <c r="D318" s="20">
        <v>-0.26</v>
      </c>
      <c r="E318" s="20">
        <v>-0.03</v>
      </c>
      <c r="F318" s="26">
        <v>1809.01</v>
      </c>
      <c r="Q318" s="20">
        <v>31.7</v>
      </c>
      <c r="R318" s="20">
        <v>67.87</v>
      </c>
      <c r="S318" s="26">
        <v>68</v>
      </c>
      <c r="T318" s="26">
        <v>0.13</v>
      </c>
      <c r="U318" s="26">
        <v>0</v>
      </c>
      <c r="V318" s="26">
        <v>1580.61</v>
      </c>
    </row>
    <row r="319" spans="1:22" ht="16.8" x14ac:dyDescent="0.3">
      <c r="A319" s="20">
        <v>31.8</v>
      </c>
      <c r="B319" s="20">
        <v>68</v>
      </c>
      <c r="C319" s="26">
        <v>68.3</v>
      </c>
      <c r="D319" s="20">
        <v>-0.3</v>
      </c>
      <c r="E319" s="20">
        <v>-0.03</v>
      </c>
      <c r="F319" s="26">
        <v>1785.59</v>
      </c>
      <c r="Q319" s="20">
        <v>31.8</v>
      </c>
      <c r="R319" s="20">
        <v>67.87</v>
      </c>
      <c r="S319" s="26">
        <v>68</v>
      </c>
      <c r="T319" s="26">
        <v>0.13</v>
      </c>
      <c r="U319" s="26">
        <v>-0.01</v>
      </c>
      <c r="V319" s="20">
        <v>1573.48</v>
      </c>
    </row>
    <row r="320" spans="1:22" ht="16.8" x14ac:dyDescent="0.3">
      <c r="A320" s="20">
        <v>31.9</v>
      </c>
      <c r="B320" s="20">
        <v>68</v>
      </c>
      <c r="C320" s="20">
        <v>68.25</v>
      </c>
      <c r="D320" s="20">
        <v>-0.25</v>
      </c>
      <c r="E320" s="20">
        <v>0.04</v>
      </c>
      <c r="F320" s="20">
        <v>1817.94</v>
      </c>
      <c r="Q320" s="20">
        <v>31.9</v>
      </c>
      <c r="R320" s="20">
        <v>67.91</v>
      </c>
      <c r="S320" s="26">
        <v>68</v>
      </c>
      <c r="T320" s="26">
        <v>0.09</v>
      </c>
      <c r="U320" s="26">
        <v>-0.03</v>
      </c>
      <c r="V320" s="26">
        <v>1550.05</v>
      </c>
    </row>
    <row r="321" spans="1:22" ht="16.8" x14ac:dyDescent="0.3">
      <c r="A321" s="20">
        <v>32</v>
      </c>
      <c r="B321" s="20">
        <v>68</v>
      </c>
      <c r="C321" s="26">
        <v>68.31</v>
      </c>
      <c r="D321" s="20">
        <v>-0.31</v>
      </c>
      <c r="E321" s="20">
        <v>-0.06</v>
      </c>
      <c r="F321" s="26">
        <v>1776.95</v>
      </c>
      <c r="Q321" s="20">
        <v>32</v>
      </c>
      <c r="R321" s="20">
        <v>67.87</v>
      </c>
      <c r="S321" s="26">
        <v>68</v>
      </c>
      <c r="T321" s="26">
        <v>0.13</v>
      </c>
      <c r="U321" s="26">
        <v>0.03</v>
      </c>
      <c r="V321" s="20">
        <v>1604.48</v>
      </c>
    </row>
    <row r="322" spans="1:22" ht="16.8" x14ac:dyDescent="0.3">
      <c r="A322" s="20">
        <v>32.1</v>
      </c>
      <c r="B322" s="20">
        <v>68</v>
      </c>
      <c r="C322" s="20">
        <v>68.31</v>
      </c>
      <c r="D322" s="20">
        <v>-0.31</v>
      </c>
      <c r="E322" s="20">
        <v>0</v>
      </c>
      <c r="F322" s="26">
        <v>1776.95</v>
      </c>
      <c r="Q322" s="20">
        <v>32.1</v>
      </c>
      <c r="R322" s="20">
        <v>67.91</v>
      </c>
      <c r="S322" s="26">
        <v>68</v>
      </c>
      <c r="T322" s="26">
        <v>0.09</v>
      </c>
      <c r="U322" s="26">
        <v>-0.03</v>
      </c>
      <c r="V322" s="20">
        <v>1550.58</v>
      </c>
    </row>
    <row r="323" spans="1:22" ht="16.8" x14ac:dyDescent="0.3">
      <c r="A323" s="20">
        <v>32.200000000000003</v>
      </c>
      <c r="B323" s="20">
        <v>68</v>
      </c>
      <c r="C323" s="26">
        <v>68.239999999999995</v>
      </c>
      <c r="D323" s="20">
        <v>-0.24</v>
      </c>
      <c r="E323" s="20">
        <v>7.0000000000000007E-2</v>
      </c>
      <c r="F323" s="20">
        <v>1826.99</v>
      </c>
      <c r="Q323" s="20">
        <v>32.200000000000003</v>
      </c>
      <c r="R323" s="20">
        <v>67.91</v>
      </c>
      <c r="S323" s="26">
        <v>68</v>
      </c>
      <c r="T323" s="26">
        <v>0.09</v>
      </c>
      <c r="U323" s="26">
        <v>-0.01</v>
      </c>
      <c r="V323" s="26">
        <v>1567.73</v>
      </c>
    </row>
    <row r="324" spans="1:22" ht="16.8" x14ac:dyDescent="0.3">
      <c r="A324" s="20">
        <v>32.299999999999997</v>
      </c>
      <c r="B324" s="20">
        <v>68</v>
      </c>
      <c r="C324" s="26">
        <v>68.22</v>
      </c>
      <c r="D324" s="20">
        <v>-0.22</v>
      </c>
      <c r="E324" s="20">
        <v>0.02</v>
      </c>
      <c r="F324" s="26">
        <v>1839.24</v>
      </c>
      <c r="Q324" s="20">
        <v>32.299999999999997</v>
      </c>
      <c r="R324" s="20">
        <v>67.89</v>
      </c>
      <c r="S324" s="26">
        <v>68</v>
      </c>
      <c r="T324" s="26">
        <v>0.11</v>
      </c>
      <c r="U324" s="26">
        <v>0.02</v>
      </c>
      <c r="V324" s="20">
        <v>1596.39</v>
      </c>
    </row>
    <row r="325" spans="1:22" ht="16.8" x14ac:dyDescent="0.3">
      <c r="A325" s="20">
        <v>32.4</v>
      </c>
      <c r="B325" s="20">
        <v>68</v>
      </c>
      <c r="C325" s="20">
        <v>68.31</v>
      </c>
      <c r="D325" s="20">
        <v>-0.31</v>
      </c>
      <c r="E325" s="20">
        <v>-0.09</v>
      </c>
      <c r="F325" s="20">
        <v>1774.08</v>
      </c>
      <c r="Q325" s="20">
        <v>32.4</v>
      </c>
      <c r="R325" s="20">
        <v>67.95</v>
      </c>
      <c r="S325" s="26">
        <v>68</v>
      </c>
      <c r="T325" s="20">
        <v>0.05</v>
      </c>
      <c r="U325" s="26">
        <v>-0.06</v>
      </c>
      <c r="V325" s="26">
        <v>1526.21</v>
      </c>
    </row>
    <row r="326" spans="1:22" ht="16.8" x14ac:dyDescent="0.3">
      <c r="A326" s="20">
        <v>32.5</v>
      </c>
      <c r="B326" s="20">
        <v>68</v>
      </c>
      <c r="C326" s="26">
        <v>68.31</v>
      </c>
      <c r="D326" s="20">
        <v>-0.31</v>
      </c>
      <c r="E326" s="20">
        <v>0</v>
      </c>
      <c r="F326" s="26">
        <v>1776.95</v>
      </c>
      <c r="Q326" s="20">
        <v>32.5</v>
      </c>
      <c r="R326" s="20">
        <v>67.86</v>
      </c>
      <c r="S326" s="20">
        <v>68</v>
      </c>
      <c r="T326" s="26">
        <v>0.14000000000000001</v>
      </c>
      <c r="U326" s="26">
        <v>0.09</v>
      </c>
      <c r="V326" s="20">
        <v>1650.98</v>
      </c>
    </row>
    <row r="327" spans="1:22" ht="16.8" x14ac:dyDescent="0.3">
      <c r="A327" s="20">
        <v>32.6</v>
      </c>
      <c r="B327" s="20">
        <v>68</v>
      </c>
      <c r="C327" s="26">
        <v>68.25</v>
      </c>
      <c r="D327" s="20">
        <v>-0.25</v>
      </c>
      <c r="E327" s="20">
        <v>0.06</v>
      </c>
      <c r="F327" s="26">
        <v>1820.95</v>
      </c>
      <c r="Q327" s="20">
        <v>32.6</v>
      </c>
      <c r="R327" s="20">
        <v>67.91</v>
      </c>
      <c r="S327" s="26">
        <v>68</v>
      </c>
      <c r="T327" s="26">
        <v>0.09</v>
      </c>
      <c r="U327" s="26">
        <v>-0.06</v>
      </c>
      <c r="V327" s="26">
        <v>1532.12</v>
      </c>
    </row>
    <row r="328" spans="1:22" ht="16.8" x14ac:dyDescent="0.3">
      <c r="A328" s="20">
        <v>32.700000000000003</v>
      </c>
      <c r="B328" s="20">
        <v>68</v>
      </c>
      <c r="C328" s="20">
        <v>68.28</v>
      </c>
      <c r="D328" s="20">
        <v>-0.28000000000000003</v>
      </c>
      <c r="E328" s="20">
        <v>-0.03</v>
      </c>
      <c r="F328" s="20">
        <v>1797.27</v>
      </c>
      <c r="Q328" s="20">
        <v>32.700000000000003</v>
      </c>
      <c r="R328" s="20">
        <v>67.930000000000007</v>
      </c>
      <c r="S328" s="26">
        <v>68</v>
      </c>
      <c r="T328" s="26">
        <v>7.0000000000000007E-2</v>
      </c>
      <c r="U328" s="26">
        <v>-0.02</v>
      </c>
      <c r="V328" s="20">
        <v>1560.07</v>
      </c>
    </row>
    <row r="329" spans="1:22" ht="16.8" x14ac:dyDescent="0.3">
      <c r="A329" s="20">
        <v>32.799999999999997</v>
      </c>
      <c r="B329" s="20">
        <v>68</v>
      </c>
      <c r="C329" s="26">
        <v>68.3</v>
      </c>
      <c r="D329" s="20">
        <v>-0.3</v>
      </c>
      <c r="E329" s="20">
        <v>-0.02</v>
      </c>
      <c r="F329" s="26">
        <v>1785.59</v>
      </c>
      <c r="Q329" s="20">
        <v>32.799999999999997</v>
      </c>
      <c r="R329" s="20">
        <v>67.94</v>
      </c>
      <c r="S329" s="26">
        <v>68</v>
      </c>
      <c r="T329" s="26">
        <v>0.06</v>
      </c>
      <c r="U329" s="26">
        <v>-0.01</v>
      </c>
      <c r="V329" s="26">
        <v>1564.97</v>
      </c>
    </row>
    <row r="330" spans="1:22" ht="16.8" x14ac:dyDescent="0.3">
      <c r="A330" s="20">
        <v>32.9</v>
      </c>
      <c r="B330" s="20">
        <v>68</v>
      </c>
      <c r="C330" s="26">
        <v>68.28</v>
      </c>
      <c r="D330" s="20">
        <v>-0.28000000000000003</v>
      </c>
      <c r="E330" s="20">
        <v>0.02</v>
      </c>
      <c r="F330" s="20">
        <v>1800.22</v>
      </c>
      <c r="Q330" s="20">
        <v>32.9</v>
      </c>
      <c r="R330" s="20">
        <v>67.87</v>
      </c>
      <c r="S330" s="26">
        <v>68</v>
      </c>
      <c r="T330" s="26">
        <v>0.13</v>
      </c>
      <c r="U330" s="26">
        <v>0.06</v>
      </c>
      <c r="V330" s="20">
        <v>1630.85</v>
      </c>
    </row>
    <row r="331" spans="1:22" ht="16.8" x14ac:dyDescent="0.3">
      <c r="A331" s="20">
        <v>33</v>
      </c>
      <c r="B331" s="20">
        <v>68</v>
      </c>
      <c r="C331" s="20">
        <v>68.31</v>
      </c>
      <c r="D331" s="20">
        <v>-0.31</v>
      </c>
      <c r="E331" s="20">
        <v>-0.03</v>
      </c>
      <c r="F331" s="26">
        <v>1776.95</v>
      </c>
      <c r="Q331" s="20">
        <v>33</v>
      </c>
      <c r="R331" s="20">
        <v>67.930000000000007</v>
      </c>
      <c r="S331" s="26">
        <v>68</v>
      </c>
      <c r="T331" s="26">
        <v>7.0000000000000007E-2</v>
      </c>
      <c r="U331" s="26">
        <v>-0.06</v>
      </c>
      <c r="V331" s="26">
        <v>1530.22</v>
      </c>
    </row>
    <row r="332" spans="1:22" ht="16.8" x14ac:dyDescent="0.3">
      <c r="A332" s="20">
        <v>33.1</v>
      </c>
      <c r="B332" s="20">
        <v>68</v>
      </c>
      <c r="C332" s="26">
        <v>68.239999999999995</v>
      </c>
      <c r="D332" s="20">
        <v>-0.24</v>
      </c>
      <c r="E332" s="20">
        <v>0.06</v>
      </c>
      <c r="F332" s="26">
        <v>1823.97</v>
      </c>
      <c r="Q332" s="20">
        <v>33.1</v>
      </c>
      <c r="R332" s="20">
        <v>67.92</v>
      </c>
      <c r="S332" s="26">
        <v>68</v>
      </c>
      <c r="T332" s="26">
        <v>0.08</v>
      </c>
      <c r="U332" s="26">
        <v>0.01</v>
      </c>
      <c r="V332" s="20">
        <v>1580.5</v>
      </c>
    </row>
    <row r="333" spans="1:22" ht="16.8" x14ac:dyDescent="0.3">
      <c r="A333" s="20">
        <v>33.200000000000003</v>
      </c>
      <c r="B333" s="20">
        <v>68</v>
      </c>
      <c r="C333" s="20">
        <v>68.31</v>
      </c>
      <c r="D333" s="20">
        <v>-0.31</v>
      </c>
      <c r="E333" s="20">
        <v>-7.0000000000000007E-2</v>
      </c>
      <c r="F333" s="26">
        <v>1774.08</v>
      </c>
      <c r="Q333" s="20">
        <v>33.200000000000003</v>
      </c>
      <c r="R333" s="20">
        <v>67.98</v>
      </c>
      <c r="S333" s="26">
        <v>68</v>
      </c>
      <c r="T333" s="26">
        <v>0.02</v>
      </c>
      <c r="U333" s="26">
        <v>-0.06</v>
      </c>
      <c r="V333" s="26">
        <v>1522.41</v>
      </c>
    </row>
    <row r="334" spans="1:22" ht="16.8" x14ac:dyDescent="0.3">
      <c r="A334" s="20">
        <v>33.299999999999997</v>
      </c>
      <c r="B334" s="20">
        <v>68</v>
      </c>
      <c r="C334" s="26">
        <v>68.290000000000006</v>
      </c>
      <c r="D334" s="20">
        <v>-0.28999999999999998</v>
      </c>
      <c r="E334" s="20">
        <v>0.02</v>
      </c>
      <c r="F334" s="20">
        <v>1788.49</v>
      </c>
      <c r="Q334" s="20">
        <v>33.299999999999997</v>
      </c>
      <c r="R334" s="20">
        <v>67.95</v>
      </c>
      <c r="S334" s="26">
        <v>68</v>
      </c>
      <c r="T334" s="20">
        <v>0.05</v>
      </c>
      <c r="U334" s="26">
        <v>0.02</v>
      </c>
      <c r="V334" s="20">
        <v>1587.48</v>
      </c>
    </row>
    <row r="335" spans="1:22" ht="16.8" x14ac:dyDescent="0.3">
      <c r="A335" s="20">
        <v>33.4</v>
      </c>
      <c r="B335" s="20">
        <v>68</v>
      </c>
      <c r="C335" s="26">
        <v>68.3</v>
      </c>
      <c r="D335" s="20">
        <v>-0.3</v>
      </c>
      <c r="E335" s="20">
        <v>-0.01</v>
      </c>
      <c r="F335" s="26">
        <v>1782.68</v>
      </c>
      <c r="Q335" s="20">
        <v>33.4</v>
      </c>
      <c r="R335" s="20">
        <v>68</v>
      </c>
      <c r="S335" s="26">
        <v>68</v>
      </c>
      <c r="T335" s="26">
        <v>0</v>
      </c>
      <c r="U335" s="26">
        <v>-0.05</v>
      </c>
      <c r="V335" s="26">
        <v>1524.58</v>
      </c>
    </row>
    <row r="336" spans="1:22" ht="16.8" x14ac:dyDescent="0.3">
      <c r="A336" s="20">
        <v>33.5</v>
      </c>
      <c r="B336" s="20">
        <v>68</v>
      </c>
      <c r="C336" s="20">
        <v>68.290000000000006</v>
      </c>
      <c r="D336" s="20">
        <v>-0.28999999999999998</v>
      </c>
      <c r="E336" s="20">
        <v>0.01</v>
      </c>
      <c r="F336" s="26">
        <v>1788.49</v>
      </c>
      <c r="Q336" s="20">
        <v>33.5</v>
      </c>
      <c r="R336" s="20">
        <v>67.989999999999995</v>
      </c>
      <c r="S336" s="26">
        <v>68</v>
      </c>
      <c r="T336" s="26">
        <v>0.01</v>
      </c>
      <c r="U336" s="26">
        <v>0.01</v>
      </c>
      <c r="V336" s="20">
        <v>1568.59</v>
      </c>
    </row>
    <row r="337" spans="1:22" ht="16.8" x14ac:dyDescent="0.3">
      <c r="A337" s="20">
        <v>33.6</v>
      </c>
      <c r="B337" s="20">
        <v>68</v>
      </c>
      <c r="C337" s="26">
        <v>68.25</v>
      </c>
      <c r="D337" s="20">
        <v>-0.25</v>
      </c>
      <c r="E337" s="20">
        <v>0.04</v>
      </c>
      <c r="F337" s="20">
        <v>1817.94</v>
      </c>
      <c r="Q337" s="20">
        <v>33.6</v>
      </c>
      <c r="R337" s="20">
        <v>67.94</v>
      </c>
      <c r="S337" s="26">
        <v>68</v>
      </c>
      <c r="T337" s="26">
        <v>0.06</v>
      </c>
      <c r="U337" s="20">
        <v>0.06</v>
      </c>
      <c r="V337" s="20">
        <v>1614.69</v>
      </c>
    </row>
    <row r="338" spans="1:22" ht="16.8" x14ac:dyDescent="0.3">
      <c r="A338" s="20">
        <v>33.700000000000003</v>
      </c>
      <c r="B338" s="20">
        <v>68</v>
      </c>
      <c r="C338" s="26">
        <v>68.22</v>
      </c>
      <c r="D338" s="20">
        <v>-0.22</v>
      </c>
      <c r="E338" s="20">
        <v>0.03</v>
      </c>
      <c r="F338" s="26">
        <v>1842.33</v>
      </c>
      <c r="Q338" s="20">
        <v>33.700000000000003</v>
      </c>
      <c r="R338" s="20">
        <v>67.989999999999995</v>
      </c>
      <c r="S338" s="26">
        <v>68</v>
      </c>
      <c r="T338" s="26">
        <v>0.01</v>
      </c>
      <c r="U338" s="26">
        <v>-0.06</v>
      </c>
      <c r="V338" s="26">
        <v>1520.01</v>
      </c>
    </row>
    <row r="339" spans="1:22" ht="16.8" x14ac:dyDescent="0.3">
      <c r="A339" s="20">
        <v>33.799999999999997</v>
      </c>
      <c r="B339" s="20">
        <v>68</v>
      </c>
      <c r="C339" s="20">
        <v>68.260000000000005</v>
      </c>
      <c r="D339" s="20">
        <v>-0.26</v>
      </c>
      <c r="E339" s="20">
        <v>-0.04</v>
      </c>
      <c r="F339" s="20">
        <v>1814.96</v>
      </c>
      <c r="Q339" s="20">
        <v>33.799999999999997</v>
      </c>
      <c r="R339" s="20">
        <v>68.03</v>
      </c>
      <c r="S339" s="26">
        <v>68</v>
      </c>
      <c r="T339" s="26">
        <v>-0.03</v>
      </c>
      <c r="U339" s="20">
        <v>-0.04</v>
      </c>
      <c r="V339" s="20">
        <v>1525.41</v>
      </c>
    </row>
    <row r="340" spans="1:22" ht="16.8" x14ac:dyDescent="0.3">
      <c r="A340" s="20">
        <v>33.9</v>
      </c>
      <c r="B340" s="20">
        <v>68</v>
      </c>
      <c r="C340" s="26">
        <v>68.290000000000006</v>
      </c>
      <c r="D340" s="20">
        <v>-0.28999999999999998</v>
      </c>
      <c r="E340" s="20">
        <v>-0.03</v>
      </c>
      <c r="F340" s="26">
        <v>1791.4</v>
      </c>
      <c r="Q340" s="20">
        <v>33.9</v>
      </c>
      <c r="R340" s="20">
        <v>67.989999999999995</v>
      </c>
      <c r="S340" s="26">
        <v>68</v>
      </c>
      <c r="T340" s="26">
        <v>0.01</v>
      </c>
      <c r="U340" s="26">
        <v>0.05</v>
      </c>
      <c r="V340" s="26">
        <v>1600.5</v>
      </c>
    </row>
    <row r="341" spans="1:22" ht="16.8" x14ac:dyDescent="0.3">
      <c r="A341" s="20">
        <v>34</v>
      </c>
      <c r="B341" s="20">
        <v>68</v>
      </c>
      <c r="C341" s="20">
        <v>68.27</v>
      </c>
      <c r="D341" s="20">
        <v>-0.27</v>
      </c>
      <c r="E341" s="20">
        <v>0.02</v>
      </c>
      <c r="F341" s="26">
        <v>1806.09</v>
      </c>
      <c r="Q341" s="20">
        <v>34</v>
      </c>
      <c r="R341" s="20">
        <v>68.02</v>
      </c>
      <c r="S341" s="26">
        <v>68</v>
      </c>
      <c r="T341" s="26">
        <v>-0.02</v>
      </c>
      <c r="U341" s="20">
        <v>-0.03</v>
      </c>
      <c r="V341" s="20">
        <v>1534.18</v>
      </c>
    </row>
    <row r="342" spans="1:22" ht="16.8" x14ac:dyDescent="0.3">
      <c r="A342" s="20">
        <v>34.1</v>
      </c>
      <c r="B342" s="20">
        <v>68</v>
      </c>
      <c r="C342" s="26">
        <v>68.209999999999994</v>
      </c>
      <c r="D342" s="20">
        <v>-0.21</v>
      </c>
      <c r="E342" s="20">
        <v>0.06</v>
      </c>
      <c r="F342" s="20">
        <v>1848.53</v>
      </c>
      <c r="Q342" s="20">
        <v>34.1</v>
      </c>
      <c r="R342" s="20">
        <v>68.069999999999993</v>
      </c>
      <c r="S342" s="26">
        <v>68</v>
      </c>
      <c r="T342" s="26">
        <v>-7.0000000000000007E-2</v>
      </c>
      <c r="U342" s="26">
        <v>-0.06</v>
      </c>
      <c r="V342" s="26">
        <v>1506.31</v>
      </c>
    </row>
    <row r="343" spans="1:22" ht="16.8" x14ac:dyDescent="0.3">
      <c r="A343" s="20">
        <v>34.200000000000003</v>
      </c>
      <c r="B343" s="20">
        <v>68</v>
      </c>
      <c r="C343" s="26">
        <v>68.260000000000005</v>
      </c>
      <c r="D343" s="20">
        <v>-0.26</v>
      </c>
      <c r="E343" s="20">
        <v>-0.04</v>
      </c>
      <c r="F343" s="26">
        <v>1814.96</v>
      </c>
      <c r="Q343" s="20">
        <v>34.200000000000003</v>
      </c>
      <c r="R343" s="20">
        <v>68.05</v>
      </c>
      <c r="S343" s="26">
        <v>68</v>
      </c>
      <c r="T343" s="26">
        <v>-0.05</v>
      </c>
      <c r="U343" s="26">
        <v>0.02</v>
      </c>
      <c r="V343" s="20">
        <v>1571.14</v>
      </c>
    </row>
    <row r="344" spans="1:22" ht="16.8" x14ac:dyDescent="0.3">
      <c r="A344" s="20">
        <v>34.299999999999997</v>
      </c>
      <c r="B344" s="20">
        <v>68</v>
      </c>
      <c r="C344" s="20">
        <v>68.239999999999995</v>
      </c>
      <c r="D344" s="20">
        <v>-0.24</v>
      </c>
      <c r="E344" s="20">
        <v>0.02</v>
      </c>
      <c r="F344" s="26">
        <v>1830.06</v>
      </c>
      <c r="Q344" s="20">
        <v>34.299999999999997</v>
      </c>
      <c r="R344" s="20">
        <v>67.989999999999995</v>
      </c>
      <c r="S344" s="26">
        <v>68</v>
      </c>
      <c r="T344" s="26">
        <v>0.01</v>
      </c>
      <c r="U344" s="20">
        <v>0.06</v>
      </c>
      <c r="V344" s="20">
        <v>1604.93</v>
      </c>
    </row>
    <row r="345" spans="1:22" ht="16.8" x14ac:dyDescent="0.3">
      <c r="A345" s="20">
        <v>34.4</v>
      </c>
      <c r="B345" s="20">
        <v>68</v>
      </c>
      <c r="C345" s="26">
        <v>68.25</v>
      </c>
      <c r="D345" s="20">
        <v>-0.25</v>
      </c>
      <c r="E345" s="20">
        <v>-0.01</v>
      </c>
      <c r="F345" s="20">
        <v>1820.95</v>
      </c>
      <c r="Q345" s="20">
        <v>34.4</v>
      </c>
      <c r="R345" s="20">
        <v>68</v>
      </c>
      <c r="S345" s="26">
        <v>68</v>
      </c>
      <c r="T345" s="26">
        <v>0</v>
      </c>
      <c r="U345" s="26">
        <v>-0.01</v>
      </c>
      <c r="V345" s="26">
        <v>1554.84</v>
      </c>
    </row>
    <row r="346" spans="1:22" ht="16.8" x14ac:dyDescent="0.3">
      <c r="A346" s="20">
        <v>34.5</v>
      </c>
      <c r="B346" s="20">
        <v>68</v>
      </c>
      <c r="C346" s="26">
        <v>68.25</v>
      </c>
      <c r="D346" s="20">
        <v>-0.25</v>
      </c>
      <c r="E346" s="20">
        <v>0</v>
      </c>
      <c r="F346" s="26">
        <v>1817.94</v>
      </c>
      <c r="Q346" s="20">
        <v>34.5</v>
      </c>
      <c r="R346" s="20">
        <v>68.069999999999993</v>
      </c>
      <c r="S346" s="26">
        <v>68</v>
      </c>
      <c r="T346" s="26">
        <v>-7.0000000000000007E-2</v>
      </c>
      <c r="U346" s="26">
        <v>-7.0000000000000007E-2</v>
      </c>
      <c r="V346" s="20">
        <v>1493.84</v>
      </c>
    </row>
    <row r="347" spans="1:22" ht="16.8" x14ac:dyDescent="0.3">
      <c r="A347" s="20">
        <v>34.6</v>
      </c>
      <c r="B347" s="20">
        <v>68</v>
      </c>
      <c r="C347" s="20">
        <v>68.209999999999994</v>
      </c>
      <c r="D347" s="20">
        <v>-0.21</v>
      </c>
      <c r="E347" s="20">
        <v>0.04</v>
      </c>
      <c r="F347" s="20">
        <v>1851.65</v>
      </c>
      <c r="Q347" s="20">
        <v>34.6</v>
      </c>
      <c r="R347" s="20">
        <v>68.040000000000006</v>
      </c>
      <c r="S347" s="26">
        <v>68</v>
      </c>
      <c r="T347" s="26">
        <v>-0.04</v>
      </c>
      <c r="U347" s="26">
        <v>0.03</v>
      </c>
      <c r="V347" s="26">
        <v>1578.3</v>
      </c>
    </row>
    <row r="348" spans="1:22" ht="16.8" x14ac:dyDescent="0.3">
      <c r="A348" s="20">
        <v>34.700000000000003</v>
      </c>
      <c r="B348" s="20">
        <v>68</v>
      </c>
      <c r="C348" s="26">
        <v>68.22</v>
      </c>
      <c r="D348" s="20">
        <v>-0.22</v>
      </c>
      <c r="E348" s="20">
        <v>-0.01</v>
      </c>
      <c r="F348" s="26">
        <v>1845.41</v>
      </c>
      <c r="Q348" s="20">
        <v>34.700000000000003</v>
      </c>
      <c r="R348" s="20">
        <v>68.040000000000006</v>
      </c>
      <c r="S348" s="26">
        <v>68</v>
      </c>
      <c r="T348" s="26">
        <v>-0.04</v>
      </c>
      <c r="U348" s="26">
        <v>0</v>
      </c>
      <c r="V348" s="20">
        <v>1553.83</v>
      </c>
    </row>
    <row r="349" spans="1:22" ht="16.8" x14ac:dyDescent="0.3">
      <c r="A349" s="20">
        <v>34.799999999999997</v>
      </c>
      <c r="B349" s="20">
        <v>68</v>
      </c>
      <c r="C349" s="20">
        <v>68.17</v>
      </c>
      <c r="D349" s="20">
        <v>-0.17</v>
      </c>
      <c r="E349" s="20">
        <v>0.04</v>
      </c>
      <c r="F349" s="26">
        <v>1881.38</v>
      </c>
      <c r="Q349" s="20">
        <v>34.799999999999997</v>
      </c>
      <c r="R349" s="20">
        <v>68.03</v>
      </c>
      <c r="S349" s="26">
        <v>68</v>
      </c>
      <c r="T349" s="26">
        <v>-0.03</v>
      </c>
      <c r="U349" s="26">
        <v>0.01</v>
      </c>
      <c r="V349" s="26">
        <v>1561.2</v>
      </c>
    </row>
    <row r="350" spans="1:22" ht="16.8" x14ac:dyDescent="0.3">
      <c r="A350" s="20">
        <v>34.9</v>
      </c>
      <c r="B350" s="20">
        <v>68</v>
      </c>
      <c r="C350" s="26">
        <v>68.16</v>
      </c>
      <c r="D350" s="20">
        <v>-0.16</v>
      </c>
      <c r="E350" s="20">
        <v>0.01</v>
      </c>
      <c r="F350" s="20">
        <v>1888.24</v>
      </c>
      <c r="Q350" s="20">
        <v>34.9</v>
      </c>
      <c r="R350" s="20">
        <v>68.03</v>
      </c>
      <c r="S350" s="26">
        <v>68</v>
      </c>
      <c r="T350" s="26">
        <v>-0.03</v>
      </c>
      <c r="U350" s="20">
        <v>0</v>
      </c>
      <c r="V350" s="20">
        <v>1555.01</v>
      </c>
    </row>
    <row r="351" spans="1:22" ht="16.8" x14ac:dyDescent="0.3">
      <c r="A351" s="20">
        <v>35</v>
      </c>
      <c r="B351" s="20">
        <v>68</v>
      </c>
      <c r="C351" s="26">
        <v>68.2</v>
      </c>
      <c r="D351" s="20">
        <v>-0.2</v>
      </c>
      <c r="E351" s="20">
        <v>-0.03</v>
      </c>
      <c r="F351" s="26">
        <v>1861.25</v>
      </c>
      <c r="Q351" s="20">
        <v>35</v>
      </c>
      <c r="R351" s="20">
        <v>68.11</v>
      </c>
      <c r="S351" s="26">
        <v>68</v>
      </c>
      <c r="T351" s="26">
        <v>-0.11</v>
      </c>
      <c r="U351" s="26">
        <v>-7.0000000000000007E-2</v>
      </c>
      <c r="V351" s="26">
        <v>1487.84</v>
      </c>
    </row>
    <row r="352" spans="1:22" ht="16.8" x14ac:dyDescent="0.3">
      <c r="A352" s="20">
        <v>35.1</v>
      </c>
      <c r="B352" s="20">
        <v>68</v>
      </c>
      <c r="C352" s="20">
        <v>68.22</v>
      </c>
      <c r="D352" s="20">
        <v>-0.22</v>
      </c>
      <c r="E352" s="20">
        <v>-0.02</v>
      </c>
      <c r="F352" s="20">
        <v>1845.41</v>
      </c>
      <c r="Q352" s="20">
        <v>35.1</v>
      </c>
      <c r="R352" s="20">
        <v>68.069999999999993</v>
      </c>
      <c r="S352" s="26">
        <v>68</v>
      </c>
      <c r="T352" s="20">
        <v>-7.0000000000000007E-2</v>
      </c>
      <c r="U352" s="20">
        <v>0.04</v>
      </c>
      <c r="V352" s="20">
        <v>1579.69</v>
      </c>
    </row>
    <row r="353" spans="1:22" ht="16.8" x14ac:dyDescent="0.3">
      <c r="A353" s="20">
        <v>35.200000000000003</v>
      </c>
      <c r="B353" s="20">
        <v>68</v>
      </c>
      <c r="C353" s="26">
        <v>68.22</v>
      </c>
      <c r="D353" s="20">
        <v>-0.22</v>
      </c>
      <c r="E353" s="20">
        <v>0</v>
      </c>
      <c r="F353" s="26">
        <v>1842.33</v>
      </c>
      <c r="Q353" s="20">
        <v>35.200000000000003</v>
      </c>
      <c r="R353" s="20">
        <v>68.069999999999993</v>
      </c>
      <c r="S353" s="26">
        <v>68</v>
      </c>
      <c r="T353" s="26">
        <v>-7.0000000000000007E-2</v>
      </c>
      <c r="U353" s="26">
        <v>-0.01</v>
      </c>
      <c r="V353" s="26">
        <v>1541.61</v>
      </c>
    </row>
    <row r="354" spans="1:22" ht="16.8" x14ac:dyDescent="0.3">
      <c r="A354" s="20">
        <v>35.299999999999997</v>
      </c>
      <c r="B354" s="20">
        <v>68</v>
      </c>
      <c r="C354" s="20">
        <v>68.17</v>
      </c>
      <c r="D354" s="20">
        <v>-0.17</v>
      </c>
      <c r="E354" s="20">
        <v>0.05</v>
      </c>
      <c r="F354" s="26">
        <v>1884.8</v>
      </c>
      <c r="Q354" s="20">
        <v>35.299999999999997</v>
      </c>
      <c r="R354" s="20">
        <v>68.11</v>
      </c>
      <c r="S354" s="26">
        <v>68</v>
      </c>
      <c r="T354" s="20">
        <v>-0.11</v>
      </c>
      <c r="U354" s="20">
        <v>-0.03</v>
      </c>
      <c r="V354" s="20">
        <v>1517.71</v>
      </c>
    </row>
    <row r="355" spans="1:22" ht="16.8" x14ac:dyDescent="0.3">
      <c r="A355" s="20">
        <v>35.4</v>
      </c>
      <c r="B355" s="20">
        <v>68</v>
      </c>
      <c r="C355" s="26">
        <v>68.22</v>
      </c>
      <c r="D355" s="20">
        <v>-0.22</v>
      </c>
      <c r="E355" s="20">
        <v>-0.05</v>
      </c>
      <c r="F355" s="20">
        <v>1845.41</v>
      </c>
      <c r="Q355" s="20">
        <v>35.4</v>
      </c>
      <c r="R355" s="20">
        <v>68.13</v>
      </c>
      <c r="S355" s="26">
        <v>68</v>
      </c>
      <c r="T355" s="26">
        <v>-0.13</v>
      </c>
      <c r="U355" s="26">
        <v>-0.02</v>
      </c>
      <c r="V355" s="26">
        <v>1519.45</v>
      </c>
    </row>
    <row r="356" spans="1:22" ht="16.8" x14ac:dyDescent="0.3">
      <c r="A356" s="20">
        <v>35.5</v>
      </c>
      <c r="B356" s="20">
        <v>68</v>
      </c>
      <c r="C356" s="26">
        <v>68.16</v>
      </c>
      <c r="D356" s="20">
        <v>-0.16</v>
      </c>
      <c r="E356" s="20">
        <v>0.06</v>
      </c>
      <c r="F356" s="26">
        <v>1891.71</v>
      </c>
      <c r="Q356" s="20">
        <v>35.5</v>
      </c>
      <c r="R356" s="20">
        <v>68.12</v>
      </c>
      <c r="S356" s="26">
        <v>68</v>
      </c>
      <c r="T356" s="26">
        <v>-0.12</v>
      </c>
      <c r="U356" s="26">
        <v>0.02</v>
      </c>
      <c r="V356" s="20">
        <v>1552.34</v>
      </c>
    </row>
    <row r="357" spans="1:22" ht="16.8" x14ac:dyDescent="0.3">
      <c r="A357" s="20">
        <v>35.6</v>
      </c>
      <c r="B357" s="20">
        <v>68</v>
      </c>
      <c r="C357" s="20">
        <v>68.22</v>
      </c>
      <c r="D357" s="20">
        <v>-0.22</v>
      </c>
      <c r="E357" s="20">
        <v>-0.06</v>
      </c>
      <c r="F357" s="26">
        <v>1845.41</v>
      </c>
      <c r="Q357" s="20">
        <v>35.6</v>
      </c>
      <c r="R357" s="20">
        <v>68.099999999999994</v>
      </c>
      <c r="S357" s="26">
        <v>68</v>
      </c>
      <c r="T357" s="26">
        <v>-0.1</v>
      </c>
      <c r="U357" s="20">
        <v>0.02</v>
      </c>
      <c r="V357" s="26">
        <v>1554.77</v>
      </c>
    </row>
    <row r="358" spans="1:22" ht="16.8" x14ac:dyDescent="0.3">
      <c r="A358" s="20">
        <v>35.700000000000003</v>
      </c>
      <c r="B358" s="20">
        <v>68</v>
      </c>
      <c r="C358" s="26">
        <v>68.19</v>
      </c>
      <c r="D358" s="20">
        <v>-0.19</v>
      </c>
      <c r="E358" s="20">
        <v>0.03</v>
      </c>
      <c r="F358" s="20">
        <v>1867.89</v>
      </c>
      <c r="Q358" s="20">
        <v>35.700000000000003</v>
      </c>
      <c r="R358" s="20">
        <v>68.069999999999993</v>
      </c>
      <c r="S358" s="26">
        <v>68</v>
      </c>
      <c r="T358" s="26">
        <v>-7.0000000000000007E-2</v>
      </c>
      <c r="U358" s="26">
        <v>0.02</v>
      </c>
      <c r="V358" s="20">
        <v>1564.72</v>
      </c>
    </row>
    <row r="359" spans="1:22" ht="16.8" x14ac:dyDescent="0.3">
      <c r="A359" s="20">
        <v>35.799999999999997</v>
      </c>
      <c r="B359" s="20">
        <v>68</v>
      </c>
      <c r="C359" s="26">
        <v>68.23</v>
      </c>
      <c r="D359" s="20">
        <v>-0.23</v>
      </c>
      <c r="E359" s="20">
        <v>-0.04</v>
      </c>
      <c r="F359" s="26">
        <v>1833.11</v>
      </c>
      <c r="Q359" s="20">
        <v>35.799999999999997</v>
      </c>
      <c r="R359" s="20">
        <v>68.099999999999994</v>
      </c>
      <c r="S359" s="26">
        <v>68</v>
      </c>
      <c r="T359" s="26">
        <v>-0.1</v>
      </c>
      <c r="U359" s="20">
        <v>-0.02</v>
      </c>
      <c r="V359" s="20">
        <v>1523.9</v>
      </c>
    </row>
    <row r="360" spans="1:22" ht="16.8" x14ac:dyDescent="0.3">
      <c r="A360" s="20">
        <v>35.9</v>
      </c>
      <c r="B360" s="20">
        <v>68</v>
      </c>
      <c r="C360" s="20">
        <v>68.180000000000007</v>
      </c>
      <c r="D360" s="20">
        <v>-0.18</v>
      </c>
      <c r="E360" s="20">
        <v>0.05</v>
      </c>
      <c r="F360" s="26">
        <v>1874.6</v>
      </c>
      <c r="Q360" s="20">
        <v>35.9</v>
      </c>
      <c r="R360" s="20">
        <v>68.12</v>
      </c>
      <c r="S360" s="26">
        <v>68</v>
      </c>
      <c r="T360" s="26">
        <v>-0.12</v>
      </c>
      <c r="U360" s="26">
        <v>-0.02</v>
      </c>
      <c r="V360" s="26">
        <v>1527.03</v>
      </c>
    </row>
    <row r="361" spans="1:22" ht="16.8" x14ac:dyDescent="0.3">
      <c r="A361" s="20">
        <v>36</v>
      </c>
      <c r="B361" s="20">
        <v>68</v>
      </c>
      <c r="C361" s="26">
        <v>68.19</v>
      </c>
      <c r="D361" s="20">
        <v>-0.19</v>
      </c>
      <c r="E361" s="20">
        <v>-0.01</v>
      </c>
      <c r="F361" s="20">
        <v>1864.56</v>
      </c>
      <c r="Q361" s="20">
        <v>36</v>
      </c>
      <c r="R361" s="20">
        <v>68.17</v>
      </c>
      <c r="S361" s="26">
        <v>68</v>
      </c>
      <c r="T361" s="26">
        <v>-0.17</v>
      </c>
      <c r="U361" s="26">
        <v>-0.06</v>
      </c>
      <c r="V361" s="20">
        <v>1486.75</v>
      </c>
    </row>
    <row r="362" spans="1:22" ht="16.8" x14ac:dyDescent="0.3">
      <c r="A362" s="20">
        <v>36.1</v>
      </c>
      <c r="B362" s="20">
        <v>68</v>
      </c>
      <c r="C362" s="20">
        <v>68.239999999999995</v>
      </c>
      <c r="D362" s="20">
        <v>-0.24</v>
      </c>
      <c r="E362" s="20">
        <v>-0.04</v>
      </c>
      <c r="F362" s="26">
        <v>1830.06</v>
      </c>
      <c r="Q362" s="20">
        <v>36.1</v>
      </c>
      <c r="R362" s="20">
        <v>68.13</v>
      </c>
      <c r="S362" s="26">
        <v>68</v>
      </c>
      <c r="T362" s="26">
        <v>-0.13</v>
      </c>
      <c r="U362" s="26">
        <v>0.04</v>
      </c>
      <c r="V362" s="26">
        <v>1566.26</v>
      </c>
    </row>
    <row r="363" spans="1:22" ht="16.8" x14ac:dyDescent="0.3">
      <c r="A363" s="20">
        <v>36.200000000000003</v>
      </c>
      <c r="B363" s="20">
        <v>68</v>
      </c>
      <c r="C363" s="26">
        <v>68.239999999999995</v>
      </c>
      <c r="D363" s="20">
        <v>-0.24</v>
      </c>
      <c r="E363" s="20">
        <v>0</v>
      </c>
      <c r="F363" s="20">
        <v>1830.06</v>
      </c>
      <c r="Q363" s="20">
        <v>36.200000000000003</v>
      </c>
      <c r="R363" s="20">
        <v>68.17</v>
      </c>
      <c r="S363" s="26">
        <v>68</v>
      </c>
      <c r="T363" s="26">
        <v>-0.17</v>
      </c>
      <c r="U363" s="26">
        <v>-0.04</v>
      </c>
      <c r="V363" s="20">
        <v>1498.22</v>
      </c>
    </row>
    <row r="364" spans="1:22" ht="16.8" x14ac:dyDescent="0.3">
      <c r="A364" s="20">
        <v>36.299999999999997</v>
      </c>
      <c r="B364" s="20">
        <v>68</v>
      </c>
      <c r="C364" s="26">
        <v>68.239999999999995</v>
      </c>
      <c r="D364" s="20">
        <v>-0.24</v>
      </c>
      <c r="E364" s="20">
        <v>-0.01</v>
      </c>
      <c r="F364" s="26">
        <v>1823.97</v>
      </c>
      <c r="Q364" s="20">
        <v>36.299999999999997</v>
      </c>
      <c r="R364" s="20">
        <v>68.12</v>
      </c>
      <c r="S364" s="26">
        <v>68</v>
      </c>
      <c r="T364" s="26">
        <v>-0.12</v>
      </c>
      <c r="U364" s="26">
        <v>0.05</v>
      </c>
      <c r="V364" s="26">
        <v>1572.99</v>
      </c>
    </row>
    <row r="365" spans="1:22" ht="16.8" x14ac:dyDescent="0.3">
      <c r="A365" s="20">
        <v>36.4</v>
      </c>
      <c r="B365" s="20">
        <v>68</v>
      </c>
      <c r="C365" s="20">
        <v>68.19</v>
      </c>
      <c r="D365" s="20">
        <v>-0.19</v>
      </c>
      <c r="E365" s="20">
        <v>0.06</v>
      </c>
      <c r="F365" s="26">
        <v>1867.89</v>
      </c>
      <c r="Q365" s="20">
        <v>36.4</v>
      </c>
      <c r="R365" s="20">
        <v>68.16</v>
      </c>
      <c r="S365" s="26">
        <v>68</v>
      </c>
      <c r="T365" s="26">
        <v>-0.16</v>
      </c>
      <c r="U365" s="26">
        <v>-0.04</v>
      </c>
      <c r="V365" s="20">
        <v>1498.87</v>
      </c>
    </row>
    <row r="366" spans="1:22" ht="16.8" x14ac:dyDescent="0.3">
      <c r="A366" s="20">
        <v>36.5</v>
      </c>
      <c r="B366" s="20">
        <v>68</v>
      </c>
      <c r="C366" s="26">
        <v>68.2</v>
      </c>
      <c r="D366" s="20">
        <v>-0.2</v>
      </c>
      <c r="E366" s="20">
        <v>-0.01</v>
      </c>
      <c r="F366" s="20">
        <v>1857.96</v>
      </c>
      <c r="Q366" s="20">
        <v>36.5</v>
      </c>
      <c r="R366" s="20">
        <v>68.17</v>
      </c>
      <c r="S366" s="26">
        <v>68</v>
      </c>
      <c r="T366" s="26">
        <v>-0.17</v>
      </c>
      <c r="U366" s="26">
        <v>-0.01</v>
      </c>
      <c r="V366" s="20">
        <v>1521.49</v>
      </c>
    </row>
    <row r="367" spans="1:22" ht="16.8" x14ac:dyDescent="0.3">
      <c r="A367" s="20">
        <v>36.6</v>
      </c>
      <c r="B367" s="20">
        <v>68</v>
      </c>
      <c r="C367" s="26">
        <v>68.260000000000005</v>
      </c>
      <c r="D367" s="20">
        <v>-0.26</v>
      </c>
      <c r="E367" s="20">
        <v>-0.06</v>
      </c>
      <c r="F367" s="26">
        <v>1811.99</v>
      </c>
      <c r="Q367" s="20">
        <v>36.6</v>
      </c>
      <c r="R367" s="20">
        <v>68.13</v>
      </c>
      <c r="S367" s="26">
        <v>68</v>
      </c>
      <c r="T367" s="26">
        <v>-0.13</v>
      </c>
      <c r="U367" s="26">
        <v>0.04</v>
      </c>
      <c r="V367" s="26">
        <v>1564.44</v>
      </c>
    </row>
    <row r="368" spans="1:22" ht="16.8" x14ac:dyDescent="0.3">
      <c r="A368" s="20">
        <v>36.700000000000003</v>
      </c>
      <c r="B368" s="20">
        <v>68</v>
      </c>
      <c r="C368" s="20">
        <v>68.209999999999994</v>
      </c>
      <c r="D368" s="20">
        <v>-0.21</v>
      </c>
      <c r="E368" s="20">
        <v>0.05</v>
      </c>
      <c r="F368" s="20">
        <v>1851.65</v>
      </c>
      <c r="Q368" s="20">
        <v>36.700000000000003</v>
      </c>
      <c r="R368" s="20">
        <v>68.13</v>
      </c>
      <c r="S368" s="26">
        <v>68</v>
      </c>
      <c r="T368" s="26">
        <v>-0.13</v>
      </c>
      <c r="U368" s="26">
        <v>0</v>
      </c>
      <c r="V368" s="20">
        <v>1533.66</v>
      </c>
    </row>
    <row r="369" spans="1:22" ht="16.8" x14ac:dyDescent="0.3">
      <c r="A369" s="20">
        <v>36.799999999999997</v>
      </c>
      <c r="B369" s="20">
        <v>68</v>
      </c>
      <c r="C369" s="26">
        <v>68.23</v>
      </c>
      <c r="D369" s="20">
        <v>-0.23</v>
      </c>
      <c r="E369" s="20">
        <v>-0.02</v>
      </c>
      <c r="F369" s="26">
        <v>1836.19</v>
      </c>
      <c r="Q369" s="20">
        <v>36.799999999999997</v>
      </c>
      <c r="R369" s="20">
        <v>68.12</v>
      </c>
      <c r="S369" s="26">
        <v>68</v>
      </c>
      <c r="T369" s="26">
        <v>-0.12</v>
      </c>
      <c r="U369" s="26">
        <v>0.01</v>
      </c>
      <c r="V369" s="26">
        <v>1540.8</v>
      </c>
    </row>
    <row r="370" spans="1:22" ht="16.8" x14ac:dyDescent="0.3">
      <c r="A370" s="20">
        <v>36.9</v>
      </c>
      <c r="B370" s="20">
        <v>68</v>
      </c>
      <c r="C370" s="20">
        <v>68.28</v>
      </c>
      <c r="D370" s="20">
        <v>-0.28000000000000003</v>
      </c>
      <c r="E370" s="20">
        <v>-0.05</v>
      </c>
      <c r="F370" s="26">
        <v>1800.22</v>
      </c>
      <c r="Q370" s="20">
        <v>36.9</v>
      </c>
      <c r="R370" s="20">
        <v>68.209999999999994</v>
      </c>
      <c r="S370" s="26">
        <v>68</v>
      </c>
      <c r="T370" s="26">
        <v>-0.21</v>
      </c>
      <c r="U370" s="26">
        <v>-0.09</v>
      </c>
      <c r="V370" s="20">
        <v>1452.43</v>
      </c>
    </row>
    <row r="371" spans="1:22" ht="16.8" x14ac:dyDescent="0.3">
      <c r="A371" s="20">
        <v>37</v>
      </c>
      <c r="B371" s="20">
        <v>68</v>
      </c>
      <c r="C371" s="26">
        <v>68.19</v>
      </c>
      <c r="D371" s="20">
        <v>-0.19</v>
      </c>
      <c r="E371" s="20">
        <v>0.08</v>
      </c>
      <c r="F371" s="20">
        <v>1864.56</v>
      </c>
      <c r="Q371" s="20">
        <v>37</v>
      </c>
      <c r="R371" s="20">
        <v>68.16</v>
      </c>
      <c r="S371" s="26">
        <v>68</v>
      </c>
      <c r="T371" s="26">
        <v>-0.16</v>
      </c>
      <c r="U371" s="26">
        <v>0.06</v>
      </c>
      <c r="V371" s="26">
        <v>1571.1</v>
      </c>
    </row>
    <row r="372" spans="1:22" ht="16.8" x14ac:dyDescent="0.3">
      <c r="A372" s="20">
        <v>37.1</v>
      </c>
      <c r="B372" s="20">
        <v>68</v>
      </c>
      <c r="C372" s="26">
        <v>68.25</v>
      </c>
      <c r="D372" s="20">
        <v>-0.25</v>
      </c>
      <c r="E372" s="20">
        <v>-0.06</v>
      </c>
      <c r="F372" s="26">
        <v>1820.95</v>
      </c>
      <c r="Q372" s="20">
        <v>37.1</v>
      </c>
      <c r="R372" s="20">
        <v>68.12</v>
      </c>
      <c r="S372" s="26">
        <v>68</v>
      </c>
      <c r="T372" s="20">
        <v>-0.12</v>
      </c>
      <c r="U372" s="20">
        <v>0.04</v>
      </c>
      <c r="V372" s="20">
        <v>1565.36</v>
      </c>
    </row>
    <row r="373" spans="1:22" ht="16.8" x14ac:dyDescent="0.3">
      <c r="A373" s="20">
        <v>37.200000000000003</v>
      </c>
      <c r="B373" s="20">
        <v>68</v>
      </c>
      <c r="C373" s="20">
        <v>68.25</v>
      </c>
      <c r="D373" s="20">
        <v>-0.25</v>
      </c>
      <c r="E373" s="20">
        <v>0</v>
      </c>
      <c r="F373" s="20">
        <v>1817.94</v>
      </c>
      <c r="Q373" s="20">
        <v>37.200000000000003</v>
      </c>
      <c r="R373" s="20">
        <v>68.12</v>
      </c>
      <c r="S373" s="26">
        <v>68</v>
      </c>
      <c r="T373" s="26">
        <v>-0.12</v>
      </c>
      <c r="U373" s="26">
        <v>0</v>
      </c>
      <c r="V373" s="26">
        <v>1534.62</v>
      </c>
    </row>
    <row r="374" spans="1:22" ht="16.8" x14ac:dyDescent="0.3">
      <c r="A374" s="20">
        <v>37.299999999999997</v>
      </c>
      <c r="B374" s="20">
        <v>68</v>
      </c>
      <c r="C374" s="26">
        <v>68.23</v>
      </c>
      <c r="D374" s="20">
        <v>-0.23</v>
      </c>
      <c r="E374" s="20">
        <v>0.02</v>
      </c>
      <c r="F374" s="26">
        <v>1833.11</v>
      </c>
      <c r="Q374" s="20">
        <v>37.299999999999997</v>
      </c>
      <c r="R374" s="20">
        <v>68.16</v>
      </c>
      <c r="S374" s="26">
        <v>68</v>
      </c>
      <c r="T374" s="20">
        <v>-0.16</v>
      </c>
      <c r="U374" s="20">
        <v>-0.05</v>
      </c>
      <c r="V374" s="20">
        <v>1489.61</v>
      </c>
    </row>
    <row r="375" spans="1:22" ht="16.8" x14ac:dyDescent="0.3">
      <c r="A375" s="20">
        <v>37.4</v>
      </c>
      <c r="B375" s="20">
        <v>68</v>
      </c>
      <c r="C375" s="26">
        <v>68.260000000000005</v>
      </c>
      <c r="D375" s="20">
        <v>-0.26</v>
      </c>
      <c r="E375" s="20">
        <v>-0.03</v>
      </c>
      <c r="F375" s="26">
        <v>1811.99</v>
      </c>
      <c r="Q375" s="20">
        <v>37.4</v>
      </c>
      <c r="R375" s="20">
        <v>68.12</v>
      </c>
      <c r="S375" s="26">
        <v>68</v>
      </c>
      <c r="T375" s="26">
        <v>-0.12</v>
      </c>
      <c r="U375" s="26">
        <v>0.04</v>
      </c>
      <c r="V375" s="26">
        <v>1563.05</v>
      </c>
    </row>
    <row r="376" spans="1:22" ht="16.8" x14ac:dyDescent="0.3">
      <c r="A376" s="20">
        <v>37.5</v>
      </c>
      <c r="B376" s="20">
        <v>68</v>
      </c>
      <c r="C376" s="20">
        <v>68.16</v>
      </c>
      <c r="D376" s="20">
        <v>-0.16</v>
      </c>
      <c r="E376" s="20">
        <v>0.1</v>
      </c>
      <c r="F376" s="20">
        <v>1888.24</v>
      </c>
      <c r="Q376" s="20">
        <v>37.5</v>
      </c>
      <c r="R376" s="20">
        <v>68.150000000000006</v>
      </c>
      <c r="S376" s="26">
        <v>68</v>
      </c>
      <c r="T376" s="26">
        <v>-0.15</v>
      </c>
      <c r="U376" s="26">
        <v>-0.02</v>
      </c>
      <c r="V376" s="20">
        <v>1509.94</v>
      </c>
    </row>
    <row r="377" spans="1:22" ht="16.8" x14ac:dyDescent="0.3">
      <c r="A377" s="20">
        <v>37.6</v>
      </c>
      <c r="B377" s="20">
        <v>68</v>
      </c>
      <c r="C377" s="26">
        <v>68.290000000000006</v>
      </c>
      <c r="D377" s="20">
        <v>-0.28999999999999998</v>
      </c>
      <c r="E377" s="20">
        <v>-0.13</v>
      </c>
      <c r="F377" s="26">
        <v>1788.49</v>
      </c>
      <c r="Q377" s="20">
        <v>37.6</v>
      </c>
      <c r="R377" s="20">
        <v>68.14</v>
      </c>
      <c r="S377" s="20">
        <v>68</v>
      </c>
      <c r="T377" s="26">
        <v>-0.14000000000000001</v>
      </c>
      <c r="U377" s="26">
        <v>0.01</v>
      </c>
      <c r="V377" s="20">
        <v>1535.31</v>
      </c>
    </row>
    <row r="378" spans="1:22" ht="16.8" x14ac:dyDescent="0.3">
      <c r="A378" s="20">
        <v>37.700000000000003</v>
      </c>
      <c r="B378" s="20">
        <v>68</v>
      </c>
      <c r="C378" s="20">
        <v>68.14</v>
      </c>
      <c r="D378" s="20">
        <v>-0.14000000000000001</v>
      </c>
      <c r="E378" s="20">
        <v>0.16</v>
      </c>
      <c r="F378" s="20">
        <v>1915.87</v>
      </c>
      <c r="Q378" s="20">
        <v>37.700000000000003</v>
      </c>
      <c r="R378" s="20">
        <v>68.13</v>
      </c>
      <c r="S378" s="26">
        <v>68</v>
      </c>
      <c r="T378" s="26">
        <v>-0.13</v>
      </c>
      <c r="U378" s="26">
        <v>0.01</v>
      </c>
      <c r="V378" s="26">
        <v>1536.33</v>
      </c>
    </row>
    <row r="379" spans="1:22" ht="16.8" x14ac:dyDescent="0.3">
      <c r="A379" s="20">
        <v>37.799999999999997</v>
      </c>
      <c r="B379" s="20">
        <v>68</v>
      </c>
      <c r="C379" s="26">
        <v>68.23</v>
      </c>
      <c r="D379" s="20">
        <v>-0.23</v>
      </c>
      <c r="E379" s="20">
        <v>-0.1</v>
      </c>
      <c r="F379" s="26">
        <v>1833.11</v>
      </c>
      <c r="Q379" s="20">
        <v>37.799999999999997</v>
      </c>
      <c r="R379" s="20">
        <v>68.16</v>
      </c>
      <c r="S379" s="20">
        <v>68</v>
      </c>
      <c r="T379" s="26">
        <v>-0.16</v>
      </c>
      <c r="U379" s="20">
        <v>-0.03</v>
      </c>
      <c r="V379" s="20">
        <v>1500.11</v>
      </c>
    </row>
    <row r="380" spans="1:22" ht="16.8" x14ac:dyDescent="0.3">
      <c r="A380" s="20">
        <v>37.9</v>
      </c>
      <c r="B380" s="20">
        <v>68</v>
      </c>
      <c r="C380" s="26">
        <v>68.180000000000007</v>
      </c>
      <c r="D380" s="20">
        <v>-0.18</v>
      </c>
      <c r="E380" s="20">
        <v>0.06</v>
      </c>
      <c r="F380" s="26">
        <v>1877.99</v>
      </c>
      <c r="Q380" s="20">
        <v>37.9</v>
      </c>
      <c r="R380" s="20">
        <v>68.150000000000006</v>
      </c>
      <c r="S380" s="26">
        <v>68</v>
      </c>
      <c r="T380" s="26">
        <v>-0.15</v>
      </c>
      <c r="U380" s="26">
        <v>0.02</v>
      </c>
      <c r="V380" s="26">
        <v>1539</v>
      </c>
    </row>
    <row r="381" spans="1:22" ht="16.8" x14ac:dyDescent="0.3">
      <c r="A381" s="20">
        <v>38</v>
      </c>
      <c r="B381" s="20">
        <v>68</v>
      </c>
      <c r="C381" s="20">
        <v>68.19</v>
      </c>
      <c r="D381" s="20">
        <v>-0.19</v>
      </c>
      <c r="E381" s="20">
        <v>-0.02</v>
      </c>
      <c r="F381" s="20">
        <v>1864.56</v>
      </c>
      <c r="Q381" s="20">
        <v>38</v>
      </c>
      <c r="R381" s="20">
        <v>68.16</v>
      </c>
      <c r="S381" s="26">
        <v>68</v>
      </c>
      <c r="T381" s="20">
        <v>-0.16</v>
      </c>
      <c r="U381" s="20">
        <v>-0.01</v>
      </c>
      <c r="V381" s="20">
        <v>1519.01</v>
      </c>
    </row>
    <row r="382" spans="1:22" ht="16.8" x14ac:dyDescent="0.3">
      <c r="A382" s="20">
        <v>38.1</v>
      </c>
      <c r="B382" s="20">
        <v>68</v>
      </c>
      <c r="C382" s="26">
        <v>68.150000000000006</v>
      </c>
      <c r="D382" s="20">
        <v>-0.15</v>
      </c>
      <c r="E382" s="20">
        <v>0.04</v>
      </c>
      <c r="F382" s="26">
        <v>1898.68</v>
      </c>
      <c r="Q382" s="20">
        <v>38.1</v>
      </c>
      <c r="R382" s="20">
        <v>68.16</v>
      </c>
      <c r="S382" s="26">
        <v>68</v>
      </c>
      <c r="T382" s="26">
        <v>-0.16</v>
      </c>
      <c r="U382" s="26">
        <v>-0.01</v>
      </c>
      <c r="V382" s="26">
        <v>1517.27</v>
      </c>
    </row>
    <row r="383" spans="1:22" ht="16.8" x14ac:dyDescent="0.3">
      <c r="A383" s="20">
        <v>38.200000000000003</v>
      </c>
      <c r="B383" s="20">
        <v>68</v>
      </c>
      <c r="C383" s="26">
        <v>68.180000000000007</v>
      </c>
      <c r="D383" s="20">
        <v>-0.18</v>
      </c>
      <c r="E383" s="20">
        <v>-0.03</v>
      </c>
      <c r="F383" s="26">
        <v>1871.24</v>
      </c>
      <c r="Q383" s="20">
        <v>38.200000000000003</v>
      </c>
      <c r="R383" s="20">
        <v>68.150000000000006</v>
      </c>
      <c r="S383" s="26">
        <v>68</v>
      </c>
      <c r="T383" s="20">
        <v>-0.15</v>
      </c>
      <c r="U383" s="20">
        <v>0.02</v>
      </c>
      <c r="V383" s="20">
        <v>1537.88</v>
      </c>
    </row>
    <row r="384" spans="1:22" ht="16.8" x14ac:dyDescent="0.3">
      <c r="A384" s="20">
        <v>38.299999999999997</v>
      </c>
      <c r="B384" s="20">
        <v>68</v>
      </c>
      <c r="C384" s="20">
        <v>68.150000000000006</v>
      </c>
      <c r="D384" s="20">
        <v>-0.15</v>
      </c>
      <c r="E384" s="20">
        <v>0.04</v>
      </c>
      <c r="F384" s="20">
        <v>1902.21</v>
      </c>
      <c r="Q384" s="20">
        <v>38.299999999999997</v>
      </c>
      <c r="R384" s="20">
        <v>68.180000000000007</v>
      </c>
      <c r="S384" s="26">
        <v>68</v>
      </c>
      <c r="T384" s="26">
        <v>-0.18</v>
      </c>
      <c r="U384" s="26">
        <v>-0.03</v>
      </c>
      <c r="V384" s="26">
        <v>1495.52</v>
      </c>
    </row>
    <row r="385" spans="1:22" ht="16.8" x14ac:dyDescent="0.3">
      <c r="A385" s="20">
        <v>38.4</v>
      </c>
      <c r="B385" s="20">
        <v>68</v>
      </c>
      <c r="C385" s="26">
        <v>68.23</v>
      </c>
      <c r="D385" s="20">
        <v>-0.23</v>
      </c>
      <c r="E385" s="20">
        <v>-0.08</v>
      </c>
      <c r="F385" s="26">
        <v>1836.19</v>
      </c>
      <c r="Q385" s="20">
        <v>38.4</v>
      </c>
      <c r="R385" s="20">
        <v>68.180000000000007</v>
      </c>
      <c r="S385" s="26">
        <v>68</v>
      </c>
      <c r="T385" s="26">
        <v>-0.18</v>
      </c>
      <c r="U385" s="26">
        <v>0</v>
      </c>
      <c r="V385" s="20">
        <v>1519.46</v>
      </c>
    </row>
    <row r="386" spans="1:22" ht="16.8" x14ac:dyDescent="0.3">
      <c r="A386" s="20">
        <v>38.5</v>
      </c>
      <c r="B386" s="20">
        <v>68</v>
      </c>
      <c r="C386" s="20">
        <v>68.040000000000006</v>
      </c>
      <c r="D386" s="20">
        <v>-0.04</v>
      </c>
      <c r="E386" s="20">
        <v>0.19</v>
      </c>
      <c r="F386" s="20">
        <v>2019.61</v>
      </c>
      <c r="Q386" s="20">
        <v>38.5</v>
      </c>
      <c r="R386" s="20">
        <v>68.16</v>
      </c>
      <c r="S386" s="26">
        <v>68</v>
      </c>
      <c r="T386" s="26">
        <v>-0.16</v>
      </c>
      <c r="U386" s="26">
        <v>0.02</v>
      </c>
      <c r="V386" s="26">
        <v>1533.94</v>
      </c>
    </row>
    <row r="387" spans="1:22" ht="16.8" x14ac:dyDescent="0.3">
      <c r="A387" s="20">
        <v>38.6</v>
      </c>
      <c r="B387" s="20">
        <v>68</v>
      </c>
      <c r="C387" s="26">
        <v>68.27</v>
      </c>
      <c r="D387" s="20">
        <v>-0.27</v>
      </c>
      <c r="E387" s="20">
        <v>-0.23</v>
      </c>
      <c r="F387" s="26">
        <v>1806.51</v>
      </c>
      <c r="Q387" s="20">
        <v>38.6</v>
      </c>
      <c r="R387" s="20">
        <v>68.14</v>
      </c>
      <c r="S387" s="26">
        <v>68</v>
      </c>
      <c r="T387" s="26">
        <v>-0.14000000000000001</v>
      </c>
      <c r="U387" s="26">
        <v>0.02</v>
      </c>
      <c r="V387" s="20">
        <v>1543.73</v>
      </c>
    </row>
    <row r="388" spans="1:22" ht="16.8" x14ac:dyDescent="0.3">
      <c r="A388" s="20">
        <v>38.700000000000003</v>
      </c>
      <c r="B388" s="20">
        <v>68</v>
      </c>
      <c r="C388" s="26">
        <v>68.08</v>
      </c>
      <c r="D388" s="20">
        <v>-0.08</v>
      </c>
      <c r="E388" s="20">
        <v>0.19</v>
      </c>
      <c r="F388" s="20">
        <v>1975.95</v>
      </c>
      <c r="Q388" s="20">
        <v>38.700000000000003</v>
      </c>
      <c r="R388" s="20">
        <v>68.150000000000006</v>
      </c>
      <c r="S388" s="26">
        <v>68</v>
      </c>
      <c r="T388" s="26">
        <v>-0.15</v>
      </c>
      <c r="U388" s="26">
        <v>-0.01</v>
      </c>
      <c r="V388" s="26">
        <v>1517.66</v>
      </c>
    </row>
    <row r="389" spans="1:22" ht="16.8" x14ac:dyDescent="0.3">
      <c r="A389" s="20">
        <v>38.799999999999997</v>
      </c>
      <c r="B389" s="20">
        <v>68</v>
      </c>
      <c r="C389" s="20">
        <v>68.3</v>
      </c>
      <c r="D389" s="20">
        <v>-0.3</v>
      </c>
      <c r="E389" s="20">
        <v>-0.22</v>
      </c>
      <c r="F389" s="26">
        <v>1785.08</v>
      </c>
      <c r="Q389" s="20">
        <v>38.799999999999997</v>
      </c>
      <c r="R389" s="20">
        <v>68.150000000000006</v>
      </c>
      <c r="S389" s="26">
        <v>68</v>
      </c>
      <c r="T389" s="26">
        <v>-0.15</v>
      </c>
      <c r="U389" s="26">
        <v>0</v>
      </c>
      <c r="V389" s="20">
        <v>1523.4</v>
      </c>
    </row>
    <row r="390" spans="1:22" ht="16.8" x14ac:dyDescent="0.3">
      <c r="A390" s="20">
        <v>38.9</v>
      </c>
      <c r="B390" s="20">
        <v>68</v>
      </c>
      <c r="C390" s="26">
        <v>68.09</v>
      </c>
      <c r="D390" s="20">
        <v>-0.09</v>
      </c>
      <c r="E390" s="20">
        <v>0.21</v>
      </c>
      <c r="F390" s="26">
        <v>1971.71</v>
      </c>
      <c r="Q390" s="20">
        <v>38.9</v>
      </c>
      <c r="R390" s="20">
        <v>68.16</v>
      </c>
      <c r="S390" s="26">
        <v>68</v>
      </c>
      <c r="T390" s="26">
        <v>-0.16</v>
      </c>
      <c r="U390" s="26">
        <v>-0.02</v>
      </c>
      <c r="V390" s="26">
        <v>1508.13</v>
      </c>
    </row>
    <row r="391" spans="1:22" ht="16.8" x14ac:dyDescent="0.3">
      <c r="A391" s="20">
        <v>39</v>
      </c>
      <c r="B391" s="20">
        <v>68</v>
      </c>
      <c r="C391" s="26">
        <v>68.28</v>
      </c>
      <c r="D391" s="20">
        <v>-0.28000000000000003</v>
      </c>
      <c r="E391" s="20">
        <v>-0.19</v>
      </c>
      <c r="F391" s="20">
        <v>1800.22</v>
      </c>
      <c r="Q391" s="20">
        <v>39</v>
      </c>
      <c r="R391" s="20">
        <v>68.17</v>
      </c>
      <c r="S391" s="26">
        <v>68</v>
      </c>
      <c r="T391" s="26">
        <v>-0.17</v>
      </c>
      <c r="U391" s="26">
        <v>-0.01</v>
      </c>
      <c r="V391" s="20">
        <v>1512.48</v>
      </c>
    </row>
    <row r="392" spans="1:22" ht="16.8" x14ac:dyDescent="0.3">
      <c r="A392" s="20">
        <v>39.1</v>
      </c>
      <c r="B392" s="20">
        <v>68</v>
      </c>
      <c r="C392" s="20">
        <v>68.099999999999994</v>
      </c>
      <c r="D392" s="20">
        <v>-0.1</v>
      </c>
      <c r="E392" s="20">
        <v>0.17</v>
      </c>
      <c r="F392" s="26">
        <v>1948.56</v>
      </c>
      <c r="Q392" s="20">
        <v>39.1</v>
      </c>
      <c r="R392" s="20">
        <v>68.16</v>
      </c>
      <c r="S392" s="26">
        <v>68</v>
      </c>
      <c r="T392" s="26">
        <v>-0.16</v>
      </c>
      <c r="U392" s="26">
        <v>0.02</v>
      </c>
      <c r="V392" s="26">
        <v>1533.07</v>
      </c>
    </row>
    <row r="393" spans="1:22" ht="16.8" x14ac:dyDescent="0.3">
      <c r="A393" s="20">
        <v>39.200000000000003</v>
      </c>
      <c r="B393" s="20">
        <v>68</v>
      </c>
      <c r="C393" s="26">
        <v>68.260000000000005</v>
      </c>
      <c r="D393" s="20">
        <v>-0.26</v>
      </c>
      <c r="E393" s="20">
        <v>-0.15</v>
      </c>
      <c r="F393" s="26">
        <v>1814.96</v>
      </c>
      <c r="Q393" s="20">
        <v>39.200000000000003</v>
      </c>
      <c r="R393" s="20">
        <v>68.12</v>
      </c>
      <c r="S393" s="26">
        <v>68</v>
      </c>
      <c r="T393" s="26">
        <v>-0.12</v>
      </c>
      <c r="U393" s="26">
        <v>0.03</v>
      </c>
      <c r="V393" s="20">
        <v>1550.32</v>
      </c>
    </row>
    <row r="394" spans="1:22" ht="16.8" x14ac:dyDescent="0.3">
      <c r="A394" s="20">
        <v>39.299999999999997</v>
      </c>
      <c r="B394" s="20">
        <v>68</v>
      </c>
      <c r="C394" s="26">
        <v>68.12</v>
      </c>
      <c r="D394" s="20">
        <v>-0.12</v>
      </c>
      <c r="E394" s="20">
        <v>0.14000000000000001</v>
      </c>
      <c r="F394" s="20">
        <v>1928.72</v>
      </c>
      <c r="Q394" s="20">
        <v>39.299999999999997</v>
      </c>
      <c r="R394" s="20">
        <v>68.14</v>
      </c>
      <c r="S394" s="26">
        <v>68</v>
      </c>
      <c r="T394" s="20">
        <v>-0.14000000000000001</v>
      </c>
      <c r="U394" s="20">
        <v>-0.02</v>
      </c>
      <c r="V394" s="20">
        <v>1510.75</v>
      </c>
    </row>
    <row r="395" spans="1:22" ht="16.8" x14ac:dyDescent="0.3">
      <c r="A395" s="20">
        <v>39.4</v>
      </c>
      <c r="B395" s="20">
        <v>68</v>
      </c>
      <c r="C395" s="20">
        <v>68.22</v>
      </c>
      <c r="D395" s="20">
        <v>-0.22</v>
      </c>
      <c r="E395" s="20">
        <v>-0.1</v>
      </c>
      <c r="F395" s="26">
        <v>1839.24</v>
      </c>
      <c r="Q395" s="20">
        <v>39.4</v>
      </c>
      <c r="R395" s="20">
        <v>68.16</v>
      </c>
      <c r="S395" s="26">
        <v>68</v>
      </c>
      <c r="T395" s="26">
        <v>-0.16</v>
      </c>
      <c r="U395" s="26">
        <v>-0.02</v>
      </c>
      <c r="V395" s="26">
        <v>1500.24</v>
      </c>
    </row>
    <row r="396" spans="1:22" ht="16.8" x14ac:dyDescent="0.3">
      <c r="A396" s="20">
        <v>39.5</v>
      </c>
      <c r="B396" s="20">
        <v>68</v>
      </c>
      <c r="C396" s="26">
        <v>68.209999999999994</v>
      </c>
      <c r="D396" s="20">
        <v>-0.21</v>
      </c>
      <c r="E396" s="20">
        <v>0.02</v>
      </c>
      <c r="F396" s="26">
        <v>1851.65</v>
      </c>
      <c r="Q396" s="20">
        <v>39.5</v>
      </c>
      <c r="R396" s="20">
        <v>68.13</v>
      </c>
      <c r="S396" s="26">
        <v>68</v>
      </c>
      <c r="T396" s="26">
        <v>-0.13</v>
      </c>
      <c r="U396" s="20">
        <v>0.03</v>
      </c>
      <c r="V396" s="20">
        <v>1547.94</v>
      </c>
    </row>
    <row r="397" spans="1:22" ht="16.8" x14ac:dyDescent="0.3">
      <c r="A397" s="20">
        <v>39.6</v>
      </c>
      <c r="B397" s="20">
        <v>68</v>
      </c>
      <c r="C397" s="26">
        <v>68.209999999999994</v>
      </c>
      <c r="D397" s="20">
        <v>-0.21</v>
      </c>
      <c r="E397" s="20">
        <v>0</v>
      </c>
      <c r="F397" s="20">
        <v>1851.65</v>
      </c>
      <c r="Q397" s="20">
        <v>39.6</v>
      </c>
      <c r="R397" s="20">
        <v>68.16</v>
      </c>
      <c r="S397" s="26">
        <v>68</v>
      </c>
      <c r="T397" s="26">
        <v>-0.16</v>
      </c>
      <c r="U397" s="26">
        <v>-0.03</v>
      </c>
      <c r="V397" s="26">
        <v>1493.44</v>
      </c>
    </row>
    <row r="398" spans="1:22" ht="16.8" x14ac:dyDescent="0.3">
      <c r="A398" s="20">
        <v>39.700000000000003</v>
      </c>
      <c r="B398" s="20">
        <v>68</v>
      </c>
      <c r="C398" s="20">
        <v>68.16</v>
      </c>
      <c r="D398" s="20">
        <v>-0.16</v>
      </c>
      <c r="E398" s="20">
        <v>0.05</v>
      </c>
      <c r="F398" s="26">
        <v>1891.71</v>
      </c>
      <c r="Q398" s="20">
        <v>39.700000000000003</v>
      </c>
      <c r="R398" s="20">
        <v>68.13</v>
      </c>
      <c r="S398" s="26">
        <v>68</v>
      </c>
      <c r="T398" s="26">
        <v>-0.13</v>
      </c>
      <c r="U398" s="26">
        <v>0.03</v>
      </c>
      <c r="V398" s="20">
        <v>1547.23</v>
      </c>
    </row>
    <row r="399" spans="1:22" ht="16.8" x14ac:dyDescent="0.3">
      <c r="A399" s="20">
        <v>39.799999999999997</v>
      </c>
      <c r="B399" s="20">
        <v>68</v>
      </c>
      <c r="C399" s="26">
        <v>68.180000000000007</v>
      </c>
      <c r="D399" s="20">
        <v>-0.18</v>
      </c>
      <c r="E399" s="20">
        <v>-0.02</v>
      </c>
      <c r="F399" s="20">
        <v>1874.6</v>
      </c>
      <c r="Q399" s="20">
        <v>39.799999999999997</v>
      </c>
      <c r="R399" s="20">
        <v>68.180000000000007</v>
      </c>
      <c r="S399" s="26">
        <v>68</v>
      </c>
      <c r="T399" s="20">
        <v>-0.18</v>
      </c>
      <c r="U399" s="26">
        <v>-0.05</v>
      </c>
      <c r="V399" s="26">
        <v>1477.83</v>
      </c>
    </row>
    <row r="400" spans="1:22" ht="16.8" x14ac:dyDescent="0.3">
      <c r="A400" s="20">
        <v>39.9</v>
      </c>
      <c r="B400" s="20">
        <v>68</v>
      </c>
      <c r="C400" s="26">
        <v>68.209999999999994</v>
      </c>
      <c r="D400" s="20">
        <v>-0.21</v>
      </c>
      <c r="E400" s="20">
        <v>-0.03</v>
      </c>
      <c r="F400" s="26">
        <v>1851.65</v>
      </c>
      <c r="Q400" s="20">
        <v>39.9</v>
      </c>
      <c r="R400" s="20">
        <v>68.16</v>
      </c>
      <c r="S400" s="26">
        <v>68</v>
      </c>
      <c r="T400" s="26">
        <v>-0.16</v>
      </c>
      <c r="U400" s="26">
        <v>0.02</v>
      </c>
      <c r="V400" s="20">
        <v>1528.85</v>
      </c>
    </row>
    <row r="401" spans="1:22" ht="16.8" x14ac:dyDescent="0.3">
      <c r="A401" s="20">
        <v>40</v>
      </c>
      <c r="B401" s="20">
        <v>68</v>
      </c>
      <c r="C401" s="20">
        <v>68.209999999999994</v>
      </c>
      <c r="D401" s="20">
        <v>-0.21</v>
      </c>
      <c r="E401" s="20">
        <v>0</v>
      </c>
      <c r="F401" s="20">
        <v>1851.65</v>
      </c>
      <c r="Q401" s="20">
        <v>40</v>
      </c>
      <c r="R401" s="20">
        <v>68.12</v>
      </c>
      <c r="S401" s="26">
        <v>68</v>
      </c>
      <c r="T401" s="20">
        <v>-0.12</v>
      </c>
      <c r="U401" s="26">
        <v>0.04</v>
      </c>
      <c r="V401" s="20">
        <v>1553.55</v>
      </c>
    </row>
    <row r="402" spans="1:22" ht="16.8" x14ac:dyDescent="0.3">
      <c r="A402" s="20">
        <v>40.1</v>
      </c>
      <c r="B402" s="20">
        <v>68</v>
      </c>
      <c r="C402" s="26">
        <v>68.22</v>
      </c>
      <c r="D402" s="20">
        <v>-0.22</v>
      </c>
      <c r="E402" s="20">
        <v>-0.02</v>
      </c>
      <c r="F402" s="26">
        <v>1839.24</v>
      </c>
      <c r="Q402" s="20">
        <v>40.1</v>
      </c>
      <c r="R402" s="20">
        <v>68.12</v>
      </c>
      <c r="S402" s="26">
        <v>68</v>
      </c>
      <c r="T402" s="26">
        <v>-0.12</v>
      </c>
      <c r="U402" s="26">
        <v>0</v>
      </c>
      <c r="V402" s="26">
        <v>1522.79</v>
      </c>
    </row>
    <row r="403" spans="1:22" ht="16.8" x14ac:dyDescent="0.3">
      <c r="A403" s="20">
        <v>40.200000000000003</v>
      </c>
      <c r="B403" s="20">
        <v>68</v>
      </c>
      <c r="C403" s="20">
        <v>68.239999999999995</v>
      </c>
      <c r="D403" s="20">
        <v>-0.24</v>
      </c>
      <c r="E403" s="20">
        <v>-0.02</v>
      </c>
      <c r="F403" s="26">
        <v>1826.99</v>
      </c>
      <c r="Q403" s="20">
        <v>40.200000000000003</v>
      </c>
      <c r="R403" s="20">
        <v>68.150000000000006</v>
      </c>
      <c r="S403" s="26">
        <v>68</v>
      </c>
      <c r="T403" s="26">
        <v>-0.15</v>
      </c>
      <c r="U403" s="26">
        <v>-0.02</v>
      </c>
      <c r="V403" s="20">
        <v>1500.14</v>
      </c>
    </row>
    <row r="404" spans="1:22" ht="16.8" x14ac:dyDescent="0.3">
      <c r="A404" s="20">
        <v>40.299999999999997</v>
      </c>
      <c r="B404" s="20">
        <v>68</v>
      </c>
      <c r="C404" s="26">
        <v>68.22</v>
      </c>
      <c r="D404" s="20">
        <v>-0.22</v>
      </c>
      <c r="E404" s="20">
        <v>0.02</v>
      </c>
      <c r="F404" s="20">
        <v>1845.41</v>
      </c>
      <c r="Q404" s="20">
        <v>40.299999999999997</v>
      </c>
      <c r="R404" s="20">
        <v>68.2</v>
      </c>
      <c r="S404" s="26">
        <v>68</v>
      </c>
      <c r="T404" s="26">
        <v>-0.2</v>
      </c>
      <c r="U404" s="26">
        <v>-0.05</v>
      </c>
      <c r="V404" s="26">
        <v>1473.34</v>
      </c>
    </row>
    <row r="405" spans="1:22" ht="16.8" x14ac:dyDescent="0.3">
      <c r="A405" s="20">
        <v>40.4</v>
      </c>
      <c r="B405" s="20">
        <v>68</v>
      </c>
      <c r="C405" s="26">
        <v>68.25</v>
      </c>
      <c r="D405" s="20">
        <v>-0.25</v>
      </c>
      <c r="E405" s="20">
        <v>-0.04</v>
      </c>
      <c r="F405" s="26">
        <v>1817.94</v>
      </c>
      <c r="Q405" s="20">
        <v>40.4</v>
      </c>
      <c r="R405" s="20">
        <v>68.17</v>
      </c>
      <c r="S405" s="26">
        <v>68</v>
      </c>
      <c r="T405" s="26">
        <v>-0.17</v>
      </c>
      <c r="U405" s="26">
        <v>0.02</v>
      </c>
      <c r="V405" s="20">
        <v>1531.78</v>
      </c>
    </row>
    <row r="406" spans="1:22" ht="16.8" x14ac:dyDescent="0.3">
      <c r="A406" s="20">
        <v>40.5</v>
      </c>
      <c r="B406" s="20">
        <v>68</v>
      </c>
      <c r="C406" s="20">
        <v>68.260000000000005</v>
      </c>
      <c r="D406" s="20">
        <v>-0.26</v>
      </c>
      <c r="E406" s="20">
        <v>0</v>
      </c>
      <c r="F406" s="26">
        <v>1814.96</v>
      </c>
      <c r="Q406" s="20">
        <v>40.5</v>
      </c>
      <c r="R406" s="20">
        <v>68.150000000000006</v>
      </c>
      <c r="S406" s="26">
        <v>68</v>
      </c>
      <c r="T406" s="26">
        <v>-0.15</v>
      </c>
      <c r="U406" s="26">
        <v>0.02</v>
      </c>
      <c r="V406" s="26">
        <v>1535.46</v>
      </c>
    </row>
    <row r="407" spans="1:22" ht="16.8" x14ac:dyDescent="0.3">
      <c r="A407" s="20">
        <v>40.6</v>
      </c>
      <c r="B407" s="20">
        <v>68</v>
      </c>
      <c r="C407" s="26">
        <v>68.260000000000005</v>
      </c>
      <c r="D407" s="20">
        <v>-0.26</v>
      </c>
      <c r="E407" s="20">
        <v>0</v>
      </c>
      <c r="F407" s="20">
        <v>1814.96</v>
      </c>
      <c r="Q407" s="20">
        <v>40.6</v>
      </c>
      <c r="R407" s="20">
        <v>68.150000000000006</v>
      </c>
      <c r="S407" s="26">
        <v>68</v>
      </c>
      <c r="T407" s="20">
        <v>-0.15</v>
      </c>
      <c r="U407" s="26">
        <v>0</v>
      </c>
      <c r="V407" s="20">
        <v>1516.82</v>
      </c>
    </row>
    <row r="408" spans="1:22" ht="16.8" x14ac:dyDescent="0.3">
      <c r="A408" s="20">
        <v>40.700000000000003</v>
      </c>
      <c r="B408" s="20">
        <v>68</v>
      </c>
      <c r="C408" s="26">
        <v>68.23</v>
      </c>
      <c r="D408" s="20">
        <v>-0.23</v>
      </c>
      <c r="E408" s="20">
        <v>0.03</v>
      </c>
      <c r="F408" s="26">
        <v>1836.19</v>
      </c>
      <c r="Q408" s="20">
        <v>40.700000000000003</v>
      </c>
      <c r="R408" s="20">
        <v>68.11</v>
      </c>
      <c r="S408" s="26">
        <v>68</v>
      </c>
      <c r="T408" s="26">
        <v>-0.11</v>
      </c>
      <c r="U408" s="26">
        <v>0.04</v>
      </c>
      <c r="V408" s="26">
        <v>1553.75</v>
      </c>
    </row>
    <row r="409" spans="1:22" ht="16.8" x14ac:dyDescent="0.3">
      <c r="A409" s="20">
        <v>40.799999999999997</v>
      </c>
      <c r="B409" s="20">
        <v>68</v>
      </c>
      <c r="C409" s="20">
        <v>68.27</v>
      </c>
      <c r="D409" s="20">
        <v>-0.27</v>
      </c>
      <c r="E409" s="20">
        <v>-0.04</v>
      </c>
      <c r="F409" s="20">
        <v>1803.14</v>
      </c>
      <c r="Q409" s="20">
        <v>40.799999999999997</v>
      </c>
      <c r="R409" s="20">
        <v>68.16</v>
      </c>
      <c r="S409" s="26">
        <v>68</v>
      </c>
      <c r="T409" s="26">
        <v>-0.16</v>
      </c>
      <c r="U409" s="26">
        <v>-0.06</v>
      </c>
      <c r="V409" s="20">
        <v>1470.84</v>
      </c>
    </row>
    <row r="410" spans="1:22" ht="16.8" x14ac:dyDescent="0.3">
      <c r="A410" s="20">
        <v>40.9</v>
      </c>
      <c r="B410" s="20">
        <v>68</v>
      </c>
      <c r="C410" s="26">
        <v>68.25</v>
      </c>
      <c r="D410" s="20">
        <v>-0.25</v>
      </c>
      <c r="E410" s="20">
        <v>0.02</v>
      </c>
      <c r="F410" s="26">
        <v>1820.95</v>
      </c>
      <c r="Q410" s="20">
        <v>40.9</v>
      </c>
      <c r="R410" s="20">
        <v>68.14</v>
      </c>
      <c r="S410" s="26">
        <v>68</v>
      </c>
      <c r="T410" s="26">
        <v>-0.14000000000000001</v>
      </c>
      <c r="U410" s="26">
        <v>0.02</v>
      </c>
      <c r="V410" s="26">
        <v>1535.46</v>
      </c>
    </row>
    <row r="411" spans="1:22" ht="16.8" x14ac:dyDescent="0.3">
      <c r="A411" s="20">
        <v>41</v>
      </c>
      <c r="B411" s="20">
        <v>68</v>
      </c>
      <c r="C411" s="20">
        <v>68.27</v>
      </c>
      <c r="D411" s="20">
        <v>-0.27</v>
      </c>
      <c r="E411" s="20">
        <v>-0.02</v>
      </c>
      <c r="F411" s="26">
        <v>1806.09</v>
      </c>
      <c r="Q411" s="20">
        <v>41</v>
      </c>
      <c r="R411" s="20">
        <v>68.17</v>
      </c>
      <c r="S411" s="26">
        <v>68</v>
      </c>
      <c r="T411" s="26">
        <v>-0.17</v>
      </c>
      <c r="U411" s="26">
        <v>-0.03</v>
      </c>
      <c r="V411" s="20">
        <v>1487.03</v>
      </c>
    </row>
    <row r="412" spans="1:22" ht="16.8" x14ac:dyDescent="0.3">
      <c r="A412" s="20">
        <v>41.1</v>
      </c>
      <c r="B412" s="20">
        <v>68</v>
      </c>
      <c r="C412" s="26">
        <v>68.27</v>
      </c>
      <c r="D412" s="20">
        <v>-0.27</v>
      </c>
      <c r="E412" s="20">
        <v>0</v>
      </c>
      <c r="F412" s="20">
        <v>1806.09</v>
      </c>
      <c r="Q412" s="20">
        <v>41.1</v>
      </c>
      <c r="R412" s="20">
        <v>68.099999999999994</v>
      </c>
      <c r="S412" s="26">
        <v>68</v>
      </c>
      <c r="T412" s="26">
        <v>-0.1</v>
      </c>
      <c r="U412" s="26">
        <v>7.0000000000000007E-2</v>
      </c>
      <c r="V412" s="26">
        <v>1578.08</v>
      </c>
    </row>
    <row r="413" spans="1:22" ht="16.8" x14ac:dyDescent="0.3">
      <c r="A413" s="20">
        <v>41.2</v>
      </c>
      <c r="B413" s="20">
        <v>68</v>
      </c>
      <c r="C413" s="26">
        <v>68.25</v>
      </c>
      <c r="D413" s="20">
        <v>-0.25</v>
      </c>
      <c r="E413" s="20">
        <v>0.02</v>
      </c>
      <c r="F413" s="26">
        <v>1817.94</v>
      </c>
      <c r="Q413" s="20">
        <v>41.2</v>
      </c>
      <c r="R413" s="20">
        <v>68.09</v>
      </c>
      <c r="S413" s="26">
        <v>68</v>
      </c>
      <c r="T413" s="26">
        <v>-0.09</v>
      </c>
      <c r="U413" s="26">
        <v>0.01</v>
      </c>
      <c r="V413" s="20">
        <v>1530.46</v>
      </c>
    </row>
    <row r="414" spans="1:22" ht="16.8" x14ac:dyDescent="0.3">
      <c r="A414" s="20">
        <v>41.3</v>
      </c>
      <c r="B414" s="20">
        <v>68</v>
      </c>
      <c r="C414" s="20">
        <v>68.33</v>
      </c>
      <c r="D414" s="20">
        <v>-0.33</v>
      </c>
      <c r="E414" s="20">
        <v>-0.08</v>
      </c>
      <c r="F414" s="20">
        <v>1759.82</v>
      </c>
      <c r="Q414" s="20">
        <v>41.3</v>
      </c>
      <c r="R414" s="20">
        <v>68.13</v>
      </c>
      <c r="S414" s="26">
        <v>68</v>
      </c>
      <c r="T414" s="20">
        <v>-0.13</v>
      </c>
      <c r="U414" s="26">
        <v>-0.04</v>
      </c>
      <c r="V414" s="26">
        <v>1486.88</v>
      </c>
    </row>
    <row r="415" spans="1:22" ht="16.8" x14ac:dyDescent="0.3">
      <c r="A415" s="20">
        <v>41.4</v>
      </c>
      <c r="B415" s="20">
        <v>68</v>
      </c>
      <c r="C415" s="26">
        <v>68.3</v>
      </c>
      <c r="D415" s="20">
        <v>-0.3</v>
      </c>
      <c r="E415" s="20">
        <v>0.04</v>
      </c>
      <c r="F415" s="26">
        <v>1785.59</v>
      </c>
      <c r="Q415" s="20">
        <v>41.4</v>
      </c>
      <c r="R415" s="20">
        <v>68.069999999999993</v>
      </c>
      <c r="S415" s="26">
        <v>68</v>
      </c>
      <c r="T415" s="26">
        <v>-7.0000000000000007E-2</v>
      </c>
      <c r="U415" s="26">
        <v>0.06</v>
      </c>
      <c r="V415" s="20">
        <v>1569.22</v>
      </c>
    </row>
    <row r="416" spans="1:22" ht="16.8" x14ac:dyDescent="0.3">
      <c r="A416" s="20">
        <v>41.5</v>
      </c>
      <c r="B416" s="20">
        <v>68</v>
      </c>
      <c r="C416" s="26">
        <v>68.349999999999994</v>
      </c>
      <c r="D416" s="20">
        <v>-0.35</v>
      </c>
      <c r="E416" s="20">
        <v>-0.06</v>
      </c>
      <c r="F416" s="26">
        <v>1745.62</v>
      </c>
      <c r="Q416" s="20">
        <v>41.5</v>
      </c>
      <c r="R416" s="20">
        <v>68.11</v>
      </c>
      <c r="S416" s="26">
        <v>68</v>
      </c>
      <c r="T416" s="20">
        <v>-0.11</v>
      </c>
      <c r="U416" s="26">
        <v>-0.03</v>
      </c>
      <c r="V416" s="20">
        <v>1496.57</v>
      </c>
    </row>
    <row r="417" spans="1:22" ht="16.8" x14ac:dyDescent="0.3">
      <c r="A417" s="20">
        <v>41.6</v>
      </c>
      <c r="B417" s="20">
        <v>68</v>
      </c>
      <c r="C417" s="20">
        <v>68.34</v>
      </c>
      <c r="D417" s="20">
        <v>-0.34</v>
      </c>
      <c r="E417" s="20">
        <v>0.01</v>
      </c>
      <c r="F417" s="20">
        <v>1754.12</v>
      </c>
      <c r="Q417" s="20">
        <v>41.6</v>
      </c>
      <c r="R417" s="20">
        <v>68.11</v>
      </c>
      <c r="S417" s="26">
        <v>68</v>
      </c>
      <c r="T417" s="26">
        <v>-0.11</v>
      </c>
      <c r="U417" s="26">
        <v>0</v>
      </c>
      <c r="V417" s="26">
        <v>1520.68</v>
      </c>
    </row>
    <row r="418" spans="1:22" ht="16.8" x14ac:dyDescent="0.3">
      <c r="A418" s="20">
        <v>41.7</v>
      </c>
      <c r="B418" s="20">
        <v>68</v>
      </c>
      <c r="C418" s="26">
        <v>68.31</v>
      </c>
      <c r="D418" s="20">
        <v>-0.31</v>
      </c>
      <c r="E418" s="20">
        <v>0.03</v>
      </c>
      <c r="F418" s="26">
        <v>1776.95</v>
      </c>
      <c r="Q418" s="20">
        <v>41.7</v>
      </c>
      <c r="R418" s="20">
        <v>68.11</v>
      </c>
      <c r="S418" s="26">
        <v>68</v>
      </c>
      <c r="T418" s="26">
        <v>-0.11</v>
      </c>
      <c r="U418" s="26">
        <v>0</v>
      </c>
      <c r="V418" s="20">
        <v>1520.42</v>
      </c>
    </row>
    <row r="419" spans="1:22" ht="16.8" x14ac:dyDescent="0.3">
      <c r="A419" s="20">
        <v>41.8</v>
      </c>
      <c r="B419" s="20">
        <v>68</v>
      </c>
      <c r="C419" s="20">
        <v>68.349999999999994</v>
      </c>
      <c r="D419" s="20">
        <v>-0.35</v>
      </c>
      <c r="E419" s="20">
        <v>-0.04</v>
      </c>
      <c r="F419" s="26">
        <v>1748.44</v>
      </c>
      <c r="Q419" s="20">
        <v>41.8</v>
      </c>
      <c r="R419" s="20">
        <v>68.08</v>
      </c>
      <c r="S419" s="26">
        <v>68</v>
      </c>
      <c r="T419" s="20">
        <v>-0.08</v>
      </c>
      <c r="U419" s="26">
        <v>0.02</v>
      </c>
      <c r="V419" s="26">
        <v>1542.53</v>
      </c>
    </row>
    <row r="420" spans="1:22" ht="16.8" x14ac:dyDescent="0.3">
      <c r="A420" s="20">
        <v>41.9</v>
      </c>
      <c r="B420" s="20">
        <v>68</v>
      </c>
      <c r="C420" s="26">
        <v>68.31</v>
      </c>
      <c r="D420" s="20">
        <v>-0.31</v>
      </c>
      <c r="E420" s="20">
        <v>0.04</v>
      </c>
      <c r="F420" s="20">
        <v>1776.95</v>
      </c>
      <c r="Q420" s="20">
        <v>41.9</v>
      </c>
      <c r="R420" s="20">
        <v>68.09</v>
      </c>
      <c r="S420" s="26">
        <v>68</v>
      </c>
      <c r="T420" s="26">
        <v>-0.09</v>
      </c>
      <c r="U420" s="26">
        <v>-0.01</v>
      </c>
      <c r="V420" s="20">
        <v>1516.6</v>
      </c>
    </row>
    <row r="421" spans="1:22" ht="16.8" x14ac:dyDescent="0.3">
      <c r="A421" s="20">
        <v>42</v>
      </c>
      <c r="B421" s="20">
        <v>68</v>
      </c>
      <c r="C421" s="26">
        <v>68.319999999999993</v>
      </c>
      <c r="D421" s="20">
        <v>-0.32</v>
      </c>
      <c r="E421" s="20">
        <v>-0.01</v>
      </c>
      <c r="F421" s="26">
        <v>1771.23</v>
      </c>
      <c r="Q421" s="20">
        <v>42</v>
      </c>
      <c r="R421" s="20">
        <v>68.13</v>
      </c>
      <c r="S421" s="26">
        <v>68</v>
      </c>
      <c r="T421" s="20">
        <v>-0.13</v>
      </c>
      <c r="U421" s="26">
        <v>-0.04</v>
      </c>
      <c r="V421" s="26">
        <v>1485.2</v>
      </c>
    </row>
    <row r="422" spans="1:22" ht="16.8" x14ac:dyDescent="0.3">
      <c r="A422" s="20">
        <v>42.1</v>
      </c>
      <c r="B422" s="20">
        <v>68</v>
      </c>
      <c r="C422" s="20">
        <v>68.3</v>
      </c>
      <c r="D422" s="20">
        <v>-0.3</v>
      </c>
      <c r="E422" s="20">
        <v>0.02</v>
      </c>
      <c r="F422" s="20">
        <v>1785.59</v>
      </c>
      <c r="Q422" s="20">
        <v>42.1</v>
      </c>
      <c r="R422" s="20">
        <v>68.14</v>
      </c>
      <c r="S422" s="26">
        <v>68</v>
      </c>
      <c r="T422" s="26">
        <v>-0.14000000000000001</v>
      </c>
      <c r="U422" s="26">
        <v>-0.01</v>
      </c>
      <c r="V422" s="20">
        <v>1507.9</v>
      </c>
    </row>
    <row r="423" spans="1:22" ht="16.8" x14ac:dyDescent="0.3">
      <c r="A423" s="20">
        <v>42.2</v>
      </c>
      <c r="B423" s="20">
        <v>68</v>
      </c>
      <c r="C423" s="26">
        <v>68.3</v>
      </c>
      <c r="D423" s="20">
        <v>-0.3</v>
      </c>
      <c r="E423" s="20">
        <v>0</v>
      </c>
      <c r="F423" s="26">
        <v>1782.68</v>
      </c>
      <c r="Q423" s="20">
        <v>42.2</v>
      </c>
      <c r="R423" s="20">
        <v>68.12</v>
      </c>
      <c r="S423" s="26">
        <v>68</v>
      </c>
      <c r="T423" s="20">
        <v>-0.12</v>
      </c>
      <c r="U423" s="26">
        <v>0.02</v>
      </c>
      <c r="V423" s="26">
        <v>1528.56</v>
      </c>
    </row>
    <row r="424" spans="1:22" ht="16.8" x14ac:dyDescent="0.3">
      <c r="A424" s="20">
        <v>42.3</v>
      </c>
      <c r="B424" s="20">
        <v>68</v>
      </c>
      <c r="C424" s="20">
        <v>68.239999999999995</v>
      </c>
      <c r="D424" s="20">
        <v>-0.24</v>
      </c>
      <c r="E424" s="20">
        <v>0.06</v>
      </c>
      <c r="F424" s="26">
        <v>1826.99</v>
      </c>
      <c r="Q424" s="20">
        <v>42.3</v>
      </c>
      <c r="R424" s="20">
        <v>68.08</v>
      </c>
      <c r="S424" s="26">
        <v>68</v>
      </c>
      <c r="T424" s="26">
        <v>-0.08</v>
      </c>
      <c r="U424" s="26">
        <v>0.04</v>
      </c>
      <c r="V424" s="20">
        <v>1553.36</v>
      </c>
    </row>
    <row r="425" spans="1:22" ht="16.8" x14ac:dyDescent="0.3">
      <c r="A425" s="20">
        <v>42.4</v>
      </c>
      <c r="B425" s="20">
        <v>68</v>
      </c>
      <c r="C425" s="26">
        <v>68.25</v>
      </c>
      <c r="D425" s="20">
        <v>-0.25</v>
      </c>
      <c r="E425" s="20">
        <v>-0.01</v>
      </c>
      <c r="F425" s="20">
        <v>1820.95</v>
      </c>
      <c r="Q425" s="20">
        <v>42.4</v>
      </c>
      <c r="R425" s="20">
        <v>68.06</v>
      </c>
      <c r="S425" s="26">
        <v>68</v>
      </c>
      <c r="T425" s="26">
        <v>-0.06</v>
      </c>
      <c r="U425" s="26">
        <v>0.02</v>
      </c>
      <c r="V425" s="20">
        <v>1545.06</v>
      </c>
    </row>
    <row r="426" spans="1:22" ht="16.8" x14ac:dyDescent="0.3">
      <c r="A426" s="20">
        <v>42.5</v>
      </c>
      <c r="B426" s="20">
        <v>68</v>
      </c>
      <c r="C426" s="26">
        <v>68.27</v>
      </c>
      <c r="D426" s="20">
        <v>-0.27</v>
      </c>
      <c r="E426" s="20">
        <v>-0.02</v>
      </c>
      <c r="F426" s="26">
        <v>1806.09</v>
      </c>
      <c r="Q426" s="20">
        <v>42.5</v>
      </c>
      <c r="R426" s="20">
        <v>68.069999999999993</v>
      </c>
      <c r="S426" s="26">
        <v>68</v>
      </c>
      <c r="T426" s="26">
        <v>-7.0000000000000007E-2</v>
      </c>
      <c r="U426" s="26">
        <v>-0.02</v>
      </c>
      <c r="V426" s="26">
        <v>1511.73</v>
      </c>
    </row>
    <row r="427" spans="1:22" ht="16.8" x14ac:dyDescent="0.3">
      <c r="A427" s="20">
        <v>42.6</v>
      </c>
      <c r="B427" s="20">
        <v>68</v>
      </c>
      <c r="C427" s="20">
        <v>68.260000000000005</v>
      </c>
      <c r="D427" s="20">
        <v>-0.26</v>
      </c>
      <c r="E427" s="20">
        <v>0</v>
      </c>
      <c r="F427" s="26">
        <v>1809.01</v>
      </c>
      <c r="Q427" s="20">
        <v>42.6</v>
      </c>
      <c r="R427" s="20">
        <v>68.11</v>
      </c>
      <c r="S427" s="26">
        <v>68</v>
      </c>
      <c r="T427" s="26">
        <v>-0.11</v>
      </c>
      <c r="U427" s="26">
        <v>-0.03</v>
      </c>
      <c r="V427" s="20">
        <v>1493.92</v>
      </c>
    </row>
    <row r="428" spans="1:22" ht="16.8" x14ac:dyDescent="0.3">
      <c r="A428" s="20">
        <v>42.7</v>
      </c>
      <c r="B428" s="20">
        <v>68</v>
      </c>
      <c r="C428" s="26">
        <v>68.260000000000005</v>
      </c>
      <c r="D428" s="20">
        <v>-0.26</v>
      </c>
      <c r="E428" s="20">
        <v>0</v>
      </c>
      <c r="F428" s="20">
        <v>1809.01</v>
      </c>
      <c r="Q428" s="20">
        <v>42.7</v>
      </c>
      <c r="R428" s="20">
        <v>68.099999999999994</v>
      </c>
      <c r="S428" s="26">
        <v>68</v>
      </c>
      <c r="T428" s="20">
        <v>-0.1</v>
      </c>
      <c r="U428" s="20">
        <v>0.01</v>
      </c>
      <c r="V428" s="26">
        <v>1525.48</v>
      </c>
    </row>
    <row r="429" spans="1:22" ht="16.8" x14ac:dyDescent="0.3">
      <c r="A429" s="20">
        <v>42.8</v>
      </c>
      <c r="B429" s="20">
        <v>68</v>
      </c>
      <c r="C429" s="26">
        <v>68.27</v>
      </c>
      <c r="D429" s="20">
        <v>-0.27</v>
      </c>
      <c r="E429" s="20">
        <v>0</v>
      </c>
      <c r="F429" s="26">
        <v>1806.09</v>
      </c>
      <c r="Q429" s="20">
        <v>42.8</v>
      </c>
      <c r="R429" s="20">
        <v>68.11</v>
      </c>
      <c r="S429" s="26">
        <v>68</v>
      </c>
      <c r="T429" s="26">
        <v>-0.11</v>
      </c>
      <c r="U429" s="26">
        <v>-0.01</v>
      </c>
      <c r="V429" s="20">
        <v>1511.7</v>
      </c>
    </row>
    <row r="430" spans="1:22" ht="16.8" x14ac:dyDescent="0.3">
      <c r="A430" s="20">
        <v>42.9</v>
      </c>
      <c r="B430" s="20">
        <v>68</v>
      </c>
      <c r="C430" s="20">
        <v>68.22</v>
      </c>
      <c r="D430" s="20">
        <v>-0.22</v>
      </c>
      <c r="E430" s="20">
        <v>0.05</v>
      </c>
      <c r="F430" s="20">
        <v>1845.41</v>
      </c>
      <c r="Q430" s="20">
        <v>42.9</v>
      </c>
      <c r="R430" s="20">
        <v>68.08</v>
      </c>
      <c r="S430" s="26">
        <v>68</v>
      </c>
      <c r="T430" s="20">
        <v>-0.08</v>
      </c>
      <c r="U430" s="20">
        <v>0.02</v>
      </c>
      <c r="V430" s="26">
        <v>1539.9</v>
      </c>
    </row>
    <row r="431" spans="1:22" ht="16.8" x14ac:dyDescent="0.3">
      <c r="A431" s="20">
        <v>43</v>
      </c>
      <c r="B431" s="20">
        <v>68</v>
      </c>
      <c r="C431" s="26">
        <v>68.239999999999995</v>
      </c>
      <c r="D431" s="20">
        <v>-0.24</v>
      </c>
      <c r="E431" s="20">
        <v>-0.02</v>
      </c>
      <c r="F431" s="26">
        <v>1826.99</v>
      </c>
      <c r="Q431" s="20">
        <v>43</v>
      </c>
      <c r="R431" s="20">
        <v>68.08</v>
      </c>
      <c r="S431" s="26">
        <v>68</v>
      </c>
      <c r="T431" s="26">
        <v>-0.08</v>
      </c>
      <c r="U431" s="26">
        <v>0</v>
      </c>
      <c r="V431" s="20">
        <v>1521.42</v>
      </c>
    </row>
    <row r="432" spans="1:22" ht="16.8" x14ac:dyDescent="0.3">
      <c r="A432" s="20">
        <v>43.1</v>
      </c>
      <c r="B432" s="20">
        <v>68</v>
      </c>
      <c r="C432" s="20">
        <v>68.2</v>
      </c>
      <c r="D432" s="20">
        <v>-0.2</v>
      </c>
      <c r="E432" s="20">
        <v>0.04</v>
      </c>
      <c r="F432" s="20">
        <v>1854.8</v>
      </c>
      <c r="Q432" s="20">
        <v>43.1</v>
      </c>
      <c r="R432" s="20">
        <v>68.099999999999994</v>
      </c>
      <c r="S432" s="26">
        <v>68</v>
      </c>
      <c r="T432" s="20">
        <v>-0.1</v>
      </c>
      <c r="U432" s="26">
        <v>-0.02</v>
      </c>
      <c r="V432" s="26">
        <v>1506.32</v>
      </c>
    </row>
    <row r="433" spans="1:22" ht="16.8" x14ac:dyDescent="0.3">
      <c r="A433" s="20">
        <v>43.2</v>
      </c>
      <c r="B433" s="20">
        <v>68</v>
      </c>
      <c r="C433" s="26">
        <v>68.260000000000005</v>
      </c>
      <c r="D433" s="20">
        <v>-0.26</v>
      </c>
      <c r="E433" s="20">
        <v>-0.06</v>
      </c>
      <c r="F433" s="26">
        <v>1811.99</v>
      </c>
      <c r="Q433" s="20">
        <v>43.2</v>
      </c>
      <c r="R433" s="20">
        <v>68</v>
      </c>
      <c r="S433" s="26">
        <v>68</v>
      </c>
      <c r="T433" s="26">
        <v>0</v>
      </c>
      <c r="U433" s="26">
        <v>0.1</v>
      </c>
      <c r="V433" s="20">
        <v>1607.71</v>
      </c>
    </row>
    <row r="434" spans="1:22" ht="16.8" x14ac:dyDescent="0.3">
      <c r="A434" s="20">
        <v>43.3</v>
      </c>
      <c r="B434" s="20">
        <v>68</v>
      </c>
      <c r="C434" s="26">
        <v>68.2</v>
      </c>
      <c r="D434" s="20">
        <v>-0.2</v>
      </c>
      <c r="E434" s="20">
        <v>0.06</v>
      </c>
      <c r="F434" s="26">
        <v>1854.8</v>
      </c>
      <c r="Q434" s="20">
        <v>43.3</v>
      </c>
      <c r="R434" s="20">
        <v>68.08</v>
      </c>
      <c r="S434" s="26">
        <v>68</v>
      </c>
      <c r="T434" s="26">
        <v>-0.08</v>
      </c>
      <c r="U434" s="26">
        <v>-0.08</v>
      </c>
      <c r="V434" s="26">
        <v>1460.06</v>
      </c>
    </row>
    <row r="435" spans="1:22" ht="16.8" x14ac:dyDescent="0.3">
      <c r="A435" s="20">
        <v>43.4</v>
      </c>
      <c r="B435" s="20">
        <v>68</v>
      </c>
      <c r="C435" s="20">
        <v>68.239999999999995</v>
      </c>
      <c r="D435" s="20">
        <v>-0.24</v>
      </c>
      <c r="E435" s="20">
        <v>-0.04</v>
      </c>
      <c r="F435" s="20">
        <v>1826.99</v>
      </c>
      <c r="Q435" s="20">
        <v>43.4</v>
      </c>
      <c r="R435" s="20">
        <v>68.11</v>
      </c>
      <c r="S435" s="26">
        <v>68</v>
      </c>
      <c r="T435" s="26">
        <v>-0.11</v>
      </c>
      <c r="U435" s="26">
        <v>-0.02</v>
      </c>
      <c r="V435" s="20">
        <v>1498.43</v>
      </c>
    </row>
    <row r="436" spans="1:22" ht="16.8" x14ac:dyDescent="0.3">
      <c r="A436" s="20">
        <v>43.5</v>
      </c>
      <c r="B436" s="20">
        <v>68</v>
      </c>
      <c r="C436" s="26">
        <v>68.25</v>
      </c>
      <c r="D436" s="20">
        <v>-0.25</v>
      </c>
      <c r="E436" s="20">
        <v>-0.01</v>
      </c>
      <c r="F436" s="26">
        <v>1817.94</v>
      </c>
      <c r="Q436" s="20">
        <v>43.5</v>
      </c>
      <c r="R436" s="20">
        <v>68.040000000000006</v>
      </c>
      <c r="S436" s="26">
        <v>68</v>
      </c>
      <c r="T436" s="26">
        <v>-0.04</v>
      </c>
      <c r="U436" s="26">
        <v>0.06</v>
      </c>
      <c r="V436" s="26">
        <v>1576.07</v>
      </c>
    </row>
    <row r="437" spans="1:22" ht="16.8" x14ac:dyDescent="0.3">
      <c r="A437" s="20">
        <v>43.6</v>
      </c>
      <c r="B437" s="20">
        <v>68</v>
      </c>
      <c r="C437" s="20">
        <v>68.2</v>
      </c>
      <c r="D437" s="20">
        <v>-0.2</v>
      </c>
      <c r="E437" s="20">
        <v>0.05</v>
      </c>
      <c r="F437" s="26">
        <v>1857.96</v>
      </c>
      <c r="Q437" s="20">
        <v>43.6</v>
      </c>
      <c r="R437" s="20">
        <v>68.05</v>
      </c>
      <c r="S437" s="26">
        <v>68</v>
      </c>
      <c r="T437" s="20">
        <v>0</v>
      </c>
      <c r="U437" s="20">
        <v>-0.05</v>
      </c>
      <c r="V437" s="20">
        <v>-0.01</v>
      </c>
    </row>
    <row r="438" spans="1:22" ht="16.8" x14ac:dyDescent="0.3">
      <c r="A438" s="20">
        <v>43.7</v>
      </c>
      <c r="B438" s="20">
        <v>68</v>
      </c>
      <c r="C438" s="26">
        <v>68.239999999999995</v>
      </c>
      <c r="D438" s="20">
        <v>-0.24</v>
      </c>
      <c r="E438" s="20">
        <v>-0.04</v>
      </c>
      <c r="F438" s="20">
        <v>1823.97</v>
      </c>
      <c r="Q438" s="20">
        <v>43.7</v>
      </c>
      <c r="R438" s="20">
        <v>68.069999999999993</v>
      </c>
      <c r="S438" s="26">
        <v>68</v>
      </c>
      <c r="T438" s="26">
        <v>-7.0000000000000007E-2</v>
      </c>
      <c r="U438" s="26">
        <v>-0.02</v>
      </c>
      <c r="V438" s="20">
        <v>1510.85</v>
      </c>
    </row>
    <row r="439" spans="1:22" ht="16.8" x14ac:dyDescent="0.3">
      <c r="A439" s="20">
        <v>43.8</v>
      </c>
      <c r="B439" s="20">
        <v>68</v>
      </c>
      <c r="C439" s="26">
        <v>68.239999999999995</v>
      </c>
      <c r="D439" s="20">
        <v>-0.24</v>
      </c>
      <c r="E439" s="20">
        <v>0.01</v>
      </c>
      <c r="F439" s="26">
        <v>1830.06</v>
      </c>
      <c r="Q439" s="20">
        <v>43.8</v>
      </c>
      <c r="R439" s="20">
        <v>68.03</v>
      </c>
      <c r="S439" s="26">
        <v>68</v>
      </c>
      <c r="T439" s="20">
        <v>-0.03</v>
      </c>
      <c r="U439" s="20">
        <v>0.03</v>
      </c>
      <c r="V439" s="26">
        <v>1552.69</v>
      </c>
    </row>
    <row r="440" spans="1:22" ht="16.8" x14ac:dyDescent="0.3">
      <c r="A440" s="20">
        <v>43.9</v>
      </c>
      <c r="B440" s="20">
        <v>68</v>
      </c>
      <c r="C440" s="20">
        <v>68.209999999999994</v>
      </c>
      <c r="D440" s="20">
        <v>-0.21</v>
      </c>
      <c r="E440" s="20">
        <v>0</v>
      </c>
      <c r="F440" s="20"/>
      <c r="Q440" s="20">
        <v>43.9</v>
      </c>
      <c r="R440" s="20">
        <v>68.03</v>
      </c>
      <c r="S440" s="26">
        <v>68</v>
      </c>
      <c r="T440" s="26">
        <v>-0.03</v>
      </c>
      <c r="U440" s="26">
        <v>0</v>
      </c>
      <c r="V440" s="20">
        <v>1528.23</v>
      </c>
    </row>
    <row r="441" spans="1:22" ht="16.8" x14ac:dyDescent="0.3">
      <c r="A441" s="20">
        <v>44</v>
      </c>
      <c r="B441" s="20">
        <v>68</v>
      </c>
      <c r="C441" s="26">
        <v>68.2</v>
      </c>
      <c r="D441" s="20">
        <v>-0.2</v>
      </c>
      <c r="E441" s="20">
        <v>0.02</v>
      </c>
      <c r="F441" s="26">
        <v>1861.25</v>
      </c>
      <c r="Q441" s="20">
        <v>44</v>
      </c>
      <c r="R441" s="20">
        <v>68.08</v>
      </c>
      <c r="S441" s="26">
        <v>68</v>
      </c>
      <c r="T441" s="26">
        <v>-0.08</v>
      </c>
      <c r="U441" s="26">
        <v>-0.05</v>
      </c>
      <c r="V441" s="26">
        <v>1483.42</v>
      </c>
    </row>
    <row r="442" spans="1:22" ht="16.8" x14ac:dyDescent="0.3">
      <c r="A442" s="20">
        <v>44.1</v>
      </c>
      <c r="B442" s="20">
        <v>68</v>
      </c>
      <c r="C442" s="20">
        <v>68.17</v>
      </c>
      <c r="D442" s="20">
        <v>-0.17</v>
      </c>
      <c r="E442" s="20">
        <v>0.02</v>
      </c>
      <c r="F442" s="26">
        <v>1881.38</v>
      </c>
      <c r="Q442" s="20">
        <v>44.1</v>
      </c>
      <c r="R442" s="20">
        <v>68.06</v>
      </c>
      <c r="S442" s="26">
        <v>68</v>
      </c>
      <c r="T442" s="26">
        <v>-0.06</v>
      </c>
      <c r="U442" s="26">
        <v>0.02</v>
      </c>
      <c r="V442" s="20">
        <v>1542.14</v>
      </c>
    </row>
    <row r="443" spans="1:22" ht="16.8" x14ac:dyDescent="0.3">
      <c r="A443" s="20">
        <v>44.2</v>
      </c>
      <c r="B443" s="20">
        <v>68</v>
      </c>
      <c r="C443" s="26">
        <v>68.25</v>
      </c>
      <c r="D443" s="20">
        <v>-0.25</v>
      </c>
      <c r="E443" s="20">
        <v>-0.08</v>
      </c>
      <c r="F443" s="20">
        <v>1817.94</v>
      </c>
      <c r="Q443" s="20">
        <v>44.2</v>
      </c>
      <c r="R443" s="20">
        <v>68.040000000000006</v>
      </c>
      <c r="S443" s="26">
        <v>68</v>
      </c>
      <c r="T443" s="26">
        <v>-0.04</v>
      </c>
      <c r="U443" s="26">
        <v>0.02</v>
      </c>
      <c r="V443" s="26">
        <v>1538.63</v>
      </c>
    </row>
    <row r="444" spans="1:22" ht="16.8" x14ac:dyDescent="0.3">
      <c r="A444" s="20">
        <v>44.3</v>
      </c>
      <c r="B444" s="20">
        <v>68</v>
      </c>
      <c r="C444" s="26">
        <v>68.239999999999995</v>
      </c>
      <c r="D444" s="20">
        <v>-0.24</v>
      </c>
      <c r="E444" s="20">
        <v>0.02</v>
      </c>
      <c r="F444" s="26">
        <v>1830.06</v>
      </c>
      <c r="Q444" s="20">
        <v>44.3</v>
      </c>
      <c r="R444" s="20">
        <v>68.02</v>
      </c>
      <c r="S444" s="26">
        <v>68</v>
      </c>
      <c r="T444" s="26">
        <v>-0.02</v>
      </c>
      <c r="U444" s="20">
        <v>0.02</v>
      </c>
      <c r="V444" s="20">
        <v>1548.72</v>
      </c>
    </row>
    <row r="445" spans="1:22" ht="16.8" x14ac:dyDescent="0.3">
      <c r="A445" s="20">
        <v>44.4</v>
      </c>
      <c r="B445" s="20">
        <v>68</v>
      </c>
      <c r="C445" s="20">
        <v>68.209999999999994</v>
      </c>
      <c r="D445" s="20">
        <v>-0.21</v>
      </c>
      <c r="E445" s="20">
        <v>0.03</v>
      </c>
      <c r="F445" s="26">
        <v>1851.65</v>
      </c>
      <c r="Q445" s="20">
        <v>44.4</v>
      </c>
      <c r="R445" s="20">
        <v>68.09</v>
      </c>
      <c r="S445" s="26">
        <v>68</v>
      </c>
      <c r="T445" s="26">
        <v>-0.09</v>
      </c>
      <c r="U445" s="26">
        <v>-7.0000000000000007E-2</v>
      </c>
      <c r="V445" s="26">
        <v>1463.3</v>
      </c>
    </row>
    <row r="446" spans="1:22" ht="16.8" x14ac:dyDescent="0.3">
      <c r="A446" s="20">
        <v>44.5</v>
      </c>
      <c r="B446" s="20">
        <v>68</v>
      </c>
      <c r="C446" s="26">
        <v>68.25</v>
      </c>
      <c r="D446" s="20">
        <v>-0.25</v>
      </c>
      <c r="E446" s="20">
        <v>-0.04</v>
      </c>
      <c r="F446" s="20">
        <v>1817.94</v>
      </c>
      <c r="Q446" s="20">
        <v>44.5</v>
      </c>
      <c r="R446" s="20">
        <v>68.03</v>
      </c>
      <c r="S446" s="20">
        <v>68</v>
      </c>
      <c r="T446" s="26">
        <v>-0.03</v>
      </c>
      <c r="U446" s="26">
        <v>0.06</v>
      </c>
      <c r="V446" s="20">
        <v>1577.55</v>
      </c>
    </row>
    <row r="447" spans="1:22" ht="16.8" x14ac:dyDescent="0.3">
      <c r="A447" s="20">
        <v>44.6</v>
      </c>
      <c r="B447" s="20">
        <v>68</v>
      </c>
      <c r="C447" s="20">
        <v>68.27</v>
      </c>
      <c r="D447" s="20">
        <v>-0.27</v>
      </c>
      <c r="E447" s="20">
        <v>-0.02</v>
      </c>
      <c r="F447" s="26">
        <v>1806.09</v>
      </c>
      <c r="Q447" s="20">
        <v>44.6</v>
      </c>
      <c r="R447" s="20">
        <v>68.03</v>
      </c>
      <c r="S447" s="26">
        <v>68</v>
      </c>
      <c r="T447" s="26">
        <v>-0.03</v>
      </c>
      <c r="U447" s="26">
        <v>-0.01</v>
      </c>
      <c r="V447" s="20">
        <v>1521.3</v>
      </c>
    </row>
    <row r="448" spans="1:22" ht="16.8" x14ac:dyDescent="0.3">
      <c r="A448" s="20">
        <v>44.7</v>
      </c>
      <c r="B448" s="20">
        <v>68</v>
      </c>
      <c r="C448" s="26">
        <v>68.25</v>
      </c>
      <c r="D448" s="20">
        <v>-0.25</v>
      </c>
      <c r="E448" s="20">
        <v>0.02</v>
      </c>
      <c r="F448" s="26">
        <v>1820.95</v>
      </c>
      <c r="Q448" s="20">
        <v>44.7</v>
      </c>
      <c r="R448" s="20">
        <v>68.069999999999993</v>
      </c>
      <c r="S448" s="26">
        <v>68</v>
      </c>
      <c r="T448" s="26">
        <v>-7.0000000000000007E-2</v>
      </c>
      <c r="U448" s="26">
        <v>-0.03</v>
      </c>
      <c r="V448" s="26">
        <v>1497.48</v>
      </c>
    </row>
    <row r="449" spans="1:22" ht="16.8" x14ac:dyDescent="0.3">
      <c r="A449" s="20">
        <v>44.8</v>
      </c>
      <c r="B449" s="20">
        <v>68</v>
      </c>
      <c r="C449" s="26">
        <v>68.25</v>
      </c>
      <c r="D449" s="20">
        <v>-0.25</v>
      </c>
      <c r="E449" s="20">
        <v>0</v>
      </c>
      <c r="F449" s="20">
        <v>1820.95</v>
      </c>
      <c r="Q449" s="20">
        <v>44.8</v>
      </c>
      <c r="R449" s="20">
        <v>68.02</v>
      </c>
      <c r="S449" s="26">
        <v>68</v>
      </c>
      <c r="T449" s="26">
        <v>-0.02</v>
      </c>
      <c r="U449" s="26">
        <v>0.05</v>
      </c>
      <c r="V449" s="20">
        <v>1566.42</v>
      </c>
    </row>
    <row r="450" spans="1:22" ht="16.8" x14ac:dyDescent="0.3">
      <c r="A450" s="20">
        <v>44.9</v>
      </c>
      <c r="B450" s="20">
        <v>68</v>
      </c>
      <c r="C450" s="20">
        <v>68.22</v>
      </c>
      <c r="D450" s="20">
        <v>-0.22</v>
      </c>
      <c r="E450" s="20">
        <v>0.03</v>
      </c>
      <c r="F450" s="26">
        <v>1842.33</v>
      </c>
      <c r="Q450" s="20">
        <v>44.9</v>
      </c>
      <c r="R450" s="20">
        <v>68.03</v>
      </c>
      <c r="S450" s="26">
        <v>68</v>
      </c>
      <c r="T450" s="26">
        <v>-0.03</v>
      </c>
      <c r="U450" s="26">
        <v>-0.02</v>
      </c>
      <c r="V450" s="26">
        <v>1514.92</v>
      </c>
    </row>
    <row r="451" spans="1:22" ht="16.8" x14ac:dyDescent="0.3">
      <c r="A451" s="20">
        <v>45</v>
      </c>
      <c r="B451" s="20">
        <v>68</v>
      </c>
      <c r="C451" s="26">
        <v>68.2</v>
      </c>
      <c r="D451" s="20">
        <v>-0.2</v>
      </c>
      <c r="E451" s="20">
        <v>0.02</v>
      </c>
      <c r="F451" s="20">
        <v>1854.8</v>
      </c>
      <c r="Q451" s="20">
        <v>45</v>
      </c>
      <c r="R451" s="20">
        <v>68.05</v>
      </c>
      <c r="S451" s="26">
        <v>68</v>
      </c>
      <c r="T451" s="26">
        <v>-0.05</v>
      </c>
      <c r="U451" s="26">
        <v>-0.02</v>
      </c>
      <c r="V451" s="20">
        <v>1512.1</v>
      </c>
    </row>
    <row r="452" spans="1:22" ht="16.8" x14ac:dyDescent="0.3">
      <c r="A452" s="20">
        <v>45.1</v>
      </c>
      <c r="B452" s="20">
        <v>68</v>
      </c>
      <c r="C452" s="20">
        <v>68.28</v>
      </c>
      <c r="D452" s="20">
        <v>-0.28000000000000003</v>
      </c>
      <c r="E452" s="20">
        <v>-7.0000000000000007E-2</v>
      </c>
      <c r="F452" s="26">
        <v>1800.22</v>
      </c>
      <c r="Q452" s="20">
        <v>45.1</v>
      </c>
      <c r="R452" s="20">
        <v>68.069999999999993</v>
      </c>
      <c r="S452" s="26">
        <v>68</v>
      </c>
      <c r="T452" s="26">
        <v>-7.0000000000000007E-2</v>
      </c>
      <c r="U452" s="26">
        <v>-0.02</v>
      </c>
      <c r="V452" s="26">
        <v>1501.81</v>
      </c>
    </row>
    <row r="453" spans="1:22" ht="16.8" x14ac:dyDescent="0.3">
      <c r="A453" s="20">
        <v>45.2</v>
      </c>
      <c r="B453" s="20">
        <v>68</v>
      </c>
      <c r="C453" s="26">
        <v>68.260000000000005</v>
      </c>
      <c r="D453" s="20">
        <v>-0.26</v>
      </c>
      <c r="E453" s="20">
        <v>0.02</v>
      </c>
      <c r="F453" s="26">
        <v>1811.99</v>
      </c>
      <c r="Q453" s="20">
        <v>45.2</v>
      </c>
      <c r="R453" s="20">
        <v>68.09</v>
      </c>
      <c r="S453" s="26">
        <v>68</v>
      </c>
      <c r="T453" s="26">
        <v>-0.09</v>
      </c>
      <c r="U453" s="26">
        <v>-0.02</v>
      </c>
      <c r="V453" s="20">
        <v>1504.99</v>
      </c>
    </row>
    <row r="454" spans="1:22" ht="16.8" x14ac:dyDescent="0.3">
      <c r="A454" s="20">
        <v>45.3</v>
      </c>
      <c r="B454" s="20">
        <v>68</v>
      </c>
      <c r="C454" s="26">
        <v>68.28</v>
      </c>
      <c r="D454" s="20">
        <v>-0.28000000000000003</v>
      </c>
      <c r="E454" s="20">
        <v>-0.02</v>
      </c>
      <c r="F454" s="20">
        <v>1797.27</v>
      </c>
      <c r="Q454" s="20">
        <v>45.3</v>
      </c>
      <c r="R454" s="20">
        <v>68.05</v>
      </c>
      <c r="S454" s="26">
        <v>68</v>
      </c>
      <c r="T454" s="26">
        <v>-0.05</v>
      </c>
      <c r="U454" s="26">
        <v>0.04</v>
      </c>
      <c r="V454" s="26">
        <v>1554.23</v>
      </c>
    </row>
    <row r="455" spans="1:22" ht="16.8" x14ac:dyDescent="0.3">
      <c r="A455" s="20">
        <v>45.4</v>
      </c>
      <c r="B455" s="20">
        <v>68</v>
      </c>
      <c r="C455" s="20">
        <v>68.28</v>
      </c>
      <c r="D455" s="20">
        <v>-0.28000000000000003</v>
      </c>
      <c r="E455" s="20">
        <v>0</v>
      </c>
      <c r="F455" s="26">
        <v>1797.27</v>
      </c>
      <c r="Q455" s="20">
        <v>45.4</v>
      </c>
      <c r="R455" s="20">
        <v>68.09</v>
      </c>
      <c r="S455" s="26">
        <v>68</v>
      </c>
      <c r="T455" s="26">
        <v>-0.09</v>
      </c>
      <c r="U455" s="26">
        <v>-0.04</v>
      </c>
      <c r="V455" s="20">
        <v>1486.38</v>
      </c>
    </row>
    <row r="456" spans="1:22" ht="16.8" x14ac:dyDescent="0.3">
      <c r="A456" s="20">
        <v>45.5</v>
      </c>
      <c r="B456" s="20">
        <v>68</v>
      </c>
      <c r="C456" s="26">
        <v>68.28</v>
      </c>
      <c r="D456" s="20">
        <v>-0.28000000000000003</v>
      </c>
      <c r="E456" s="20">
        <v>0</v>
      </c>
      <c r="F456" s="26">
        <v>1794.33</v>
      </c>
      <c r="Q456" s="20">
        <v>45.5</v>
      </c>
      <c r="R456" s="20">
        <v>68.069999999999993</v>
      </c>
      <c r="S456" s="26">
        <v>68</v>
      </c>
      <c r="T456" s="26">
        <v>-7.0000000000000007E-2</v>
      </c>
      <c r="U456" s="26">
        <v>0.02</v>
      </c>
      <c r="V456" s="20">
        <v>1538.99</v>
      </c>
    </row>
    <row r="457" spans="1:22" ht="16.8" x14ac:dyDescent="0.3">
      <c r="A457" s="20">
        <v>45.6</v>
      </c>
      <c r="B457" s="20">
        <v>68</v>
      </c>
      <c r="C457" s="20">
        <v>68.260000000000005</v>
      </c>
      <c r="D457" s="20">
        <v>-0.26</v>
      </c>
      <c r="E457" s="20">
        <v>0.02</v>
      </c>
      <c r="F457" s="20">
        <v>1809.01</v>
      </c>
      <c r="Q457" s="20">
        <v>45.6</v>
      </c>
      <c r="R457" s="20">
        <v>68.040000000000006</v>
      </c>
      <c r="S457" s="26">
        <v>68</v>
      </c>
      <c r="T457" s="26">
        <v>-0.04</v>
      </c>
      <c r="U457" s="26">
        <v>0.02</v>
      </c>
      <c r="V457" s="26">
        <v>1542.91</v>
      </c>
    </row>
    <row r="458" spans="1:22" ht="16.8" x14ac:dyDescent="0.3">
      <c r="A458" s="20">
        <v>45.7</v>
      </c>
      <c r="B458" s="20">
        <v>68</v>
      </c>
      <c r="C458" s="26">
        <v>68.25</v>
      </c>
      <c r="D458" s="20">
        <v>-0.25</v>
      </c>
      <c r="E458" s="20">
        <v>0.01</v>
      </c>
      <c r="F458" s="26">
        <v>1817.94</v>
      </c>
      <c r="Q458" s="20">
        <v>45.7</v>
      </c>
      <c r="R458" s="20">
        <v>68.010000000000005</v>
      </c>
      <c r="S458" s="26">
        <v>68</v>
      </c>
      <c r="T458" s="26">
        <v>-0.01</v>
      </c>
      <c r="U458" s="26">
        <v>0.03</v>
      </c>
      <c r="V458" s="20">
        <v>1554.36</v>
      </c>
    </row>
    <row r="459" spans="1:22" ht="16.8" x14ac:dyDescent="0.3">
      <c r="A459" s="20">
        <v>45.8</v>
      </c>
      <c r="B459" s="20">
        <v>68</v>
      </c>
      <c r="C459" s="26">
        <v>68.239999999999995</v>
      </c>
      <c r="D459" s="20">
        <v>-0.24</v>
      </c>
      <c r="E459" s="20">
        <v>0.02</v>
      </c>
      <c r="F459" s="20">
        <v>1830.06</v>
      </c>
      <c r="Q459" s="20">
        <v>45.8</v>
      </c>
      <c r="R459" s="20">
        <v>68.08</v>
      </c>
      <c r="S459" s="26">
        <v>68</v>
      </c>
      <c r="T459" s="26">
        <v>-0.08</v>
      </c>
      <c r="U459" s="20">
        <v>-7.0000000000000007E-2</v>
      </c>
      <c r="V459" s="26">
        <v>1462.86</v>
      </c>
    </row>
    <row r="460" spans="1:22" ht="16.8" x14ac:dyDescent="0.3">
      <c r="A460" s="20">
        <v>45.9</v>
      </c>
      <c r="B460" s="20">
        <v>68</v>
      </c>
      <c r="C460" s="20">
        <v>68.290000000000006</v>
      </c>
      <c r="D460" s="20">
        <v>-0.28999999999999998</v>
      </c>
      <c r="E460" s="20">
        <v>-0.05</v>
      </c>
      <c r="F460" s="26">
        <v>1791.4</v>
      </c>
      <c r="Q460" s="20">
        <v>45.9</v>
      </c>
      <c r="R460" s="20">
        <v>68.02</v>
      </c>
      <c r="S460" s="20">
        <v>68</v>
      </c>
      <c r="T460" s="26">
        <v>-0.02</v>
      </c>
      <c r="U460" s="26">
        <v>0.06</v>
      </c>
      <c r="V460" s="20">
        <v>1577.14</v>
      </c>
    </row>
    <row r="461" spans="1:22" ht="16.8" x14ac:dyDescent="0.3">
      <c r="A461" s="20">
        <v>46</v>
      </c>
      <c r="B461" s="20">
        <v>68</v>
      </c>
      <c r="C461" s="26">
        <v>68.23</v>
      </c>
      <c r="D461" s="20">
        <v>-0.23</v>
      </c>
      <c r="E461" s="20">
        <v>0.06</v>
      </c>
      <c r="F461" s="26">
        <v>1836.19</v>
      </c>
      <c r="Q461" s="20">
        <v>46</v>
      </c>
      <c r="R461" s="20">
        <v>68.040000000000006</v>
      </c>
      <c r="S461" s="26">
        <v>68</v>
      </c>
      <c r="T461" s="26">
        <v>-0.04</v>
      </c>
      <c r="U461" s="26">
        <v>-0.02</v>
      </c>
      <c r="V461" s="26">
        <v>1505.98</v>
      </c>
    </row>
    <row r="462" spans="1:22" ht="16.8" x14ac:dyDescent="0.3">
      <c r="A462" s="20">
        <v>46.1</v>
      </c>
      <c r="B462" s="20">
        <v>68</v>
      </c>
      <c r="C462" s="20">
        <v>68.27</v>
      </c>
      <c r="D462" s="20">
        <v>-0.27</v>
      </c>
      <c r="E462" s="20">
        <v>-0.04</v>
      </c>
      <c r="F462" s="20">
        <v>1806.09</v>
      </c>
      <c r="Q462" s="20">
        <v>46.1</v>
      </c>
      <c r="R462" s="20">
        <v>68.040000000000006</v>
      </c>
      <c r="S462" s="26">
        <v>68</v>
      </c>
      <c r="T462" s="26">
        <v>-0.04</v>
      </c>
      <c r="U462" s="26">
        <v>0</v>
      </c>
      <c r="V462" s="20">
        <v>1524.16</v>
      </c>
    </row>
    <row r="463" spans="1:22" ht="16.8" x14ac:dyDescent="0.3">
      <c r="A463" s="20">
        <v>46.2</v>
      </c>
      <c r="B463" s="20">
        <v>68</v>
      </c>
      <c r="C463" s="26">
        <v>68.28</v>
      </c>
      <c r="D463" s="20">
        <v>-0.28000000000000003</v>
      </c>
      <c r="E463" s="20">
        <v>-0.01</v>
      </c>
      <c r="F463" s="26">
        <v>1800.22</v>
      </c>
      <c r="Q463" s="20">
        <v>46.2</v>
      </c>
      <c r="R463" s="20">
        <v>68.03</v>
      </c>
      <c r="S463" s="26">
        <v>68</v>
      </c>
      <c r="T463" s="26">
        <v>-0.03</v>
      </c>
      <c r="U463" s="26">
        <v>0.02</v>
      </c>
      <c r="V463" s="26">
        <v>1538.98</v>
      </c>
    </row>
    <row r="464" spans="1:22" ht="16.8" x14ac:dyDescent="0.3">
      <c r="A464" s="20">
        <v>46.3</v>
      </c>
      <c r="B464" s="20">
        <v>68</v>
      </c>
      <c r="C464" s="26">
        <v>68.290000000000006</v>
      </c>
      <c r="D464" s="20">
        <v>-0.28999999999999998</v>
      </c>
      <c r="E464" s="20">
        <v>-0.01</v>
      </c>
      <c r="F464" s="20">
        <v>1791.4</v>
      </c>
      <c r="Q464" s="20">
        <v>46.3</v>
      </c>
      <c r="R464" s="20">
        <v>68.010000000000005</v>
      </c>
      <c r="S464" s="26">
        <v>68</v>
      </c>
      <c r="T464" s="26">
        <v>-0.01</v>
      </c>
      <c r="U464" s="26">
        <v>0.02</v>
      </c>
      <c r="V464" s="20">
        <v>1541.63</v>
      </c>
    </row>
    <row r="465" spans="1:22" ht="16.8" x14ac:dyDescent="0.3">
      <c r="A465" s="20">
        <v>46.4</v>
      </c>
      <c r="B465" s="20">
        <v>68</v>
      </c>
      <c r="C465" s="20">
        <v>68.239999999999995</v>
      </c>
      <c r="D465" s="20">
        <v>-0.24</v>
      </c>
      <c r="E465" s="20">
        <v>0.04</v>
      </c>
      <c r="F465" s="26">
        <v>1823.97</v>
      </c>
      <c r="Q465" s="20">
        <v>46.4</v>
      </c>
      <c r="R465" s="20">
        <v>68.069999999999993</v>
      </c>
      <c r="S465" s="26">
        <v>68</v>
      </c>
      <c r="T465" s="26">
        <v>-7.0000000000000007E-2</v>
      </c>
      <c r="U465" s="26">
        <v>-0.06</v>
      </c>
      <c r="V465" s="20">
        <v>1477.24</v>
      </c>
    </row>
    <row r="466" spans="1:22" ht="16.8" x14ac:dyDescent="0.3">
      <c r="A466" s="20">
        <v>46.5</v>
      </c>
      <c r="B466" s="20">
        <v>68</v>
      </c>
      <c r="C466" s="26">
        <v>68.22</v>
      </c>
      <c r="D466" s="20">
        <v>-0.22</v>
      </c>
      <c r="E466" s="20">
        <v>0.03</v>
      </c>
      <c r="F466" s="26">
        <v>1845.41</v>
      </c>
      <c r="Q466" s="20">
        <v>46.5</v>
      </c>
      <c r="R466" s="20">
        <v>67.97</v>
      </c>
      <c r="S466" s="26">
        <v>68</v>
      </c>
      <c r="T466" s="26">
        <v>0.03</v>
      </c>
      <c r="U466" s="20">
        <v>0.1</v>
      </c>
      <c r="V466" s="26">
        <v>1609.17</v>
      </c>
    </row>
    <row r="467" spans="1:22" ht="16.8" x14ac:dyDescent="0.3">
      <c r="A467" s="20">
        <v>46.6</v>
      </c>
      <c r="B467" s="20">
        <v>68</v>
      </c>
      <c r="C467" s="20">
        <v>68.25</v>
      </c>
      <c r="D467" s="20">
        <v>-0.25</v>
      </c>
      <c r="E467" s="20">
        <v>-0.03</v>
      </c>
      <c r="F467" s="20">
        <v>1820.95</v>
      </c>
      <c r="Q467" s="20">
        <v>46.6</v>
      </c>
      <c r="R467" s="20">
        <v>68.02</v>
      </c>
      <c r="S467" s="26">
        <v>68</v>
      </c>
      <c r="T467" s="26">
        <v>-0.02</v>
      </c>
      <c r="U467" s="26">
        <v>-0.05</v>
      </c>
      <c r="V467" s="20">
        <v>1491.43</v>
      </c>
    </row>
    <row r="468" spans="1:22" ht="16.8" x14ac:dyDescent="0.3">
      <c r="A468" s="20">
        <v>46.7</v>
      </c>
      <c r="B468" s="20">
        <v>68</v>
      </c>
      <c r="C468" s="26">
        <v>68.239999999999995</v>
      </c>
      <c r="D468" s="20">
        <v>-0.24</v>
      </c>
      <c r="E468" s="20">
        <v>0.01</v>
      </c>
      <c r="F468" s="26">
        <v>1826.99</v>
      </c>
      <c r="Q468" s="20">
        <v>46.7</v>
      </c>
      <c r="R468" s="20">
        <v>68</v>
      </c>
      <c r="S468" s="26">
        <v>68</v>
      </c>
      <c r="T468" s="26">
        <v>0</v>
      </c>
      <c r="U468" s="20">
        <v>0.02</v>
      </c>
      <c r="V468" s="26">
        <v>1542.83</v>
      </c>
    </row>
    <row r="469" spans="1:22" ht="16.8" x14ac:dyDescent="0.3">
      <c r="A469" s="20">
        <v>46.8</v>
      </c>
      <c r="B469" s="20">
        <v>68</v>
      </c>
      <c r="C469" s="26">
        <v>68.23</v>
      </c>
      <c r="D469" s="20">
        <v>-0.23</v>
      </c>
      <c r="E469" s="20">
        <v>0.01</v>
      </c>
      <c r="F469" s="26">
        <v>1833.11</v>
      </c>
      <c r="Q469" s="20">
        <v>46.8</v>
      </c>
      <c r="R469" s="20">
        <v>68.02</v>
      </c>
      <c r="S469" s="20">
        <v>68</v>
      </c>
      <c r="T469" s="26">
        <v>-0.02</v>
      </c>
      <c r="U469" s="26">
        <v>-0.02</v>
      </c>
      <c r="V469" s="20">
        <v>1515.74</v>
      </c>
    </row>
    <row r="470" spans="1:22" ht="16.8" x14ac:dyDescent="0.3">
      <c r="A470" s="20">
        <v>46.9</v>
      </c>
      <c r="B470" s="20">
        <v>68</v>
      </c>
      <c r="C470" s="20">
        <v>68.28</v>
      </c>
      <c r="D470" s="20">
        <v>-0.28000000000000003</v>
      </c>
      <c r="E470" s="20">
        <v>-0.05</v>
      </c>
      <c r="F470" s="20">
        <v>1794.33</v>
      </c>
      <c r="Q470" s="20">
        <v>46.9</v>
      </c>
      <c r="R470" s="20">
        <v>67.97</v>
      </c>
      <c r="S470" s="26">
        <v>68</v>
      </c>
      <c r="T470" s="26">
        <v>0.03</v>
      </c>
      <c r="U470" s="26">
        <v>0.05</v>
      </c>
      <c r="V470" s="26">
        <v>1572.59</v>
      </c>
    </row>
    <row r="471" spans="1:22" ht="16.8" x14ac:dyDescent="0.3">
      <c r="A471" s="20">
        <v>47</v>
      </c>
      <c r="B471" s="20">
        <v>68</v>
      </c>
      <c r="C471" s="26">
        <v>68.239999999999995</v>
      </c>
      <c r="D471" s="20">
        <v>-0.24</v>
      </c>
      <c r="E471" s="20">
        <v>0.04</v>
      </c>
      <c r="F471" s="26">
        <v>1826.99</v>
      </c>
      <c r="Q471" s="20">
        <v>47</v>
      </c>
      <c r="R471" s="20">
        <v>67.989999999999995</v>
      </c>
      <c r="S471" s="26">
        <v>68</v>
      </c>
      <c r="T471" s="26">
        <v>0.01</v>
      </c>
      <c r="U471" s="26">
        <v>-0.02</v>
      </c>
      <c r="V471" s="20">
        <v>1513.76</v>
      </c>
    </row>
    <row r="472" spans="1:22" ht="16.8" x14ac:dyDescent="0.3">
      <c r="A472" s="20">
        <v>47.1</v>
      </c>
      <c r="B472" s="20">
        <v>68</v>
      </c>
      <c r="C472" s="26">
        <v>68.239999999999995</v>
      </c>
      <c r="D472" s="20">
        <v>-0.24</v>
      </c>
      <c r="E472" s="20">
        <v>0</v>
      </c>
      <c r="F472" s="26">
        <v>1830.06</v>
      </c>
      <c r="Q472" s="20">
        <v>47.1</v>
      </c>
      <c r="R472" s="20">
        <v>68.010000000000005</v>
      </c>
      <c r="S472" s="26">
        <v>68</v>
      </c>
      <c r="T472" s="26">
        <v>-0.01</v>
      </c>
      <c r="U472" s="26">
        <v>-0.02</v>
      </c>
      <c r="V472" s="26">
        <v>1517.15</v>
      </c>
    </row>
    <row r="473" spans="1:22" ht="16.8" x14ac:dyDescent="0.3">
      <c r="A473" s="20">
        <v>47.2</v>
      </c>
      <c r="B473" s="20">
        <v>68</v>
      </c>
      <c r="C473" s="20">
        <v>68.239999999999995</v>
      </c>
      <c r="D473" s="20">
        <v>-0.24</v>
      </c>
      <c r="E473" s="20">
        <v>0</v>
      </c>
      <c r="F473" s="20">
        <v>1826.99</v>
      </c>
      <c r="Q473" s="20">
        <v>47.2</v>
      </c>
      <c r="R473" s="20">
        <v>67.97</v>
      </c>
      <c r="S473" s="26">
        <v>68</v>
      </c>
      <c r="T473" s="26">
        <v>0.03</v>
      </c>
      <c r="U473" s="20">
        <v>0.04</v>
      </c>
      <c r="V473" s="20">
        <v>1566.57</v>
      </c>
    </row>
    <row r="474" spans="1:22" ht="16.8" x14ac:dyDescent="0.3">
      <c r="A474" s="20">
        <v>47.3</v>
      </c>
      <c r="B474" s="20">
        <v>68</v>
      </c>
      <c r="C474" s="26">
        <v>68.239999999999995</v>
      </c>
      <c r="D474" s="20">
        <v>-0.24</v>
      </c>
      <c r="E474" s="20">
        <v>0</v>
      </c>
      <c r="F474" s="26">
        <v>1826.99</v>
      </c>
      <c r="Q474" s="20">
        <v>47.3</v>
      </c>
      <c r="R474" s="20">
        <v>68.040000000000006</v>
      </c>
      <c r="S474" s="26">
        <v>68</v>
      </c>
      <c r="T474" s="26">
        <v>-0.04</v>
      </c>
      <c r="U474" s="26">
        <v>-7.0000000000000007E-2</v>
      </c>
      <c r="V474" s="26">
        <v>1469.1</v>
      </c>
    </row>
    <row r="475" spans="1:22" ht="16.8" x14ac:dyDescent="0.3">
      <c r="A475" s="20">
        <v>47.4</v>
      </c>
      <c r="B475" s="20">
        <v>68</v>
      </c>
      <c r="C475" s="20">
        <v>68.3</v>
      </c>
      <c r="D475" s="20">
        <v>-0.3</v>
      </c>
      <c r="E475" s="20">
        <v>-0.06</v>
      </c>
      <c r="F475" s="20">
        <v>1785.59</v>
      </c>
      <c r="Q475" s="20">
        <v>47.4</v>
      </c>
      <c r="R475" s="20">
        <v>67.989999999999995</v>
      </c>
      <c r="S475" s="26">
        <v>68</v>
      </c>
      <c r="T475" s="26">
        <v>0.01</v>
      </c>
      <c r="U475" s="26">
        <v>0.05</v>
      </c>
      <c r="V475" s="20">
        <v>1568.55</v>
      </c>
    </row>
    <row r="476" spans="1:22" ht="16.8" x14ac:dyDescent="0.3">
      <c r="A476" s="20">
        <v>47.5</v>
      </c>
      <c r="B476" s="20">
        <v>68</v>
      </c>
      <c r="C476" s="26">
        <v>68.23</v>
      </c>
      <c r="D476" s="20">
        <v>-0.23</v>
      </c>
      <c r="E476" s="20">
        <v>0.06</v>
      </c>
      <c r="F476" s="26">
        <v>1833.11</v>
      </c>
      <c r="Q476" s="20">
        <v>47.5</v>
      </c>
      <c r="R476" s="20">
        <v>68.069999999999993</v>
      </c>
      <c r="S476" s="26">
        <v>68</v>
      </c>
      <c r="T476" s="26">
        <v>-7.0000000000000007E-2</v>
      </c>
      <c r="U476" s="26">
        <v>-7.0000000000000007E-2</v>
      </c>
      <c r="V476" s="20">
        <v>1464.93</v>
      </c>
    </row>
    <row r="477" spans="1:22" ht="16.8" x14ac:dyDescent="0.3">
      <c r="A477" s="20">
        <v>47.6</v>
      </c>
      <c r="B477" s="20">
        <v>68</v>
      </c>
      <c r="C477" s="26">
        <v>68.28</v>
      </c>
      <c r="D477" s="20">
        <v>-0.28000000000000003</v>
      </c>
      <c r="E477" s="20">
        <v>-0.05</v>
      </c>
      <c r="F477" s="26">
        <v>1794.33</v>
      </c>
      <c r="Q477" s="20">
        <v>47.6</v>
      </c>
      <c r="R477" s="20">
        <v>67.959999999999994</v>
      </c>
      <c r="S477" s="26">
        <v>68</v>
      </c>
      <c r="T477" s="26">
        <v>0.04</v>
      </c>
      <c r="U477" s="26">
        <v>0.1</v>
      </c>
      <c r="V477" s="26">
        <v>1616.49</v>
      </c>
    </row>
    <row r="478" spans="1:22" ht="16.8" x14ac:dyDescent="0.3">
      <c r="A478" s="20">
        <v>47.7</v>
      </c>
      <c r="B478" s="20">
        <v>68</v>
      </c>
      <c r="C478" s="20">
        <v>68.27</v>
      </c>
      <c r="D478" s="20">
        <v>-0.27</v>
      </c>
      <c r="E478" s="20">
        <v>0.02</v>
      </c>
      <c r="F478" s="20">
        <v>1806.09</v>
      </c>
      <c r="Q478" s="20">
        <v>47.7</v>
      </c>
      <c r="R478" s="20">
        <v>67.98</v>
      </c>
      <c r="S478" s="20">
        <v>68</v>
      </c>
      <c r="T478" s="26">
        <v>0.02</v>
      </c>
      <c r="U478" s="26">
        <v>-0.02</v>
      </c>
      <c r="V478" s="20">
        <v>1522.48</v>
      </c>
    </row>
    <row r="479" spans="1:22" ht="16.8" x14ac:dyDescent="0.3">
      <c r="A479" s="20">
        <v>47.8</v>
      </c>
      <c r="B479" s="20">
        <v>68</v>
      </c>
      <c r="C479" s="26">
        <v>68.209999999999994</v>
      </c>
      <c r="D479" s="20">
        <v>-0.21</v>
      </c>
      <c r="E479" s="20">
        <v>0.06</v>
      </c>
      <c r="F479" s="26">
        <v>1851.65</v>
      </c>
      <c r="Q479" s="20">
        <v>47.8</v>
      </c>
      <c r="R479" s="20">
        <v>68.010000000000005</v>
      </c>
      <c r="S479" s="26">
        <v>68</v>
      </c>
      <c r="T479" s="26">
        <v>-0.01</v>
      </c>
      <c r="U479" s="26">
        <v>-0.03</v>
      </c>
      <c r="V479" s="26">
        <v>1504.91</v>
      </c>
    </row>
    <row r="480" spans="1:22" ht="16.8" x14ac:dyDescent="0.3">
      <c r="A480" s="20">
        <v>47.9</v>
      </c>
      <c r="B480" s="20">
        <v>68</v>
      </c>
      <c r="C480" s="26">
        <v>68.27</v>
      </c>
      <c r="D480" s="20">
        <v>-0.27</v>
      </c>
      <c r="E480" s="20">
        <v>-0.06</v>
      </c>
      <c r="F480" s="26">
        <v>1806.09</v>
      </c>
      <c r="Q480" s="20">
        <v>47.9</v>
      </c>
      <c r="R480" s="20">
        <v>68.010000000000005</v>
      </c>
      <c r="S480" s="26">
        <v>68</v>
      </c>
      <c r="T480" s="26">
        <v>-0.01</v>
      </c>
      <c r="U480" s="26">
        <v>0</v>
      </c>
      <c r="V480" s="20">
        <v>1529.25</v>
      </c>
    </row>
    <row r="481" spans="1:22" ht="16.8" x14ac:dyDescent="0.3">
      <c r="A481" s="20">
        <v>48</v>
      </c>
      <c r="B481" s="20">
        <v>68</v>
      </c>
      <c r="C481" s="20">
        <v>68.22</v>
      </c>
      <c r="D481" s="20">
        <v>-0.22</v>
      </c>
      <c r="E481" s="20">
        <v>0.05</v>
      </c>
      <c r="F481" s="20">
        <v>1845.41</v>
      </c>
      <c r="Q481" s="20">
        <v>48</v>
      </c>
      <c r="R481" s="20">
        <v>67.989999999999995</v>
      </c>
      <c r="S481" s="26">
        <v>68</v>
      </c>
      <c r="T481" s="26">
        <v>0.01</v>
      </c>
      <c r="U481" s="26">
        <v>0.02</v>
      </c>
      <c r="V481" s="26">
        <v>1544.13</v>
      </c>
    </row>
    <row r="482" spans="1:22" ht="16.8" x14ac:dyDescent="0.3">
      <c r="A482" s="20">
        <v>48.1</v>
      </c>
      <c r="B482" s="20">
        <v>68</v>
      </c>
      <c r="C482" s="26">
        <v>68.28</v>
      </c>
      <c r="D482" s="20">
        <v>-0.28000000000000003</v>
      </c>
      <c r="E482" s="20">
        <v>-0.06</v>
      </c>
      <c r="F482" s="26">
        <v>1800.22</v>
      </c>
      <c r="Q482" s="20">
        <v>48.1</v>
      </c>
      <c r="R482" s="20">
        <v>67.989999999999995</v>
      </c>
      <c r="S482" s="26">
        <v>68</v>
      </c>
      <c r="T482" s="26">
        <v>0.01</v>
      </c>
      <c r="U482" s="26">
        <v>0</v>
      </c>
      <c r="V482" s="20">
        <v>1531.96</v>
      </c>
    </row>
    <row r="483" spans="1:22" ht="16.8" x14ac:dyDescent="0.3">
      <c r="A483" s="20">
        <v>48.2</v>
      </c>
      <c r="B483" s="20">
        <v>68</v>
      </c>
      <c r="C483" s="20">
        <v>68.260000000000005</v>
      </c>
      <c r="D483" s="20">
        <v>-0.26</v>
      </c>
      <c r="E483" s="20">
        <v>0.01</v>
      </c>
      <c r="F483" s="20">
        <v>1809.01</v>
      </c>
      <c r="Q483" s="20">
        <v>48.2</v>
      </c>
      <c r="R483" s="20">
        <v>68.010000000000005</v>
      </c>
      <c r="S483" s="26">
        <v>68</v>
      </c>
      <c r="T483" s="26">
        <v>-0.01</v>
      </c>
      <c r="U483" s="26">
        <v>-0.02</v>
      </c>
      <c r="V483" s="26">
        <v>1517.07</v>
      </c>
    </row>
    <row r="484" spans="1:22" ht="16.8" x14ac:dyDescent="0.3">
      <c r="A484" s="20">
        <v>48.3</v>
      </c>
      <c r="B484" s="20">
        <v>68</v>
      </c>
      <c r="C484" s="26">
        <v>68.290000000000006</v>
      </c>
      <c r="D484" s="20">
        <v>-0.28999999999999998</v>
      </c>
      <c r="E484" s="20">
        <v>-0.02</v>
      </c>
      <c r="F484" s="26">
        <v>1791.4</v>
      </c>
      <c r="Q484" s="20">
        <v>48.3</v>
      </c>
      <c r="R484" s="20">
        <v>68.03</v>
      </c>
      <c r="S484" s="26">
        <v>68</v>
      </c>
      <c r="T484" s="26">
        <v>-0.03</v>
      </c>
      <c r="U484" s="26">
        <v>-0.02</v>
      </c>
      <c r="V484" s="20">
        <v>1506.87</v>
      </c>
    </row>
    <row r="485" spans="1:22" ht="16.8" x14ac:dyDescent="0.3">
      <c r="A485" s="20">
        <v>48.4</v>
      </c>
      <c r="B485" s="20">
        <v>68</v>
      </c>
      <c r="C485" s="20">
        <v>68.260000000000005</v>
      </c>
      <c r="D485" s="20">
        <v>-0.26</v>
      </c>
      <c r="E485" s="20">
        <v>0.03</v>
      </c>
      <c r="F485" s="26">
        <v>1814.96</v>
      </c>
      <c r="Q485" s="20">
        <v>48.4</v>
      </c>
      <c r="R485" s="20">
        <v>68.010000000000005</v>
      </c>
      <c r="S485" s="20">
        <v>68</v>
      </c>
      <c r="T485" s="26">
        <v>-0.01</v>
      </c>
      <c r="U485" s="26">
        <v>0.02</v>
      </c>
      <c r="V485" s="20">
        <v>1547.42</v>
      </c>
    </row>
    <row r="486" spans="1:22" ht="16.8" x14ac:dyDescent="0.3">
      <c r="A486" s="20">
        <v>48.5</v>
      </c>
      <c r="B486" s="20">
        <v>68</v>
      </c>
      <c r="C486" s="26">
        <v>68.209999999999994</v>
      </c>
      <c r="D486" s="20">
        <v>-0.21</v>
      </c>
      <c r="E486" s="20">
        <v>0.05</v>
      </c>
      <c r="F486" s="20">
        <v>1851.65</v>
      </c>
      <c r="Q486" s="20">
        <v>48.5</v>
      </c>
      <c r="R486" s="20">
        <v>67.98</v>
      </c>
      <c r="S486" s="26">
        <v>68</v>
      </c>
      <c r="T486" s="20">
        <v>0.02</v>
      </c>
      <c r="U486" s="26">
        <v>0.03</v>
      </c>
      <c r="V486" s="26">
        <v>1558.93</v>
      </c>
    </row>
    <row r="487" spans="1:22" ht="16.8" x14ac:dyDescent="0.3">
      <c r="A487" s="20">
        <v>48.6</v>
      </c>
      <c r="B487" s="20">
        <v>68</v>
      </c>
      <c r="C487" s="26">
        <v>68.22</v>
      </c>
      <c r="D487" s="20">
        <v>-0.22</v>
      </c>
      <c r="E487" s="20">
        <v>-0.01</v>
      </c>
      <c r="F487" s="26">
        <v>1845.41</v>
      </c>
      <c r="Q487" s="20">
        <v>48.6</v>
      </c>
      <c r="R487" s="20">
        <v>68.02</v>
      </c>
      <c r="S487" s="20">
        <v>68</v>
      </c>
      <c r="T487" s="26">
        <v>-0.02</v>
      </c>
      <c r="U487" s="26">
        <v>-0.04</v>
      </c>
      <c r="V487" s="20">
        <v>1497.36</v>
      </c>
    </row>
    <row r="488" spans="1:22" ht="16.8" x14ac:dyDescent="0.3">
      <c r="A488" s="20">
        <v>48.7</v>
      </c>
      <c r="B488" s="20">
        <v>68</v>
      </c>
      <c r="C488" s="20">
        <v>68.2</v>
      </c>
      <c r="D488" s="20">
        <v>-0.2</v>
      </c>
      <c r="E488" s="20">
        <v>0.02</v>
      </c>
      <c r="F488" s="26">
        <v>1861.25</v>
      </c>
      <c r="Q488" s="20">
        <v>48.7</v>
      </c>
      <c r="R488" s="20">
        <v>68.03</v>
      </c>
      <c r="S488" s="26">
        <v>68</v>
      </c>
      <c r="T488" s="26">
        <v>-0.03</v>
      </c>
      <c r="U488" s="20">
        <v>-0.02</v>
      </c>
      <c r="V488" s="26">
        <v>1512.86</v>
      </c>
    </row>
    <row r="489" spans="1:22" ht="16.8" x14ac:dyDescent="0.3">
      <c r="A489" s="20">
        <v>48.8</v>
      </c>
      <c r="B489" s="20">
        <v>68</v>
      </c>
      <c r="C489" s="26">
        <v>68.27</v>
      </c>
      <c r="D489" s="20">
        <v>-0.27</v>
      </c>
      <c r="E489" s="20">
        <v>-0.08</v>
      </c>
      <c r="F489" s="20">
        <v>1803.14</v>
      </c>
      <c r="Q489" s="20">
        <v>48.8</v>
      </c>
      <c r="R489" s="20">
        <v>67.97</v>
      </c>
      <c r="S489" s="20">
        <v>68</v>
      </c>
      <c r="T489" s="26">
        <v>0.03</v>
      </c>
      <c r="U489" s="26">
        <v>0.06</v>
      </c>
      <c r="V489" s="20">
        <v>1584.58</v>
      </c>
    </row>
    <row r="490" spans="1:22" ht="16.8" x14ac:dyDescent="0.3">
      <c r="A490" s="20">
        <v>48.9</v>
      </c>
      <c r="B490" s="20">
        <v>68</v>
      </c>
      <c r="C490" s="20">
        <v>68.260000000000005</v>
      </c>
      <c r="D490" s="20">
        <v>-0.26</v>
      </c>
      <c r="E490" s="20">
        <v>0.01</v>
      </c>
      <c r="F490" s="26">
        <v>1809.01</v>
      </c>
      <c r="Q490" s="20">
        <v>48.9</v>
      </c>
      <c r="R490" s="20">
        <v>68.02</v>
      </c>
      <c r="S490" s="26">
        <v>68</v>
      </c>
      <c r="T490" s="26">
        <v>-0.02</v>
      </c>
      <c r="U490" s="20">
        <v>-0.05</v>
      </c>
      <c r="V490" s="26">
        <v>1491.21</v>
      </c>
    </row>
    <row r="491" spans="1:22" ht="16.8" x14ac:dyDescent="0.3">
      <c r="A491" s="20">
        <v>49</v>
      </c>
      <c r="B491" s="20">
        <v>68</v>
      </c>
      <c r="C491" s="26">
        <v>68.22</v>
      </c>
      <c r="D491" s="20">
        <v>-0.22</v>
      </c>
      <c r="E491" s="20">
        <v>0.04</v>
      </c>
      <c r="F491" s="20">
        <v>1842.33</v>
      </c>
      <c r="Q491" s="20">
        <v>49</v>
      </c>
      <c r="R491" s="20">
        <v>67.94</v>
      </c>
      <c r="S491" s="20">
        <v>68</v>
      </c>
      <c r="T491" s="26">
        <v>0.06</v>
      </c>
      <c r="U491" s="26">
        <v>0.08</v>
      </c>
      <c r="V491" s="20">
        <v>1602.25</v>
      </c>
    </row>
    <row r="492" spans="1:22" ht="16.8" x14ac:dyDescent="0.3">
      <c r="A492" s="20">
        <v>49.1</v>
      </c>
      <c r="B492" s="20">
        <v>68</v>
      </c>
      <c r="C492" s="26">
        <v>68.260000000000005</v>
      </c>
      <c r="D492" s="20">
        <v>-0.26</v>
      </c>
      <c r="E492" s="20">
        <v>-0.04</v>
      </c>
      <c r="F492" s="26">
        <v>1811.99</v>
      </c>
      <c r="Q492" s="20">
        <v>49.1</v>
      </c>
      <c r="R492" s="20">
        <v>68.040000000000006</v>
      </c>
      <c r="S492" s="26">
        <v>68</v>
      </c>
      <c r="T492" s="26">
        <v>-0.04</v>
      </c>
      <c r="U492" s="26">
        <v>-0.1</v>
      </c>
      <c r="V492" s="26">
        <v>1444.57</v>
      </c>
    </row>
    <row r="493" spans="1:22" ht="16.8" x14ac:dyDescent="0.3">
      <c r="A493" s="20">
        <v>49.2</v>
      </c>
      <c r="B493" s="20">
        <v>68</v>
      </c>
      <c r="C493" s="20">
        <v>68.239999999999995</v>
      </c>
      <c r="D493" s="20">
        <v>-0.24</v>
      </c>
      <c r="E493" s="20">
        <v>0.02</v>
      </c>
      <c r="F493" s="26">
        <v>1830.06</v>
      </c>
      <c r="Q493" s="20">
        <v>49.2</v>
      </c>
      <c r="R493" s="20">
        <v>68.010000000000005</v>
      </c>
      <c r="S493" s="26">
        <v>68</v>
      </c>
      <c r="T493" s="26">
        <v>-0.01</v>
      </c>
      <c r="U493" s="26">
        <v>0.03</v>
      </c>
      <c r="V493" s="20">
        <v>1553.5</v>
      </c>
    </row>
    <row r="494" spans="1:22" ht="16.8" x14ac:dyDescent="0.3">
      <c r="A494" s="20">
        <v>49.3</v>
      </c>
      <c r="B494" s="20">
        <v>68</v>
      </c>
      <c r="C494" s="26">
        <v>68.27</v>
      </c>
      <c r="D494" s="20">
        <v>-0.27</v>
      </c>
      <c r="E494" s="20">
        <v>-0.04</v>
      </c>
      <c r="F494" s="20">
        <v>1803.14</v>
      </c>
      <c r="Q494" s="20">
        <v>49.3</v>
      </c>
      <c r="R494" s="20">
        <v>68.040000000000006</v>
      </c>
      <c r="S494" s="26">
        <v>68</v>
      </c>
      <c r="T494" s="26">
        <v>-0.04</v>
      </c>
      <c r="U494" s="26">
        <v>-0.03</v>
      </c>
      <c r="V494" s="26">
        <v>1499.27</v>
      </c>
    </row>
    <row r="495" spans="1:22" ht="16.8" x14ac:dyDescent="0.3">
      <c r="A495" s="20">
        <v>49.4</v>
      </c>
      <c r="B495" s="20">
        <v>68</v>
      </c>
      <c r="C495" s="20">
        <v>68.239999999999995</v>
      </c>
      <c r="D495" s="20">
        <v>-0.24</v>
      </c>
      <c r="E495" s="20">
        <v>0.04</v>
      </c>
      <c r="F495" s="26">
        <v>1830.06</v>
      </c>
      <c r="Q495" s="20">
        <v>49.4</v>
      </c>
      <c r="R495" s="20">
        <v>67.989999999999995</v>
      </c>
      <c r="S495" s="26">
        <v>68</v>
      </c>
      <c r="T495" s="26">
        <v>0.01</v>
      </c>
      <c r="U495" s="26">
        <v>0.06</v>
      </c>
      <c r="V495" s="20">
        <v>1575.73</v>
      </c>
    </row>
    <row r="496" spans="1:22" ht="16.8" x14ac:dyDescent="0.3">
      <c r="A496" s="20">
        <v>49.5</v>
      </c>
      <c r="B496" s="20">
        <v>68</v>
      </c>
      <c r="C496" s="26">
        <v>68.22</v>
      </c>
      <c r="D496" s="20">
        <v>-0.22</v>
      </c>
      <c r="E496" s="20">
        <v>0.01</v>
      </c>
      <c r="F496" s="26">
        <v>1839.24</v>
      </c>
      <c r="Q496" s="20">
        <v>49.5</v>
      </c>
      <c r="R496" s="20">
        <v>67.95</v>
      </c>
      <c r="S496" s="26">
        <v>68</v>
      </c>
      <c r="T496" s="26">
        <v>0.05</v>
      </c>
      <c r="U496" s="26">
        <v>0.03</v>
      </c>
      <c r="V496" s="26">
        <v>1562.94</v>
      </c>
    </row>
    <row r="497" spans="1:22" ht="16.8" x14ac:dyDescent="0.3">
      <c r="A497" s="20">
        <v>49.6</v>
      </c>
      <c r="B497" s="20">
        <v>68</v>
      </c>
      <c r="C497" s="26">
        <v>68.23</v>
      </c>
      <c r="D497" s="20">
        <v>-0.23</v>
      </c>
      <c r="E497" s="20">
        <v>-0.01</v>
      </c>
      <c r="F497" s="20">
        <v>1833.11</v>
      </c>
      <c r="Q497" s="20">
        <v>49.6</v>
      </c>
      <c r="R497" s="20">
        <v>67.989999999999995</v>
      </c>
      <c r="S497" s="26">
        <v>68</v>
      </c>
      <c r="T497" s="26">
        <v>0.01</v>
      </c>
      <c r="U497" s="26">
        <v>-0.04</v>
      </c>
      <c r="V497" s="20">
        <v>1501.4</v>
      </c>
    </row>
    <row r="498" spans="1:22" ht="16.8" x14ac:dyDescent="0.3">
      <c r="A498" s="20">
        <v>49.7</v>
      </c>
      <c r="B498" s="20">
        <v>68</v>
      </c>
      <c r="C498" s="20">
        <v>68.2</v>
      </c>
      <c r="D498" s="20">
        <v>-0.2</v>
      </c>
      <c r="E498" s="20">
        <v>0.03</v>
      </c>
      <c r="F498" s="26">
        <v>1854.8</v>
      </c>
      <c r="Q498" s="20">
        <v>49.7</v>
      </c>
      <c r="R498" s="20">
        <v>68.05</v>
      </c>
      <c r="S498" s="26">
        <v>68</v>
      </c>
      <c r="T498" s="26">
        <v>-0.05</v>
      </c>
      <c r="U498" s="26">
        <v>-0.06</v>
      </c>
      <c r="V498" s="26">
        <v>1479.69</v>
      </c>
    </row>
    <row r="499" spans="1:22" ht="16.8" x14ac:dyDescent="0.3">
      <c r="A499" s="20">
        <v>49.8</v>
      </c>
      <c r="B499" s="20">
        <v>68</v>
      </c>
      <c r="C499" s="26">
        <v>68.260000000000005</v>
      </c>
      <c r="D499" s="20">
        <v>-0.26</v>
      </c>
      <c r="E499" s="20">
        <v>-0.05</v>
      </c>
      <c r="F499" s="26">
        <v>1814.96</v>
      </c>
      <c r="Q499" s="20">
        <v>49.8</v>
      </c>
      <c r="R499" s="20">
        <v>67.97</v>
      </c>
      <c r="S499" s="26">
        <v>68</v>
      </c>
      <c r="T499" s="26">
        <v>0.03</v>
      </c>
      <c r="U499" s="20">
        <v>0.08</v>
      </c>
      <c r="V499" s="20">
        <v>1596.76</v>
      </c>
    </row>
    <row r="500" spans="1:22" ht="16.8" x14ac:dyDescent="0.3">
      <c r="A500" s="20">
        <v>49.9</v>
      </c>
      <c r="B500" s="20">
        <v>68</v>
      </c>
      <c r="C500" s="26">
        <v>68.209999999999994</v>
      </c>
      <c r="D500" s="20">
        <v>-0.21</v>
      </c>
      <c r="E500" s="20">
        <v>0.05</v>
      </c>
      <c r="F500" s="20">
        <v>1851.65</v>
      </c>
      <c r="Q500" s="20">
        <v>49.9</v>
      </c>
      <c r="R500" s="20">
        <v>68.02</v>
      </c>
      <c r="S500" s="26">
        <v>68</v>
      </c>
      <c r="T500" s="26">
        <v>-0.02</v>
      </c>
      <c r="U500" s="26">
        <v>-0.05</v>
      </c>
      <c r="V500" s="26">
        <v>1491.2</v>
      </c>
    </row>
    <row r="501" spans="1:22" ht="16.8" x14ac:dyDescent="0.3">
      <c r="A501" s="20">
        <v>50</v>
      </c>
      <c r="B501" s="20">
        <v>68</v>
      </c>
      <c r="C501" s="20">
        <v>68.23</v>
      </c>
      <c r="D501" s="20">
        <v>-0.23</v>
      </c>
      <c r="E501" s="20">
        <v>-0.02</v>
      </c>
      <c r="F501" s="26">
        <v>1836.19</v>
      </c>
      <c r="Q501" s="20">
        <v>50</v>
      </c>
      <c r="R501" s="20">
        <v>67.95</v>
      </c>
      <c r="S501" s="26">
        <v>68</v>
      </c>
      <c r="T501" s="26">
        <v>0.05</v>
      </c>
      <c r="U501" s="26">
        <v>0.06</v>
      </c>
      <c r="V501" s="20">
        <v>1587.33</v>
      </c>
    </row>
    <row r="502" spans="1:22" ht="16.8" x14ac:dyDescent="0.3">
      <c r="A502" s="20">
        <v>50.1</v>
      </c>
      <c r="B502" s="20">
        <v>68</v>
      </c>
      <c r="C502" s="26">
        <v>68.23</v>
      </c>
      <c r="D502" s="20">
        <v>-0.23</v>
      </c>
      <c r="E502" s="20">
        <v>0</v>
      </c>
      <c r="F502" s="26">
        <v>1833.11</v>
      </c>
      <c r="Q502" s="20">
        <v>50.1</v>
      </c>
      <c r="R502" s="20">
        <v>67.95</v>
      </c>
      <c r="S502" s="26">
        <v>68</v>
      </c>
      <c r="T502" s="26">
        <v>0.05</v>
      </c>
      <c r="U502" s="26">
        <v>0.01</v>
      </c>
      <c r="V502" s="26">
        <v>1546.16</v>
      </c>
    </row>
    <row r="503" spans="1:22" ht="16.8" x14ac:dyDescent="0.3">
      <c r="A503" s="20">
        <v>50.2</v>
      </c>
      <c r="B503" s="20">
        <v>68</v>
      </c>
      <c r="C503" s="20">
        <v>68.239999999999995</v>
      </c>
      <c r="D503" s="20">
        <v>-0.24</v>
      </c>
      <c r="E503" s="20">
        <v>-0.01</v>
      </c>
      <c r="F503" s="20">
        <v>1823.97</v>
      </c>
      <c r="Q503" s="20">
        <v>50.2</v>
      </c>
      <c r="R503" s="20">
        <v>67.94</v>
      </c>
      <c r="S503" s="26">
        <v>68</v>
      </c>
      <c r="T503" s="26">
        <v>0.06</v>
      </c>
      <c r="U503" s="26">
        <v>0.01</v>
      </c>
      <c r="V503" s="20">
        <v>1547.65</v>
      </c>
    </row>
    <row r="504" spans="1:22" ht="16.8" x14ac:dyDescent="0.3">
      <c r="A504" s="20">
        <v>50.3</v>
      </c>
      <c r="B504" s="20">
        <v>68</v>
      </c>
      <c r="C504" s="26">
        <v>68.23</v>
      </c>
      <c r="D504" s="20">
        <v>-0.23</v>
      </c>
      <c r="E504" s="20">
        <v>0.02</v>
      </c>
      <c r="F504" s="26">
        <v>1836.19</v>
      </c>
      <c r="Q504" s="20">
        <v>50.3</v>
      </c>
      <c r="R504" s="20">
        <v>67.989999999999995</v>
      </c>
      <c r="S504" s="26">
        <v>68</v>
      </c>
      <c r="T504" s="26">
        <v>0.01</v>
      </c>
      <c r="U504" s="26">
        <v>-0.06</v>
      </c>
      <c r="V504" s="26">
        <v>1489.53</v>
      </c>
    </row>
    <row r="505" spans="1:22" ht="16.8" x14ac:dyDescent="0.3">
      <c r="A505" s="20">
        <v>50.4</v>
      </c>
      <c r="B505" s="20">
        <v>68</v>
      </c>
      <c r="C505" s="20">
        <v>68.19</v>
      </c>
      <c r="D505" s="20">
        <v>-0.19</v>
      </c>
      <c r="E505" s="20">
        <v>0.04</v>
      </c>
      <c r="F505" s="20">
        <v>1867.89</v>
      </c>
      <c r="Q505" s="20">
        <v>50.4</v>
      </c>
      <c r="R505" s="20">
        <v>67.989999999999995</v>
      </c>
      <c r="S505" s="20">
        <v>68</v>
      </c>
      <c r="T505" s="26">
        <v>0.01</v>
      </c>
      <c r="U505" s="26">
        <v>0.01</v>
      </c>
      <c r="V505" s="20">
        <v>1539.64</v>
      </c>
    </row>
    <row r="506" spans="1:22" ht="16.8" x14ac:dyDescent="0.3">
      <c r="A506" s="20">
        <v>50.5</v>
      </c>
      <c r="B506" s="20">
        <v>68</v>
      </c>
      <c r="C506" s="26">
        <v>68.180000000000007</v>
      </c>
      <c r="D506" s="20">
        <v>-0.18</v>
      </c>
      <c r="E506" s="20">
        <v>0</v>
      </c>
      <c r="F506" s="26">
        <v>1871.24</v>
      </c>
      <c r="Q506" s="20">
        <v>50.5</v>
      </c>
      <c r="R506" s="20">
        <v>68</v>
      </c>
      <c r="S506" s="26">
        <v>68</v>
      </c>
      <c r="T506" s="26">
        <v>0</v>
      </c>
      <c r="U506" s="26">
        <v>-0.02</v>
      </c>
      <c r="V506" s="26">
        <v>1518.68</v>
      </c>
    </row>
    <row r="507" spans="1:22" ht="16.8" x14ac:dyDescent="0.3">
      <c r="A507" s="20">
        <v>50.6</v>
      </c>
      <c r="B507" s="20">
        <v>68</v>
      </c>
      <c r="C507" s="26">
        <v>68.209999999999994</v>
      </c>
      <c r="D507" s="20">
        <v>-0.21</v>
      </c>
      <c r="E507" s="20">
        <v>-0.02</v>
      </c>
      <c r="F507" s="26">
        <v>1851.65</v>
      </c>
      <c r="Q507" s="20">
        <v>50.6</v>
      </c>
      <c r="R507" s="20">
        <v>67.95</v>
      </c>
      <c r="S507" s="20">
        <v>68</v>
      </c>
      <c r="T507" s="26">
        <v>0.05</v>
      </c>
      <c r="U507" s="26">
        <v>0.05</v>
      </c>
      <c r="V507" s="20">
        <v>1575.58</v>
      </c>
    </row>
    <row r="508" spans="1:22" ht="16.8" x14ac:dyDescent="0.3">
      <c r="A508" s="20">
        <v>50.7</v>
      </c>
      <c r="B508" s="20">
        <v>68</v>
      </c>
      <c r="C508" s="20">
        <v>68.239999999999995</v>
      </c>
      <c r="D508" s="20">
        <v>-0.24</v>
      </c>
      <c r="E508" s="20">
        <v>-0.03</v>
      </c>
      <c r="F508" s="20">
        <v>1830.06</v>
      </c>
      <c r="Q508" s="20">
        <v>50.7</v>
      </c>
      <c r="R508" s="20">
        <v>68.010000000000005</v>
      </c>
      <c r="S508" s="26">
        <v>68</v>
      </c>
      <c r="T508" s="26">
        <v>-0.01</v>
      </c>
      <c r="U508" s="26">
        <v>-0.06</v>
      </c>
      <c r="V508" s="26">
        <v>1486.95</v>
      </c>
    </row>
    <row r="509" spans="1:22" ht="16.8" x14ac:dyDescent="0.3">
      <c r="A509" s="20">
        <v>50.8</v>
      </c>
      <c r="B509" s="20">
        <v>68</v>
      </c>
      <c r="C509" s="26">
        <v>68.25</v>
      </c>
      <c r="D509" s="20">
        <v>-0.25</v>
      </c>
      <c r="E509" s="20">
        <v>-0.01</v>
      </c>
      <c r="F509" s="26">
        <v>1820.95</v>
      </c>
      <c r="Q509" s="20">
        <v>50.8</v>
      </c>
      <c r="R509" s="20">
        <v>68.02</v>
      </c>
      <c r="S509" s="20">
        <v>68</v>
      </c>
      <c r="T509" s="26">
        <v>-0.02</v>
      </c>
      <c r="U509" s="26">
        <v>-0.01</v>
      </c>
      <c r="V509" s="20">
        <v>1522.13</v>
      </c>
    </row>
    <row r="510" spans="1:22" ht="16.8" x14ac:dyDescent="0.3">
      <c r="A510" s="20">
        <v>50.9</v>
      </c>
      <c r="B510" s="20">
        <v>68</v>
      </c>
      <c r="C510" s="26">
        <v>68.2</v>
      </c>
      <c r="D510" s="20">
        <v>-0.2</v>
      </c>
      <c r="E510" s="20">
        <v>0.05</v>
      </c>
      <c r="F510" s="20">
        <v>1857.96</v>
      </c>
      <c r="Q510" s="20">
        <v>50.9</v>
      </c>
      <c r="R510" s="20">
        <v>68.03</v>
      </c>
      <c r="S510" s="26">
        <v>68</v>
      </c>
      <c r="T510" s="26">
        <v>-0.03</v>
      </c>
      <c r="U510" s="26">
        <v>-0.02</v>
      </c>
      <c r="V510" s="20">
        <v>1513.27</v>
      </c>
    </row>
    <row r="511" spans="1:22" ht="16.8" x14ac:dyDescent="0.3">
      <c r="A511" s="20">
        <v>51</v>
      </c>
      <c r="B511" s="20">
        <v>68</v>
      </c>
      <c r="C511" s="20">
        <v>68.239999999999995</v>
      </c>
      <c r="D511" s="20">
        <v>-0.24</v>
      </c>
      <c r="E511" s="20">
        <v>-0.04</v>
      </c>
      <c r="F511" s="26">
        <v>1830.06</v>
      </c>
      <c r="Q511" s="20">
        <v>51</v>
      </c>
      <c r="R511" s="20">
        <v>67.989999999999995</v>
      </c>
      <c r="S511" s="26">
        <v>68</v>
      </c>
      <c r="T511" s="26">
        <v>0.01</v>
      </c>
      <c r="U511" s="26">
        <v>0.04</v>
      </c>
      <c r="V511" s="26">
        <v>1562.63</v>
      </c>
    </row>
    <row r="512" spans="1:22" ht="16.8" x14ac:dyDescent="0.3">
      <c r="A512" s="20">
        <v>51.1</v>
      </c>
      <c r="B512" s="20">
        <v>68</v>
      </c>
      <c r="C512" s="26">
        <v>68.239999999999995</v>
      </c>
      <c r="D512" s="20">
        <v>-0.24</v>
      </c>
      <c r="E512" s="20">
        <v>0</v>
      </c>
      <c r="F512" s="26">
        <v>1826.99</v>
      </c>
      <c r="Q512" s="20">
        <v>51.1</v>
      </c>
      <c r="R512" s="20">
        <v>68.040000000000006</v>
      </c>
      <c r="S512" s="26">
        <v>68</v>
      </c>
      <c r="T512" s="26">
        <v>-0.04</v>
      </c>
      <c r="U512" s="26">
        <v>-0.05</v>
      </c>
      <c r="V512" s="20">
        <v>1487.46</v>
      </c>
    </row>
    <row r="513" spans="1:22" ht="16.8" x14ac:dyDescent="0.3">
      <c r="A513" s="20">
        <v>51.2</v>
      </c>
      <c r="B513" s="20">
        <v>68</v>
      </c>
      <c r="C513" s="20">
        <v>68.260000000000005</v>
      </c>
      <c r="D513" s="20">
        <v>-0.26</v>
      </c>
      <c r="E513" s="20">
        <v>-0.02</v>
      </c>
      <c r="F513" s="20">
        <v>1809.01</v>
      </c>
      <c r="Q513" s="20">
        <v>51.2</v>
      </c>
      <c r="R513" s="20">
        <v>67.989999999999995</v>
      </c>
      <c r="S513" s="26">
        <v>68</v>
      </c>
      <c r="T513" s="26">
        <v>0.01</v>
      </c>
      <c r="U513" s="26">
        <v>0.06</v>
      </c>
      <c r="V513" s="26">
        <v>1576.09</v>
      </c>
    </row>
    <row r="514" spans="1:22" ht="16.8" x14ac:dyDescent="0.3">
      <c r="A514" s="20">
        <v>51.3</v>
      </c>
      <c r="B514" s="20">
        <v>68</v>
      </c>
      <c r="C514" s="26">
        <v>68.290000000000006</v>
      </c>
      <c r="D514" s="20">
        <v>-0.28999999999999998</v>
      </c>
      <c r="E514" s="20">
        <v>-0.02</v>
      </c>
      <c r="F514" s="26">
        <v>1791.4</v>
      </c>
      <c r="Q514" s="20">
        <v>51.3</v>
      </c>
      <c r="R514" s="20">
        <v>68.03</v>
      </c>
      <c r="S514" s="26">
        <v>68</v>
      </c>
      <c r="T514" s="26">
        <v>-0.03</v>
      </c>
      <c r="U514" s="26">
        <v>-0.04</v>
      </c>
      <c r="V514" s="20">
        <v>1496.22</v>
      </c>
    </row>
    <row r="515" spans="1:22" ht="16.8" x14ac:dyDescent="0.3">
      <c r="A515" s="20">
        <v>51.4</v>
      </c>
      <c r="B515" s="20">
        <v>68</v>
      </c>
      <c r="C515" s="26">
        <v>68.25</v>
      </c>
      <c r="D515" s="20">
        <v>-0.25</v>
      </c>
      <c r="E515" s="20">
        <v>0.04</v>
      </c>
      <c r="F515" s="26">
        <v>1817.94</v>
      </c>
      <c r="Q515" s="20">
        <v>51.4</v>
      </c>
      <c r="R515" s="20">
        <v>68.010000000000005</v>
      </c>
      <c r="S515" s="26">
        <v>68</v>
      </c>
      <c r="T515" s="26">
        <v>-0.01</v>
      </c>
      <c r="U515" s="26">
        <v>0.02</v>
      </c>
      <c r="V515" s="26">
        <v>1541.51</v>
      </c>
    </row>
    <row r="516" spans="1:22" ht="16.8" x14ac:dyDescent="0.3">
      <c r="A516" s="20">
        <v>51.5</v>
      </c>
      <c r="B516" s="20">
        <v>68</v>
      </c>
      <c r="C516" s="20">
        <v>68.25</v>
      </c>
      <c r="D516" s="20">
        <v>-0.25</v>
      </c>
      <c r="E516" s="20">
        <v>0</v>
      </c>
      <c r="F516" s="20">
        <v>1820.95</v>
      </c>
      <c r="Q516" s="20">
        <v>51.5</v>
      </c>
      <c r="R516" s="20">
        <v>67.989999999999995</v>
      </c>
      <c r="S516" s="26">
        <v>68</v>
      </c>
      <c r="T516" s="26">
        <v>0.01</v>
      </c>
      <c r="U516" s="26">
        <v>0.02</v>
      </c>
      <c r="V516" s="20">
        <v>1544.21</v>
      </c>
    </row>
    <row r="517" spans="1:22" ht="16.8" x14ac:dyDescent="0.3">
      <c r="A517" s="20">
        <v>51.6</v>
      </c>
      <c r="B517" s="20">
        <v>68</v>
      </c>
      <c r="C517" s="26">
        <v>68.31</v>
      </c>
      <c r="D517" s="20">
        <v>-0.31</v>
      </c>
      <c r="E517" s="20">
        <v>-0.06</v>
      </c>
      <c r="F517" s="26">
        <v>1774.08</v>
      </c>
      <c r="Q517" s="20">
        <v>51.6</v>
      </c>
      <c r="R517" s="20">
        <v>67.989999999999995</v>
      </c>
      <c r="S517" s="26">
        <v>68</v>
      </c>
      <c r="T517" s="26">
        <v>0.01</v>
      </c>
      <c r="U517" s="26">
        <v>0</v>
      </c>
      <c r="V517" s="20">
        <v>1532.05</v>
      </c>
    </row>
    <row r="518" spans="1:22" ht="16.8" x14ac:dyDescent="0.3">
      <c r="A518" s="20">
        <v>51.7</v>
      </c>
      <c r="B518" s="20">
        <v>68</v>
      </c>
      <c r="C518" s="26">
        <v>68.3</v>
      </c>
      <c r="D518" s="20">
        <v>-0.3</v>
      </c>
      <c r="E518" s="20">
        <v>0.01</v>
      </c>
      <c r="F518" s="20">
        <v>1779.82</v>
      </c>
      <c r="Q518" s="20">
        <v>51.7</v>
      </c>
      <c r="R518" s="20">
        <v>68.010000000000005</v>
      </c>
      <c r="S518" s="26">
        <v>68</v>
      </c>
      <c r="T518" s="26">
        <v>-0.01</v>
      </c>
      <c r="U518" s="20">
        <v>-0.02</v>
      </c>
      <c r="V518" s="26">
        <v>1517.16</v>
      </c>
    </row>
    <row r="519" spans="1:22" ht="16.8" x14ac:dyDescent="0.3">
      <c r="A519" s="20">
        <v>51.8</v>
      </c>
      <c r="B519" s="20">
        <v>68</v>
      </c>
      <c r="C519" s="20">
        <v>68.28</v>
      </c>
      <c r="D519" s="20">
        <v>-0.28000000000000003</v>
      </c>
      <c r="E519" s="20">
        <v>0.03</v>
      </c>
      <c r="F519" s="26">
        <v>1800.22</v>
      </c>
      <c r="Q519" s="20">
        <v>51.8</v>
      </c>
      <c r="R519" s="20">
        <v>68.06</v>
      </c>
      <c r="S519" s="26">
        <v>68</v>
      </c>
      <c r="T519" s="26">
        <v>-0.06</v>
      </c>
      <c r="U519" s="26">
        <v>-0.05</v>
      </c>
      <c r="V519" s="20">
        <v>1484.58</v>
      </c>
    </row>
    <row r="520" spans="1:22" ht="16.8" x14ac:dyDescent="0.3">
      <c r="A520" s="20">
        <v>51.9</v>
      </c>
      <c r="B520" s="20">
        <v>68</v>
      </c>
      <c r="C520" s="26">
        <v>68.28</v>
      </c>
      <c r="D520" s="20">
        <v>-0.28000000000000003</v>
      </c>
      <c r="E520" s="20">
        <v>0</v>
      </c>
      <c r="F520" s="26">
        <v>1797.27</v>
      </c>
      <c r="Q520" s="20">
        <v>51.9</v>
      </c>
      <c r="R520" s="20">
        <v>68.19</v>
      </c>
      <c r="S520" s="26">
        <v>68</v>
      </c>
      <c r="T520" s="26">
        <v>-0.19</v>
      </c>
      <c r="U520" s="26">
        <v>-0.13</v>
      </c>
      <c r="V520" s="26">
        <v>1401.73</v>
      </c>
    </row>
    <row r="521" spans="1:22" ht="16.8" x14ac:dyDescent="0.3">
      <c r="A521" s="20">
        <v>52</v>
      </c>
      <c r="B521" s="20">
        <v>68</v>
      </c>
      <c r="C521" s="20">
        <v>68.28</v>
      </c>
      <c r="D521" s="20">
        <v>-0.28000000000000003</v>
      </c>
      <c r="E521" s="20">
        <v>0</v>
      </c>
      <c r="F521" s="20">
        <v>1797.27</v>
      </c>
      <c r="Q521" s="20">
        <v>52</v>
      </c>
      <c r="R521" s="20">
        <v>68.239999999999995</v>
      </c>
      <c r="S521" s="26">
        <v>68</v>
      </c>
      <c r="T521" s="26">
        <v>-0.24</v>
      </c>
      <c r="U521" s="26">
        <v>-0.06</v>
      </c>
      <c r="V521" s="20">
        <v>1446.58</v>
      </c>
    </row>
    <row r="522" spans="1:22" ht="16.8" x14ac:dyDescent="0.3">
      <c r="A522" s="20">
        <v>52.1</v>
      </c>
      <c r="B522" s="20">
        <v>68</v>
      </c>
      <c r="C522" s="26">
        <v>68.290000000000006</v>
      </c>
      <c r="D522" s="20">
        <v>-0.28999999999999998</v>
      </c>
      <c r="E522" s="20">
        <v>-0.01</v>
      </c>
      <c r="F522" s="26">
        <v>1788.49</v>
      </c>
      <c r="Q522" s="20">
        <v>52.1</v>
      </c>
      <c r="R522" s="20">
        <v>68.3</v>
      </c>
      <c r="S522" s="26">
        <v>68</v>
      </c>
      <c r="T522" s="26">
        <v>-0.3</v>
      </c>
      <c r="U522" s="26">
        <v>-0.06</v>
      </c>
      <c r="V522" s="26">
        <v>1436.46</v>
      </c>
    </row>
    <row r="523" spans="1:22" ht="16.8" x14ac:dyDescent="0.3">
      <c r="A523" s="20">
        <v>52.2</v>
      </c>
      <c r="B523" s="20">
        <v>68</v>
      </c>
      <c r="C523" s="26">
        <v>68.27</v>
      </c>
      <c r="D523" s="20">
        <v>-0.27</v>
      </c>
      <c r="E523" s="20">
        <v>0.02</v>
      </c>
      <c r="F523" s="26">
        <v>1806.09</v>
      </c>
      <c r="Q523" s="20">
        <v>52.2</v>
      </c>
      <c r="R523" s="20">
        <v>68.459999999999994</v>
      </c>
      <c r="S523" s="20">
        <v>68</v>
      </c>
      <c r="T523" s="26">
        <v>-0.46</v>
      </c>
      <c r="U523" s="26">
        <v>-0.16</v>
      </c>
      <c r="V523" s="20">
        <v>1329.31</v>
      </c>
    </row>
    <row r="524" spans="1:22" ht="16.8" x14ac:dyDescent="0.3">
      <c r="A524" s="20">
        <v>52.3</v>
      </c>
      <c r="B524" s="20">
        <v>68</v>
      </c>
      <c r="C524" s="20">
        <v>68.33</v>
      </c>
      <c r="D524" s="20">
        <v>-0.33</v>
      </c>
      <c r="E524" s="20">
        <v>-0.06</v>
      </c>
      <c r="F524" s="20">
        <v>1762.68</v>
      </c>
      <c r="Q524" s="20">
        <v>52.3</v>
      </c>
      <c r="R524" s="20">
        <v>68.52</v>
      </c>
      <c r="S524" s="26">
        <v>68</v>
      </c>
      <c r="T524" s="26">
        <v>-0.52</v>
      </c>
      <c r="U524" s="26">
        <v>-0.06</v>
      </c>
      <c r="V524" s="26">
        <v>1397.86</v>
      </c>
    </row>
    <row r="525" spans="1:22" ht="16.8" x14ac:dyDescent="0.3">
      <c r="A525" s="20">
        <v>52.4</v>
      </c>
      <c r="B525" s="20">
        <v>68</v>
      </c>
      <c r="C525" s="26">
        <v>68.27</v>
      </c>
      <c r="D525" s="20">
        <v>-0.27</v>
      </c>
      <c r="E525" s="20">
        <v>0.06</v>
      </c>
      <c r="F525" s="26">
        <v>1806.09</v>
      </c>
      <c r="Q525" s="20">
        <v>52.4</v>
      </c>
      <c r="R525" s="20">
        <v>68.599999999999994</v>
      </c>
      <c r="S525" s="26">
        <v>68</v>
      </c>
      <c r="T525" s="26">
        <v>-0.6</v>
      </c>
      <c r="U525" s="26">
        <v>-0.08</v>
      </c>
      <c r="V525" s="20">
        <v>1364.72</v>
      </c>
    </row>
    <row r="526" spans="1:22" ht="16.8" x14ac:dyDescent="0.3">
      <c r="A526" s="20">
        <v>52.5</v>
      </c>
      <c r="B526" s="20">
        <v>68</v>
      </c>
      <c r="C526" s="20">
        <v>68.319999999999993</v>
      </c>
      <c r="D526" s="20">
        <v>-0.32</v>
      </c>
      <c r="E526" s="20">
        <v>-0.05</v>
      </c>
      <c r="F526" s="20">
        <v>1768.39</v>
      </c>
      <c r="Q526" s="20">
        <v>52.5</v>
      </c>
      <c r="R526" s="20">
        <v>68.61</v>
      </c>
      <c r="S526" s="26">
        <v>68</v>
      </c>
      <c r="T526" s="26">
        <v>-0.61</v>
      </c>
      <c r="U526" s="26">
        <v>-0.02</v>
      </c>
      <c r="V526" s="26">
        <v>1409.3</v>
      </c>
    </row>
    <row r="527" spans="1:22" ht="16.8" x14ac:dyDescent="0.3">
      <c r="A527" s="20">
        <v>52.6</v>
      </c>
      <c r="B527" s="20">
        <v>68</v>
      </c>
      <c r="C527" s="26">
        <v>68.3</v>
      </c>
      <c r="D527" s="20">
        <v>-0.3</v>
      </c>
      <c r="E527" s="20">
        <v>0.02</v>
      </c>
      <c r="F527" s="26">
        <v>1782.68</v>
      </c>
      <c r="Q527" s="20">
        <v>52.6</v>
      </c>
      <c r="R527" s="20">
        <v>68.61</v>
      </c>
      <c r="S527" s="26">
        <v>68</v>
      </c>
      <c r="T527" s="26">
        <v>-0.61</v>
      </c>
      <c r="U527" s="26">
        <v>0</v>
      </c>
      <c r="V527" s="20">
        <v>1420.01</v>
      </c>
    </row>
    <row r="528" spans="1:22" ht="16.8" x14ac:dyDescent="0.3">
      <c r="A528" s="20">
        <v>52.7</v>
      </c>
      <c r="B528" s="20">
        <v>68</v>
      </c>
      <c r="C528" s="26">
        <v>68.260000000000005</v>
      </c>
      <c r="D528" s="20">
        <v>-0.26</v>
      </c>
      <c r="E528" s="20">
        <v>0.04</v>
      </c>
      <c r="F528" s="26">
        <v>1811.99</v>
      </c>
      <c r="Q528" s="20">
        <v>52.7</v>
      </c>
      <c r="R528" s="20">
        <v>68.61</v>
      </c>
      <c r="S528" s="26">
        <v>68</v>
      </c>
      <c r="T528" s="26">
        <v>-0.61</v>
      </c>
      <c r="U528" s="26">
        <v>0</v>
      </c>
      <c r="V528" s="26">
        <v>1418.54</v>
      </c>
    </row>
    <row r="529" spans="1:22" ht="16.8" x14ac:dyDescent="0.3">
      <c r="A529" s="20">
        <v>52.8</v>
      </c>
      <c r="B529" s="20">
        <v>68</v>
      </c>
      <c r="C529" s="20">
        <v>68.31</v>
      </c>
      <c r="D529" s="20">
        <v>-0.31</v>
      </c>
      <c r="E529" s="20">
        <v>-0.05</v>
      </c>
      <c r="F529" s="20">
        <v>1774.08</v>
      </c>
      <c r="Q529" s="20">
        <v>52.8</v>
      </c>
      <c r="R529" s="20">
        <v>68.569999999999993</v>
      </c>
      <c r="S529" s="26">
        <v>68</v>
      </c>
      <c r="T529" s="26">
        <v>-0.56999999999999995</v>
      </c>
      <c r="U529" s="26">
        <v>0.04</v>
      </c>
      <c r="V529" s="20">
        <v>1454.32</v>
      </c>
    </row>
    <row r="530" spans="1:22" ht="16.8" x14ac:dyDescent="0.3">
      <c r="A530" s="20">
        <v>52.9</v>
      </c>
      <c r="B530" s="20">
        <v>68</v>
      </c>
      <c r="C530" s="26">
        <v>68.34</v>
      </c>
      <c r="D530" s="20">
        <v>-0.34</v>
      </c>
      <c r="E530" s="20">
        <v>-0.02</v>
      </c>
      <c r="F530" s="26">
        <v>1756.96</v>
      </c>
      <c r="Q530" s="20">
        <v>52.9</v>
      </c>
      <c r="R530" s="20">
        <v>68.599999999999994</v>
      </c>
      <c r="S530" s="26">
        <v>68</v>
      </c>
      <c r="T530" s="26">
        <v>-0.6</v>
      </c>
      <c r="U530" s="26">
        <v>-0.02</v>
      </c>
      <c r="V530" s="20">
        <v>1400.13</v>
      </c>
    </row>
    <row r="531" spans="1:22" ht="16.8" x14ac:dyDescent="0.3">
      <c r="A531" s="20">
        <v>53</v>
      </c>
      <c r="B531" s="20">
        <v>68</v>
      </c>
      <c r="C531" s="26">
        <v>68.27</v>
      </c>
      <c r="D531" s="20">
        <v>-0.27</v>
      </c>
      <c r="E531" s="20">
        <v>0.06</v>
      </c>
      <c r="F531" s="26">
        <v>1803.14</v>
      </c>
      <c r="Q531" s="20">
        <v>53</v>
      </c>
      <c r="R531" s="20">
        <v>68.58</v>
      </c>
      <c r="S531" s="26">
        <v>68</v>
      </c>
      <c r="T531" s="26">
        <v>-0.57999999999999996</v>
      </c>
      <c r="U531" s="26">
        <v>0.02</v>
      </c>
      <c r="V531" s="26">
        <v>1431.87</v>
      </c>
    </row>
    <row r="532" spans="1:22" ht="16.8" x14ac:dyDescent="0.3">
      <c r="A532" s="20">
        <v>53.1</v>
      </c>
      <c r="B532" s="20">
        <v>68</v>
      </c>
      <c r="C532" s="20">
        <v>68.28</v>
      </c>
      <c r="D532" s="20">
        <v>-0.28000000000000003</v>
      </c>
      <c r="E532" s="20">
        <v>-0.01</v>
      </c>
      <c r="F532" s="20">
        <v>1794.33</v>
      </c>
      <c r="Q532" s="20">
        <v>53.1</v>
      </c>
      <c r="R532" s="20">
        <v>68.599999999999994</v>
      </c>
      <c r="S532" s="26">
        <v>68</v>
      </c>
      <c r="T532" s="26">
        <v>-0.6</v>
      </c>
      <c r="U532" s="26">
        <v>-0.02</v>
      </c>
      <c r="V532" s="20">
        <v>1403.39</v>
      </c>
    </row>
    <row r="533" spans="1:22" ht="16.8" x14ac:dyDescent="0.3">
      <c r="A533" s="20">
        <v>53.2</v>
      </c>
      <c r="B533" s="20">
        <v>68</v>
      </c>
      <c r="C533" s="26">
        <v>68.25</v>
      </c>
      <c r="D533" s="20">
        <v>-0.25</v>
      </c>
      <c r="E533" s="20">
        <v>0.04</v>
      </c>
      <c r="F533" s="26">
        <v>1820.95</v>
      </c>
      <c r="Q533" s="20">
        <v>53.2</v>
      </c>
      <c r="R533" s="20">
        <v>68.58</v>
      </c>
      <c r="S533" s="26">
        <v>68</v>
      </c>
      <c r="T533" s="26">
        <v>-0.57999999999999996</v>
      </c>
      <c r="U533" s="26">
        <v>0.02</v>
      </c>
      <c r="V533" s="26">
        <v>1429.04</v>
      </c>
    </row>
    <row r="534" spans="1:22" ht="16.8" x14ac:dyDescent="0.3">
      <c r="A534" s="20">
        <v>53.3</v>
      </c>
      <c r="B534" s="20">
        <v>68</v>
      </c>
      <c r="C534" s="20">
        <v>68.239999999999995</v>
      </c>
      <c r="D534" s="20">
        <v>-0.24</v>
      </c>
      <c r="E534" s="20">
        <v>0.01</v>
      </c>
      <c r="F534" s="20">
        <v>1830.06</v>
      </c>
      <c r="Q534" s="20">
        <v>53.3</v>
      </c>
      <c r="R534" s="20">
        <v>68.569999999999993</v>
      </c>
      <c r="S534" s="26">
        <v>68</v>
      </c>
      <c r="T534" s="26">
        <v>-0.56999999999999995</v>
      </c>
      <c r="U534" s="26">
        <v>0.02</v>
      </c>
      <c r="V534" s="20">
        <v>1430.36</v>
      </c>
    </row>
    <row r="535" spans="1:22" ht="16.8" x14ac:dyDescent="0.3">
      <c r="A535" s="20">
        <v>53.4</v>
      </c>
      <c r="B535" s="20">
        <v>68</v>
      </c>
      <c r="C535" s="26">
        <v>68.22</v>
      </c>
      <c r="D535" s="20">
        <v>-0.22</v>
      </c>
      <c r="E535" s="20">
        <v>0.02</v>
      </c>
      <c r="F535" s="26">
        <v>1842.33</v>
      </c>
      <c r="Q535" s="20">
        <v>53.4</v>
      </c>
      <c r="R535" s="20">
        <v>68.55</v>
      </c>
      <c r="S535" s="26">
        <v>68</v>
      </c>
      <c r="T535" s="20">
        <v>-0.55000000000000004</v>
      </c>
      <c r="U535" s="26">
        <v>0.02</v>
      </c>
      <c r="V535" s="26">
        <v>1431.74</v>
      </c>
    </row>
    <row r="536" spans="1:22" ht="16.8" x14ac:dyDescent="0.3">
      <c r="A536" s="20">
        <v>53.5</v>
      </c>
      <c r="B536" s="20">
        <v>68</v>
      </c>
      <c r="C536" s="20">
        <v>68.22</v>
      </c>
      <c r="D536" s="20">
        <v>-0.22</v>
      </c>
      <c r="E536" s="20">
        <v>0</v>
      </c>
      <c r="F536" s="26">
        <v>1842.33</v>
      </c>
      <c r="Q536" s="20">
        <v>53.5</v>
      </c>
      <c r="R536" s="20">
        <v>68.53</v>
      </c>
      <c r="S536" s="26">
        <v>68</v>
      </c>
      <c r="T536" s="26">
        <v>-0.53</v>
      </c>
      <c r="U536" s="26">
        <v>0.02</v>
      </c>
      <c r="V536" s="20">
        <v>1440.58</v>
      </c>
    </row>
    <row r="537" spans="1:22" ht="16.8" x14ac:dyDescent="0.3">
      <c r="A537" s="20">
        <v>53.6</v>
      </c>
      <c r="B537" s="20">
        <v>68</v>
      </c>
      <c r="C537" s="26">
        <v>68.260000000000005</v>
      </c>
      <c r="D537" s="20">
        <v>-0.26</v>
      </c>
      <c r="E537" s="20">
        <v>-0.04</v>
      </c>
      <c r="F537" s="20">
        <v>1811.99</v>
      </c>
      <c r="Q537" s="20">
        <v>53.6</v>
      </c>
      <c r="R537" s="20">
        <v>68.52</v>
      </c>
      <c r="S537" s="26">
        <v>68</v>
      </c>
      <c r="T537" s="20">
        <v>-0.52</v>
      </c>
      <c r="U537" s="26">
        <v>0.01</v>
      </c>
      <c r="V537" s="26">
        <v>1428.52</v>
      </c>
    </row>
    <row r="538" spans="1:22" ht="16.8" x14ac:dyDescent="0.3">
      <c r="A538" s="20">
        <v>53.7</v>
      </c>
      <c r="B538" s="20">
        <v>68</v>
      </c>
      <c r="C538" s="26">
        <v>68.260000000000005</v>
      </c>
      <c r="D538" s="20">
        <v>-0.26</v>
      </c>
      <c r="E538" s="20">
        <v>0</v>
      </c>
      <c r="F538" s="26">
        <v>1814.96</v>
      </c>
      <c r="Q538" s="20">
        <v>53.7</v>
      </c>
      <c r="R538" s="20">
        <v>68.540000000000006</v>
      </c>
      <c r="S538" s="26">
        <v>68</v>
      </c>
      <c r="T538" s="26">
        <v>-0.54</v>
      </c>
      <c r="U538" s="26">
        <v>-0.02</v>
      </c>
      <c r="V538" s="20">
        <v>1398.8</v>
      </c>
    </row>
    <row r="539" spans="1:22" ht="16.8" x14ac:dyDescent="0.3">
      <c r="A539" s="20">
        <v>53.8</v>
      </c>
      <c r="B539" s="20">
        <v>68</v>
      </c>
      <c r="C539" s="20">
        <v>68.22</v>
      </c>
      <c r="D539" s="20">
        <v>-0.22</v>
      </c>
      <c r="E539" s="20">
        <v>0.03</v>
      </c>
      <c r="F539" s="20">
        <v>1839.24</v>
      </c>
      <c r="Q539" s="20">
        <v>53.8</v>
      </c>
      <c r="R539" s="20">
        <v>68.510000000000005</v>
      </c>
      <c r="S539" s="26">
        <v>68</v>
      </c>
      <c r="T539" s="26">
        <v>-0.51</v>
      </c>
      <c r="U539" s="26">
        <v>0.03</v>
      </c>
      <c r="V539" s="20">
        <v>1445.61</v>
      </c>
    </row>
    <row r="540" spans="1:22" ht="16.8" x14ac:dyDescent="0.3">
      <c r="A540" s="20">
        <v>53.9</v>
      </c>
      <c r="B540" s="20">
        <v>68</v>
      </c>
      <c r="C540" s="26">
        <v>68.23</v>
      </c>
      <c r="D540" s="20">
        <v>-0.23</v>
      </c>
      <c r="E540" s="20">
        <v>0</v>
      </c>
      <c r="F540" s="26">
        <v>1836.19</v>
      </c>
      <c r="Q540" s="20">
        <v>53.9</v>
      </c>
      <c r="R540" s="20">
        <v>68.489999999999995</v>
      </c>
      <c r="S540" s="26">
        <v>68</v>
      </c>
      <c r="T540" s="26">
        <v>-0.49</v>
      </c>
      <c r="U540" s="26">
        <v>0.02</v>
      </c>
      <c r="V540" s="26">
        <v>1434.91</v>
      </c>
    </row>
    <row r="541" spans="1:22" ht="16.8" x14ac:dyDescent="0.3">
      <c r="A541" s="20">
        <v>54</v>
      </c>
      <c r="B541" s="20">
        <v>68</v>
      </c>
      <c r="C541" s="26">
        <v>68.25</v>
      </c>
      <c r="D541" s="20">
        <v>-0.25</v>
      </c>
      <c r="E541" s="20">
        <v>-0.02</v>
      </c>
      <c r="F541" s="26">
        <v>1817.94</v>
      </c>
      <c r="Q541" s="20">
        <v>54</v>
      </c>
      <c r="R541" s="20">
        <v>68.5</v>
      </c>
      <c r="S541" s="26">
        <v>68</v>
      </c>
      <c r="T541" s="26">
        <v>-0.5</v>
      </c>
      <c r="U541" s="26">
        <v>-0.01</v>
      </c>
      <c r="V541" s="20">
        <v>1414.09</v>
      </c>
    </row>
    <row r="542" spans="1:22" ht="16.8" x14ac:dyDescent="0.3">
      <c r="A542" s="20">
        <v>54.1</v>
      </c>
      <c r="B542" s="20">
        <v>68</v>
      </c>
      <c r="C542" s="20">
        <v>68.23</v>
      </c>
      <c r="D542" s="20">
        <v>-0.23</v>
      </c>
      <c r="E542" s="20">
        <v>0.02</v>
      </c>
      <c r="F542" s="20">
        <v>1836.19</v>
      </c>
      <c r="Q542" s="20">
        <v>54.1</v>
      </c>
      <c r="R542" s="20">
        <v>68.5</v>
      </c>
      <c r="S542" s="26">
        <v>68</v>
      </c>
      <c r="T542" s="26">
        <v>-0.5</v>
      </c>
      <c r="U542" s="26">
        <v>0</v>
      </c>
      <c r="V542" s="26">
        <v>1418.98</v>
      </c>
    </row>
    <row r="543" spans="1:22" ht="16.8" x14ac:dyDescent="0.3">
      <c r="A543" s="20">
        <v>54.2</v>
      </c>
      <c r="B543" s="20">
        <v>68</v>
      </c>
      <c r="C543" s="26">
        <v>68.23</v>
      </c>
      <c r="D543" s="20">
        <v>-0.23</v>
      </c>
      <c r="E543" s="20">
        <v>0</v>
      </c>
      <c r="F543" s="26">
        <v>1833.11</v>
      </c>
      <c r="Q543" s="20">
        <v>54.2</v>
      </c>
      <c r="R543" s="20">
        <v>68.489999999999995</v>
      </c>
      <c r="S543" s="26">
        <v>68</v>
      </c>
      <c r="T543" s="26">
        <v>-0.49</v>
      </c>
      <c r="U543" s="26">
        <v>0.01</v>
      </c>
      <c r="V543" s="20">
        <v>1425.23</v>
      </c>
    </row>
    <row r="544" spans="1:22" ht="16.8" x14ac:dyDescent="0.3">
      <c r="A544" s="20">
        <v>54.3</v>
      </c>
      <c r="B544" s="20">
        <v>68</v>
      </c>
      <c r="C544" s="20">
        <v>68.209999999999994</v>
      </c>
      <c r="D544" s="20">
        <v>-0.21</v>
      </c>
      <c r="E544" s="20">
        <v>0.02</v>
      </c>
      <c r="F544" s="26">
        <v>1848.53</v>
      </c>
      <c r="Q544" s="20">
        <v>54.3</v>
      </c>
      <c r="R544" s="20">
        <v>68.48</v>
      </c>
      <c r="S544" s="26">
        <v>68</v>
      </c>
      <c r="T544" s="26">
        <v>-0.48</v>
      </c>
      <c r="U544" s="26">
        <v>0.02</v>
      </c>
      <c r="V544" s="26">
        <v>1432.87</v>
      </c>
    </row>
    <row r="545" spans="1:22" ht="16.8" x14ac:dyDescent="0.3">
      <c r="A545" s="20">
        <v>54.4</v>
      </c>
      <c r="B545" s="20">
        <v>68</v>
      </c>
      <c r="C545" s="26">
        <v>68.19</v>
      </c>
      <c r="D545" s="20">
        <v>-0.19</v>
      </c>
      <c r="E545" s="20">
        <v>0.02</v>
      </c>
      <c r="F545" s="20">
        <v>1867.89</v>
      </c>
      <c r="Q545" s="20">
        <v>54.4</v>
      </c>
      <c r="R545" s="20">
        <v>68.44</v>
      </c>
      <c r="S545" s="20">
        <v>68</v>
      </c>
      <c r="T545" s="26">
        <v>-0.44</v>
      </c>
      <c r="U545" s="26">
        <v>0.04</v>
      </c>
      <c r="V545" s="20">
        <v>1456.8</v>
      </c>
    </row>
    <row r="546" spans="1:22" ht="16.8" x14ac:dyDescent="0.3">
      <c r="A546" s="20">
        <v>54.5</v>
      </c>
      <c r="B546" s="20">
        <v>68</v>
      </c>
      <c r="C546" s="26">
        <v>68.150000000000006</v>
      </c>
      <c r="D546" s="20">
        <v>-0.15</v>
      </c>
      <c r="E546" s="20">
        <v>0.04</v>
      </c>
      <c r="F546" s="26">
        <v>1902.21</v>
      </c>
      <c r="Q546" s="20">
        <v>54.5</v>
      </c>
      <c r="R546" s="20">
        <v>68.47</v>
      </c>
      <c r="S546" s="26">
        <v>68</v>
      </c>
      <c r="T546" s="26">
        <v>-0.47</v>
      </c>
      <c r="U546" s="26">
        <v>-0.03</v>
      </c>
      <c r="V546" s="26">
        <v>1395.47</v>
      </c>
    </row>
    <row r="547" spans="1:22" ht="16.8" x14ac:dyDescent="0.3">
      <c r="A547" s="20">
        <v>54.6</v>
      </c>
      <c r="B547" s="20">
        <v>68</v>
      </c>
      <c r="C547" s="20">
        <v>68.150000000000006</v>
      </c>
      <c r="D547" s="20">
        <v>-0.15</v>
      </c>
      <c r="E547" s="20">
        <v>0</v>
      </c>
      <c r="F547" s="20">
        <v>1898.68</v>
      </c>
      <c r="Q547" s="20">
        <v>54.6</v>
      </c>
      <c r="R547" s="20">
        <v>68.430000000000007</v>
      </c>
      <c r="S547" s="20">
        <v>68</v>
      </c>
      <c r="T547" s="26">
        <v>-0.43</v>
      </c>
      <c r="U547" s="26">
        <v>0.04</v>
      </c>
      <c r="V547" s="20">
        <v>1455.99</v>
      </c>
    </row>
    <row r="548" spans="1:22" ht="16.8" x14ac:dyDescent="0.3">
      <c r="A548" s="20">
        <v>54.7</v>
      </c>
      <c r="B548" s="20">
        <v>68</v>
      </c>
      <c r="C548" s="26">
        <v>68.22</v>
      </c>
      <c r="D548" s="20">
        <v>-0.22</v>
      </c>
      <c r="E548" s="20">
        <v>-0.06</v>
      </c>
      <c r="F548" s="26">
        <v>1845.41</v>
      </c>
      <c r="Q548" s="20">
        <v>54.7</v>
      </c>
      <c r="R548" s="20">
        <v>68.42</v>
      </c>
      <c r="S548" s="26">
        <v>68</v>
      </c>
      <c r="T548" s="26">
        <v>-0.42</v>
      </c>
      <c r="U548" s="26">
        <v>0.01</v>
      </c>
      <c r="V548" s="26">
        <v>1431.95</v>
      </c>
    </row>
    <row r="549" spans="1:22" ht="16.8" x14ac:dyDescent="0.3">
      <c r="A549" s="20">
        <v>54.8</v>
      </c>
      <c r="B549" s="20">
        <v>68</v>
      </c>
      <c r="C549" s="20">
        <v>68.14</v>
      </c>
      <c r="D549" s="20">
        <v>-0.14000000000000001</v>
      </c>
      <c r="E549" s="20">
        <v>0.08</v>
      </c>
      <c r="F549" s="26">
        <v>1912.98</v>
      </c>
      <c r="Q549" s="20">
        <v>54.8</v>
      </c>
      <c r="R549" s="20">
        <v>68.39</v>
      </c>
      <c r="S549" s="26">
        <v>68</v>
      </c>
      <c r="T549" s="26">
        <v>-0.39</v>
      </c>
      <c r="U549" s="26">
        <v>0.03</v>
      </c>
      <c r="V549" s="20">
        <v>1454.66</v>
      </c>
    </row>
    <row r="550" spans="1:22" ht="16.8" x14ac:dyDescent="0.3">
      <c r="A550" s="20">
        <v>54.9</v>
      </c>
      <c r="B550" s="20">
        <v>68</v>
      </c>
      <c r="C550" s="26">
        <v>68.209999999999994</v>
      </c>
      <c r="D550" s="20">
        <v>-0.21</v>
      </c>
      <c r="E550" s="20">
        <v>-7.0000000000000007E-2</v>
      </c>
      <c r="F550" s="20">
        <v>1851.65</v>
      </c>
      <c r="Q550" s="20">
        <v>54.9</v>
      </c>
      <c r="R550" s="20">
        <v>68.41</v>
      </c>
      <c r="S550" s="26">
        <v>68</v>
      </c>
      <c r="T550" s="26">
        <v>-0.41</v>
      </c>
      <c r="U550" s="20">
        <v>-0.02</v>
      </c>
      <c r="V550" s="26">
        <v>1414.45</v>
      </c>
    </row>
    <row r="551" spans="1:22" ht="16.8" x14ac:dyDescent="0.3">
      <c r="A551" s="20">
        <v>55</v>
      </c>
      <c r="B551" s="20">
        <v>68</v>
      </c>
      <c r="C551" s="26">
        <v>68.209999999999994</v>
      </c>
      <c r="D551" s="20">
        <v>-0.21</v>
      </c>
      <c r="E551" s="20">
        <v>0</v>
      </c>
      <c r="F551" s="26">
        <v>1848.53</v>
      </c>
      <c r="Q551" s="20">
        <v>55</v>
      </c>
      <c r="R551" s="20">
        <v>68.41</v>
      </c>
      <c r="S551" s="26">
        <v>68</v>
      </c>
      <c r="T551" s="26">
        <v>-0.41</v>
      </c>
      <c r="U551" s="26">
        <v>0</v>
      </c>
      <c r="V551" s="20">
        <v>1425.66</v>
      </c>
    </row>
    <row r="552" spans="1:22" ht="16.8" x14ac:dyDescent="0.3">
      <c r="A552" s="20">
        <v>55.1</v>
      </c>
      <c r="B552" s="20">
        <v>68</v>
      </c>
      <c r="C552" s="20">
        <v>68.22</v>
      </c>
      <c r="D552" s="20">
        <v>-0.22</v>
      </c>
      <c r="E552" s="20">
        <v>-0.01</v>
      </c>
      <c r="F552" s="26">
        <v>1839.24</v>
      </c>
      <c r="Q552" s="20">
        <v>55.1</v>
      </c>
      <c r="R552" s="20">
        <v>68.349999999999994</v>
      </c>
      <c r="S552" s="26">
        <v>68</v>
      </c>
      <c r="T552" s="26">
        <v>-0.35</v>
      </c>
      <c r="U552" s="26">
        <v>0.06</v>
      </c>
      <c r="V552" s="26">
        <v>1476.87</v>
      </c>
    </row>
    <row r="553" spans="1:22" ht="16.8" x14ac:dyDescent="0.3">
      <c r="A553" s="20">
        <v>55.2</v>
      </c>
      <c r="B553" s="20">
        <v>68</v>
      </c>
      <c r="C553" s="26">
        <v>68.17</v>
      </c>
      <c r="D553" s="20">
        <v>-0.17</v>
      </c>
      <c r="E553" s="20">
        <v>0.06</v>
      </c>
      <c r="F553" s="20">
        <v>1884.8</v>
      </c>
      <c r="Q553" s="20">
        <v>55.2</v>
      </c>
      <c r="R553" s="20">
        <v>68.34</v>
      </c>
      <c r="S553" s="26">
        <v>68</v>
      </c>
      <c r="T553" s="26">
        <v>-0.34</v>
      </c>
      <c r="U553" s="26">
        <v>0.01</v>
      </c>
      <c r="V553" s="20">
        <v>1440.84</v>
      </c>
    </row>
    <row r="554" spans="1:22" ht="16.8" x14ac:dyDescent="0.3">
      <c r="A554" s="20">
        <v>55.3</v>
      </c>
      <c r="B554" s="20">
        <v>68</v>
      </c>
      <c r="C554" s="26">
        <v>68.16</v>
      </c>
      <c r="D554" s="20">
        <v>-0.16</v>
      </c>
      <c r="E554" s="20">
        <v>0</v>
      </c>
      <c r="F554" s="26">
        <v>1888.24</v>
      </c>
      <c r="Q554" s="20">
        <v>55.3</v>
      </c>
      <c r="R554" s="20">
        <v>68.319999999999993</v>
      </c>
      <c r="S554" s="26">
        <v>68</v>
      </c>
      <c r="T554" s="26">
        <v>-0.32</v>
      </c>
      <c r="U554" s="26">
        <v>0.02</v>
      </c>
      <c r="V554" s="26">
        <v>1456.3</v>
      </c>
    </row>
    <row r="555" spans="1:22" ht="16.8" x14ac:dyDescent="0.3">
      <c r="A555" s="20">
        <v>55.4</v>
      </c>
      <c r="B555" s="20">
        <v>68</v>
      </c>
      <c r="C555" s="20">
        <v>68.19</v>
      </c>
      <c r="D555" s="20">
        <v>-0.19</v>
      </c>
      <c r="E555" s="20">
        <v>-0.02</v>
      </c>
      <c r="F555" s="20">
        <v>1867.89</v>
      </c>
      <c r="Q555" s="20">
        <v>55.4</v>
      </c>
      <c r="R555" s="20">
        <v>68.34</v>
      </c>
      <c r="S555" s="26">
        <v>68</v>
      </c>
      <c r="T555" s="26">
        <v>-0.34</v>
      </c>
      <c r="U555" s="26">
        <v>-0.02</v>
      </c>
      <c r="V555" s="20">
        <v>1414.89</v>
      </c>
    </row>
    <row r="556" spans="1:22" ht="16.8" x14ac:dyDescent="0.3">
      <c r="A556" s="20">
        <v>55.5</v>
      </c>
      <c r="B556" s="20">
        <v>68</v>
      </c>
      <c r="C556" s="26">
        <v>68.209999999999994</v>
      </c>
      <c r="D556" s="20">
        <v>-0.21</v>
      </c>
      <c r="E556" s="20">
        <v>-0.02</v>
      </c>
      <c r="F556" s="26">
        <v>1848.53</v>
      </c>
      <c r="Q556" s="20">
        <v>55.5</v>
      </c>
      <c r="R556" s="20">
        <v>68.27</v>
      </c>
      <c r="S556" s="26">
        <v>68</v>
      </c>
      <c r="T556" s="26">
        <v>-0.27</v>
      </c>
      <c r="U556" s="26">
        <v>7.0000000000000007E-2</v>
      </c>
      <c r="V556" s="26">
        <v>1499.45</v>
      </c>
    </row>
    <row r="557" spans="1:22" ht="16.8" x14ac:dyDescent="0.3">
      <c r="A557" s="20">
        <v>55.6</v>
      </c>
      <c r="B557" s="20">
        <v>68</v>
      </c>
      <c r="C557" s="20">
        <v>68.239999999999995</v>
      </c>
      <c r="D557" s="20">
        <v>-0.24</v>
      </c>
      <c r="E557" s="20">
        <v>-0.03</v>
      </c>
      <c r="F557" s="26">
        <v>1823.97</v>
      </c>
      <c r="Q557" s="20">
        <v>55.6</v>
      </c>
      <c r="R557" s="20">
        <v>68.239999999999995</v>
      </c>
      <c r="S557" s="26">
        <v>68</v>
      </c>
      <c r="T557" s="26">
        <v>-0.24</v>
      </c>
      <c r="U557" s="26">
        <v>0.02</v>
      </c>
      <c r="V557" s="20">
        <v>1466.33</v>
      </c>
    </row>
    <row r="558" spans="1:22" ht="16.8" x14ac:dyDescent="0.3">
      <c r="A558" s="20">
        <v>55.7</v>
      </c>
      <c r="B558" s="20">
        <v>68</v>
      </c>
      <c r="C558" s="26">
        <v>68.25</v>
      </c>
      <c r="D558" s="20">
        <v>-0.25</v>
      </c>
      <c r="E558" s="20">
        <v>0</v>
      </c>
      <c r="F558" s="20">
        <v>1820.95</v>
      </c>
      <c r="Q558" s="20">
        <v>55.7</v>
      </c>
      <c r="R558" s="20">
        <v>68.260000000000005</v>
      </c>
      <c r="S558" s="26">
        <v>68</v>
      </c>
      <c r="T558" s="26">
        <v>-0.26</v>
      </c>
      <c r="U558" s="26">
        <v>-0.02</v>
      </c>
      <c r="V558" s="26">
        <v>1432.56</v>
      </c>
    </row>
    <row r="559" spans="1:22" ht="16.8" x14ac:dyDescent="0.3">
      <c r="A559" s="20">
        <v>55.8</v>
      </c>
      <c r="B559" s="20">
        <v>68</v>
      </c>
      <c r="C559" s="26">
        <v>68.27</v>
      </c>
      <c r="D559" s="20">
        <v>-0.27</v>
      </c>
      <c r="E559" s="20">
        <v>-0.02</v>
      </c>
      <c r="F559" s="26">
        <v>1806.09</v>
      </c>
      <c r="Q559" s="20">
        <v>55.8</v>
      </c>
      <c r="R559" s="20">
        <v>68.319999999999993</v>
      </c>
      <c r="S559" s="26">
        <v>68</v>
      </c>
      <c r="T559" s="26">
        <v>-0.32</v>
      </c>
      <c r="U559" s="26">
        <v>-0.06</v>
      </c>
      <c r="V559" s="20">
        <v>1384.48</v>
      </c>
    </row>
    <row r="560" spans="1:22" ht="16.8" x14ac:dyDescent="0.3">
      <c r="A560" s="20">
        <v>55.9</v>
      </c>
      <c r="B560" s="20">
        <v>68</v>
      </c>
      <c r="C560" s="20">
        <v>68.209999999999994</v>
      </c>
      <c r="D560" s="20">
        <v>-0.21</v>
      </c>
      <c r="E560" s="20">
        <v>0.06</v>
      </c>
      <c r="F560" s="26">
        <v>1851.65</v>
      </c>
      <c r="Q560" s="20">
        <v>55.9</v>
      </c>
      <c r="R560" s="20">
        <v>68.28</v>
      </c>
      <c r="S560" s="26">
        <v>68</v>
      </c>
      <c r="T560" s="26">
        <v>-0.28000000000000003</v>
      </c>
      <c r="U560" s="26">
        <v>0.05</v>
      </c>
      <c r="V560" s="26">
        <v>1477.18</v>
      </c>
    </row>
    <row r="561" spans="1:22" ht="16.8" x14ac:dyDescent="0.3">
      <c r="A561" s="20">
        <v>56</v>
      </c>
      <c r="B561" s="20">
        <v>68</v>
      </c>
      <c r="C561" s="26">
        <v>68.239999999999995</v>
      </c>
      <c r="D561" s="20">
        <v>-0.24</v>
      </c>
      <c r="E561" s="20">
        <v>-0.03</v>
      </c>
      <c r="F561" s="20">
        <v>1826.99</v>
      </c>
      <c r="Q561" s="20">
        <v>56</v>
      </c>
      <c r="R561" s="20">
        <v>68.25</v>
      </c>
      <c r="S561" s="26">
        <v>68</v>
      </c>
      <c r="T561" s="26">
        <v>-0.25</v>
      </c>
      <c r="U561" s="26">
        <v>0.02</v>
      </c>
      <c r="V561" s="20">
        <v>1462.31</v>
      </c>
    </row>
    <row r="562" spans="1:22" ht="16.8" x14ac:dyDescent="0.3">
      <c r="A562" s="20">
        <v>56.1</v>
      </c>
      <c r="B562" s="20">
        <v>68</v>
      </c>
      <c r="C562" s="26">
        <v>68.260000000000005</v>
      </c>
      <c r="D562" s="20">
        <v>-0.26</v>
      </c>
      <c r="E562" s="20">
        <v>-0.02</v>
      </c>
      <c r="F562" s="26">
        <v>1814.96</v>
      </c>
      <c r="Q562" s="20">
        <v>56.1</v>
      </c>
      <c r="R562" s="20">
        <v>68.209999999999994</v>
      </c>
      <c r="S562" s="26">
        <v>68</v>
      </c>
      <c r="T562" s="26">
        <v>-0.21</v>
      </c>
      <c r="U562" s="26">
        <v>0.04</v>
      </c>
      <c r="V562" s="20">
        <v>1480.71</v>
      </c>
    </row>
    <row r="563" spans="1:22" ht="16.8" x14ac:dyDescent="0.3">
      <c r="A563" s="20">
        <v>56.2</v>
      </c>
      <c r="B563" s="20">
        <v>68</v>
      </c>
      <c r="C563" s="20">
        <v>68.25</v>
      </c>
      <c r="D563" s="20">
        <v>-0.25</v>
      </c>
      <c r="E563" s="20">
        <v>0</v>
      </c>
      <c r="F563" s="20">
        <v>1817.94</v>
      </c>
      <c r="Q563" s="20">
        <v>56.2</v>
      </c>
      <c r="R563" s="20">
        <v>68.239999999999995</v>
      </c>
      <c r="S563" s="26">
        <v>68</v>
      </c>
      <c r="T563" s="26">
        <v>-0.24</v>
      </c>
      <c r="U563" s="26">
        <v>-0.02</v>
      </c>
      <c r="V563" s="26">
        <v>1427.38</v>
      </c>
    </row>
    <row r="564" spans="1:22" ht="16.8" x14ac:dyDescent="0.3">
      <c r="A564" s="20">
        <v>56.3</v>
      </c>
      <c r="B564" s="20">
        <v>68</v>
      </c>
      <c r="C564" s="26">
        <v>68.239999999999995</v>
      </c>
      <c r="D564" s="20">
        <v>-0.24</v>
      </c>
      <c r="E564" s="20">
        <v>0.02</v>
      </c>
      <c r="F564" s="26">
        <v>1830.06</v>
      </c>
      <c r="Q564" s="20">
        <v>56.3</v>
      </c>
      <c r="R564" s="20">
        <v>68.22</v>
      </c>
      <c r="S564" s="26">
        <v>68</v>
      </c>
      <c r="T564" s="26">
        <v>-0.22</v>
      </c>
      <c r="U564" s="20">
        <v>0.02</v>
      </c>
      <c r="V564" s="20">
        <v>1459.99</v>
      </c>
    </row>
    <row r="565" spans="1:22" ht="16.8" x14ac:dyDescent="0.3">
      <c r="A565" s="20">
        <v>56.4</v>
      </c>
      <c r="B565" s="20">
        <v>68</v>
      </c>
      <c r="C565" s="20">
        <v>68.22</v>
      </c>
      <c r="D565" s="20">
        <v>-0.22</v>
      </c>
      <c r="E565" s="20">
        <v>0.02</v>
      </c>
      <c r="F565" s="26">
        <v>1842.33</v>
      </c>
      <c r="Q565" s="20">
        <v>56.4</v>
      </c>
      <c r="R565" s="20">
        <v>68.180000000000007</v>
      </c>
      <c r="S565" s="26">
        <v>68</v>
      </c>
      <c r="T565" s="26">
        <v>-0.18</v>
      </c>
      <c r="U565" s="26">
        <v>0.04</v>
      </c>
      <c r="V565" s="26">
        <v>1484.54</v>
      </c>
    </row>
    <row r="566" spans="1:22" ht="16.8" x14ac:dyDescent="0.3">
      <c r="A566" s="20">
        <v>56.5</v>
      </c>
      <c r="B566" s="20">
        <v>68</v>
      </c>
      <c r="C566" s="26">
        <v>68.209999999999994</v>
      </c>
      <c r="D566" s="20">
        <v>-0.21</v>
      </c>
      <c r="E566" s="20">
        <v>0.01</v>
      </c>
      <c r="F566" s="20">
        <v>1848.53</v>
      </c>
      <c r="Q566" s="20">
        <v>56.5</v>
      </c>
      <c r="R566" s="20">
        <v>68.209999999999994</v>
      </c>
      <c r="S566" s="26">
        <v>68</v>
      </c>
      <c r="T566" s="26">
        <v>-0.21</v>
      </c>
      <c r="U566" s="20">
        <v>-0.03</v>
      </c>
      <c r="V566" s="20">
        <v>1423.85</v>
      </c>
    </row>
    <row r="567" spans="1:22" ht="16.8" x14ac:dyDescent="0.3">
      <c r="A567" s="20">
        <v>56.6</v>
      </c>
      <c r="B567" s="20">
        <v>68</v>
      </c>
      <c r="C567" s="26">
        <v>68.3</v>
      </c>
      <c r="D567" s="20">
        <v>-0.3</v>
      </c>
      <c r="E567" s="20">
        <v>-0.08</v>
      </c>
      <c r="F567" s="26">
        <v>1785.59</v>
      </c>
      <c r="Q567" s="20">
        <v>56.6</v>
      </c>
      <c r="R567" s="20">
        <v>68.17</v>
      </c>
      <c r="S567" s="26">
        <v>68</v>
      </c>
      <c r="T567" s="26">
        <v>-0.17</v>
      </c>
      <c r="U567" s="26">
        <v>0.04</v>
      </c>
      <c r="V567" s="26">
        <v>1484.97</v>
      </c>
    </row>
    <row r="568" spans="1:22" ht="16.8" x14ac:dyDescent="0.3">
      <c r="A568" s="20">
        <v>56.7</v>
      </c>
      <c r="B568" s="20">
        <v>68</v>
      </c>
      <c r="C568" s="20">
        <v>68.27</v>
      </c>
      <c r="D568" s="20">
        <v>-0.27</v>
      </c>
      <c r="E568" s="20">
        <v>0.03</v>
      </c>
      <c r="F568" s="26">
        <v>1806.09</v>
      </c>
      <c r="Q568" s="20">
        <v>56.7</v>
      </c>
      <c r="R568" s="20">
        <v>68.16</v>
      </c>
      <c r="S568" s="20">
        <v>68</v>
      </c>
      <c r="T568" s="26">
        <v>-0.16</v>
      </c>
      <c r="U568" s="26">
        <v>0.02</v>
      </c>
      <c r="V568" s="20">
        <v>1469.01</v>
      </c>
    </row>
    <row r="569" spans="1:22" ht="16.8" x14ac:dyDescent="0.3">
      <c r="A569" s="20">
        <v>56.8</v>
      </c>
      <c r="B569" s="20">
        <v>68</v>
      </c>
      <c r="C569" s="26">
        <v>68.260000000000005</v>
      </c>
      <c r="D569" s="20">
        <v>-0.26</v>
      </c>
      <c r="E569" s="20">
        <v>0</v>
      </c>
      <c r="F569" s="20">
        <v>1809.01</v>
      </c>
      <c r="Q569" s="20">
        <v>56.8</v>
      </c>
      <c r="R569" s="20">
        <v>68.12</v>
      </c>
      <c r="S569" s="26">
        <v>68</v>
      </c>
      <c r="T569" s="26">
        <v>-0.12</v>
      </c>
      <c r="U569" s="26">
        <v>0.03</v>
      </c>
      <c r="V569" s="20">
        <v>1486.26</v>
      </c>
    </row>
    <row r="570" spans="1:22" ht="16.8" x14ac:dyDescent="0.3">
      <c r="A570" s="20">
        <v>56.9</v>
      </c>
      <c r="B570" s="20">
        <v>68</v>
      </c>
      <c r="C570" s="20">
        <v>68.28</v>
      </c>
      <c r="D570" s="20">
        <v>-0.28000000000000003</v>
      </c>
      <c r="E570" s="20">
        <v>-0.02</v>
      </c>
      <c r="F570" s="26">
        <v>1794.33</v>
      </c>
      <c r="Q570" s="20">
        <v>56.9</v>
      </c>
      <c r="R570" s="20">
        <v>68.180000000000007</v>
      </c>
      <c r="S570" s="26">
        <v>68</v>
      </c>
      <c r="T570" s="26">
        <v>-0.18</v>
      </c>
      <c r="U570" s="26">
        <v>-0.06</v>
      </c>
      <c r="V570" s="26">
        <v>1409.43</v>
      </c>
    </row>
    <row r="571" spans="1:22" ht="16.8" x14ac:dyDescent="0.3">
      <c r="A571" s="20">
        <v>57</v>
      </c>
      <c r="B571" s="20">
        <v>68</v>
      </c>
      <c r="C571" s="26">
        <v>68.290000000000006</v>
      </c>
      <c r="D571" s="20">
        <v>-0.28999999999999998</v>
      </c>
      <c r="E571" s="20">
        <v>-0.01</v>
      </c>
      <c r="F571" s="26">
        <v>1788.49</v>
      </c>
      <c r="Q571" s="20">
        <v>57</v>
      </c>
      <c r="R571" s="20">
        <v>68.150000000000006</v>
      </c>
      <c r="S571" s="26">
        <v>68</v>
      </c>
      <c r="T571" s="26">
        <v>-0.15</v>
      </c>
      <c r="U571" s="26">
        <v>0.03</v>
      </c>
      <c r="V571" s="20">
        <v>1481.46</v>
      </c>
    </row>
    <row r="572" spans="1:22" ht="16.8" x14ac:dyDescent="0.3">
      <c r="A572" s="20">
        <v>57.1</v>
      </c>
      <c r="B572" s="20">
        <v>68</v>
      </c>
      <c r="C572" s="26">
        <v>68.260000000000005</v>
      </c>
      <c r="D572" s="20">
        <v>-0.26</v>
      </c>
      <c r="E572" s="20">
        <v>0.03</v>
      </c>
      <c r="F572" s="20">
        <v>1809.01</v>
      </c>
      <c r="Q572" s="20">
        <v>57.1</v>
      </c>
      <c r="R572" s="20">
        <v>68.17</v>
      </c>
      <c r="S572" s="26">
        <v>68</v>
      </c>
      <c r="T572" s="26">
        <v>-0.17</v>
      </c>
      <c r="U572" s="26">
        <v>-0.02</v>
      </c>
      <c r="V572" s="26">
        <v>1434.37</v>
      </c>
    </row>
    <row r="573" spans="1:22" ht="16.8" x14ac:dyDescent="0.3">
      <c r="A573" s="20">
        <v>57.2</v>
      </c>
      <c r="B573" s="20">
        <v>68</v>
      </c>
      <c r="C573" s="26">
        <v>68.31</v>
      </c>
      <c r="D573" s="20">
        <v>-0.31</v>
      </c>
      <c r="E573" s="20">
        <v>-0.04</v>
      </c>
      <c r="F573" s="26">
        <v>1776.95</v>
      </c>
      <c r="Q573" s="20">
        <v>57.2</v>
      </c>
      <c r="R573" s="20">
        <v>68.16</v>
      </c>
      <c r="S573" s="26">
        <v>68</v>
      </c>
      <c r="T573" s="26">
        <v>-0.16</v>
      </c>
      <c r="U573" s="26">
        <v>0.01</v>
      </c>
      <c r="V573" s="20">
        <v>1459.69</v>
      </c>
    </row>
    <row r="574" spans="1:22" ht="16.8" x14ac:dyDescent="0.3">
      <c r="A574" s="20">
        <v>57.3</v>
      </c>
      <c r="B574" s="20">
        <v>68</v>
      </c>
      <c r="C574" s="20">
        <v>68.28</v>
      </c>
      <c r="D574" s="20">
        <v>-0.28000000000000003</v>
      </c>
      <c r="E574" s="20">
        <v>0.03</v>
      </c>
      <c r="F574" s="20">
        <v>1800.22</v>
      </c>
      <c r="Q574" s="20">
        <v>57.3</v>
      </c>
      <c r="R574" s="20">
        <v>68.180000000000007</v>
      </c>
      <c r="S574" s="26">
        <v>68</v>
      </c>
      <c r="T574" s="26">
        <v>-0.18</v>
      </c>
      <c r="U574" s="26">
        <v>-0.02</v>
      </c>
      <c r="V574" s="26">
        <v>1438.3</v>
      </c>
    </row>
    <row r="575" spans="1:22" ht="16.8" x14ac:dyDescent="0.3">
      <c r="A575" s="20">
        <v>57.4</v>
      </c>
      <c r="B575" s="20">
        <v>68</v>
      </c>
      <c r="C575" s="26">
        <v>68.239999999999995</v>
      </c>
      <c r="D575" s="20">
        <v>-0.24</v>
      </c>
      <c r="E575" s="20">
        <v>0.03</v>
      </c>
      <c r="F575" s="26">
        <v>1823.97</v>
      </c>
      <c r="Q575" s="20">
        <v>57.4</v>
      </c>
      <c r="R575" s="20">
        <v>68.17</v>
      </c>
      <c r="S575" s="26">
        <v>68</v>
      </c>
      <c r="T575" s="26">
        <v>-0.17</v>
      </c>
      <c r="U575" s="26">
        <v>0.01</v>
      </c>
      <c r="V575" s="20">
        <v>1457.51</v>
      </c>
    </row>
    <row r="576" spans="1:22" ht="16.8" x14ac:dyDescent="0.3">
      <c r="A576" s="20">
        <v>57.5</v>
      </c>
      <c r="B576" s="20">
        <v>68</v>
      </c>
      <c r="C576" s="26">
        <v>68.260000000000005</v>
      </c>
      <c r="D576" s="20">
        <v>-0.26</v>
      </c>
      <c r="E576" s="20">
        <v>-0.02</v>
      </c>
      <c r="F576" s="26">
        <v>1809.01</v>
      </c>
      <c r="Q576" s="20">
        <v>57.5</v>
      </c>
      <c r="R576" s="20">
        <v>68.11</v>
      </c>
      <c r="S576" s="26">
        <v>68</v>
      </c>
      <c r="T576" s="26">
        <v>-0.11</v>
      </c>
      <c r="U576" s="26">
        <v>0.06</v>
      </c>
      <c r="V576" s="26">
        <v>1510.64</v>
      </c>
    </row>
    <row r="577" spans="1:22" ht="16.8" x14ac:dyDescent="0.3">
      <c r="A577" s="20">
        <v>57.6</v>
      </c>
      <c r="B577" s="20">
        <v>68</v>
      </c>
      <c r="C577" s="20">
        <v>68.23</v>
      </c>
      <c r="D577" s="20">
        <v>-0.23</v>
      </c>
      <c r="E577" s="20">
        <v>0.03</v>
      </c>
      <c r="F577" s="20">
        <v>1833.11</v>
      </c>
      <c r="Q577" s="20">
        <v>57.6</v>
      </c>
      <c r="R577" s="20">
        <v>68.12</v>
      </c>
      <c r="S577" s="26">
        <v>68</v>
      </c>
      <c r="T577" s="26">
        <v>-0.12</v>
      </c>
      <c r="U577" s="26">
        <v>-0.01</v>
      </c>
      <c r="V577" s="20">
        <v>1454.19</v>
      </c>
    </row>
    <row r="578" spans="1:22" ht="16.8" x14ac:dyDescent="0.3">
      <c r="A578" s="20">
        <v>57.7</v>
      </c>
      <c r="B578" s="20">
        <v>68</v>
      </c>
      <c r="C578" s="26">
        <v>68.260000000000005</v>
      </c>
      <c r="D578" s="20">
        <v>-0.26</v>
      </c>
      <c r="E578" s="20">
        <v>-0.02</v>
      </c>
      <c r="F578" s="26">
        <v>1814.96</v>
      </c>
      <c r="Q578" s="20">
        <v>57.7</v>
      </c>
      <c r="R578" s="20">
        <v>68.16</v>
      </c>
      <c r="S578" s="26">
        <v>68</v>
      </c>
      <c r="T578" s="26">
        <v>-0.16</v>
      </c>
      <c r="U578" s="26">
        <v>-0.04</v>
      </c>
      <c r="V578" s="26">
        <v>1422.73</v>
      </c>
    </row>
    <row r="579" spans="1:22" ht="16.8" x14ac:dyDescent="0.3">
      <c r="A579" s="20">
        <v>57.8</v>
      </c>
      <c r="B579" s="20">
        <v>68</v>
      </c>
      <c r="C579" s="20">
        <v>68.3</v>
      </c>
      <c r="D579" s="20">
        <v>-0.3</v>
      </c>
      <c r="E579" s="20">
        <v>-0.05</v>
      </c>
      <c r="F579" s="26">
        <v>1779.82</v>
      </c>
      <c r="Q579" s="20">
        <v>57.8</v>
      </c>
      <c r="R579" s="20">
        <v>68.069999999999993</v>
      </c>
      <c r="S579" s="20">
        <v>68</v>
      </c>
      <c r="T579" s="26">
        <v>-7.0000000000000007E-2</v>
      </c>
      <c r="U579" s="26">
        <v>0.08</v>
      </c>
      <c r="V579" s="20">
        <v>1527.37</v>
      </c>
    </row>
    <row r="580" spans="1:22" ht="16.8" x14ac:dyDescent="0.3">
      <c r="A580" s="20">
        <v>57.9</v>
      </c>
      <c r="B580" s="20">
        <v>68</v>
      </c>
      <c r="C580" s="26">
        <v>68.290000000000006</v>
      </c>
      <c r="D580" s="20">
        <v>-0.28999999999999998</v>
      </c>
      <c r="E580" s="20">
        <v>0.01</v>
      </c>
      <c r="F580" s="20">
        <v>1788.49</v>
      </c>
      <c r="Q580" s="20">
        <v>57.9</v>
      </c>
      <c r="R580" s="20">
        <v>68.069999999999993</v>
      </c>
      <c r="S580" s="26">
        <v>68</v>
      </c>
      <c r="T580" s="26">
        <v>-7.0000000000000007E-2</v>
      </c>
      <c r="U580" s="26">
        <v>0</v>
      </c>
      <c r="V580" s="20">
        <v>1466.26</v>
      </c>
    </row>
    <row r="581" spans="1:22" ht="16.8" x14ac:dyDescent="0.3">
      <c r="A581" s="20">
        <v>58</v>
      </c>
      <c r="B581" s="20">
        <v>68</v>
      </c>
      <c r="C581" s="26">
        <v>68.25</v>
      </c>
      <c r="D581" s="20">
        <v>-0.25</v>
      </c>
      <c r="E581" s="20">
        <v>0.04</v>
      </c>
      <c r="F581" s="26">
        <v>1817.94</v>
      </c>
      <c r="Q581" s="20">
        <v>58</v>
      </c>
      <c r="R581" s="20">
        <v>68.099999999999994</v>
      </c>
      <c r="S581" s="26">
        <v>68</v>
      </c>
      <c r="T581" s="26">
        <v>-0.1</v>
      </c>
      <c r="U581" s="26">
        <v>-0.02</v>
      </c>
      <c r="V581" s="26">
        <v>1443.72</v>
      </c>
    </row>
    <row r="582" spans="1:22" ht="16.8" x14ac:dyDescent="0.3">
      <c r="A582" s="20">
        <v>58.1</v>
      </c>
      <c r="B582" s="20">
        <v>68</v>
      </c>
      <c r="C582" s="20">
        <v>68.209999999999994</v>
      </c>
      <c r="D582" s="20">
        <v>-0.21</v>
      </c>
      <c r="E582" s="20">
        <v>0.04</v>
      </c>
      <c r="F582" s="26">
        <v>1848.53</v>
      </c>
      <c r="Q582" s="20">
        <v>58.1</v>
      </c>
      <c r="R582" s="20">
        <v>68.05</v>
      </c>
      <c r="S582" s="26">
        <v>68</v>
      </c>
      <c r="T582" s="26">
        <v>-0.05</v>
      </c>
      <c r="U582" s="26">
        <v>0.05</v>
      </c>
      <c r="V582" s="20">
        <v>1506.48</v>
      </c>
    </row>
    <row r="583" spans="1:22" ht="16.8" x14ac:dyDescent="0.3">
      <c r="A583" s="20">
        <v>58.2</v>
      </c>
      <c r="B583" s="20">
        <v>68</v>
      </c>
      <c r="C583" s="26">
        <v>68.25</v>
      </c>
      <c r="D583" s="20">
        <v>-0.25</v>
      </c>
      <c r="E583" s="20">
        <v>-0.04</v>
      </c>
      <c r="F583" s="20">
        <v>1817.94</v>
      </c>
      <c r="Q583" s="20">
        <v>58.2</v>
      </c>
      <c r="R583" s="20">
        <v>68.11</v>
      </c>
      <c r="S583" s="26">
        <v>68</v>
      </c>
      <c r="T583" s="26">
        <v>-0.11</v>
      </c>
      <c r="U583" s="26">
        <v>-0.06</v>
      </c>
      <c r="V583" s="26">
        <v>1417.64</v>
      </c>
    </row>
    <row r="584" spans="1:22" ht="16.8" x14ac:dyDescent="0.3">
      <c r="A584" s="20">
        <v>58.3</v>
      </c>
      <c r="B584" s="20">
        <v>68</v>
      </c>
      <c r="C584" s="26">
        <v>68.23</v>
      </c>
      <c r="D584" s="20">
        <v>-0.23</v>
      </c>
      <c r="E584" s="20">
        <v>0.02</v>
      </c>
      <c r="F584" s="26">
        <v>1836.19</v>
      </c>
      <c r="Q584" s="20">
        <v>58.3</v>
      </c>
      <c r="R584" s="20">
        <v>68.040000000000006</v>
      </c>
      <c r="S584" s="26">
        <v>68</v>
      </c>
      <c r="T584" s="26">
        <v>-0.04</v>
      </c>
      <c r="U584" s="26">
        <v>0.06</v>
      </c>
      <c r="V584" s="20">
        <v>1519.65</v>
      </c>
    </row>
    <row r="585" spans="1:22" ht="16.8" x14ac:dyDescent="0.3">
      <c r="A585" s="20">
        <v>58.4</v>
      </c>
      <c r="B585" s="20">
        <v>68</v>
      </c>
      <c r="C585" s="20">
        <v>68.25</v>
      </c>
      <c r="D585" s="20">
        <v>-0.25</v>
      </c>
      <c r="E585" s="20">
        <v>-0.02</v>
      </c>
      <c r="F585" s="20">
        <v>1820.95</v>
      </c>
      <c r="Q585" s="20">
        <v>58.4</v>
      </c>
      <c r="R585" s="20">
        <v>68.05</v>
      </c>
      <c r="S585" s="26">
        <v>68</v>
      </c>
      <c r="T585" s="26">
        <v>-0.05</v>
      </c>
      <c r="U585" s="26">
        <v>-0.01</v>
      </c>
      <c r="V585" s="26">
        <v>1463.36</v>
      </c>
    </row>
    <row r="586" spans="1:22" ht="16.8" x14ac:dyDescent="0.3">
      <c r="A586" s="20">
        <v>58.5</v>
      </c>
      <c r="B586" s="20">
        <v>68</v>
      </c>
      <c r="C586" s="26">
        <v>68.239999999999995</v>
      </c>
      <c r="D586" s="20">
        <v>-0.24</v>
      </c>
      <c r="E586" s="20">
        <v>0</v>
      </c>
      <c r="F586" s="26">
        <v>1823.97</v>
      </c>
      <c r="Q586" s="20">
        <v>58.5</v>
      </c>
      <c r="R586" s="20">
        <v>68.040000000000006</v>
      </c>
      <c r="S586" s="26">
        <v>68</v>
      </c>
      <c r="T586" s="26">
        <v>-0.04</v>
      </c>
      <c r="U586" s="26">
        <v>0.01</v>
      </c>
      <c r="V586" s="20">
        <v>1476.78</v>
      </c>
    </row>
    <row r="587" spans="1:22" ht="16.8" x14ac:dyDescent="0.3">
      <c r="A587" s="20">
        <v>58.6</v>
      </c>
      <c r="B587" s="20">
        <v>68</v>
      </c>
      <c r="C587" s="20">
        <v>68.25</v>
      </c>
      <c r="D587" s="20">
        <v>-0.25</v>
      </c>
      <c r="E587" s="20">
        <v>0</v>
      </c>
      <c r="F587" s="26">
        <v>1820.95</v>
      </c>
      <c r="Q587" s="20">
        <v>58.6</v>
      </c>
      <c r="R587" s="20">
        <v>68.040000000000006</v>
      </c>
      <c r="S587" s="26">
        <v>68</v>
      </c>
      <c r="T587" s="26">
        <v>-0.04</v>
      </c>
      <c r="U587" s="26">
        <v>0</v>
      </c>
      <c r="V587" s="26">
        <v>1470.59</v>
      </c>
    </row>
    <row r="588" spans="1:22" ht="16.8" x14ac:dyDescent="0.3">
      <c r="A588" s="20">
        <v>58.7</v>
      </c>
      <c r="B588" s="20">
        <v>68</v>
      </c>
      <c r="C588" s="26">
        <v>68.260000000000005</v>
      </c>
      <c r="D588" s="20">
        <v>-0.26</v>
      </c>
      <c r="E588" s="20">
        <v>-0.01</v>
      </c>
      <c r="F588" s="20">
        <v>1814.96</v>
      </c>
      <c r="Q588" s="20">
        <v>58.7</v>
      </c>
      <c r="R588" s="20">
        <v>68.069999999999993</v>
      </c>
      <c r="S588" s="26">
        <v>68</v>
      </c>
      <c r="T588" s="26">
        <v>-7.0000000000000007E-2</v>
      </c>
      <c r="U588" s="26">
        <v>-0.02</v>
      </c>
      <c r="V588" s="20">
        <v>1448.13</v>
      </c>
    </row>
    <row r="589" spans="1:22" ht="16.8" x14ac:dyDescent="0.3">
      <c r="A589" s="20">
        <v>58.8</v>
      </c>
      <c r="B589" s="20">
        <v>68</v>
      </c>
      <c r="C589" s="26">
        <v>68.2</v>
      </c>
      <c r="D589" s="20">
        <v>-0.2</v>
      </c>
      <c r="E589" s="20">
        <v>0.05</v>
      </c>
      <c r="F589" s="26">
        <v>1854.8</v>
      </c>
      <c r="Q589" s="20">
        <v>58.8</v>
      </c>
      <c r="R589" s="20">
        <v>67.989999999999995</v>
      </c>
      <c r="S589" s="26">
        <v>68</v>
      </c>
      <c r="T589" s="26">
        <v>0.01</v>
      </c>
      <c r="U589" s="26">
        <v>7.0000000000000007E-2</v>
      </c>
      <c r="V589" s="20">
        <v>1533.33</v>
      </c>
    </row>
    <row r="590" spans="1:22" ht="16.8" x14ac:dyDescent="0.3">
      <c r="A590" s="20">
        <v>58.9</v>
      </c>
      <c r="B590" s="20">
        <v>68</v>
      </c>
      <c r="C590" s="20">
        <v>68.25</v>
      </c>
      <c r="D590" s="20">
        <v>-0.25</v>
      </c>
      <c r="E590" s="20">
        <v>-0.05</v>
      </c>
      <c r="F590" s="26">
        <v>1817.94</v>
      </c>
      <c r="Q590" s="20">
        <v>58.9</v>
      </c>
      <c r="R590" s="20">
        <v>68.06</v>
      </c>
      <c r="S590" s="26">
        <v>68</v>
      </c>
      <c r="T590" s="26">
        <v>-0.06</v>
      </c>
      <c r="U590" s="26">
        <v>-0.06</v>
      </c>
      <c r="V590" s="26">
        <v>1418.88</v>
      </c>
    </row>
    <row r="591" spans="1:22" ht="16.8" x14ac:dyDescent="0.3">
      <c r="A591" s="20">
        <v>59</v>
      </c>
      <c r="B591" s="20">
        <v>68</v>
      </c>
      <c r="C591" s="26">
        <v>68.260000000000005</v>
      </c>
      <c r="D591" s="20">
        <v>-0.26</v>
      </c>
      <c r="E591" s="20">
        <v>0</v>
      </c>
      <c r="F591" s="20">
        <v>1814.96</v>
      </c>
      <c r="Q591" s="20">
        <v>59</v>
      </c>
      <c r="R591" s="20">
        <v>67.98</v>
      </c>
      <c r="S591" s="26">
        <v>68</v>
      </c>
      <c r="T591" s="26">
        <v>0.02</v>
      </c>
      <c r="U591" s="26">
        <v>0.08</v>
      </c>
      <c r="V591" s="20">
        <v>1542.02</v>
      </c>
    </row>
    <row r="592" spans="1:22" ht="16.8" x14ac:dyDescent="0.3">
      <c r="A592" s="20">
        <v>59.1</v>
      </c>
      <c r="B592" s="20">
        <v>68</v>
      </c>
      <c r="C592" s="20">
        <v>68.260000000000005</v>
      </c>
      <c r="D592" s="20">
        <v>-0.26</v>
      </c>
      <c r="E592" s="20">
        <v>0</v>
      </c>
      <c r="F592" s="26">
        <v>1814.96</v>
      </c>
      <c r="Q592" s="20">
        <v>59.1</v>
      </c>
      <c r="R592" s="20">
        <v>68.03</v>
      </c>
      <c r="S592" s="26">
        <v>68</v>
      </c>
      <c r="T592" s="20">
        <v>-0.03</v>
      </c>
      <c r="U592" s="20">
        <v>-0.05</v>
      </c>
      <c r="V592" s="26">
        <v>1436.43</v>
      </c>
    </row>
    <row r="593" spans="1:22" ht="16.8" x14ac:dyDescent="0.3">
      <c r="A593" s="20">
        <v>59.2</v>
      </c>
      <c r="B593" s="20">
        <v>68</v>
      </c>
      <c r="C593" s="26">
        <v>68.19</v>
      </c>
      <c r="D593" s="20">
        <v>-0.19</v>
      </c>
      <c r="E593" s="20">
        <v>7.0000000000000007E-2</v>
      </c>
      <c r="F593" s="20">
        <v>1867.89</v>
      </c>
      <c r="Q593" s="20">
        <v>59.2</v>
      </c>
      <c r="R593" s="20">
        <v>67.989999999999995</v>
      </c>
      <c r="S593" s="26">
        <v>68</v>
      </c>
      <c r="T593" s="26">
        <v>0.01</v>
      </c>
      <c r="U593" s="26">
        <v>0.04</v>
      </c>
      <c r="V593" s="20">
        <v>1510.18</v>
      </c>
    </row>
    <row r="594" spans="1:22" ht="16.8" x14ac:dyDescent="0.3">
      <c r="A594" s="20">
        <v>59.3</v>
      </c>
      <c r="B594" s="20">
        <v>68</v>
      </c>
      <c r="C594" s="26">
        <v>68.22</v>
      </c>
      <c r="D594" s="20">
        <v>-0.22</v>
      </c>
      <c r="E594" s="20">
        <v>-0.03</v>
      </c>
      <c r="F594" s="26">
        <v>1842.33</v>
      </c>
      <c r="Q594" s="20">
        <v>59.3</v>
      </c>
      <c r="R594" s="20">
        <v>67.989999999999995</v>
      </c>
      <c r="S594" s="26">
        <v>68</v>
      </c>
      <c r="T594" s="20">
        <v>0.01</v>
      </c>
      <c r="U594" s="20">
        <v>-0.01</v>
      </c>
      <c r="V594" s="26">
        <v>1472.3</v>
      </c>
    </row>
    <row r="595" spans="1:22" ht="16.8" x14ac:dyDescent="0.3">
      <c r="A595" s="20">
        <v>59.4</v>
      </c>
      <c r="B595" s="20">
        <v>68</v>
      </c>
      <c r="C595" s="20">
        <v>68.22</v>
      </c>
      <c r="D595" s="20">
        <v>-0.22</v>
      </c>
      <c r="E595" s="20">
        <v>0</v>
      </c>
      <c r="F595" s="26">
        <v>1842.33</v>
      </c>
      <c r="Q595" s="20">
        <v>59.4</v>
      </c>
      <c r="R595" s="20">
        <v>67.98</v>
      </c>
      <c r="S595" s="26">
        <v>68</v>
      </c>
      <c r="T595" s="26">
        <v>0.02</v>
      </c>
      <c r="U595" s="26">
        <v>0.02</v>
      </c>
      <c r="V595" s="20">
        <v>1493.31</v>
      </c>
    </row>
    <row r="596" spans="1:22" ht="16.8" x14ac:dyDescent="0.3">
      <c r="A596" s="20">
        <v>59.5</v>
      </c>
      <c r="B596" s="20">
        <v>68</v>
      </c>
      <c r="C596" s="26">
        <v>68.260000000000005</v>
      </c>
      <c r="D596" s="20">
        <v>-0.26</v>
      </c>
      <c r="E596" s="20">
        <v>-0.04</v>
      </c>
      <c r="F596" s="20">
        <v>1809.01</v>
      </c>
      <c r="Q596" s="20">
        <v>59.5</v>
      </c>
      <c r="R596" s="20">
        <v>67.989999999999995</v>
      </c>
      <c r="S596" s="26">
        <v>68</v>
      </c>
      <c r="T596" s="20">
        <v>0.01</v>
      </c>
      <c r="U596" s="20">
        <v>-0.01</v>
      </c>
      <c r="V596" s="26">
        <v>1473.73</v>
      </c>
    </row>
    <row r="597" spans="1:22" ht="16.8" x14ac:dyDescent="0.3">
      <c r="A597" s="20">
        <v>59.6</v>
      </c>
      <c r="B597" s="20">
        <v>68</v>
      </c>
      <c r="C597" s="26">
        <v>68.25</v>
      </c>
      <c r="D597" s="20">
        <v>-0.25</v>
      </c>
      <c r="E597" s="20">
        <v>0.01</v>
      </c>
      <c r="F597" s="26">
        <v>1817.94</v>
      </c>
      <c r="Q597" s="20">
        <v>59.6</v>
      </c>
      <c r="R597" s="20">
        <v>68.010000000000005</v>
      </c>
      <c r="S597" s="26">
        <v>68</v>
      </c>
      <c r="T597" s="26">
        <v>-0.01</v>
      </c>
      <c r="U597" s="26">
        <v>-0.02</v>
      </c>
      <c r="V597" s="20">
        <v>1457.5</v>
      </c>
    </row>
    <row r="598" spans="1:22" ht="16.8" x14ac:dyDescent="0.3">
      <c r="A598" s="20">
        <v>59.7</v>
      </c>
      <c r="B598" s="20">
        <v>68</v>
      </c>
      <c r="C598" s="20">
        <v>68.25</v>
      </c>
      <c r="D598" s="20">
        <v>-0.25</v>
      </c>
      <c r="E598" s="20">
        <v>0</v>
      </c>
      <c r="F598" s="26">
        <v>1820.95</v>
      </c>
      <c r="Q598" s="20">
        <v>59.7</v>
      </c>
      <c r="R598" s="20">
        <v>67.98</v>
      </c>
      <c r="S598" s="26">
        <v>68</v>
      </c>
      <c r="T598" s="26">
        <v>0.02</v>
      </c>
      <c r="U598" s="26">
        <v>0.03</v>
      </c>
      <c r="V598" s="26">
        <v>1505.56</v>
      </c>
    </row>
    <row r="599" spans="1:22" ht="16.8" x14ac:dyDescent="0.3">
      <c r="A599" s="20">
        <v>59.8</v>
      </c>
      <c r="B599" s="20">
        <v>68</v>
      </c>
      <c r="C599" s="26">
        <v>68.25</v>
      </c>
      <c r="D599" s="20">
        <v>-0.25</v>
      </c>
      <c r="E599" s="20">
        <v>0</v>
      </c>
      <c r="F599" s="20">
        <v>1817.94</v>
      </c>
      <c r="Q599" s="20">
        <v>59.8</v>
      </c>
      <c r="R599" s="20">
        <v>68.03</v>
      </c>
      <c r="S599" s="26">
        <v>68</v>
      </c>
      <c r="T599" s="26">
        <v>-0.03</v>
      </c>
      <c r="U599" s="26">
        <v>-0.05</v>
      </c>
      <c r="V599" s="20">
        <v>1436.53</v>
      </c>
    </row>
    <row r="600" spans="1:22" ht="16.8" x14ac:dyDescent="0.3">
      <c r="A600" s="20">
        <v>59.9</v>
      </c>
      <c r="B600" s="20">
        <v>68</v>
      </c>
      <c r="C600" s="26">
        <v>68.27</v>
      </c>
      <c r="D600" s="20">
        <v>-0.27</v>
      </c>
      <c r="E600" s="20">
        <v>-0.02</v>
      </c>
      <c r="F600" s="26">
        <v>1803.14</v>
      </c>
      <c r="Q600" s="20">
        <v>59.9</v>
      </c>
      <c r="R600" s="20">
        <v>68.069999999999993</v>
      </c>
      <c r="S600" s="26">
        <v>68</v>
      </c>
      <c r="T600" s="26">
        <v>-7.0000000000000007E-2</v>
      </c>
      <c r="U600" s="26">
        <v>-0.05</v>
      </c>
      <c r="V600" s="20">
        <v>1428.29</v>
      </c>
    </row>
    <row r="601" spans="1:22" ht="16.8" x14ac:dyDescent="0.3">
      <c r="A601" s="20">
        <v>60</v>
      </c>
      <c r="B601" s="20">
        <v>68</v>
      </c>
      <c r="C601" s="20">
        <v>68.27</v>
      </c>
      <c r="D601" s="20">
        <v>-0.27</v>
      </c>
      <c r="E601" s="20">
        <v>0</v>
      </c>
      <c r="F601" s="20">
        <v>1806.09</v>
      </c>
      <c r="Q601" s="20">
        <v>60</v>
      </c>
      <c r="R601" s="20">
        <v>68.03</v>
      </c>
      <c r="S601" s="26">
        <v>68</v>
      </c>
      <c r="T601" s="26">
        <v>-0.03</v>
      </c>
      <c r="U601" s="20">
        <v>0.05</v>
      </c>
      <c r="V601" s="26">
        <v>1509.39</v>
      </c>
    </row>
    <row r="602" spans="1:22" ht="16.8" x14ac:dyDescent="0.3">
      <c r="A602" s="24">
        <v>60.1</v>
      </c>
      <c r="B602" s="24">
        <v>68</v>
      </c>
      <c r="C602" s="25">
        <v>68.22</v>
      </c>
      <c r="D602" s="24">
        <v>-0.22</v>
      </c>
      <c r="E602" s="24">
        <v>0.05</v>
      </c>
      <c r="F602" s="25">
        <v>1845.41</v>
      </c>
      <c r="Q602" s="24">
        <v>60.1</v>
      </c>
      <c r="R602" s="24">
        <v>68.03</v>
      </c>
      <c r="S602" s="25">
        <v>68</v>
      </c>
      <c r="T602" s="25">
        <v>-0.03</v>
      </c>
      <c r="U602" s="25">
        <v>0</v>
      </c>
      <c r="V602" s="24">
        <v>1472.77</v>
      </c>
    </row>
  </sheetData>
  <mergeCells count="22">
    <mergeCell ref="H35:J35"/>
    <mergeCell ref="H18:K18"/>
    <mergeCell ref="J19:K19"/>
    <mergeCell ref="J20:K20"/>
    <mergeCell ref="H22:J22"/>
    <mergeCell ref="H23:J23"/>
    <mergeCell ref="H28:I28"/>
    <mergeCell ref="H29:I29"/>
    <mergeCell ref="H31:I31"/>
    <mergeCell ref="H32:I32"/>
    <mergeCell ref="H34:J34"/>
    <mergeCell ref="X29:Y29"/>
    <mergeCell ref="X31:Y31"/>
    <mergeCell ref="X32:Y32"/>
    <mergeCell ref="X34:Z34"/>
    <mergeCell ref="X35:Z35"/>
    <mergeCell ref="X28:Y28"/>
    <mergeCell ref="X18:AA18"/>
    <mergeCell ref="Z19:AA19"/>
    <mergeCell ref="Z20:AA20"/>
    <mergeCell ref="X22:Z22"/>
    <mergeCell ref="X23:Z23"/>
  </mergeCells>
  <dataValidations count="6">
    <dataValidation allowBlank="1" showInputMessage="1" showErrorMessage="1" prompt="TBL_HST[CH6]" sqref="V2:V602 F2:F602" xr:uid="{460B8608-6898-4C6A-B01F-E562EA248945}"/>
    <dataValidation allowBlank="1" showInputMessage="1" showErrorMessage="1" prompt="TBL_HST[CH5]" sqref="U2:U602 E2:E602" xr:uid="{477FC635-4B21-4467-9806-724803518669}"/>
    <dataValidation allowBlank="1" showInputMessage="1" showErrorMessage="1" prompt="TBL_HST[CH4]" sqref="T2:T602 D2:D411 D413:D602 F412" xr:uid="{4291B8FB-BBAC-4AD0-9394-32CF8427E252}"/>
    <dataValidation allowBlank="1" showInputMessage="1" showErrorMessage="1" prompt="TBL_HST[CH3]" sqref="S2:S602 C2:C602" xr:uid="{920C1DB7-0767-4DE3-A2E0-17307B85C16D}"/>
    <dataValidation allowBlank="1" showInputMessage="1" showErrorMessage="1" prompt="TBL_HST[CH2]" sqref="R2:R602 B2:B602" xr:uid="{0A953EF1-B5B6-4FEB-98FA-21201C673679}"/>
    <dataValidation allowBlank="1" showInputMessage="1" showErrorMessage="1" prompt="TBL_HST[CH1]" sqref="Q2:Q602 A2:A602" xr:uid="{EC8FB8E6-5E29-4133-B714-BD442EF88625}"/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AD61-48E8-4683-B265-8E1F82DF23C0}">
  <dimension ref="A1:AA602"/>
  <sheetViews>
    <sheetView topLeftCell="C1" zoomScale="105" workbookViewId="0">
      <selection activeCell="H24" sqref="H24"/>
    </sheetView>
  </sheetViews>
  <sheetFormatPr defaultRowHeight="14.4" x14ac:dyDescent="0.3"/>
  <cols>
    <col min="5" max="5" width="9" bestFit="1" customWidth="1"/>
    <col min="6" max="6" width="10.109375" bestFit="1" customWidth="1"/>
    <col min="8" max="8" width="18" customWidth="1"/>
    <col min="9" max="9" width="17.44140625" customWidth="1"/>
    <col min="11" max="11" width="11.6640625" customWidth="1"/>
    <col min="17" max="21" width="9" bestFit="1" customWidth="1"/>
    <col min="22" max="22" width="10.109375" bestFit="1" customWidth="1"/>
    <col min="24" max="24" width="22.44140625" customWidth="1"/>
    <col min="25" max="25" width="11.33203125" customWidth="1"/>
    <col min="27" max="27" width="15.33203125" customWidth="1"/>
  </cols>
  <sheetData>
    <row r="1" spans="1:22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71</v>
      </c>
      <c r="C2" s="20">
        <v>27.97</v>
      </c>
      <c r="D2" s="20">
        <v>43.03</v>
      </c>
      <c r="E2" s="20">
        <v>6</v>
      </c>
      <c r="F2" s="26">
        <v>2048</v>
      </c>
      <c r="Q2" s="20">
        <v>0.1</v>
      </c>
      <c r="R2" s="20">
        <v>34.549999999999997</v>
      </c>
      <c r="S2" s="26">
        <v>71</v>
      </c>
      <c r="T2" s="26">
        <v>36.450000000000003</v>
      </c>
      <c r="U2" s="26">
        <v>36.450000000000003</v>
      </c>
      <c r="V2" s="20">
        <v>4095</v>
      </c>
    </row>
    <row r="3" spans="1:22" ht="16.8" x14ac:dyDescent="0.3">
      <c r="A3" s="20">
        <v>0.2</v>
      </c>
      <c r="B3" s="20">
        <v>71</v>
      </c>
      <c r="C3" s="26">
        <v>28.02</v>
      </c>
      <c r="D3" s="20">
        <v>42.98</v>
      </c>
      <c r="E3" s="20">
        <v>-0.06</v>
      </c>
      <c r="F3" s="20">
        <v>3356.33</v>
      </c>
      <c r="Q3" s="20">
        <v>0.2</v>
      </c>
      <c r="R3" s="20">
        <v>35.44</v>
      </c>
      <c r="S3" s="26">
        <v>71</v>
      </c>
      <c r="T3" s="26">
        <v>35.56</v>
      </c>
      <c r="U3" s="26">
        <v>-0.89</v>
      </c>
      <c r="V3" s="26">
        <v>4095</v>
      </c>
    </row>
    <row r="4" spans="1:22" ht="16.8" x14ac:dyDescent="0.3">
      <c r="A4" s="20">
        <v>0.3</v>
      </c>
      <c r="B4" s="20">
        <v>71</v>
      </c>
      <c r="C4" s="26">
        <v>28.1</v>
      </c>
      <c r="D4" s="20">
        <v>42.9</v>
      </c>
      <c r="E4" s="20">
        <v>-7.0000000000000007E-2</v>
      </c>
      <c r="F4" s="26">
        <v>3343.67</v>
      </c>
      <c r="Q4" s="20">
        <v>0.3</v>
      </c>
      <c r="R4" s="20">
        <v>35.54</v>
      </c>
      <c r="S4" s="26">
        <v>71</v>
      </c>
      <c r="T4" s="26">
        <v>35.46</v>
      </c>
      <c r="U4" s="26">
        <v>-0.1</v>
      </c>
      <c r="V4" s="20">
        <v>4095</v>
      </c>
    </row>
    <row r="5" spans="1:22" ht="16.8" x14ac:dyDescent="0.3">
      <c r="A5" s="20">
        <v>0.4</v>
      </c>
      <c r="B5" s="20">
        <v>71</v>
      </c>
      <c r="C5" s="20">
        <v>28.16</v>
      </c>
      <c r="D5" s="20">
        <v>42.84</v>
      </c>
      <c r="E5" s="20">
        <v>-0.06</v>
      </c>
      <c r="F5" s="20">
        <v>3353.12</v>
      </c>
      <c r="Q5" s="20">
        <v>0.4</v>
      </c>
      <c r="R5" s="20">
        <v>35.659999999999997</v>
      </c>
      <c r="S5" s="26">
        <v>71</v>
      </c>
      <c r="T5" s="26">
        <v>35.340000000000003</v>
      </c>
      <c r="U5" s="26">
        <v>-0.12</v>
      </c>
      <c r="V5" s="20">
        <v>4095</v>
      </c>
    </row>
    <row r="6" spans="1:22" ht="16.8" x14ac:dyDescent="0.3">
      <c r="A6" s="20">
        <v>0.5</v>
      </c>
      <c r="B6" s="20">
        <v>71</v>
      </c>
      <c r="C6" s="26">
        <v>28.14</v>
      </c>
      <c r="D6" s="20">
        <v>42.86</v>
      </c>
      <c r="E6" s="20">
        <v>0.01</v>
      </c>
      <c r="F6" s="26">
        <v>3404.35</v>
      </c>
      <c r="Q6" s="20">
        <v>0.5</v>
      </c>
      <c r="R6" s="20">
        <v>35.81</v>
      </c>
      <c r="S6" s="26">
        <v>71</v>
      </c>
      <c r="T6" s="26">
        <v>35.19</v>
      </c>
      <c r="U6" s="26">
        <v>-0.15</v>
      </c>
      <c r="V6" s="26">
        <v>4095</v>
      </c>
    </row>
    <row r="7" spans="1:22" ht="16.8" x14ac:dyDescent="0.3">
      <c r="A7" s="20">
        <v>0.6</v>
      </c>
      <c r="B7" s="20">
        <v>71</v>
      </c>
      <c r="C7" s="20">
        <v>28.24</v>
      </c>
      <c r="D7" s="20">
        <v>42.76</v>
      </c>
      <c r="E7" s="20">
        <v>-0.09</v>
      </c>
      <c r="F7" s="26">
        <v>3328.46</v>
      </c>
      <c r="Q7" s="20">
        <v>0.6</v>
      </c>
      <c r="R7" s="20">
        <v>36</v>
      </c>
      <c r="S7" s="26">
        <v>71</v>
      </c>
      <c r="T7" s="26">
        <v>35</v>
      </c>
      <c r="U7" s="26">
        <v>-0.19</v>
      </c>
      <c r="V7" s="20">
        <v>4095</v>
      </c>
    </row>
    <row r="8" spans="1:22" ht="16.8" x14ac:dyDescent="0.3">
      <c r="A8" s="20">
        <v>0.7</v>
      </c>
      <c r="B8" s="20">
        <v>71</v>
      </c>
      <c r="C8" s="26">
        <v>28.35</v>
      </c>
      <c r="D8" s="20">
        <v>42.65</v>
      </c>
      <c r="E8" s="20">
        <v>-0.12</v>
      </c>
      <c r="F8" s="20">
        <v>3311.06</v>
      </c>
      <c r="Q8" s="20">
        <v>0.7</v>
      </c>
      <c r="R8" s="20">
        <v>36.28</v>
      </c>
      <c r="S8" s="26">
        <v>71</v>
      </c>
      <c r="T8" s="26">
        <v>34.72</v>
      </c>
      <c r="U8" s="26">
        <v>-0.27</v>
      </c>
      <c r="V8" s="26">
        <v>4095</v>
      </c>
    </row>
    <row r="9" spans="1:22" ht="16.8" x14ac:dyDescent="0.3">
      <c r="A9" s="20">
        <v>0.8</v>
      </c>
      <c r="B9" s="20">
        <v>71</v>
      </c>
      <c r="C9" s="26">
        <v>28.57</v>
      </c>
      <c r="D9" s="20">
        <v>42.43</v>
      </c>
      <c r="E9" s="20">
        <v>-0.21</v>
      </c>
      <c r="F9" s="26">
        <v>3234.1</v>
      </c>
      <c r="Q9" s="20">
        <v>0.8</v>
      </c>
      <c r="R9" s="20">
        <v>36.71</v>
      </c>
      <c r="S9" s="26">
        <v>71</v>
      </c>
      <c r="T9" s="26">
        <v>34.29</v>
      </c>
      <c r="U9" s="26">
        <v>-0.44</v>
      </c>
      <c r="V9" s="20">
        <v>4095</v>
      </c>
    </row>
    <row r="10" spans="1:22" ht="16.8" x14ac:dyDescent="0.3">
      <c r="A10" s="20">
        <v>0.9</v>
      </c>
      <c r="B10" s="20">
        <v>71</v>
      </c>
      <c r="C10" s="20">
        <v>28.85</v>
      </c>
      <c r="D10" s="20">
        <v>42.15</v>
      </c>
      <c r="E10" s="20">
        <v>-0.28999999999999998</v>
      </c>
      <c r="F10" s="20">
        <v>3134.03</v>
      </c>
      <c r="Q10" s="20">
        <v>0.9</v>
      </c>
      <c r="R10" s="20">
        <v>37.19</v>
      </c>
      <c r="S10" s="26">
        <v>71</v>
      </c>
      <c r="T10" s="26">
        <v>33.81</v>
      </c>
      <c r="U10" s="26">
        <v>-0.48</v>
      </c>
      <c r="V10" s="26">
        <v>4095</v>
      </c>
    </row>
    <row r="11" spans="1:22" ht="16.8" x14ac:dyDescent="0.3">
      <c r="A11" s="20">
        <v>1</v>
      </c>
      <c r="B11" s="20">
        <v>71</v>
      </c>
      <c r="C11" s="26">
        <v>29.13</v>
      </c>
      <c r="D11" s="20">
        <v>41.87</v>
      </c>
      <c r="E11" s="20">
        <v>-0.28000000000000003</v>
      </c>
      <c r="F11" s="26">
        <v>3146.39</v>
      </c>
      <c r="Q11" s="20">
        <v>1</v>
      </c>
      <c r="R11" s="20">
        <v>37.74</v>
      </c>
      <c r="S11" s="26">
        <v>71</v>
      </c>
      <c r="T11" s="26">
        <v>33.26</v>
      </c>
      <c r="U11" s="26">
        <v>-0.55000000000000004</v>
      </c>
      <c r="V11" s="20">
        <v>4095</v>
      </c>
    </row>
    <row r="12" spans="1:22" ht="16.8" x14ac:dyDescent="0.3">
      <c r="A12" s="20">
        <v>1.1000000000000001</v>
      </c>
      <c r="B12" s="20">
        <v>71</v>
      </c>
      <c r="C12" s="26">
        <v>29.46</v>
      </c>
      <c r="D12" s="20">
        <v>41.54</v>
      </c>
      <c r="E12" s="20">
        <v>-0.33</v>
      </c>
      <c r="F12" s="26">
        <v>3081.95</v>
      </c>
      <c r="Q12" s="32">
        <v>1.1000000000000001</v>
      </c>
      <c r="R12" s="32">
        <v>38.299999999999997</v>
      </c>
      <c r="S12" s="34">
        <v>71</v>
      </c>
      <c r="T12" s="32">
        <v>32.700000000000003</v>
      </c>
      <c r="U12" s="34">
        <v>-0.56000000000000005</v>
      </c>
      <c r="V12" s="34">
        <v>4095</v>
      </c>
    </row>
    <row r="13" spans="1:22" ht="16.8" x14ac:dyDescent="0.3">
      <c r="A13" s="20">
        <v>1.2</v>
      </c>
      <c r="B13" s="20">
        <v>71</v>
      </c>
      <c r="C13" s="20">
        <v>29.84</v>
      </c>
      <c r="D13" s="20">
        <v>41.16</v>
      </c>
      <c r="E13" s="20">
        <v>-0.39</v>
      </c>
      <c r="F13" s="20">
        <v>3051.88</v>
      </c>
      <c r="Q13" s="32">
        <v>1.2</v>
      </c>
      <c r="R13" s="32">
        <v>38.92</v>
      </c>
      <c r="S13" s="34">
        <v>71</v>
      </c>
      <c r="T13" s="34">
        <v>32.08</v>
      </c>
      <c r="U13" s="34">
        <v>-0.62</v>
      </c>
      <c r="V13" s="32">
        <v>4095</v>
      </c>
    </row>
    <row r="14" spans="1:22" ht="16.8" x14ac:dyDescent="0.3">
      <c r="A14" s="20">
        <v>1.3</v>
      </c>
      <c r="B14" s="20">
        <v>71</v>
      </c>
      <c r="C14" s="26">
        <v>30.3</v>
      </c>
      <c r="D14" s="20">
        <v>40.700000000000003</v>
      </c>
      <c r="E14" s="20">
        <v>-0.45</v>
      </c>
      <c r="F14" s="26">
        <v>3027.16</v>
      </c>
      <c r="Q14" s="32">
        <v>1.3</v>
      </c>
      <c r="R14" s="32">
        <v>39.6</v>
      </c>
      <c r="S14" s="34">
        <v>71</v>
      </c>
      <c r="T14" s="32">
        <v>31.4</v>
      </c>
      <c r="U14" s="34">
        <v>-0.68</v>
      </c>
      <c r="V14" s="34">
        <v>4095</v>
      </c>
    </row>
    <row r="15" spans="1:22" ht="16.8" x14ac:dyDescent="0.3">
      <c r="A15" s="20">
        <v>1.4</v>
      </c>
      <c r="B15" s="20">
        <v>71</v>
      </c>
      <c r="C15" s="20">
        <v>30.74</v>
      </c>
      <c r="D15" s="20">
        <v>40.26</v>
      </c>
      <c r="E15" s="20">
        <v>-0.44</v>
      </c>
      <c r="F15" s="20">
        <v>3029.89</v>
      </c>
      <c r="Q15" s="32">
        <v>1.4</v>
      </c>
      <c r="R15" s="32">
        <v>40.29</v>
      </c>
      <c r="S15" s="34">
        <v>71</v>
      </c>
      <c r="T15" s="34">
        <v>30.71</v>
      </c>
      <c r="U15" s="34">
        <v>-0.68</v>
      </c>
      <c r="V15" s="32">
        <v>4095</v>
      </c>
    </row>
    <row r="16" spans="1:22" ht="16.8" x14ac:dyDescent="0.3">
      <c r="A16" s="20">
        <v>1.5</v>
      </c>
      <c r="B16" s="20">
        <v>71</v>
      </c>
      <c r="C16" s="26">
        <v>31.25</v>
      </c>
      <c r="D16" s="20">
        <v>39.75</v>
      </c>
      <c r="E16" s="20">
        <v>-0.51</v>
      </c>
      <c r="F16" s="26">
        <v>3012.49</v>
      </c>
      <c r="Q16" s="32">
        <v>1.5</v>
      </c>
      <c r="R16" s="32">
        <v>41</v>
      </c>
      <c r="S16" s="34">
        <v>71</v>
      </c>
      <c r="T16" s="34">
        <v>30</v>
      </c>
      <c r="U16" s="34">
        <v>-0.71</v>
      </c>
      <c r="V16" s="32">
        <v>4095</v>
      </c>
    </row>
    <row r="17" spans="1:27" ht="16.8" x14ac:dyDescent="0.3">
      <c r="A17" s="20">
        <v>1.6</v>
      </c>
      <c r="B17" s="20">
        <v>71</v>
      </c>
      <c r="C17" s="26">
        <v>31.72</v>
      </c>
      <c r="D17" s="20">
        <v>39.28</v>
      </c>
      <c r="E17" s="20">
        <v>-0.47</v>
      </c>
      <c r="F17" s="26">
        <v>3020.71</v>
      </c>
      <c r="Q17" s="32">
        <v>1.6</v>
      </c>
      <c r="R17" s="32">
        <v>41.73</v>
      </c>
      <c r="S17" s="34">
        <v>71</v>
      </c>
      <c r="T17" s="34">
        <v>29.27</v>
      </c>
      <c r="U17" s="34">
        <v>-0.73</v>
      </c>
      <c r="V17" s="34">
        <v>4095</v>
      </c>
    </row>
    <row r="18" spans="1:27" ht="16.8" x14ac:dyDescent="0.3">
      <c r="A18" s="20">
        <v>1.7</v>
      </c>
      <c r="B18" s="20">
        <v>71</v>
      </c>
      <c r="C18" s="20">
        <v>32.24</v>
      </c>
      <c r="D18" s="20">
        <v>38.76</v>
      </c>
      <c r="E18" s="20">
        <v>-0.52</v>
      </c>
      <c r="F18" s="20">
        <v>3012.49</v>
      </c>
      <c r="H18" s="55" t="s">
        <v>46</v>
      </c>
      <c r="I18" s="56"/>
      <c r="J18" s="56"/>
      <c r="K18" s="57"/>
      <c r="Q18" s="32">
        <v>1.7</v>
      </c>
      <c r="R18" s="32">
        <v>42.45</v>
      </c>
      <c r="S18" s="34">
        <v>71</v>
      </c>
      <c r="T18" s="34">
        <v>28.55</v>
      </c>
      <c r="U18" s="34">
        <v>-0.72</v>
      </c>
      <c r="V18" s="32">
        <v>4095</v>
      </c>
    </row>
    <row r="19" spans="1:27" ht="16.8" x14ac:dyDescent="0.3">
      <c r="A19" s="20">
        <v>1.8</v>
      </c>
      <c r="B19" s="20">
        <v>71</v>
      </c>
      <c r="C19" s="26">
        <v>32.799999999999997</v>
      </c>
      <c r="D19" s="20">
        <v>38.200000000000003</v>
      </c>
      <c r="E19" s="20">
        <v>-0.56000000000000005</v>
      </c>
      <c r="F19" s="26">
        <v>3012.49</v>
      </c>
      <c r="H19" s="30" t="s">
        <v>47</v>
      </c>
      <c r="I19" s="30" t="s">
        <v>48</v>
      </c>
      <c r="J19" s="55" t="s">
        <v>49</v>
      </c>
      <c r="K19" s="57"/>
      <c r="Q19" s="32">
        <v>1.8</v>
      </c>
      <c r="R19" s="32">
        <v>43.21</v>
      </c>
      <c r="S19" s="34">
        <v>71</v>
      </c>
      <c r="T19" s="32">
        <v>27.79</v>
      </c>
      <c r="U19" s="32">
        <v>-0.77</v>
      </c>
      <c r="V19" s="34">
        <v>4095</v>
      </c>
      <c r="X19" s="55" t="s">
        <v>46</v>
      </c>
      <c r="Y19" s="56"/>
      <c r="Z19" s="56"/>
      <c r="AA19" s="57"/>
    </row>
    <row r="20" spans="1:27" ht="16.8" x14ac:dyDescent="0.3">
      <c r="A20" s="20">
        <v>1.9</v>
      </c>
      <c r="B20" s="20">
        <v>71</v>
      </c>
      <c r="C20" s="26">
        <v>33.31</v>
      </c>
      <c r="D20" s="20">
        <v>37.69</v>
      </c>
      <c r="E20" s="20">
        <v>-0.5</v>
      </c>
      <c r="F20" s="20">
        <v>3012.49</v>
      </c>
      <c r="H20" s="30">
        <f>C2+0.1*(B2-C2)</f>
        <v>32.272999999999996</v>
      </c>
      <c r="I20" s="30">
        <f>C2+0.9*(B5-C2)</f>
        <v>66.697000000000003</v>
      </c>
      <c r="J20" s="55">
        <f>A113-A30</f>
        <v>8.2999999999999989</v>
      </c>
      <c r="K20" s="57"/>
      <c r="Q20" s="32">
        <v>1.9</v>
      </c>
      <c r="R20" s="32">
        <v>43.91</v>
      </c>
      <c r="S20" s="34">
        <v>71</v>
      </c>
      <c r="T20" s="34">
        <v>27.09</v>
      </c>
      <c r="U20" s="34">
        <v>-0.69</v>
      </c>
      <c r="V20" s="32">
        <v>4095</v>
      </c>
      <c r="X20" s="30" t="s">
        <v>47</v>
      </c>
      <c r="Y20" s="30" t="s">
        <v>48</v>
      </c>
      <c r="Z20" s="55" t="s">
        <v>49</v>
      </c>
      <c r="AA20" s="57"/>
    </row>
    <row r="21" spans="1:27" ht="16.8" x14ac:dyDescent="0.3">
      <c r="A21" s="20">
        <v>2</v>
      </c>
      <c r="B21" s="20">
        <v>71</v>
      </c>
      <c r="C21" s="20">
        <v>33.840000000000003</v>
      </c>
      <c r="D21" s="20">
        <v>37.159999999999997</v>
      </c>
      <c r="E21" s="20">
        <v>-0.53</v>
      </c>
      <c r="F21" s="26">
        <v>3012.49</v>
      </c>
      <c r="Q21" s="32">
        <v>2</v>
      </c>
      <c r="R21" s="32">
        <v>44.7</v>
      </c>
      <c r="S21" s="34">
        <v>71</v>
      </c>
      <c r="T21" s="32">
        <v>26.3</v>
      </c>
      <c r="U21" s="32">
        <v>-0.79</v>
      </c>
      <c r="V21" s="34">
        <v>3913.94</v>
      </c>
      <c r="X21" s="30">
        <f>R2+0.1*(S2-R2)</f>
        <v>38.195</v>
      </c>
      <c r="Y21" s="30">
        <f>R2+0.9*(S2-R2)</f>
        <v>67.355000000000004</v>
      </c>
      <c r="Z21" s="55">
        <f>Q72-Q12</f>
        <v>6</v>
      </c>
      <c r="AA21" s="57"/>
    </row>
    <row r="22" spans="1:27" ht="16.8" x14ac:dyDescent="0.3">
      <c r="A22" s="20">
        <v>2.1</v>
      </c>
      <c r="B22" s="20">
        <v>71</v>
      </c>
      <c r="C22" s="26">
        <v>34.340000000000003</v>
      </c>
      <c r="D22" s="20">
        <v>36.659999999999997</v>
      </c>
      <c r="E22" s="20">
        <v>-0.5</v>
      </c>
      <c r="F22" s="26">
        <v>3012.49</v>
      </c>
      <c r="H22" s="55" t="s">
        <v>50</v>
      </c>
      <c r="I22" s="56"/>
      <c r="J22" s="57"/>
      <c r="Q22" s="32">
        <v>2.1</v>
      </c>
      <c r="R22" s="32">
        <v>45.39</v>
      </c>
      <c r="S22" s="32">
        <v>71</v>
      </c>
      <c r="T22" s="34">
        <v>25.61</v>
      </c>
      <c r="U22" s="34">
        <v>-0.69</v>
      </c>
      <c r="V22" s="32">
        <v>3937.22</v>
      </c>
    </row>
    <row r="23" spans="1:27" ht="16.8" x14ac:dyDescent="0.3">
      <c r="A23" s="20">
        <v>2.2000000000000002</v>
      </c>
      <c r="B23" s="20">
        <v>71</v>
      </c>
      <c r="C23" s="26">
        <v>34.86</v>
      </c>
      <c r="D23" s="20">
        <v>36.14</v>
      </c>
      <c r="E23" s="20">
        <v>-0.52</v>
      </c>
      <c r="F23" s="20">
        <v>3012.49</v>
      </c>
      <c r="H23" s="58">
        <f>((MAX(C2:C160)-71)/71)*100</f>
        <v>1.6197183098591628</v>
      </c>
      <c r="I23" s="58"/>
      <c r="J23" s="58"/>
      <c r="Q23" s="32">
        <v>2.2000000000000002</v>
      </c>
      <c r="R23" s="32">
        <v>46.16</v>
      </c>
      <c r="S23" s="34">
        <v>71</v>
      </c>
      <c r="T23" s="34">
        <v>24.84</v>
      </c>
      <c r="U23" s="34">
        <v>-0.77</v>
      </c>
      <c r="V23" s="34">
        <v>3801.94</v>
      </c>
      <c r="X23" s="55" t="s">
        <v>50</v>
      </c>
      <c r="Y23" s="56"/>
      <c r="Z23" s="57"/>
    </row>
    <row r="24" spans="1:27" ht="16.8" x14ac:dyDescent="0.3">
      <c r="A24" s="20">
        <v>2.2999999999999998</v>
      </c>
      <c r="B24" s="20">
        <v>71</v>
      </c>
      <c r="C24" s="20">
        <v>35.39</v>
      </c>
      <c r="D24" s="20">
        <v>35.61</v>
      </c>
      <c r="E24" s="20">
        <v>-0.54</v>
      </c>
      <c r="F24" s="26">
        <v>3012.49</v>
      </c>
      <c r="H24" t="s">
        <v>76</v>
      </c>
      <c r="Q24" s="32">
        <v>2.2999999999999998</v>
      </c>
      <c r="R24" s="32">
        <v>46.87</v>
      </c>
      <c r="S24" s="34">
        <v>71</v>
      </c>
      <c r="T24" s="34">
        <v>24.13</v>
      </c>
      <c r="U24" s="34">
        <v>-0.71</v>
      </c>
      <c r="V24" s="32">
        <v>3792.81</v>
      </c>
      <c r="X24" s="58">
        <f>((MAX(R2:R251)-71)/71)*100</f>
        <v>0.80281690140844109</v>
      </c>
      <c r="Y24" s="58"/>
      <c r="Z24" s="58"/>
    </row>
    <row r="25" spans="1:27" ht="16.8" x14ac:dyDescent="0.3">
      <c r="A25" s="20">
        <v>2.4</v>
      </c>
      <c r="B25" s="20">
        <v>71</v>
      </c>
      <c r="C25" s="26">
        <v>35.880000000000003</v>
      </c>
      <c r="D25" s="20">
        <v>35.119999999999997</v>
      </c>
      <c r="E25" s="20">
        <v>-0.49</v>
      </c>
      <c r="F25" s="20">
        <v>3014.81</v>
      </c>
      <c r="H25" s="29" t="s">
        <v>51</v>
      </c>
      <c r="I25" s="29">
        <f>ABS(AVERAGE(C301:C602))</f>
        <v>71.324271523178908</v>
      </c>
      <c r="Q25" s="32">
        <v>2.4</v>
      </c>
      <c r="R25" s="32">
        <v>47.62</v>
      </c>
      <c r="S25" s="34">
        <v>71</v>
      </c>
      <c r="T25" s="34">
        <v>23.38</v>
      </c>
      <c r="U25" s="34">
        <v>-0.75</v>
      </c>
      <c r="V25" s="32">
        <v>3690.52</v>
      </c>
    </row>
    <row r="26" spans="1:27" ht="16.8" x14ac:dyDescent="0.3">
      <c r="A26" s="20">
        <v>2.5</v>
      </c>
      <c r="B26" s="20">
        <v>71</v>
      </c>
      <c r="C26" s="20">
        <v>36.4</v>
      </c>
      <c r="D26" s="20">
        <v>34.6</v>
      </c>
      <c r="E26" s="20">
        <v>-0.52</v>
      </c>
      <c r="F26" s="26">
        <v>3012.49</v>
      </c>
      <c r="H26" s="29" t="s">
        <v>52</v>
      </c>
      <c r="I26" s="29">
        <f>ABS((I25-71)/71)*100</f>
        <v>0.45672045518156018</v>
      </c>
      <c r="Q26" s="32">
        <v>2.5</v>
      </c>
      <c r="R26" s="32">
        <v>48.35</v>
      </c>
      <c r="S26" s="34">
        <v>71</v>
      </c>
      <c r="T26" s="34">
        <v>22.65</v>
      </c>
      <c r="U26" s="34">
        <v>-0.73</v>
      </c>
      <c r="V26" s="34">
        <v>3642.51</v>
      </c>
      <c r="X26" s="29" t="s">
        <v>51</v>
      </c>
      <c r="Y26" s="29">
        <f>ABS(AVERAGE(R301:R602))</f>
        <v>71.104172185430514</v>
      </c>
    </row>
    <row r="27" spans="1:27" ht="16.8" x14ac:dyDescent="0.3">
      <c r="A27" s="20">
        <v>2.6</v>
      </c>
      <c r="B27" s="20">
        <v>71</v>
      </c>
      <c r="C27" s="26">
        <v>36.869999999999997</v>
      </c>
      <c r="D27" s="20">
        <v>34.130000000000003</v>
      </c>
      <c r="E27" s="20">
        <v>-0.46</v>
      </c>
      <c r="F27" s="26">
        <v>3023.22</v>
      </c>
      <c r="Q27" s="32">
        <v>2.6</v>
      </c>
      <c r="R27" s="32">
        <v>49.06</v>
      </c>
      <c r="S27" s="34">
        <v>71</v>
      </c>
      <c r="T27" s="34">
        <v>21.94</v>
      </c>
      <c r="U27" s="34">
        <v>-0.71</v>
      </c>
      <c r="V27" s="32">
        <v>3588.99</v>
      </c>
      <c r="X27" s="29" t="s">
        <v>52</v>
      </c>
      <c r="Y27" s="29">
        <f>((Y26-71)/71)*100</f>
        <v>0.14672138793030109</v>
      </c>
    </row>
    <row r="28" spans="1:27" ht="16.8" x14ac:dyDescent="0.3">
      <c r="A28" s="20">
        <v>2.7</v>
      </c>
      <c r="B28" s="20">
        <v>71</v>
      </c>
      <c r="C28" s="26">
        <v>37.4</v>
      </c>
      <c r="D28" s="20">
        <v>33.6</v>
      </c>
      <c r="E28" s="20">
        <v>-0.54</v>
      </c>
      <c r="F28" s="20">
        <v>3012.49</v>
      </c>
      <c r="H28" s="58" t="s">
        <v>53</v>
      </c>
      <c r="I28" s="58"/>
      <c r="Q28" s="32">
        <v>2.7</v>
      </c>
      <c r="R28" s="32">
        <v>49.76</v>
      </c>
      <c r="S28" s="34">
        <v>71</v>
      </c>
      <c r="T28" s="34">
        <v>21.24</v>
      </c>
      <c r="U28" s="34">
        <v>-0.7</v>
      </c>
      <c r="V28" s="34">
        <v>3528.61</v>
      </c>
    </row>
    <row r="29" spans="1:27" ht="16.8" x14ac:dyDescent="0.3">
      <c r="A29" s="20">
        <v>2.8</v>
      </c>
      <c r="B29" s="20">
        <v>71</v>
      </c>
      <c r="C29" s="20">
        <v>37.880000000000003</v>
      </c>
      <c r="D29" s="20">
        <v>33.119999999999997</v>
      </c>
      <c r="E29" s="20">
        <v>-0.48</v>
      </c>
      <c r="F29" s="26">
        <v>3019.49</v>
      </c>
      <c r="H29" s="58" cm="1">
        <f t="array" ref="H29">SUMPRODUCT(ABS(D2:D603)*0.1)</f>
        <v>266.18299999999942</v>
      </c>
      <c r="I29" s="58"/>
      <c r="Q29" s="32">
        <v>2.8</v>
      </c>
      <c r="R29" s="32">
        <v>50.44</v>
      </c>
      <c r="S29" s="34">
        <v>71</v>
      </c>
      <c r="T29" s="34">
        <v>20.56</v>
      </c>
      <c r="U29" s="34">
        <v>-0.68</v>
      </c>
      <c r="V29" s="32">
        <v>3475.79</v>
      </c>
      <c r="X29" s="58" t="s">
        <v>53</v>
      </c>
      <c r="Y29" s="58"/>
    </row>
    <row r="30" spans="1:27" ht="16.8" x14ac:dyDescent="0.3">
      <c r="A30" s="45">
        <v>2.9</v>
      </c>
      <c r="B30" s="20">
        <v>71</v>
      </c>
      <c r="C30" s="26">
        <v>38.36</v>
      </c>
      <c r="D30" s="20">
        <v>32.64</v>
      </c>
      <c r="E30" s="20">
        <v>-0.48</v>
      </c>
      <c r="F30" s="26">
        <v>3017.11</v>
      </c>
      <c r="Q30" s="32">
        <v>2.9</v>
      </c>
      <c r="R30" s="32">
        <v>51.14</v>
      </c>
      <c r="S30" s="34">
        <v>71</v>
      </c>
      <c r="T30" s="34">
        <v>19.86</v>
      </c>
      <c r="U30" s="34">
        <v>-0.69</v>
      </c>
      <c r="V30" s="34">
        <v>3400.38</v>
      </c>
      <c r="X30" s="58" cm="1">
        <f t="array" ref="X30">SUMPRODUCT(ABS(T2:T604)*0.1)</f>
        <v>145.36099999999954</v>
      </c>
      <c r="Y30" s="58"/>
    </row>
    <row r="31" spans="1:27" ht="16.8" x14ac:dyDescent="0.3">
      <c r="A31" s="20">
        <v>3</v>
      </c>
      <c r="B31" s="20">
        <v>71</v>
      </c>
      <c r="C31" s="26">
        <v>38.86</v>
      </c>
      <c r="D31" s="20">
        <v>32.14</v>
      </c>
      <c r="E31" s="20">
        <v>-0.5</v>
      </c>
      <c r="F31" s="20">
        <v>3013.69</v>
      </c>
      <c r="H31" s="58" t="s">
        <v>54</v>
      </c>
      <c r="I31" s="58"/>
      <c r="Q31" s="32">
        <v>3</v>
      </c>
      <c r="R31" s="32">
        <v>51.76</v>
      </c>
      <c r="S31" s="32">
        <v>71</v>
      </c>
      <c r="T31" s="34">
        <v>19.239999999999998</v>
      </c>
      <c r="U31" s="34">
        <v>-0.63</v>
      </c>
      <c r="V31" s="32">
        <v>3392.86</v>
      </c>
    </row>
    <row r="32" spans="1:27" ht="16.8" x14ac:dyDescent="0.3">
      <c r="A32" s="20">
        <v>3.1</v>
      </c>
      <c r="B32" s="20">
        <v>71</v>
      </c>
      <c r="C32" s="20">
        <v>39.32</v>
      </c>
      <c r="D32" s="20">
        <v>31.68</v>
      </c>
      <c r="E32" s="20">
        <v>-0.46</v>
      </c>
      <c r="F32" s="26">
        <v>3023.23</v>
      </c>
      <c r="H32" s="58" cm="1">
        <f t="array" ref="H32">SUMPRODUCT(((D2:D603)^2)*0.1)</f>
        <v>7213.68126999996</v>
      </c>
      <c r="I32" s="58"/>
      <c r="Q32" s="32">
        <v>3.1</v>
      </c>
      <c r="R32" s="32">
        <v>52.41</v>
      </c>
      <c r="S32" s="34">
        <v>71</v>
      </c>
      <c r="T32" s="32">
        <v>18.59</v>
      </c>
      <c r="U32" s="32">
        <v>-0.64</v>
      </c>
      <c r="V32" s="34">
        <v>3316.05</v>
      </c>
      <c r="X32" s="58" t="s">
        <v>54</v>
      </c>
      <c r="Y32" s="58"/>
    </row>
    <row r="33" spans="1:26" ht="16.8" x14ac:dyDescent="0.3">
      <c r="A33" s="20">
        <v>3.2</v>
      </c>
      <c r="B33" s="20">
        <v>71</v>
      </c>
      <c r="C33" s="26">
        <v>39.81</v>
      </c>
      <c r="D33" s="20">
        <v>31.19</v>
      </c>
      <c r="E33" s="20">
        <v>-0.49</v>
      </c>
      <c r="F33" s="26">
        <v>3015.95</v>
      </c>
      <c r="Q33" s="32">
        <v>3.2</v>
      </c>
      <c r="R33" s="32">
        <v>53.01</v>
      </c>
      <c r="S33" s="34">
        <v>71</v>
      </c>
      <c r="T33" s="34">
        <v>17.989999999999998</v>
      </c>
      <c r="U33" s="34">
        <v>-0.6</v>
      </c>
      <c r="V33" s="34">
        <v>3290.06</v>
      </c>
      <c r="X33" s="58" cm="1">
        <f t="array" ref="X33">SUMPRODUCT(((T2:T604)^2)*0.1)</f>
        <v>3080.4113500000167</v>
      </c>
      <c r="Y33" s="58"/>
    </row>
    <row r="34" spans="1:26" ht="16.8" x14ac:dyDescent="0.3">
      <c r="A34" s="20">
        <v>3.3</v>
      </c>
      <c r="B34" s="20">
        <v>71</v>
      </c>
      <c r="C34" s="26">
        <v>40.340000000000003</v>
      </c>
      <c r="D34" s="20">
        <v>30.66</v>
      </c>
      <c r="E34" s="20">
        <v>-0.53</v>
      </c>
      <c r="F34" s="20">
        <v>3012.49</v>
      </c>
      <c r="H34" s="58" t="s">
        <v>55</v>
      </c>
      <c r="I34" s="58"/>
      <c r="J34" s="58"/>
      <c r="Q34" s="32">
        <v>3.3</v>
      </c>
      <c r="R34" s="32">
        <v>53.64</v>
      </c>
      <c r="S34" s="34">
        <v>71</v>
      </c>
      <c r="T34" s="32">
        <v>17.36</v>
      </c>
      <c r="U34" s="32">
        <v>-0.63</v>
      </c>
      <c r="V34" s="34">
        <v>3206.45</v>
      </c>
    </row>
    <row r="35" spans="1:26" ht="16.8" x14ac:dyDescent="0.3">
      <c r="A35" s="20">
        <v>3.4</v>
      </c>
      <c r="B35" s="20">
        <v>71</v>
      </c>
      <c r="C35" s="20">
        <v>40.770000000000003</v>
      </c>
      <c r="D35" s="20">
        <v>30.23</v>
      </c>
      <c r="E35" s="20">
        <v>-0.44</v>
      </c>
      <c r="F35" s="26">
        <v>3032.72</v>
      </c>
      <c r="H35" s="58" cm="1">
        <f t="array" ref="H35">SUMPRODUCT(A2:A603 * ABS(D2:D603) * 0.1)</f>
        <v>1551.4721999999979</v>
      </c>
      <c r="I35" s="58"/>
      <c r="J35" s="58"/>
      <c r="Q35" s="32">
        <v>3.4</v>
      </c>
      <c r="R35" s="32">
        <v>54.26</v>
      </c>
      <c r="S35" s="34">
        <v>71</v>
      </c>
      <c r="T35" s="34">
        <v>16.739999999999998</v>
      </c>
      <c r="U35" s="34">
        <v>-0.62</v>
      </c>
      <c r="V35" s="32">
        <v>3148.64</v>
      </c>
      <c r="X35" s="58" t="s">
        <v>55</v>
      </c>
      <c r="Y35" s="58"/>
      <c r="Z35" s="58"/>
    </row>
    <row r="36" spans="1:26" ht="16.8" x14ac:dyDescent="0.3">
      <c r="A36" s="20">
        <v>3.5</v>
      </c>
      <c r="B36" s="20">
        <v>71</v>
      </c>
      <c r="C36" s="26">
        <v>41.26</v>
      </c>
      <c r="D36" s="20">
        <v>29.74</v>
      </c>
      <c r="E36" s="20">
        <v>-0.49</v>
      </c>
      <c r="F36" s="20">
        <v>3014.81</v>
      </c>
      <c r="Q36" s="32">
        <v>3.5</v>
      </c>
      <c r="R36" s="32">
        <v>54.82</v>
      </c>
      <c r="S36" s="34">
        <v>71</v>
      </c>
      <c r="T36" s="32">
        <v>16.18</v>
      </c>
      <c r="U36" s="32">
        <v>-0.56000000000000005</v>
      </c>
      <c r="V36" s="34">
        <v>3145.93</v>
      </c>
      <c r="X36" s="58" cm="1">
        <f t="array" ref="X36">SUMPRODUCT(Q2:Q604 * ABS(T2:T604) * 0.1)</f>
        <v>787.70479999999918</v>
      </c>
      <c r="Y36" s="58"/>
      <c r="Z36" s="58"/>
    </row>
    <row r="37" spans="1:26" ht="16.8" x14ac:dyDescent="0.3">
      <c r="A37" s="20">
        <v>3.6</v>
      </c>
      <c r="B37" s="20">
        <v>71</v>
      </c>
      <c r="C37" s="26">
        <v>41.7</v>
      </c>
      <c r="D37" s="20">
        <v>29.3</v>
      </c>
      <c r="E37" s="20">
        <v>-0.44</v>
      </c>
      <c r="F37" s="26">
        <v>3032.72</v>
      </c>
      <c r="Q37" s="32">
        <v>3.6</v>
      </c>
      <c r="R37" s="32">
        <v>55.4</v>
      </c>
      <c r="S37" s="34">
        <v>71</v>
      </c>
      <c r="T37" s="34">
        <v>15.6</v>
      </c>
      <c r="U37" s="34">
        <v>-0.57999999999999996</v>
      </c>
      <c r="V37" s="32">
        <v>3066.18</v>
      </c>
    </row>
    <row r="38" spans="1:26" ht="16.8" x14ac:dyDescent="0.3">
      <c r="A38" s="20">
        <v>3.7</v>
      </c>
      <c r="B38" s="20">
        <v>71</v>
      </c>
      <c r="C38" s="20">
        <v>42.13</v>
      </c>
      <c r="D38" s="20">
        <v>28.87</v>
      </c>
      <c r="E38" s="20">
        <v>-0.43</v>
      </c>
      <c r="F38" s="26">
        <v>3034.17</v>
      </c>
      <c r="Q38" s="32">
        <v>3.7</v>
      </c>
      <c r="R38" s="32">
        <v>55.97</v>
      </c>
      <c r="S38" s="34">
        <v>71</v>
      </c>
      <c r="T38" s="34">
        <v>15.03</v>
      </c>
      <c r="U38" s="34">
        <v>-0.56999999999999995</v>
      </c>
      <c r="V38" s="34">
        <v>3012.39</v>
      </c>
    </row>
    <row r="39" spans="1:26" ht="16.8" x14ac:dyDescent="0.3">
      <c r="A39" s="20">
        <v>3.8</v>
      </c>
      <c r="B39" s="20">
        <v>71</v>
      </c>
      <c r="C39" s="26">
        <v>42.62</v>
      </c>
      <c r="D39" s="20">
        <v>28.38</v>
      </c>
      <c r="E39" s="20">
        <v>-0.49</v>
      </c>
      <c r="F39" s="20">
        <v>3015.95</v>
      </c>
      <c r="Q39" s="32">
        <v>3.8</v>
      </c>
      <c r="R39" s="32">
        <v>56.5</v>
      </c>
      <c r="S39" s="34">
        <v>71</v>
      </c>
      <c r="T39" s="34">
        <v>14.5</v>
      </c>
      <c r="U39" s="32">
        <v>-0.53</v>
      </c>
      <c r="V39" s="32">
        <v>2990.12</v>
      </c>
    </row>
    <row r="40" spans="1:26" ht="16.8" x14ac:dyDescent="0.3">
      <c r="A40" s="20">
        <v>3.9</v>
      </c>
      <c r="B40" s="20">
        <v>71</v>
      </c>
      <c r="C40" s="26">
        <v>43.04</v>
      </c>
      <c r="D40" s="20">
        <v>27.96</v>
      </c>
      <c r="E40" s="20">
        <v>-0.42</v>
      </c>
      <c r="F40" s="26">
        <v>3038.68</v>
      </c>
      <c r="Q40" s="32">
        <v>3.9</v>
      </c>
      <c r="R40" s="32">
        <v>56.95</v>
      </c>
      <c r="S40" s="34">
        <v>71</v>
      </c>
      <c r="T40" s="34">
        <v>14.05</v>
      </c>
      <c r="U40" s="34">
        <v>-0.45</v>
      </c>
      <c r="V40" s="32">
        <v>3012.96</v>
      </c>
    </row>
    <row r="41" spans="1:26" ht="16.8" x14ac:dyDescent="0.3">
      <c r="A41" s="20">
        <v>4</v>
      </c>
      <c r="B41" s="20">
        <v>71</v>
      </c>
      <c r="C41" s="20">
        <v>43.5</v>
      </c>
      <c r="D41" s="20">
        <v>27.5</v>
      </c>
      <c r="E41" s="20">
        <v>-0.46</v>
      </c>
      <c r="F41" s="26">
        <v>3024.51</v>
      </c>
      <c r="Q41" s="32">
        <v>4</v>
      </c>
      <c r="R41" s="32">
        <v>57.53</v>
      </c>
      <c r="S41" s="34">
        <v>71</v>
      </c>
      <c r="T41" s="34">
        <v>13.47</v>
      </c>
      <c r="U41" s="32">
        <v>-0.56999999999999995</v>
      </c>
      <c r="V41" s="34">
        <v>2851.37</v>
      </c>
    </row>
    <row r="42" spans="1:26" ht="16.8" x14ac:dyDescent="0.3">
      <c r="A42" s="20">
        <v>4.0999999999999996</v>
      </c>
      <c r="B42" s="20">
        <v>71</v>
      </c>
      <c r="C42" s="26">
        <v>43.97</v>
      </c>
      <c r="D42" s="20">
        <v>27.03</v>
      </c>
      <c r="E42" s="20">
        <v>-0.47</v>
      </c>
      <c r="F42" s="20">
        <v>3020.71</v>
      </c>
      <c r="Q42" s="32">
        <v>4.0999999999999996</v>
      </c>
      <c r="R42" s="32">
        <v>58</v>
      </c>
      <c r="S42" s="34">
        <v>71</v>
      </c>
      <c r="T42" s="34">
        <v>13</v>
      </c>
      <c r="U42" s="34">
        <v>-0.48</v>
      </c>
      <c r="V42" s="32">
        <v>2880.49</v>
      </c>
    </row>
    <row r="43" spans="1:26" ht="16.8" x14ac:dyDescent="0.3">
      <c r="A43" s="20">
        <v>4.2</v>
      </c>
      <c r="B43" s="20">
        <v>71</v>
      </c>
      <c r="C43" s="20">
        <v>44.39</v>
      </c>
      <c r="D43" s="20">
        <v>26.61</v>
      </c>
      <c r="E43" s="20">
        <v>-0.43</v>
      </c>
      <c r="F43" s="26">
        <v>3035.66</v>
      </c>
      <c r="Q43" s="32">
        <v>4.2</v>
      </c>
      <c r="R43" s="32">
        <v>58.52</v>
      </c>
      <c r="S43" s="34">
        <v>71</v>
      </c>
      <c r="T43" s="34">
        <v>12.48</v>
      </c>
      <c r="U43" s="34">
        <v>-0.52</v>
      </c>
      <c r="V43" s="34">
        <v>2791.02</v>
      </c>
    </row>
    <row r="44" spans="1:26" ht="16.8" x14ac:dyDescent="0.3">
      <c r="A44" s="20">
        <v>4.3</v>
      </c>
      <c r="B44" s="20">
        <v>71</v>
      </c>
      <c r="C44" s="26">
        <v>44.81</v>
      </c>
      <c r="D44" s="20">
        <v>26.19</v>
      </c>
      <c r="E44" s="20">
        <v>-0.42</v>
      </c>
      <c r="F44" s="20">
        <v>3040.23</v>
      </c>
      <c r="Q44" s="32">
        <v>4.3</v>
      </c>
      <c r="R44" s="32">
        <v>58.94</v>
      </c>
      <c r="S44" s="34">
        <v>71</v>
      </c>
      <c r="T44" s="34">
        <v>12.06</v>
      </c>
      <c r="U44" s="34">
        <v>-0.43</v>
      </c>
      <c r="V44" s="32">
        <v>2819.53</v>
      </c>
    </row>
    <row r="45" spans="1:26" ht="16.8" x14ac:dyDescent="0.3">
      <c r="A45" s="20">
        <v>4.4000000000000004</v>
      </c>
      <c r="B45" s="20">
        <v>71</v>
      </c>
      <c r="C45" s="26">
        <v>45.24</v>
      </c>
      <c r="D45" s="20">
        <v>25.76</v>
      </c>
      <c r="E45" s="20">
        <v>-0.43</v>
      </c>
      <c r="F45" s="26">
        <v>3035.65</v>
      </c>
      <c r="Q45" s="32">
        <v>4.4000000000000004</v>
      </c>
      <c r="R45" s="32">
        <v>59.4</v>
      </c>
      <c r="S45" s="34">
        <v>71</v>
      </c>
      <c r="T45" s="34">
        <v>11.6</v>
      </c>
      <c r="U45" s="34">
        <v>-0.46</v>
      </c>
      <c r="V45" s="34">
        <v>2743.99</v>
      </c>
    </row>
    <row r="46" spans="1:26" ht="16.8" x14ac:dyDescent="0.3">
      <c r="A46" s="20">
        <v>4.5</v>
      </c>
      <c r="B46" s="20">
        <v>71</v>
      </c>
      <c r="C46" s="20">
        <v>45.64</v>
      </c>
      <c r="D46" s="20">
        <v>25.36</v>
      </c>
      <c r="E46" s="20">
        <v>-0.41</v>
      </c>
      <c r="F46" s="26">
        <v>3043.42</v>
      </c>
      <c r="Q46" s="32">
        <v>4.5</v>
      </c>
      <c r="R46" s="32">
        <v>59.83</v>
      </c>
      <c r="S46" s="34">
        <v>71</v>
      </c>
      <c r="T46" s="34">
        <v>11.17</v>
      </c>
      <c r="U46" s="34">
        <v>-0.43</v>
      </c>
      <c r="V46" s="32">
        <v>2724.83</v>
      </c>
    </row>
    <row r="47" spans="1:26" ht="16.8" x14ac:dyDescent="0.3">
      <c r="A47" s="20">
        <v>4.5999999999999996</v>
      </c>
      <c r="B47" s="20">
        <v>71</v>
      </c>
      <c r="C47" s="26">
        <v>46.08</v>
      </c>
      <c r="D47" s="20">
        <v>24.92</v>
      </c>
      <c r="E47" s="20">
        <v>-0.44</v>
      </c>
      <c r="F47" s="20">
        <v>3032.72</v>
      </c>
      <c r="Q47" s="32">
        <v>4.5999999999999996</v>
      </c>
      <c r="R47" s="32">
        <v>60.25</v>
      </c>
      <c r="S47" s="34">
        <v>71</v>
      </c>
      <c r="T47" s="34">
        <v>10.75</v>
      </c>
      <c r="U47" s="34">
        <v>-0.42</v>
      </c>
      <c r="V47" s="34">
        <v>2686.54</v>
      </c>
    </row>
    <row r="48" spans="1:26" ht="16.8" x14ac:dyDescent="0.3">
      <c r="A48" s="20">
        <v>4.7</v>
      </c>
      <c r="B48" s="20">
        <v>71</v>
      </c>
      <c r="C48" s="20">
        <v>46.53</v>
      </c>
      <c r="D48" s="20">
        <v>24.47</v>
      </c>
      <c r="E48" s="20">
        <v>-0.45</v>
      </c>
      <c r="F48" s="26">
        <v>3027.16</v>
      </c>
      <c r="Q48" s="32">
        <v>4.7</v>
      </c>
      <c r="R48" s="32">
        <v>60.65</v>
      </c>
      <c r="S48" s="34">
        <v>71</v>
      </c>
      <c r="T48" s="34">
        <v>10.35</v>
      </c>
      <c r="U48" s="32">
        <v>-0.4</v>
      </c>
      <c r="V48" s="32">
        <v>2656.48</v>
      </c>
    </row>
    <row r="49" spans="1:22" ht="16.8" x14ac:dyDescent="0.3">
      <c r="A49" s="20">
        <v>4.8</v>
      </c>
      <c r="B49" s="20">
        <v>71</v>
      </c>
      <c r="C49" s="26">
        <v>46.96</v>
      </c>
      <c r="D49" s="20">
        <v>24.04</v>
      </c>
      <c r="E49" s="20">
        <v>-0.43</v>
      </c>
      <c r="F49" s="26">
        <v>3035.65</v>
      </c>
      <c r="Q49" s="32">
        <v>4.8</v>
      </c>
      <c r="R49" s="32">
        <v>61.08</v>
      </c>
      <c r="S49" s="34">
        <v>71</v>
      </c>
      <c r="T49" s="34">
        <v>9.92</v>
      </c>
      <c r="U49" s="34">
        <v>-0.43</v>
      </c>
      <c r="V49" s="32">
        <v>2588.7600000000002</v>
      </c>
    </row>
    <row r="50" spans="1:22" ht="16.8" x14ac:dyDescent="0.3">
      <c r="A50" s="20">
        <v>4.9000000000000004</v>
      </c>
      <c r="B50" s="20">
        <v>71</v>
      </c>
      <c r="C50" s="26">
        <v>47.36</v>
      </c>
      <c r="D50" s="20">
        <v>23.64</v>
      </c>
      <c r="E50" s="20">
        <v>-0.41</v>
      </c>
      <c r="F50" s="20">
        <v>3043.42</v>
      </c>
      <c r="Q50" s="32">
        <v>4.9000000000000004</v>
      </c>
      <c r="R50" s="32">
        <v>61.48</v>
      </c>
      <c r="S50" s="34">
        <v>71</v>
      </c>
      <c r="T50" s="34">
        <v>9.52</v>
      </c>
      <c r="U50" s="34">
        <v>-0.4</v>
      </c>
      <c r="V50" s="34">
        <v>2563.15</v>
      </c>
    </row>
    <row r="51" spans="1:22" ht="16.8" x14ac:dyDescent="0.3">
      <c r="A51" s="20">
        <v>5</v>
      </c>
      <c r="B51" s="20">
        <v>71</v>
      </c>
      <c r="C51" s="20">
        <v>47.73</v>
      </c>
      <c r="D51" s="20">
        <v>23.27</v>
      </c>
      <c r="E51" s="20">
        <v>-0.37</v>
      </c>
      <c r="F51" s="26">
        <v>3059.17</v>
      </c>
      <c r="Q51" s="32">
        <v>5</v>
      </c>
      <c r="R51" s="32">
        <v>61.81</v>
      </c>
      <c r="S51" s="34">
        <v>71</v>
      </c>
      <c r="T51" s="34">
        <v>9.19</v>
      </c>
      <c r="U51" s="34">
        <v>-0.32</v>
      </c>
      <c r="V51" s="32">
        <v>2595.94</v>
      </c>
    </row>
    <row r="52" spans="1:22" ht="16.8" x14ac:dyDescent="0.3">
      <c r="A52" s="20">
        <v>5.0999999999999996</v>
      </c>
      <c r="B52" s="20">
        <v>71</v>
      </c>
      <c r="C52" s="26">
        <v>48.18</v>
      </c>
      <c r="D52" s="20">
        <v>22.82</v>
      </c>
      <c r="E52" s="20">
        <v>-0.45</v>
      </c>
      <c r="F52" s="20">
        <v>3028.51</v>
      </c>
      <c r="Q52" s="32">
        <v>5.0999999999999996</v>
      </c>
      <c r="R52" s="32">
        <v>62.15</v>
      </c>
      <c r="S52" s="34">
        <v>71</v>
      </c>
      <c r="T52" s="34">
        <v>8.85</v>
      </c>
      <c r="U52" s="34">
        <v>-0.35</v>
      </c>
      <c r="V52" s="34">
        <v>2539.3000000000002</v>
      </c>
    </row>
    <row r="53" spans="1:22" ht="16.8" x14ac:dyDescent="0.3">
      <c r="A53" s="20">
        <v>5.2</v>
      </c>
      <c r="B53" s="20">
        <v>71</v>
      </c>
      <c r="C53" s="20">
        <v>48.62</v>
      </c>
      <c r="D53" s="20">
        <v>22.38</v>
      </c>
      <c r="E53" s="20">
        <v>-0.44</v>
      </c>
      <c r="F53" s="26">
        <v>3031.3</v>
      </c>
      <c r="Q53" s="32">
        <v>5.2</v>
      </c>
      <c r="R53" s="32">
        <v>62.55</v>
      </c>
      <c r="S53" s="34">
        <v>71</v>
      </c>
      <c r="T53" s="34">
        <v>8.4499999999999993</v>
      </c>
      <c r="U53" s="34">
        <v>-0.39</v>
      </c>
      <c r="V53" s="32">
        <v>2453.9699999999998</v>
      </c>
    </row>
    <row r="54" spans="1:22" ht="16.8" x14ac:dyDescent="0.3">
      <c r="A54" s="20">
        <v>5.3</v>
      </c>
      <c r="B54" s="20">
        <v>71</v>
      </c>
      <c r="C54" s="26">
        <v>48.98</v>
      </c>
      <c r="D54" s="20">
        <v>22.02</v>
      </c>
      <c r="E54" s="20">
        <v>-0.36</v>
      </c>
      <c r="F54" s="26">
        <v>3063</v>
      </c>
      <c r="Q54" s="32">
        <v>5.3</v>
      </c>
      <c r="R54" s="32">
        <v>62.85</v>
      </c>
      <c r="S54" s="34">
        <v>71</v>
      </c>
      <c r="T54" s="34">
        <v>8.15</v>
      </c>
      <c r="U54" s="34">
        <v>-0.31</v>
      </c>
      <c r="V54" s="34">
        <v>2493.4</v>
      </c>
    </row>
    <row r="55" spans="1:22" ht="16.8" x14ac:dyDescent="0.3">
      <c r="A55" s="20">
        <v>5.4</v>
      </c>
      <c r="B55" s="20">
        <v>71</v>
      </c>
      <c r="C55" s="26">
        <v>49.44</v>
      </c>
      <c r="D55" s="20">
        <v>21.56</v>
      </c>
      <c r="E55" s="20">
        <v>-0.45</v>
      </c>
      <c r="F55" s="20">
        <v>3027.16</v>
      </c>
      <c r="Q55" s="32">
        <v>5.4</v>
      </c>
      <c r="R55" s="32">
        <v>63.24</v>
      </c>
      <c r="S55" s="34">
        <v>71</v>
      </c>
      <c r="T55" s="34">
        <v>7.76</v>
      </c>
      <c r="U55" s="34">
        <v>-0.39</v>
      </c>
      <c r="V55" s="32">
        <v>2381.7399999999998</v>
      </c>
    </row>
    <row r="56" spans="1:22" ht="16.8" x14ac:dyDescent="0.3">
      <c r="A56" s="20">
        <v>5.5</v>
      </c>
      <c r="B56" s="20">
        <v>71</v>
      </c>
      <c r="C56" s="20">
        <v>49.81</v>
      </c>
      <c r="D56" s="20">
        <v>21.19</v>
      </c>
      <c r="E56" s="20">
        <v>-0.37</v>
      </c>
      <c r="F56" s="26">
        <v>3059.17</v>
      </c>
      <c r="Q56" s="32">
        <v>5.5</v>
      </c>
      <c r="R56" s="32">
        <v>63.54</v>
      </c>
      <c r="S56" s="34">
        <v>71</v>
      </c>
      <c r="T56" s="34">
        <v>7.46</v>
      </c>
      <c r="U56" s="34">
        <v>-0.3</v>
      </c>
      <c r="V56" s="34">
        <v>2420.84</v>
      </c>
    </row>
    <row r="57" spans="1:22" ht="16.8" x14ac:dyDescent="0.3">
      <c r="A57" s="20">
        <v>5.6</v>
      </c>
      <c r="B57" s="20">
        <v>71</v>
      </c>
      <c r="C57" s="26">
        <v>50.2</v>
      </c>
      <c r="D57" s="20">
        <v>20.8</v>
      </c>
      <c r="E57" s="20">
        <v>-0.4</v>
      </c>
      <c r="F57" s="26">
        <v>3046.72</v>
      </c>
      <c r="Q57" s="32">
        <v>5.6</v>
      </c>
      <c r="R57" s="32">
        <v>63.84</v>
      </c>
      <c r="S57" s="34">
        <v>71</v>
      </c>
      <c r="T57" s="34">
        <v>7.16</v>
      </c>
      <c r="U57" s="34">
        <v>-0.31</v>
      </c>
      <c r="V57" s="32">
        <v>2379.88</v>
      </c>
    </row>
    <row r="58" spans="1:22" ht="16.8" x14ac:dyDescent="0.3">
      <c r="A58" s="20">
        <v>5.7</v>
      </c>
      <c r="B58" s="20">
        <v>71</v>
      </c>
      <c r="C58" s="20">
        <v>50.62</v>
      </c>
      <c r="D58" s="20">
        <v>20.38</v>
      </c>
      <c r="E58" s="20">
        <v>-0.42</v>
      </c>
      <c r="F58" s="20">
        <v>3040.24</v>
      </c>
      <c r="Q58" s="32">
        <v>5.7</v>
      </c>
      <c r="R58" s="32">
        <v>64.12</v>
      </c>
      <c r="S58" s="34">
        <v>71</v>
      </c>
      <c r="T58" s="34">
        <v>6.88</v>
      </c>
      <c r="U58" s="34">
        <v>-0.27</v>
      </c>
      <c r="V58" s="32">
        <v>2376.21</v>
      </c>
    </row>
    <row r="59" spans="1:22" ht="16.8" x14ac:dyDescent="0.3">
      <c r="A59" s="20">
        <v>5.8</v>
      </c>
      <c r="B59" s="20">
        <v>71</v>
      </c>
      <c r="C59" s="26">
        <v>51</v>
      </c>
      <c r="D59" s="20">
        <v>20</v>
      </c>
      <c r="E59" s="20">
        <v>-0.38</v>
      </c>
      <c r="F59" s="26">
        <v>3055.45</v>
      </c>
      <c r="Q59" s="32">
        <v>5.8</v>
      </c>
      <c r="R59" s="32">
        <v>64.42</v>
      </c>
      <c r="S59" s="34">
        <v>71</v>
      </c>
      <c r="T59" s="32">
        <v>6.58</v>
      </c>
      <c r="U59" s="32">
        <v>-0.31</v>
      </c>
      <c r="V59" s="34">
        <v>2314.31</v>
      </c>
    </row>
    <row r="60" spans="1:22" ht="16.8" x14ac:dyDescent="0.3">
      <c r="A60" s="20">
        <v>5.9</v>
      </c>
      <c r="B60" s="20">
        <v>71</v>
      </c>
      <c r="C60" s="26">
        <v>51.37</v>
      </c>
      <c r="D60" s="20">
        <v>19.63</v>
      </c>
      <c r="E60" s="20">
        <v>-0.37</v>
      </c>
      <c r="F60" s="26">
        <v>3059.17</v>
      </c>
      <c r="Q60" s="32">
        <v>5.9</v>
      </c>
      <c r="R60" s="32">
        <v>64.67</v>
      </c>
      <c r="S60" s="34">
        <v>71</v>
      </c>
      <c r="T60" s="34">
        <v>6.33</v>
      </c>
      <c r="U60" s="34">
        <v>-0.25</v>
      </c>
      <c r="V60" s="32">
        <v>2332.88</v>
      </c>
    </row>
    <row r="61" spans="1:22" ht="16.8" x14ac:dyDescent="0.3">
      <c r="A61" s="20">
        <v>6</v>
      </c>
      <c r="B61" s="20">
        <v>71</v>
      </c>
      <c r="C61" s="20">
        <v>51.77</v>
      </c>
      <c r="D61" s="20">
        <v>19.23</v>
      </c>
      <c r="E61" s="20">
        <v>-0.4</v>
      </c>
      <c r="F61" s="20">
        <v>3046.72</v>
      </c>
      <c r="Q61" s="32">
        <v>6</v>
      </c>
      <c r="R61" s="32">
        <v>64.930000000000007</v>
      </c>
      <c r="S61" s="34">
        <v>71</v>
      </c>
      <c r="T61" s="32">
        <v>6.07</v>
      </c>
      <c r="U61" s="32">
        <v>-0.26</v>
      </c>
      <c r="V61" s="34">
        <v>2297.4499999999998</v>
      </c>
    </row>
    <row r="62" spans="1:22" ht="16.8" x14ac:dyDescent="0.3">
      <c r="A62" s="20">
        <v>6.1</v>
      </c>
      <c r="B62" s="20">
        <v>71</v>
      </c>
      <c r="C62" s="26">
        <v>52.12</v>
      </c>
      <c r="D62" s="20">
        <v>18.88</v>
      </c>
      <c r="E62" s="20">
        <v>-0.35</v>
      </c>
      <c r="F62" s="26">
        <v>3066.96</v>
      </c>
      <c r="Q62" s="32">
        <v>6.1</v>
      </c>
      <c r="R62" s="32">
        <v>65.23</v>
      </c>
      <c r="S62" s="34">
        <v>71</v>
      </c>
      <c r="T62" s="34">
        <v>5.77</v>
      </c>
      <c r="U62" s="34">
        <v>-0.3</v>
      </c>
      <c r="V62" s="32">
        <v>2228.4299999999998</v>
      </c>
    </row>
    <row r="63" spans="1:22" ht="16.8" x14ac:dyDescent="0.3">
      <c r="A63" s="20">
        <v>6.2</v>
      </c>
      <c r="B63" s="20">
        <v>71</v>
      </c>
      <c r="C63" s="20">
        <v>52.54</v>
      </c>
      <c r="D63" s="20">
        <v>18.46</v>
      </c>
      <c r="E63" s="20">
        <v>-0.42</v>
      </c>
      <c r="F63" s="20">
        <v>3040.23</v>
      </c>
      <c r="Q63" s="32">
        <v>6.2</v>
      </c>
      <c r="R63" s="32">
        <v>65.459999999999994</v>
      </c>
      <c r="S63" s="34">
        <v>71</v>
      </c>
      <c r="T63" s="34">
        <v>5.54</v>
      </c>
      <c r="U63" s="34">
        <v>-0.23</v>
      </c>
      <c r="V63" s="34">
        <v>2254.2800000000002</v>
      </c>
    </row>
    <row r="64" spans="1:22" ht="16.8" x14ac:dyDescent="0.3">
      <c r="A64" s="20">
        <v>6.3</v>
      </c>
      <c r="B64" s="20">
        <v>71</v>
      </c>
      <c r="C64" s="26">
        <v>52.85</v>
      </c>
      <c r="D64" s="20">
        <v>18.149999999999999</v>
      </c>
      <c r="E64" s="20">
        <v>-0.31</v>
      </c>
      <c r="F64" s="26">
        <v>3088.94</v>
      </c>
      <c r="Q64" s="32">
        <v>6.3</v>
      </c>
      <c r="R64" s="32">
        <v>65.709999999999994</v>
      </c>
      <c r="S64" s="34">
        <v>71</v>
      </c>
      <c r="T64" s="34">
        <v>5.29</v>
      </c>
      <c r="U64" s="34">
        <v>-0.24</v>
      </c>
      <c r="V64" s="32">
        <v>2219.71</v>
      </c>
    </row>
    <row r="65" spans="1:22" ht="16.8" x14ac:dyDescent="0.3">
      <c r="A65" s="20">
        <v>6.4</v>
      </c>
      <c r="B65" s="20">
        <v>71</v>
      </c>
      <c r="C65" s="26">
        <v>53.28</v>
      </c>
      <c r="D65" s="20">
        <v>17.72</v>
      </c>
      <c r="E65" s="20">
        <v>-0.43</v>
      </c>
      <c r="F65" s="26">
        <v>3034.17</v>
      </c>
      <c r="Q65" s="32">
        <v>6.4</v>
      </c>
      <c r="R65" s="32">
        <v>65.94</v>
      </c>
      <c r="S65" s="34">
        <v>71</v>
      </c>
      <c r="T65" s="34">
        <v>5.0599999999999996</v>
      </c>
      <c r="U65" s="34">
        <v>-0.23</v>
      </c>
      <c r="V65" s="34">
        <v>2198.89</v>
      </c>
    </row>
    <row r="66" spans="1:22" ht="16.8" x14ac:dyDescent="0.3">
      <c r="A66" s="20">
        <v>6.5</v>
      </c>
      <c r="B66" s="20">
        <v>71</v>
      </c>
      <c r="C66" s="20">
        <v>53.59</v>
      </c>
      <c r="D66" s="20">
        <v>17.41</v>
      </c>
      <c r="E66" s="20">
        <v>-0.3</v>
      </c>
      <c r="F66" s="20">
        <v>3108.18</v>
      </c>
      <c r="Q66" s="32">
        <v>6.5</v>
      </c>
      <c r="R66" s="32">
        <v>66.17</v>
      </c>
      <c r="S66" s="34">
        <v>71</v>
      </c>
      <c r="T66" s="32">
        <v>4.83</v>
      </c>
      <c r="U66" s="34">
        <v>-0.23</v>
      </c>
      <c r="V66" s="32">
        <v>2171.0100000000002</v>
      </c>
    </row>
    <row r="67" spans="1:22" ht="16.8" x14ac:dyDescent="0.3">
      <c r="A67" s="20">
        <v>6.6</v>
      </c>
      <c r="B67" s="20">
        <v>71</v>
      </c>
      <c r="C67" s="26">
        <v>54</v>
      </c>
      <c r="D67" s="20">
        <v>17</v>
      </c>
      <c r="E67" s="20">
        <v>-0.42</v>
      </c>
      <c r="F67" s="26">
        <v>3040.24</v>
      </c>
      <c r="Q67" s="32">
        <v>6.6</v>
      </c>
      <c r="R67" s="32">
        <v>66.37</v>
      </c>
      <c r="S67" s="34">
        <v>71</v>
      </c>
      <c r="T67" s="34">
        <v>4.63</v>
      </c>
      <c r="U67" s="34">
        <v>-0.2</v>
      </c>
      <c r="V67" s="34">
        <v>2174.11</v>
      </c>
    </row>
    <row r="68" spans="1:22" ht="16.8" x14ac:dyDescent="0.3">
      <c r="A68" s="20">
        <v>6.7</v>
      </c>
      <c r="B68" s="20">
        <v>71</v>
      </c>
      <c r="C68" s="26">
        <v>54.35</v>
      </c>
      <c r="D68" s="20">
        <v>16.649999999999999</v>
      </c>
      <c r="E68" s="20">
        <v>-0.35</v>
      </c>
      <c r="F68" s="26">
        <v>3066.97</v>
      </c>
      <c r="Q68" s="32">
        <v>6.7</v>
      </c>
      <c r="R68" s="32">
        <v>66.599999999999994</v>
      </c>
      <c r="S68" s="34">
        <v>71</v>
      </c>
      <c r="T68" s="32">
        <v>4.4000000000000004</v>
      </c>
      <c r="U68" s="34">
        <v>-0.23</v>
      </c>
      <c r="V68" s="32">
        <v>2127.0500000000002</v>
      </c>
    </row>
    <row r="69" spans="1:22" ht="16.8" x14ac:dyDescent="0.3">
      <c r="A69" s="20">
        <v>6.8</v>
      </c>
      <c r="B69" s="20">
        <v>71</v>
      </c>
      <c r="C69" s="20">
        <v>54.71</v>
      </c>
      <c r="D69" s="20">
        <v>16.29</v>
      </c>
      <c r="E69" s="20">
        <v>-0.35</v>
      </c>
      <c r="F69" s="20">
        <v>3066.97</v>
      </c>
      <c r="Q69" s="32">
        <v>6.8</v>
      </c>
      <c r="R69" s="32">
        <v>66.790000000000006</v>
      </c>
      <c r="S69" s="34">
        <v>71</v>
      </c>
      <c r="T69" s="34">
        <v>4.21</v>
      </c>
      <c r="U69" s="34">
        <v>-0.19</v>
      </c>
      <c r="V69" s="34">
        <v>2138.39</v>
      </c>
    </row>
    <row r="70" spans="1:22" ht="16.8" x14ac:dyDescent="0.3">
      <c r="A70" s="20">
        <v>6.9</v>
      </c>
      <c r="B70" s="20">
        <v>71</v>
      </c>
      <c r="C70" s="26">
        <v>55.04</v>
      </c>
      <c r="D70" s="20">
        <v>15.96</v>
      </c>
      <c r="E70" s="20">
        <v>-0.33</v>
      </c>
      <c r="F70" s="26">
        <v>3077.49</v>
      </c>
      <c r="Q70" s="32">
        <v>6.9</v>
      </c>
      <c r="R70" s="32">
        <v>66.97</v>
      </c>
      <c r="S70" s="34">
        <v>71</v>
      </c>
      <c r="T70" s="34">
        <v>4.03</v>
      </c>
      <c r="U70" s="34">
        <v>-0.19</v>
      </c>
      <c r="V70" s="32">
        <v>2116.77</v>
      </c>
    </row>
    <row r="71" spans="1:22" ht="16.8" x14ac:dyDescent="0.3">
      <c r="A71" s="20">
        <v>7</v>
      </c>
      <c r="B71" s="20">
        <v>71</v>
      </c>
      <c r="C71" s="26">
        <v>55.35</v>
      </c>
      <c r="D71" s="20">
        <v>15.65</v>
      </c>
      <c r="E71" s="20">
        <v>-0.31</v>
      </c>
      <c r="F71" s="26">
        <v>3094.22</v>
      </c>
      <c r="Q71" s="32">
        <v>7</v>
      </c>
      <c r="R71" s="32">
        <v>67.209999999999994</v>
      </c>
      <c r="S71" s="34">
        <v>71</v>
      </c>
      <c r="T71" s="34">
        <v>3.79</v>
      </c>
      <c r="U71" s="34">
        <v>-0.24</v>
      </c>
      <c r="V71" s="32">
        <v>2039.47</v>
      </c>
    </row>
    <row r="72" spans="1:22" ht="16.8" x14ac:dyDescent="0.3">
      <c r="A72" s="20">
        <v>7.1</v>
      </c>
      <c r="B72" s="20">
        <v>71</v>
      </c>
      <c r="C72" s="20">
        <v>55.73</v>
      </c>
      <c r="D72" s="20">
        <v>15.27</v>
      </c>
      <c r="E72" s="20">
        <v>-0.37</v>
      </c>
      <c r="F72" s="20">
        <v>3057.3</v>
      </c>
      <c r="Q72" s="32">
        <v>7.1</v>
      </c>
      <c r="R72" s="32">
        <v>67.349999999999994</v>
      </c>
      <c r="S72" s="34">
        <v>71</v>
      </c>
      <c r="T72" s="34">
        <v>3.65</v>
      </c>
      <c r="U72" s="34">
        <v>-0.14000000000000001</v>
      </c>
      <c r="V72" s="34">
        <v>2109.6</v>
      </c>
    </row>
    <row r="73" spans="1:22" ht="16.8" x14ac:dyDescent="0.3">
      <c r="A73" s="20">
        <v>7.2</v>
      </c>
      <c r="B73" s="20">
        <v>71</v>
      </c>
      <c r="C73" s="26">
        <v>56.09</v>
      </c>
      <c r="D73" s="20">
        <v>14.91</v>
      </c>
      <c r="E73" s="20">
        <v>-0.36</v>
      </c>
      <c r="F73" s="26">
        <v>3063</v>
      </c>
      <c r="Q73" s="20">
        <v>7.2</v>
      </c>
      <c r="R73" s="20">
        <v>67.540000000000006</v>
      </c>
      <c r="S73" s="26">
        <v>71</v>
      </c>
      <c r="T73" s="26">
        <v>3.46</v>
      </c>
      <c r="U73" s="26">
        <v>-0.19</v>
      </c>
      <c r="V73" s="20">
        <v>2039.72</v>
      </c>
    </row>
    <row r="74" spans="1:22" ht="16.8" x14ac:dyDescent="0.3">
      <c r="A74" s="20">
        <v>7.3</v>
      </c>
      <c r="B74" s="20">
        <v>71</v>
      </c>
      <c r="C74" s="20">
        <v>56.41</v>
      </c>
      <c r="D74" s="20">
        <v>14.59</v>
      </c>
      <c r="E74" s="20">
        <v>-0.31</v>
      </c>
      <c r="F74" s="20">
        <v>3088.94</v>
      </c>
      <c r="Q74" s="20">
        <v>7.3</v>
      </c>
      <c r="R74" s="20">
        <v>67.680000000000007</v>
      </c>
      <c r="S74" s="26">
        <v>71</v>
      </c>
      <c r="T74" s="26">
        <v>3.32</v>
      </c>
      <c r="U74" s="26">
        <v>-0.14000000000000001</v>
      </c>
      <c r="V74" s="26">
        <v>2070.0700000000002</v>
      </c>
    </row>
    <row r="75" spans="1:22" ht="16.8" x14ac:dyDescent="0.3">
      <c r="A75" s="20">
        <v>7.4</v>
      </c>
      <c r="B75" s="20">
        <v>71</v>
      </c>
      <c r="C75" s="26">
        <v>56.74</v>
      </c>
      <c r="D75" s="20">
        <v>14.26</v>
      </c>
      <c r="E75" s="20">
        <v>-0.33</v>
      </c>
      <c r="F75" s="26">
        <v>3077.49</v>
      </c>
      <c r="Q75" s="20">
        <v>7.4</v>
      </c>
      <c r="R75" s="20">
        <v>67.87</v>
      </c>
      <c r="S75" s="26">
        <v>71</v>
      </c>
      <c r="T75" s="20">
        <v>3.13</v>
      </c>
      <c r="U75" s="26">
        <v>-0.19</v>
      </c>
      <c r="V75" s="20">
        <v>2007.27</v>
      </c>
    </row>
    <row r="76" spans="1:22" ht="16.8" x14ac:dyDescent="0.3">
      <c r="A76" s="20">
        <v>7.5</v>
      </c>
      <c r="B76" s="20">
        <v>71</v>
      </c>
      <c r="C76" s="26">
        <v>57.08</v>
      </c>
      <c r="D76" s="20">
        <v>13.92</v>
      </c>
      <c r="E76" s="20">
        <v>-0.34</v>
      </c>
      <c r="F76" s="26">
        <v>3075.31</v>
      </c>
      <c r="Q76" s="20">
        <v>7.5</v>
      </c>
      <c r="R76" s="20">
        <v>67.930000000000007</v>
      </c>
      <c r="S76" s="26">
        <v>71</v>
      </c>
      <c r="T76" s="26">
        <v>3.07</v>
      </c>
      <c r="U76" s="26">
        <v>-0.06</v>
      </c>
      <c r="V76" s="26">
        <v>2101.31</v>
      </c>
    </row>
    <row r="77" spans="1:22" ht="16.8" x14ac:dyDescent="0.3">
      <c r="A77" s="20">
        <v>7.6</v>
      </c>
      <c r="B77" s="20">
        <v>71</v>
      </c>
      <c r="C77" s="20">
        <v>57.42</v>
      </c>
      <c r="D77" s="20">
        <v>13.58</v>
      </c>
      <c r="E77" s="20">
        <v>-0.34</v>
      </c>
      <c r="F77" s="20">
        <v>3075.32</v>
      </c>
      <c r="Q77" s="20">
        <v>7.6</v>
      </c>
      <c r="R77" s="20">
        <v>68.14</v>
      </c>
      <c r="S77" s="26">
        <v>71</v>
      </c>
      <c r="T77" s="26">
        <v>2.86</v>
      </c>
      <c r="U77" s="26">
        <v>-0.21</v>
      </c>
      <c r="V77" s="20">
        <v>1955.77</v>
      </c>
    </row>
    <row r="78" spans="1:22" ht="16.8" x14ac:dyDescent="0.3">
      <c r="A78" s="20">
        <v>7.7</v>
      </c>
      <c r="B78" s="20">
        <v>71</v>
      </c>
      <c r="C78" s="26">
        <v>57.75</v>
      </c>
      <c r="D78" s="20">
        <v>13.25</v>
      </c>
      <c r="E78" s="20">
        <v>-0.33</v>
      </c>
      <c r="F78" s="26">
        <v>3077.49</v>
      </c>
      <c r="Q78" s="20">
        <v>7.7</v>
      </c>
      <c r="R78" s="20">
        <v>68.33</v>
      </c>
      <c r="S78" s="26">
        <v>71</v>
      </c>
      <c r="T78" s="26">
        <v>2.67</v>
      </c>
      <c r="U78" s="26">
        <v>-0.19</v>
      </c>
      <c r="V78" s="26">
        <v>1942.4</v>
      </c>
    </row>
    <row r="79" spans="1:22" ht="16.8" x14ac:dyDescent="0.3">
      <c r="A79" s="20">
        <v>7.8</v>
      </c>
      <c r="B79" s="20">
        <v>71</v>
      </c>
      <c r="C79" s="20">
        <v>58.09</v>
      </c>
      <c r="D79" s="20">
        <v>12.91</v>
      </c>
      <c r="E79" s="20">
        <v>-0.34</v>
      </c>
      <c r="F79" s="26">
        <v>3073.17</v>
      </c>
      <c r="Q79" s="20">
        <v>7.8</v>
      </c>
      <c r="R79" s="20">
        <v>68.42</v>
      </c>
      <c r="S79" s="26">
        <v>71</v>
      </c>
      <c r="T79" s="20">
        <v>2.58</v>
      </c>
      <c r="U79" s="26">
        <v>-0.09</v>
      </c>
      <c r="V79" s="20">
        <v>2018.12</v>
      </c>
    </row>
    <row r="80" spans="1:22" ht="16.8" x14ac:dyDescent="0.3">
      <c r="A80" s="20">
        <v>7.9</v>
      </c>
      <c r="B80" s="20">
        <v>71</v>
      </c>
      <c r="C80" s="26">
        <v>58.42</v>
      </c>
      <c r="D80" s="20">
        <v>12.58</v>
      </c>
      <c r="E80" s="20">
        <v>-0.33</v>
      </c>
      <c r="F80" s="20">
        <v>3081.95</v>
      </c>
      <c r="Q80" s="20">
        <v>7.9</v>
      </c>
      <c r="R80" s="20">
        <v>68.56</v>
      </c>
      <c r="S80" s="26">
        <v>71</v>
      </c>
      <c r="T80" s="26">
        <v>2.44</v>
      </c>
      <c r="U80" s="26">
        <v>-0.14000000000000001</v>
      </c>
      <c r="V80" s="26">
        <v>1961.83</v>
      </c>
    </row>
    <row r="81" spans="1:22" ht="16.8" x14ac:dyDescent="0.3">
      <c r="A81" s="20">
        <v>8</v>
      </c>
      <c r="B81" s="20">
        <v>71</v>
      </c>
      <c r="C81" s="26">
        <v>58.74</v>
      </c>
      <c r="D81" s="20">
        <v>12.26</v>
      </c>
      <c r="E81" s="20">
        <v>-0.32</v>
      </c>
      <c r="F81" s="26">
        <v>3084.24</v>
      </c>
      <c r="Q81" s="20">
        <v>8</v>
      </c>
      <c r="R81" s="20">
        <v>68.650000000000006</v>
      </c>
      <c r="S81" s="26">
        <v>71</v>
      </c>
      <c r="T81" s="20">
        <v>2.35</v>
      </c>
      <c r="U81" s="26">
        <v>-0.1</v>
      </c>
      <c r="V81" s="20">
        <v>1983.64</v>
      </c>
    </row>
    <row r="82" spans="1:22" ht="16.8" x14ac:dyDescent="0.3">
      <c r="A82" s="20">
        <v>8.1</v>
      </c>
      <c r="B82" s="20">
        <v>71</v>
      </c>
      <c r="C82" s="20">
        <v>59.03</v>
      </c>
      <c r="D82" s="20">
        <v>11.97</v>
      </c>
      <c r="E82" s="20">
        <v>-0.28999999999999998</v>
      </c>
      <c r="F82" s="20">
        <v>3061.71</v>
      </c>
      <c r="Q82" s="20">
        <v>8.1</v>
      </c>
      <c r="R82" s="20">
        <v>68.83</v>
      </c>
      <c r="S82" s="26">
        <v>71</v>
      </c>
      <c r="T82" s="26">
        <v>2.17</v>
      </c>
      <c r="U82" s="26">
        <v>-0.18</v>
      </c>
      <c r="V82" s="26">
        <v>1893.83</v>
      </c>
    </row>
    <row r="83" spans="1:22" ht="16.8" x14ac:dyDescent="0.3">
      <c r="A83" s="20">
        <v>8.1999999999999993</v>
      </c>
      <c r="B83" s="20">
        <v>71</v>
      </c>
      <c r="C83" s="26">
        <v>59.34</v>
      </c>
      <c r="D83" s="20">
        <v>11.66</v>
      </c>
      <c r="E83" s="20">
        <v>-0.31</v>
      </c>
      <c r="F83" s="26">
        <v>3091.34</v>
      </c>
      <c r="Q83" s="20">
        <v>8.1999999999999993</v>
      </c>
      <c r="R83" s="20">
        <v>68.92</v>
      </c>
      <c r="S83" s="26">
        <v>71</v>
      </c>
      <c r="T83" s="20">
        <v>2.08</v>
      </c>
      <c r="U83" s="26">
        <v>-0.09</v>
      </c>
      <c r="V83" s="20">
        <v>1955.32</v>
      </c>
    </row>
    <row r="84" spans="1:22" ht="16.8" x14ac:dyDescent="0.3">
      <c r="A84" s="20">
        <v>8.3000000000000007</v>
      </c>
      <c r="B84" s="20">
        <v>71</v>
      </c>
      <c r="C84" s="26">
        <v>59.65</v>
      </c>
      <c r="D84" s="20">
        <v>11.35</v>
      </c>
      <c r="E84" s="20">
        <v>-0.31</v>
      </c>
      <c r="F84" s="26">
        <v>3091.35</v>
      </c>
      <c r="Q84" s="20">
        <v>8.3000000000000007</v>
      </c>
      <c r="R84" s="20">
        <v>69.069999999999993</v>
      </c>
      <c r="S84" s="26">
        <v>71</v>
      </c>
      <c r="T84" s="26">
        <v>1.93</v>
      </c>
      <c r="U84" s="26">
        <v>-0.15</v>
      </c>
      <c r="V84" s="20">
        <v>1889.91</v>
      </c>
    </row>
    <row r="85" spans="1:22" ht="16.8" x14ac:dyDescent="0.3">
      <c r="A85" s="20">
        <v>8.4</v>
      </c>
      <c r="B85" s="20">
        <v>71</v>
      </c>
      <c r="C85" s="20">
        <v>59.93</v>
      </c>
      <c r="D85" s="20">
        <v>11.07</v>
      </c>
      <c r="E85" s="20">
        <v>-0.28000000000000003</v>
      </c>
      <c r="F85" s="20">
        <v>3054.88</v>
      </c>
      <c r="Q85" s="20">
        <v>8.4</v>
      </c>
      <c r="R85" s="20">
        <v>69.17</v>
      </c>
      <c r="S85" s="26">
        <v>71</v>
      </c>
      <c r="T85" s="26">
        <v>1.83</v>
      </c>
      <c r="U85" s="26">
        <v>-0.1</v>
      </c>
      <c r="V85" s="26">
        <v>1909.06</v>
      </c>
    </row>
    <row r="86" spans="1:22" ht="16.8" x14ac:dyDescent="0.3">
      <c r="A86" s="20">
        <v>8.5</v>
      </c>
      <c r="B86" s="20">
        <v>71</v>
      </c>
      <c r="C86" s="26">
        <v>60.28</v>
      </c>
      <c r="D86" s="20">
        <v>10.72</v>
      </c>
      <c r="E86" s="20">
        <v>-0.35</v>
      </c>
      <c r="F86" s="26">
        <v>3071.08</v>
      </c>
      <c r="Q86" s="20">
        <v>8.5</v>
      </c>
      <c r="R86" s="20">
        <v>69.239999999999995</v>
      </c>
      <c r="S86" s="26">
        <v>71</v>
      </c>
      <c r="T86" s="26">
        <v>1.76</v>
      </c>
      <c r="U86" s="26">
        <v>-0.06</v>
      </c>
      <c r="V86" s="20">
        <v>1934.92</v>
      </c>
    </row>
    <row r="87" spans="1:22" ht="16.8" x14ac:dyDescent="0.3">
      <c r="A87" s="20">
        <v>8.6</v>
      </c>
      <c r="B87" s="20">
        <v>71</v>
      </c>
      <c r="C87" s="20">
        <v>60.57</v>
      </c>
      <c r="D87" s="20">
        <v>10.43</v>
      </c>
      <c r="E87" s="20">
        <v>-0.28999999999999998</v>
      </c>
      <c r="F87" s="26">
        <v>3075.49</v>
      </c>
      <c r="Q87" s="20">
        <v>8.6</v>
      </c>
      <c r="R87" s="20">
        <v>69.349999999999994</v>
      </c>
      <c r="S87" s="26">
        <v>71</v>
      </c>
      <c r="T87" s="26">
        <v>1.65</v>
      </c>
      <c r="U87" s="26">
        <v>-0.11</v>
      </c>
      <c r="V87" s="26">
        <v>1880.81</v>
      </c>
    </row>
    <row r="88" spans="1:22" ht="16.8" x14ac:dyDescent="0.3">
      <c r="A88" s="20">
        <v>8.6999999999999993</v>
      </c>
      <c r="B88" s="20">
        <v>71</v>
      </c>
      <c r="C88" s="26">
        <v>60.84</v>
      </c>
      <c r="D88" s="20">
        <v>10.16</v>
      </c>
      <c r="E88" s="20">
        <v>-0.27</v>
      </c>
      <c r="F88" s="20">
        <v>3027.77</v>
      </c>
      <c r="Q88" s="20">
        <v>8.6999999999999993</v>
      </c>
      <c r="R88" s="20">
        <v>69.45</v>
      </c>
      <c r="S88" s="26">
        <v>71</v>
      </c>
      <c r="T88" s="26">
        <v>1.55</v>
      </c>
      <c r="U88" s="26">
        <v>-0.1</v>
      </c>
      <c r="V88" s="20">
        <v>1873.28</v>
      </c>
    </row>
    <row r="89" spans="1:22" ht="16.8" x14ac:dyDescent="0.3">
      <c r="A89" s="20">
        <v>8.8000000000000007</v>
      </c>
      <c r="B89" s="20">
        <v>71</v>
      </c>
      <c r="C89" s="26">
        <v>61.14</v>
      </c>
      <c r="D89" s="20">
        <v>9.86</v>
      </c>
      <c r="E89" s="20">
        <v>-0.31</v>
      </c>
      <c r="F89" s="26">
        <v>3091.48</v>
      </c>
      <c r="Q89" s="20">
        <v>8.8000000000000007</v>
      </c>
      <c r="R89" s="20">
        <v>69.53</v>
      </c>
      <c r="S89" s="26">
        <v>71</v>
      </c>
      <c r="T89" s="26">
        <v>1.47</v>
      </c>
      <c r="U89" s="26">
        <v>-0.08</v>
      </c>
      <c r="V89" s="26">
        <v>1882.65</v>
      </c>
    </row>
    <row r="90" spans="1:22" ht="16.8" x14ac:dyDescent="0.3">
      <c r="A90" s="20">
        <v>8.9</v>
      </c>
      <c r="B90" s="20">
        <v>71</v>
      </c>
      <c r="C90" s="20">
        <v>61.45</v>
      </c>
      <c r="D90" s="20">
        <v>9.5500000000000007</v>
      </c>
      <c r="E90" s="20">
        <v>-0.31</v>
      </c>
      <c r="F90" s="26">
        <v>3091.35</v>
      </c>
      <c r="Q90" s="20">
        <v>8.9</v>
      </c>
      <c r="R90" s="20">
        <v>69.63</v>
      </c>
      <c r="S90" s="26">
        <v>71</v>
      </c>
      <c r="T90" s="26">
        <v>1.37</v>
      </c>
      <c r="U90" s="26">
        <v>-0.1</v>
      </c>
      <c r="V90" s="20">
        <v>1856.58</v>
      </c>
    </row>
    <row r="91" spans="1:22" ht="16.8" x14ac:dyDescent="0.3">
      <c r="A91" s="20">
        <v>9</v>
      </c>
      <c r="B91" s="20">
        <v>71</v>
      </c>
      <c r="C91" s="26">
        <v>61.73</v>
      </c>
      <c r="D91" s="20">
        <v>9.27</v>
      </c>
      <c r="E91" s="20">
        <v>-0.28000000000000003</v>
      </c>
      <c r="F91" s="20">
        <v>3048.06</v>
      </c>
      <c r="Q91" s="20">
        <v>9</v>
      </c>
      <c r="R91" s="20">
        <v>69.7</v>
      </c>
      <c r="S91" s="26">
        <v>71</v>
      </c>
      <c r="T91" s="26">
        <v>1.3</v>
      </c>
      <c r="U91" s="26">
        <v>-7.0000000000000007E-2</v>
      </c>
      <c r="V91" s="26">
        <v>1866.92</v>
      </c>
    </row>
    <row r="92" spans="1:22" ht="16.8" x14ac:dyDescent="0.3">
      <c r="A92" s="20">
        <v>9.1</v>
      </c>
      <c r="B92" s="20">
        <v>71</v>
      </c>
      <c r="C92" s="26">
        <v>62</v>
      </c>
      <c r="D92" s="20">
        <v>9</v>
      </c>
      <c r="E92" s="20">
        <v>-0.27</v>
      </c>
      <c r="F92" s="26">
        <v>3034.5</v>
      </c>
      <c r="Q92" s="20">
        <v>9.1</v>
      </c>
      <c r="R92" s="20">
        <v>69.8</v>
      </c>
      <c r="S92" s="26">
        <v>71</v>
      </c>
      <c r="T92" s="26">
        <v>1.2</v>
      </c>
      <c r="U92" s="26">
        <v>-0.1</v>
      </c>
      <c r="V92" s="20">
        <v>1833.91</v>
      </c>
    </row>
    <row r="93" spans="1:22" ht="16.8" x14ac:dyDescent="0.3">
      <c r="A93" s="20">
        <v>9.1999999999999993</v>
      </c>
      <c r="B93" s="20">
        <v>71</v>
      </c>
      <c r="C93" s="20">
        <v>62.3</v>
      </c>
      <c r="D93" s="20">
        <v>8.6999999999999993</v>
      </c>
      <c r="E93" s="20">
        <v>-0.3</v>
      </c>
      <c r="F93" s="20">
        <v>3087.64</v>
      </c>
      <c r="Q93" s="20">
        <v>9.1999999999999993</v>
      </c>
      <c r="R93" s="20">
        <v>69.86</v>
      </c>
      <c r="S93" s="26">
        <v>71</v>
      </c>
      <c r="T93" s="26">
        <v>1.1399999999999999</v>
      </c>
      <c r="U93" s="20">
        <v>-0.06</v>
      </c>
      <c r="V93" s="26">
        <v>1851.73</v>
      </c>
    </row>
    <row r="94" spans="1:22" ht="16.8" x14ac:dyDescent="0.3">
      <c r="A94" s="20">
        <v>9.3000000000000007</v>
      </c>
      <c r="B94" s="20">
        <v>71</v>
      </c>
      <c r="C94" s="26">
        <v>62.55</v>
      </c>
      <c r="D94" s="20">
        <v>8.4499999999999993</v>
      </c>
      <c r="E94" s="20">
        <v>-0.25</v>
      </c>
      <c r="F94" s="26">
        <v>3000.98</v>
      </c>
      <c r="Q94" s="20">
        <v>9.3000000000000007</v>
      </c>
      <c r="R94" s="20">
        <v>69.959999999999994</v>
      </c>
      <c r="S94" s="26">
        <v>71</v>
      </c>
      <c r="T94" s="26">
        <v>1.04</v>
      </c>
      <c r="U94" s="26">
        <v>-0.1</v>
      </c>
      <c r="V94" s="20">
        <v>1811.83</v>
      </c>
    </row>
    <row r="95" spans="1:22" ht="16.8" x14ac:dyDescent="0.3">
      <c r="A95" s="20">
        <v>9.4</v>
      </c>
      <c r="B95" s="20">
        <v>71</v>
      </c>
      <c r="C95" s="20">
        <v>62.81</v>
      </c>
      <c r="D95" s="20">
        <v>8.19</v>
      </c>
      <c r="E95" s="20">
        <v>-0.26</v>
      </c>
      <c r="F95" s="26">
        <v>3014.33</v>
      </c>
      <c r="Q95" s="20">
        <v>9.4</v>
      </c>
      <c r="R95" s="20">
        <v>70.069999999999993</v>
      </c>
      <c r="S95" s="26">
        <v>71</v>
      </c>
      <c r="T95" s="26">
        <v>0.93</v>
      </c>
      <c r="U95" s="26">
        <v>-0.1</v>
      </c>
      <c r="V95" s="26">
        <v>1789.78</v>
      </c>
    </row>
    <row r="96" spans="1:22" ht="16.8" x14ac:dyDescent="0.3">
      <c r="A96" s="20">
        <v>9.5</v>
      </c>
      <c r="B96" s="20">
        <v>71</v>
      </c>
      <c r="C96" s="26">
        <v>63.12</v>
      </c>
      <c r="D96" s="20">
        <v>7.88</v>
      </c>
      <c r="E96" s="20">
        <v>-0.31</v>
      </c>
      <c r="F96" s="20">
        <v>3091.35</v>
      </c>
      <c r="Q96" s="20">
        <v>9.5</v>
      </c>
      <c r="R96" s="20">
        <v>70.11</v>
      </c>
      <c r="S96" s="26">
        <v>71</v>
      </c>
      <c r="T96" s="26">
        <v>0.89</v>
      </c>
      <c r="U96" s="26">
        <v>-0.04</v>
      </c>
      <c r="V96" s="20">
        <v>1837.1</v>
      </c>
    </row>
    <row r="97" spans="1:22" ht="16.8" x14ac:dyDescent="0.3">
      <c r="A97" s="20">
        <v>9.6</v>
      </c>
      <c r="B97" s="20">
        <v>71</v>
      </c>
      <c r="C97" s="26">
        <v>63.45</v>
      </c>
      <c r="D97" s="20">
        <v>7.55</v>
      </c>
      <c r="E97" s="20">
        <v>-0.33</v>
      </c>
      <c r="F97" s="26">
        <v>3079.7</v>
      </c>
      <c r="Q97" s="20">
        <v>9.6</v>
      </c>
      <c r="R97" s="20">
        <v>70.17</v>
      </c>
      <c r="S97" s="26">
        <v>71</v>
      </c>
      <c r="T97" s="26">
        <v>0.83</v>
      </c>
      <c r="U97" s="26">
        <v>-0.06</v>
      </c>
      <c r="V97" s="26">
        <v>1808.68</v>
      </c>
    </row>
    <row r="98" spans="1:22" ht="16.8" x14ac:dyDescent="0.3">
      <c r="A98" s="20">
        <v>9.6999999999999993</v>
      </c>
      <c r="B98" s="20">
        <v>71</v>
      </c>
      <c r="C98" s="20">
        <v>63.71</v>
      </c>
      <c r="D98" s="20">
        <v>7.29</v>
      </c>
      <c r="E98" s="20">
        <v>-0.26</v>
      </c>
      <c r="F98" s="26">
        <v>3014.35</v>
      </c>
      <c r="Q98" s="20">
        <v>9.6999999999999993</v>
      </c>
      <c r="R98" s="20">
        <v>70.28</v>
      </c>
      <c r="S98" s="26">
        <v>71</v>
      </c>
      <c r="T98" s="26">
        <v>0.72</v>
      </c>
      <c r="U98" s="26">
        <v>-0.11</v>
      </c>
      <c r="V98" s="20">
        <v>1752.25</v>
      </c>
    </row>
    <row r="99" spans="1:22" ht="16.8" x14ac:dyDescent="0.3">
      <c r="A99" s="20">
        <v>9.8000000000000007</v>
      </c>
      <c r="B99" s="20">
        <v>71</v>
      </c>
      <c r="C99" s="26">
        <v>63.98</v>
      </c>
      <c r="D99" s="20">
        <v>7.02</v>
      </c>
      <c r="E99" s="20">
        <v>-0.27</v>
      </c>
      <c r="F99" s="20">
        <v>3041.25</v>
      </c>
      <c r="Q99" s="20">
        <v>9.8000000000000007</v>
      </c>
      <c r="R99" s="20">
        <v>70.34</v>
      </c>
      <c r="S99" s="26">
        <v>71</v>
      </c>
      <c r="T99" s="20">
        <v>0.66</v>
      </c>
      <c r="U99" s="26">
        <v>-0.06</v>
      </c>
      <c r="V99" s="26">
        <v>1789.72</v>
      </c>
    </row>
    <row r="100" spans="1:22" ht="16.8" x14ac:dyDescent="0.3">
      <c r="A100" s="20">
        <v>9.9</v>
      </c>
      <c r="B100" s="20">
        <v>71</v>
      </c>
      <c r="C100" s="20">
        <v>64.23</v>
      </c>
      <c r="D100" s="20">
        <v>6.77</v>
      </c>
      <c r="E100" s="20">
        <v>-0.25</v>
      </c>
      <c r="F100" s="26">
        <v>3001</v>
      </c>
      <c r="Q100" s="20">
        <v>9.9</v>
      </c>
      <c r="R100" s="20">
        <v>70.39</v>
      </c>
      <c r="S100" s="26">
        <v>71</v>
      </c>
      <c r="T100" s="26">
        <v>0.61</v>
      </c>
      <c r="U100" s="26">
        <v>-0.05</v>
      </c>
      <c r="V100" s="20">
        <v>1789.5</v>
      </c>
    </row>
    <row r="101" spans="1:22" ht="16.8" x14ac:dyDescent="0.3">
      <c r="A101" s="20">
        <v>10</v>
      </c>
      <c r="B101" s="20">
        <v>71</v>
      </c>
      <c r="C101" s="26">
        <v>64.540000000000006</v>
      </c>
      <c r="D101" s="20">
        <v>6.46</v>
      </c>
      <c r="E101" s="20">
        <v>-0.3</v>
      </c>
      <c r="F101" s="20">
        <v>3087.65</v>
      </c>
      <c r="Q101" s="20">
        <v>10</v>
      </c>
      <c r="R101" s="20">
        <v>70.430000000000007</v>
      </c>
      <c r="S101" s="26">
        <v>71</v>
      </c>
      <c r="T101" s="20">
        <v>0.56999999999999995</v>
      </c>
      <c r="U101" s="26">
        <v>-0.04</v>
      </c>
      <c r="V101" s="26">
        <v>1790.55</v>
      </c>
    </row>
    <row r="102" spans="1:22" ht="16.8" x14ac:dyDescent="0.3">
      <c r="A102" s="20">
        <v>10.1</v>
      </c>
      <c r="B102" s="20">
        <v>71</v>
      </c>
      <c r="C102" s="26">
        <v>64.81</v>
      </c>
      <c r="D102" s="20">
        <v>6.19</v>
      </c>
      <c r="E102" s="20">
        <v>-0.27</v>
      </c>
      <c r="F102" s="26">
        <v>3034.5</v>
      </c>
      <c r="Q102" s="20">
        <v>10.1</v>
      </c>
      <c r="R102" s="20">
        <v>70.510000000000005</v>
      </c>
      <c r="S102" s="26">
        <v>71</v>
      </c>
      <c r="T102" s="26">
        <v>0.49</v>
      </c>
      <c r="U102" s="26">
        <v>-0.08</v>
      </c>
      <c r="V102" s="20">
        <v>1745.55</v>
      </c>
    </row>
    <row r="103" spans="1:22" ht="16.8" x14ac:dyDescent="0.3">
      <c r="A103" s="20">
        <v>10.199999999999999</v>
      </c>
      <c r="B103" s="20">
        <v>71</v>
      </c>
      <c r="C103" s="20">
        <v>65.08</v>
      </c>
      <c r="D103" s="20">
        <v>5.92</v>
      </c>
      <c r="E103" s="20">
        <v>-0.27</v>
      </c>
      <c r="F103" s="26">
        <v>3041.26</v>
      </c>
      <c r="Q103" s="20">
        <v>10.199999999999999</v>
      </c>
      <c r="R103" s="20">
        <v>70.53</v>
      </c>
      <c r="S103" s="26">
        <v>71</v>
      </c>
      <c r="T103" s="20">
        <v>0.47</v>
      </c>
      <c r="U103" s="26">
        <v>-0.02</v>
      </c>
      <c r="V103" s="20">
        <v>1788.05</v>
      </c>
    </row>
    <row r="104" spans="1:22" ht="16.8" x14ac:dyDescent="0.3">
      <c r="A104" s="20">
        <v>10.3</v>
      </c>
      <c r="B104" s="20">
        <v>71</v>
      </c>
      <c r="C104" s="26">
        <v>65.31</v>
      </c>
      <c r="D104" s="20">
        <v>5.69</v>
      </c>
      <c r="E104" s="20">
        <v>-0.23</v>
      </c>
      <c r="F104" s="20">
        <v>2974.48</v>
      </c>
      <c r="Q104" s="20">
        <v>10.3</v>
      </c>
      <c r="R104" s="20">
        <v>70.59</v>
      </c>
      <c r="S104" s="26">
        <v>71</v>
      </c>
      <c r="T104" s="26">
        <v>0.41</v>
      </c>
      <c r="U104" s="20">
        <v>-0.06</v>
      </c>
      <c r="V104" s="26">
        <v>1753.46</v>
      </c>
    </row>
    <row r="105" spans="1:22" ht="16.8" x14ac:dyDescent="0.3">
      <c r="A105" s="20">
        <v>10.4</v>
      </c>
      <c r="B105" s="20">
        <v>71</v>
      </c>
      <c r="C105" s="20">
        <v>65.569999999999993</v>
      </c>
      <c r="D105" s="20">
        <v>5.43</v>
      </c>
      <c r="E105" s="20">
        <v>-0.26</v>
      </c>
      <c r="F105" s="26">
        <v>3014.33</v>
      </c>
      <c r="Q105" s="20">
        <v>10.4</v>
      </c>
      <c r="R105" s="20">
        <v>70.67</v>
      </c>
      <c r="S105" s="26">
        <v>71</v>
      </c>
      <c r="T105" s="26">
        <v>0.33</v>
      </c>
      <c r="U105" s="26">
        <v>-0.08</v>
      </c>
      <c r="V105" s="20">
        <v>1721.06</v>
      </c>
    </row>
    <row r="106" spans="1:22" ht="16.8" x14ac:dyDescent="0.3">
      <c r="A106" s="20">
        <v>10.5</v>
      </c>
      <c r="B106" s="20">
        <v>71</v>
      </c>
      <c r="C106" s="26">
        <v>65.84</v>
      </c>
      <c r="D106" s="20">
        <v>5.16</v>
      </c>
      <c r="E106" s="20">
        <v>-0.27</v>
      </c>
      <c r="F106" s="26">
        <v>3027.76</v>
      </c>
      <c r="Q106" s="20">
        <v>10.5</v>
      </c>
      <c r="R106" s="20">
        <v>70.709999999999994</v>
      </c>
      <c r="S106" s="26">
        <v>71</v>
      </c>
      <c r="T106" s="26">
        <v>0.28999999999999998</v>
      </c>
      <c r="U106" s="26">
        <v>-0.04</v>
      </c>
      <c r="V106" s="26">
        <v>1747.39</v>
      </c>
    </row>
    <row r="107" spans="1:22" ht="16.8" x14ac:dyDescent="0.3">
      <c r="A107" s="20">
        <v>10.6</v>
      </c>
      <c r="B107" s="20">
        <v>71</v>
      </c>
      <c r="C107" s="26">
        <v>66.06</v>
      </c>
      <c r="D107" s="20">
        <v>4.9400000000000004</v>
      </c>
      <c r="E107" s="20">
        <v>-0.23</v>
      </c>
      <c r="F107" s="20">
        <v>2961.29</v>
      </c>
      <c r="Q107" s="20">
        <v>10.6</v>
      </c>
      <c r="R107" s="20">
        <v>70.7</v>
      </c>
      <c r="S107" s="26">
        <v>71</v>
      </c>
      <c r="T107" s="26">
        <v>0.3</v>
      </c>
      <c r="U107" s="26">
        <v>0.01</v>
      </c>
      <c r="V107" s="20">
        <v>1788.47</v>
      </c>
    </row>
    <row r="108" spans="1:22" ht="16.8" x14ac:dyDescent="0.3">
      <c r="A108" s="20">
        <v>10.7</v>
      </c>
      <c r="B108" s="20">
        <v>71</v>
      </c>
      <c r="C108" s="20">
        <v>66.31</v>
      </c>
      <c r="D108" s="20">
        <v>4.6900000000000004</v>
      </c>
      <c r="E108" s="20">
        <v>-0.25</v>
      </c>
      <c r="F108" s="26">
        <v>3000.98</v>
      </c>
      <c r="Q108" s="20">
        <v>10.7</v>
      </c>
      <c r="R108" s="20">
        <v>70.739999999999995</v>
      </c>
      <c r="S108" s="26">
        <v>71</v>
      </c>
      <c r="T108" s="20">
        <v>0.26</v>
      </c>
      <c r="U108" s="26">
        <v>-0.04</v>
      </c>
      <c r="V108" s="26">
        <v>1743.26</v>
      </c>
    </row>
    <row r="109" spans="1:22" ht="16.8" x14ac:dyDescent="0.3">
      <c r="A109" s="20">
        <v>10.8</v>
      </c>
      <c r="B109" s="20">
        <v>71</v>
      </c>
      <c r="C109" s="26">
        <v>66.59</v>
      </c>
      <c r="D109" s="20">
        <v>4.41</v>
      </c>
      <c r="E109" s="20">
        <v>-0.27</v>
      </c>
      <c r="F109" s="20">
        <v>3041.26</v>
      </c>
      <c r="Q109" s="20">
        <v>10.8</v>
      </c>
      <c r="R109" s="20">
        <v>70.8</v>
      </c>
      <c r="S109" s="26">
        <v>71</v>
      </c>
      <c r="T109" s="26">
        <v>0.2</v>
      </c>
      <c r="U109" s="26">
        <v>-0.06</v>
      </c>
      <c r="V109" s="20">
        <v>1721.16</v>
      </c>
    </row>
    <row r="110" spans="1:22" ht="16.8" x14ac:dyDescent="0.3">
      <c r="A110" s="20">
        <v>10.9</v>
      </c>
      <c r="B110" s="20">
        <v>71</v>
      </c>
      <c r="C110" s="20">
        <v>66.819999999999993</v>
      </c>
      <c r="D110" s="20">
        <v>4.18</v>
      </c>
      <c r="E110" s="20">
        <v>-0.23</v>
      </c>
      <c r="F110" s="26">
        <v>2974.48</v>
      </c>
      <c r="Q110" s="20">
        <v>10.9</v>
      </c>
      <c r="R110" s="20">
        <v>70.83</v>
      </c>
      <c r="S110" s="26">
        <v>71</v>
      </c>
      <c r="T110" s="20">
        <v>0.17</v>
      </c>
      <c r="U110" s="26">
        <v>-0.03</v>
      </c>
      <c r="V110" s="26">
        <v>1735.57</v>
      </c>
    </row>
    <row r="111" spans="1:22" ht="16.8" x14ac:dyDescent="0.3">
      <c r="A111" s="20">
        <v>11</v>
      </c>
      <c r="B111" s="20">
        <v>71</v>
      </c>
      <c r="C111" s="26">
        <v>67.05</v>
      </c>
      <c r="D111" s="20">
        <v>3.95</v>
      </c>
      <c r="E111" s="20">
        <v>-0.23</v>
      </c>
      <c r="F111" s="26">
        <v>2961.29</v>
      </c>
      <c r="Q111" s="20">
        <v>11</v>
      </c>
      <c r="R111" s="20">
        <v>70.89</v>
      </c>
      <c r="S111" s="26">
        <v>71</v>
      </c>
      <c r="T111" s="26">
        <v>0.11</v>
      </c>
      <c r="U111" s="26">
        <v>-0.06</v>
      </c>
      <c r="V111" s="20">
        <v>1706.74</v>
      </c>
    </row>
    <row r="112" spans="1:22" ht="16.8" x14ac:dyDescent="0.3">
      <c r="A112" s="20">
        <v>11.1</v>
      </c>
      <c r="B112" s="20">
        <v>71</v>
      </c>
      <c r="C112" s="26">
        <v>67.25</v>
      </c>
      <c r="D112" s="20">
        <v>3.75</v>
      </c>
      <c r="E112" s="20">
        <v>-0.2</v>
      </c>
      <c r="F112" s="20">
        <v>2921.82</v>
      </c>
      <c r="Q112" s="20">
        <v>11.1</v>
      </c>
      <c r="R112" s="20">
        <v>70.930000000000007</v>
      </c>
      <c r="S112" s="26">
        <v>71</v>
      </c>
      <c r="T112" s="26">
        <v>7.0000000000000007E-2</v>
      </c>
      <c r="U112" s="26">
        <v>-0.04</v>
      </c>
      <c r="V112" s="26">
        <v>1713.05</v>
      </c>
    </row>
    <row r="113" spans="1:22" ht="16.8" x14ac:dyDescent="0.3">
      <c r="A113" s="45">
        <v>11.2</v>
      </c>
      <c r="B113" s="20">
        <v>71</v>
      </c>
      <c r="C113" s="20">
        <v>67.510000000000005</v>
      </c>
      <c r="D113" s="20">
        <v>3.49</v>
      </c>
      <c r="E113" s="20">
        <v>-0.26</v>
      </c>
      <c r="F113" s="26">
        <v>3021.03</v>
      </c>
      <c r="Q113" s="20">
        <v>11.2</v>
      </c>
      <c r="R113" s="20">
        <v>70.959999999999994</v>
      </c>
      <c r="S113" s="26">
        <v>71</v>
      </c>
      <c r="T113" s="26">
        <v>0.04</v>
      </c>
      <c r="U113" s="26">
        <v>-0.03</v>
      </c>
      <c r="V113" s="20">
        <v>1714.14</v>
      </c>
    </row>
    <row r="114" spans="1:22" ht="16.8" x14ac:dyDescent="0.3">
      <c r="A114" s="20">
        <v>11.3</v>
      </c>
      <c r="B114" s="20">
        <v>71</v>
      </c>
      <c r="C114" s="26">
        <v>67.75</v>
      </c>
      <c r="D114" s="20">
        <v>3.25</v>
      </c>
      <c r="E114" s="20">
        <v>-0.24</v>
      </c>
      <c r="F114" s="20">
        <v>2981.09</v>
      </c>
      <c r="Q114" s="20">
        <v>11.3</v>
      </c>
      <c r="R114" s="20">
        <v>70.959999999999994</v>
      </c>
      <c r="S114" s="20">
        <v>71</v>
      </c>
      <c r="T114" s="26">
        <v>0.04</v>
      </c>
      <c r="U114" s="26">
        <v>0</v>
      </c>
      <c r="V114" s="20">
        <v>1740.22</v>
      </c>
    </row>
    <row r="115" spans="1:22" ht="16.8" x14ac:dyDescent="0.3">
      <c r="A115" s="20">
        <v>11.4</v>
      </c>
      <c r="B115" s="20">
        <v>71</v>
      </c>
      <c r="C115" s="26">
        <v>67.989999999999995</v>
      </c>
      <c r="D115" s="20">
        <v>3.01</v>
      </c>
      <c r="E115" s="20">
        <v>-0.24</v>
      </c>
      <c r="F115" s="26">
        <v>2981.09</v>
      </c>
      <c r="Q115" s="20">
        <v>11.4</v>
      </c>
      <c r="R115" s="20">
        <v>71.010000000000005</v>
      </c>
      <c r="S115" s="26">
        <v>71</v>
      </c>
      <c r="T115" s="26">
        <v>-0.01</v>
      </c>
      <c r="U115" s="26">
        <v>-0.05</v>
      </c>
      <c r="V115" s="26">
        <v>1692.98</v>
      </c>
    </row>
    <row r="116" spans="1:22" ht="16.8" x14ac:dyDescent="0.3">
      <c r="A116" s="20">
        <v>11.5</v>
      </c>
      <c r="B116" s="20">
        <v>71</v>
      </c>
      <c r="C116" s="20">
        <v>68.19</v>
      </c>
      <c r="D116" s="20">
        <v>2.81</v>
      </c>
      <c r="E116" s="20">
        <v>-0.21</v>
      </c>
      <c r="F116" s="26">
        <v>2928.38</v>
      </c>
      <c r="Q116" s="20">
        <v>11.5</v>
      </c>
      <c r="R116" s="20">
        <v>70.98</v>
      </c>
      <c r="S116" s="20">
        <v>71</v>
      </c>
      <c r="T116" s="26">
        <v>0.02</v>
      </c>
      <c r="U116" s="26">
        <v>0.03</v>
      </c>
      <c r="V116" s="20">
        <v>1763.5</v>
      </c>
    </row>
    <row r="117" spans="1:22" ht="16.8" x14ac:dyDescent="0.3">
      <c r="A117" s="20">
        <v>11.6</v>
      </c>
      <c r="B117" s="20">
        <v>71</v>
      </c>
      <c r="C117" s="26">
        <v>68.400000000000006</v>
      </c>
      <c r="D117" s="20">
        <v>2.6</v>
      </c>
      <c r="E117" s="20">
        <v>-0.21</v>
      </c>
      <c r="F117" s="20">
        <v>2935</v>
      </c>
      <c r="Q117" s="20">
        <v>11.6</v>
      </c>
      <c r="R117" s="20">
        <v>71.02</v>
      </c>
      <c r="S117" s="26">
        <v>71</v>
      </c>
      <c r="T117" s="26">
        <v>-0.02</v>
      </c>
      <c r="U117" s="26">
        <v>-0.05</v>
      </c>
      <c r="V117" s="26">
        <v>1690.22</v>
      </c>
    </row>
    <row r="118" spans="1:22" ht="16.8" x14ac:dyDescent="0.3">
      <c r="A118" s="20">
        <v>11.7</v>
      </c>
      <c r="B118" s="20">
        <v>71</v>
      </c>
      <c r="C118" s="20">
        <v>68.680000000000007</v>
      </c>
      <c r="D118" s="20">
        <v>2.3199999999999998</v>
      </c>
      <c r="E118" s="20">
        <v>-0.27</v>
      </c>
      <c r="F118" s="26">
        <v>3041.26</v>
      </c>
      <c r="Q118" s="20">
        <v>11.7</v>
      </c>
      <c r="R118" s="20">
        <v>71.040000000000006</v>
      </c>
      <c r="S118" s="26">
        <v>71</v>
      </c>
      <c r="T118" s="26">
        <v>-0.04</v>
      </c>
      <c r="U118" s="26">
        <v>-0.02</v>
      </c>
      <c r="V118" s="20">
        <v>1713.37</v>
      </c>
    </row>
    <row r="119" spans="1:22" ht="16.8" x14ac:dyDescent="0.3">
      <c r="A119" s="20">
        <v>11.8</v>
      </c>
      <c r="B119" s="20">
        <v>71</v>
      </c>
      <c r="C119" s="26">
        <v>68.86</v>
      </c>
      <c r="D119" s="20">
        <v>2.14</v>
      </c>
      <c r="E119" s="20">
        <v>-0.19</v>
      </c>
      <c r="F119" s="26">
        <v>2907.68</v>
      </c>
      <c r="Q119" s="20">
        <v>11.8</v>
      </c>
      <c r="R119" s="20">
        <v>71.06</v>
      </c>
      <c r="S119" s="26">
        <v>71</v>
      </c>
      <c r="T119" s="26">
        <v>-0.06</v>
      </c>
      <c r="U119" s="26">
        <v>-0.02</v>
      </c>
      <c r="V119" s="26">
        <v>1710.48</v>
      </c>
    </row>
    <row r="120" spans="1:22" ht="16.8" x14ac:dyDescent="0.3">
      <c r="A120" s="20">
        <v>11.9</v>
      </c>
      <c r="B120" s="20">
        <v>71</v>
      </c>
      <c r="C120" s="26">
        <v>69.150000000000006</v>
      </c>
      <c r="D120" s="20">
        <v>1.85</v>
      </c>
      <c r="E120" s="20">
        <v>-0.28999999999999998</v>
      </c>
      <c r="F120" s="20">
        <v>3068.62</v>
      </c>
      <c r="Q120" s="20">
        <v>11.9</v>
      </c>
      <c r="R120" s="20">
        <v>71.040000000000006</v>
      </c>
      <c r="S120" s="26">
        <v>71</v>
      </c>
      <c r="T120" s="26">
        <v>-0.04</v>
      </c>
      <c r="U120" s="26">
        <v>0.02</v>
      </c>
      <c r="V120" s="20">
        <v>1739.1</v>
      </c>
    </row>
    <row r="121" spans="1:22" ht="16.8" x14ac:dyDescent="0.3">
      <c r="A121" s="20">
        <v>12</v>
      </c>
      <c r="B121" s="20">
        <v>71</v>
      </c>
      <c r="C121" s="20">
        <v>69.319999999999993</v>
      </c>
      <c r="D121" s="20">
        <v>1.68</v>
      </c>
      <c r="E121" s="20">
        <v>-0.17</v>
      </c>
      <c r="F121" s="26">
        <v>2875.7</v>
      </c>
      <c r="Q121" s="20">
        <v>12</v>
      </c>
      <c r="R121" s="20">
        <v>71.11</v>
      </c>
      <c r="S121" s="26">
        <v>71</v>
      </c>
      <c r="T121" s="26">
        <v>-0.11</v>
      </c>
      <c r="U121" s="26">
        <v>-7.0000000000000007E-2</v>
      </c>
      <c r="V121" s="26">
        <v>1655.02</v>
      </c>
    </row>
    <row r="122" spans="1:22" ht="16.8" x14ac:dyDescent="0.3">
      <c r="A122" s="20">
        <v>12.1</v>
      </c>
      <c r="B122" s="20">
        <v>71</v>
      </c>
      <c r="C122" s="26">
        <v>69.510000000000005</v>
      </c>
      <c r="D122" s="20">
        <v>1.49</v>
      </c>
      <c r="E122" s="20">
        <v>-0.19</v>
      </c>
      <c r="F122" s="20">
        <v>2896.39</v>
      </c>
      <c r="Q122" s="20">
        <v>12.1</v>
      </c>
      <c r="R122" s="20">
        <v>71.14</v>
      </c>
      <c r="S122" s="26">
        <v>71</v>
      </c>
      <c r="T122" s="26">
        <v>-0.14000000000000001</v>
      </c>
      <c r="U122" s="26">
        <v>-0.02</v>
      </c>
      <c r="V122" s="20">
        <v>1689.53</v>
      </c>
    </row>
    <row r="123" spans="1:22" ht="16.8" x14ac:dyDescent="0.3">
      <c r="A123" s="20">
        <v>12.2</v>
      </c>
      <c r="B123" s="20">
        <v>71</v>
      </c>
      <c r="C123" s="20">
        <v>69.7</v>
      </c>
      <c r="D123" s="20">
        <v>1.3</v>
      </c>
      <c r="E123" s="20">
        <v>-0.2</v>
      </c>
      <c r="F123" s="26">
        <v>2915.25</v>
      </c>
      <c r="Q123" s="20">
        <v>12.2</v>
      </c>
      <c r="R123" s="20">
        <v>71.11</v>
      </c>
      <c r="S123" s="26">
        <v>71</v>
      </c>
      <c r="T123" s="26">
        <v>-0.11</v>
      </c>
      <c r="U123" s="26">
        <v>0.02</v>
      </c>
      <c r="V123" s="26">
        <v>1732.33</v>
      </c>
    </row>
    <row r="124" spans="1:22" ht="16.8" x14ac:dyDescent="0.3">
      <c r="A124" s="20">
        <v>12.3</v>
      </c>
      <c r="B124" s="20">
        <v>71</v>
      </c>
      <c r="C124" s="26">
        <v>69.930000000000007</v>
      </c>
      <c r="D124" s="20">
        <v>1.07</v>
      </c>
      <c r="E124" s="20">
        <v>-0.23</v>
      </c>
      <c r="F124" s="26">
        <v>2961.29</v>
      </c>
      <c r="Q124" s="20">
        <v>12.3</v>
      </c>
      <c r="R124" s="20">
        <v>71.19</v>
      </c>
      <c r="S124" s="26">
        <v>71</v>
      </c>
      <c r="T124" s="26">
        <v>-0.19</v>
      </c>
      <c r="U124" s="26">
        <v>-7.0000000000000007E-2</v>
      </c>
      <c r="V124" s="20">
        <v>1641.56</v>
      </c>
    </row>
    <row r="125" spans="1:22" ht="16.8" x14ac:dyDescent="0.3">
      <c r="A125" s="20">
        <v>12.4</v>
      </c>
      <c r="B125" s="20">
        <v>71</v>
      </c>
      <c r="C125" s="26">
        <v>70.09</v>
      </c>
      <c r="D125" s="20">
        <v>0.91</v>
      </c>
      <c r="E125" s="20">
        <v>-0.16</v>
      </c>
      <c r="F125" s="20">
        <v>2862.27</v>
      </c>
      <c r="Q125" s="20">
        <v>12.4</v>
      </c>
      <c r="R125" s="20">
        <v>71.14</v>
      </c>
      <c r="S125" s="26">
        <v>71</v>
      </c>
      <c r="T125" s="26">
        <v>-0.14000000000000001</v>
      </c>
      <c r="U125" s="26">
        <v>0.05</v>
      </c>
      <c r="V125" s="26">
        <v>1746.91</v>
      </c>
    </row>
    <row r="126" spans="1:22" ht="16.8" x14ac:dyDescent="0.3">
      <c r="A126" s="20">
        <v>12.5</v>
      </c>
      <c r="B126" s="20">
        <v>71</v>
      </c>
      <c r="C126" s="20">
        <v>70.33</v>
      </c>
      <c r="D126" s="20">
        <v>0.67</v>
      </c>
      <c r="E126" s="20">
        <v>-0.25</v>
      </c>
      <c r="F126" s="26">
        <v>2832.25</v>
      </c>
      <c r="Q126" s="20">
        <v>12.5</v>
      </c>
      <c r="R126" s="20">
        <v>71.19</v>
      </c>
      <c r="S126" s="26">
        <v>71</v>
      </c>
      <c r="T126" s="26">
        <v>-0.19</v>
      </c>
      <c r="U126" s="26">
        <v>-0.06</v>
      </c>
      <c r="V126" s="20">
        <v>1652.36</v>
      </c>
    </row>
    <row r="127" spans="1:22" ht="16.8" x14ac:dyDescent="0.3">
      <c r="A127" s="20">
        <v>12.6</v>
      </c>
      <c r="B127" s="20">
        <v>71</v>
      </c>
      <c r="C127" s="26">
        <v>70.48</v>
      </c>
      <c r="D127" s="20">
        <v>0.52</v>
      </c>
      <c r="E127" s="20">
        <v>-0.15</v>
      </c>
      <c r="F127" s="26">
        <v>2548.9699999999998</v>
      </c>
      <c r="Q127" s="20">
        <v>12.6</v>
      </c>
      <c r="R127" s="20">
        <v>71.14</v>
      </c>
      <c r="S127" s="26">
        <v>71</v>
      </c>
      <c r="T127" s="26">
        <v>-0.14000000000000001</v>
      </c>
      <c r="U127" s="26">
        <v>0.06</v>
      </c>
      <c r="V127" s="20">
        <v>1752.59</v>
      </c>
    </row>
    <row r="128" spans="1:22" ht="16.8" x14ac:dyDescent="0.3">
      <c r="A128" s="20">
        <v>12.7</v>
      </c>
      <c r="B128" s="20">
        <v>71</v>
      </c>
      <c r="C128" s="20">
        <v>70.69</v>
      </c>
      <c r="D128" s="20">
        <v>0.31</v>
      </c>
      <c r="E128" s="20">
        <v>-0.21</v>
      </c>
      <c r="F128" s="20">
        <v>2560.5300000000002</v>
      </c>
      <c r="Q128" s="20">
        <v>12.7</v>
      </c>
      <c r="R128" s="20">
        <v>71.2</v>
      </c>
      <c r="S128" s="26">
        <v>71</v>
      </c>
      <c r="T128" s="20">
        <v>-0.2</v>
      </c>
      <c r="U128" s="20">
        <v>-0.06</v>
      </c>
      <c r="V128" s="26">
        <v>1643.65</v>
      </c>
    </row>
    <row r="129" spans="1:22" ht="16.8" x14ac:dyDescent="0.3">
      <c r="A129" s="20">
        <v>12.8</v>
      </c>
      <c r="B129" s="20">
        <v>71</v>
      </c>
      <c r="C129" s="26">
        <v>70.87</v>
      </c>
      <c r="D129" s="20">
        <v>0.13</v>
      </c>
      <c r="E129" s="20">
        <v>-0.18</v>
      </c>
      <c r="F129" s="26">
        <v>2406.84</v>
      </c>
      <c r="Q129" s="20">
        <v>12.8</v>
      </c>
      <c r="R129" s="20">
        <v>71.17</v>
      </c>
      <c r="S129" s="26">
        <v>71</v>
      </c>
      <c r="T129" s="26">
        <v>-0.17</v>
      </c>
      <c r="U129" s="26">
        <v>0.03</v>
      </c>
      <c r="V129" s="20">
        <v>1726.68</v>
      </c>
    </row>
    <row r="130" spans="1:22" ht="16.8" x14ac:dyDescent="0.3">
      <c r="A130" s="20">
        <v>12.9</v>
      </c>
      <c r="B130" s="20">
        <v>71</v>
      </c>
      <c r="C130" s="26">
        <v>71.08</v>
      </c>
      <c r="D130" s="20">
        <v>-0.08</v>
      </c>
      <c r="E130" s="20">
        <v>-0.21</v>
      </c>
      <c r="F130" s="20">
        <v>2169.58</v>
      </c>
      <c r="Q130" s="20">
        <v>12.9</v>
      </c>
      <c r="R130" s="20">
        <v>71.180000000000007</v>
      </c>
      <c r="S130" s="26">
        <v>71</v>
      </c>
      <c r="T130" s="20">
        <v>-0.18</v>
      </c>
      <c r="U130" s="20">
        <v>-0.01</v>
      </c>
      <c r="V130" s="26">
        <v>1692.39</v>
      </c>
    </row>
    <row r="131" spans="1:22" ht="16.8" x14ac:dyDescent="0.3">
      <c r="A131" s="20">
        <v>13</v>
      </c>
      <c r="B131" s="20">
        <v>71</v>
      </c>
      <c r="C131" s="20">
        <v>71.260000000000005</v>
      </c>
      <c r="D131" s="20">
        <v>-0.26</v>
      </c>
      <c r="E131" s="20">
        <v>-0.19</v>
      </c>
      <c r="F131" s="26">
        <v>2013.81</v>
      </c>
      <c r="Q131" s="20">
        <v>13</v>
      </c>
      <c r="R131" s="20">
        <v>71.19</v>
      </c>
      <c r="S131" s="26">
        <v>71</v>
      </c>
      <c r="T131" s="26">
        <v>-0.19</v>
      </c>
      <c r="U131" s="26">
        <v>-0.02</v>
      </c>
      <c r="V131" s="20">
        <v>1682.66</v>
      </c>
    </row>
    <row r="132" spans="1:22" ht="16.8" x14ac:dyDescent="0.3">
      <c r="A132" s="20">
        <v>13.1</v>
      </c>
      <c r="B132" s="20">
        <v>71</v>
      </c>
      <c r="C132" s="26">
        <v>71.44</v>
      </c>
      <c r="D132" s="20">
        <v>-0.44</v>
      </c>
      <c r="E132" s="20">
        <v>-0.17</v>
      </c>
      <c r="F132" s="26">
        <v>1833.04</v>
      </c>
      <c r="Q132" s="20">
        <v>13.1</v>
      </c>
      <c r="R132" s="20">
        <v>71.209999999999994</v>
      </c>
      <c r="S132" s="26">
        <v>71</v>
      </c>
      <c r="T132" s="26">
        <v>-0.21</v>
      </c>
      <c r="U132" s="26">
        <v>-0.02</v>
      </c>
      <c r="V132" s="26">
        <v>1679.4</v>
      </c>
    </row>
    <row r="133" spans="1:22" ht="16.8" x14ac:dyDescent="0.3">
      <c r="A133" s="20">
        <v>13.2</v>
      </c>
      <c r="B133" s="20">
        <v>71</v>
      </c>
      <c r="C133" s="26">
        <v>71.56</v>
      </c>
      <c r="D133" s="20">
        <v>-0.56000000000000005</v>
      </c>
      <c r="E133" s="20">
        <v>-0.12</v>
      </c>
      <c r="F133" s="20">
        <v>1647.48</v>
      </c>
      <c r="Q133" s="20">
        <v>13.2</v>
      </c>
      <c r="R133" s="20">
        <v>71.22</v>
      </c>
      <c r="S133" s="26">
        <v>71</v>
      </c>
      <c r="T133" s="26">
        <v>-0.22</v>
      </c>
      <c r="U133" s="26">
        <v>-0.01</v>
      </c>
      <c r="V133" s="20">
        <v>1683.98</v>
      </c>
    </row>
    <row r="134" spans="1:22" ht="16.8" x14ac:dyDescent="0.3">
      <c r="A134" s="20">
        <v>13.3</v>
      </c>
      <c r="B134" s="20">
        <v>71</v>
      </c>
      <c r="C134" s="20">
        <v>71.78</v>
      </c>
      <c r="D134" s="20">
        <v>-0.78</v>
      </c>
      <c r="E134" s="20">
        <v>-0.22</v>
      </c>
      <c r="F134" s="26">
        <v>734.7</v>
      </c>
      <c r="Q134" s="20">
        <v>13.3</v>
      </c>
      <c r="R134" s="20">
        <v>71.239999999999995</v>
      </c>
      <c r="S134" s="26">
        <v>71</v>
      </c>
      <c r="T134" s="26">
        <v>-0.24</v>
      </c>
      <c r="U134" s="26">
        <v>-0.02</v>
      </c>
      <c r="V134" s="26">
        <v>1666.26</v>
      </c>
    </row>
    <row r="135" spans="1:22" ht="16.8" x14ac:dyDescent="0.3">
      <c r="A135" s="20">
        <v>13.4</v>
      </c>
      <c r="B135" s="20">
        <v>71</v>
      </c>
      <c r="C135" s="26">
        <v>71.83</v>
      </c>
      <c r="D135" s="20">
        <v>-0.83</v>
      </c>
      <c r="E135" s="20">
        <v>-0.06</v>
      </c>
      <c r="F135" s="26">
        <v>461.96</v>
      </c>
      <c r="Q135" s="20">
        <v>13.4</v>
      </c>
      <c r="R135" s="20">
        <v>71.22</v>
      </c>
      <c r="S135" s="26">
        <v>71</v>
      </c>
      <c r="T135" s="26">
        <v>-0.22</v>
      </c>
      <c r="U135" s="26">
        <v>0.02</v>
      </c>
      <c r="V135" s="20">
        <v>1708.83</v>
      </c>
    </row>
    <row r="136" spans="1:22" ht="16.8" x14ac:dyDescent="0.3">
      <c r="A136" s="20">
        <v>13.5</v>
      </c>
      <c r="B136" s="20">
        <v>71</v>
      </c>
      <c r="C136" s="20">
        <v>72.010000000000005</v>
      </c>
      <c r="D136" s="20">
        <v>-1.01</v>
      </c>
      <c r="E136" s="20">
        <v>-0.18</v>
      </c>
      <c r="F136" s="20">
        <v>466.29</v>
      </c>
      <c r="Q136" s="20">
        <v>13.5</v>
      </c>
      <c r="R136" s="20">
        <v>71.28</v>
      </c>
      <c r="S136" s="26">
        <v>71</v>
      </c>
      <c r="T136" s="26">
        <v>-0.28000000000000003</v>
      </c>
      <c r="U136" s="26">
        <v>-0.06</v>
      </c>
      <c r="V136" s="26">
        <v>1625.66</v>
      </c>
    </row>
    <row r="137" spans="1:22" ht="16.8" x14ac:dyDescent="0.3">
      <c r="A137" s="20">
        <v>13.6</v>
      </c>
      <c r="B137" s="20">
        <v>71</v>
      </c>
      <c r="C137" s="26">
        <v>72.040000000000006</v>
      </c>
      <c r="D137" s="20">
        <v>-1.04</v>
      </c>
      <c r="E137" s="20">
        <v>-0.03</v>
      </c>
      <c r="F137" s="26">
        <v>466.29</v>
      </c>
      <c r="Q137" s="20">
        <v>13.6</v>
      </c>
      <c r="R137" s="20">
        <v>71.27</v>
      </c>
      <c r="S137" s="26">
        <v>71</v>
      </c>
      <c r="T137" s="26">
        <v>-0.27</v>
      </c>
      <c r="U137" s="26">
        <v>0.02</v>
      </c>
      <c r="V137" s="20">
        <v>1692.71</v>
      </c>
    </row>
    <row r="138" spans="1:22" ht="16.8" x14ac:dyDescent="0.3">
      <c r="A138" s="20">
        <v>13.7</v>
      </c>
      <c r="B138" s="20">
        <v>71</v>
      </c>
      <c r="C138" s="26">
        <v>72.099999999999994</v>
      </c>
      <c r="D138" s="20">
        <v>-1.1000000000000001</v>
      </c>
      <c r="E138" s="20">
        <v>-0.06</v>
      </c>
      <c r="F138" s="20">
        <v>466.29</v>
      </c>
      <c r="Q138" s="20">
        <v>13.7</v>
      </c>
      <c r="R138" s="20">
        <v>71.239999999999995</v>
      </c>
      <c r="S138" s="26">
        <v>71</v>
      </c>
      <c r="T138" s="26">
        <v>-0.24</v>
      </c>
      <c r="U138" s="26">
        <v>0.02</v>
      </c>
      <c r="V138" s="26">
        <v>1702.74</v>
      </c>
    </row>
    <row r="139" spans="1:22" ht="16.8" x14ac:dyDescent="0.3">
      <c r="A139" s="20">
        <v>13.8</v>
      </c>
      <c r="B139" s="20">
        <v>71</v>
      </c>
      <c r="C139" s="20">
        <v>72.11</v>
      </c>
      <c r="D139" s="20">
        <v>-1.1100000000000001</v>
      </c>
      <c r="E139" s="20">
        <v>-0.01</v>
      </c>
      <c r="F139" s="26">
        <v>466.29</v>
      </c>
      <c r="Q139" s="20">
        <v>13.8</v>
      </c>
      <c r="R139" s="20">
        <v>71.23</v>
      </c>
      <c r="S139" s="26">
        <v>71</v>
      </c>
      <c r="T139" s="26">
        <v>-0.23</v>
      </c>
      <c r="U139" s="26">
        <v>0.02</v>
      </c>
      <c r="V139" s="20">
        <v>1698.43</v>
      </c>
    </row>
    <row r="140" spans="1:22" ht="16.8" x14ac:dyDescent="0.3">
      <c r="A140" s="20">
        <v>13.9</v>
      </c>
      <c r="B140" s="20">
        <v>71</v>
      </c>
      <c r="C140" s="26">
        <v>72.150000000000006</v>
      </c>
      <c r="D140" s="20">
        <v>-1.1499999999999999</v>
      </c>
      <c r="E140" s="20">
        <v>-0.04</v>
      </c>
      <c r="F140" s="26">
        <v>466.29</v>
      </c>
      <c r="Q140" s="20">
        <v>13.9</v>
      </c>
      <c r="R140" s="20">
        <v>71.27</v>
      </c>
      <c r="S140" s="26">
        <v>71</v>
      </c>
      <c r="T140" s="26">
        <v>-0.27</v>
      </c>
      <c r="U140" s="26">
        <v>-0.04</v>
      </c>
      <c r="V140" s="20">
        <v>1645.43</v>
      </c>
    </row>
    <row r="141" spans="1:22" ht="16.8" x14ac:dyDescent="0.3">
      <c r="A141" s="20">
        <v>14</v>
      </c>
      <c r="B141" s="20">
        <v>71</v>
      </c>
      <c r="C141" s="20">
        <v>72.040000000000006</v>
      </c>
      <c r="D141" s="20">
        <v>-1.04</v>
      </c>
      <c r="E141" s="20">
        <v>0.11</v>
      </c>
      <c r="F141" s="20">
        <v>466.29</v>
      </c>
      <c r="Q141" s="20">
        <v>14</v>
      </c>
      <c r="R141" s="20">
        <v>71.28</v>
      </c>
      <c r="S141" s="26">
        <v>71</v>
      </c>
      <c r="T141" s="26">
        <v>-0.28000000000000003</v>
      </c>
      <c r="U141" s="26">
        <v>-0.02</v>
      </c>
      <c r="V141" s="26">
        <v>1661.47</v>
      </c>
    </row>
    <row r="142" spans="1:22" ht="16.8" x14ac:dyDescent="0.3">
      <c r="A142" s="20">
        <v>14.1</v>
      </c>
      <c r="B142" s="20">
        <v>71</v>
      </c>
      <c r="C142" s="26">
        <v>71.930000000000007</v>
      </c>
      <c r="D142" s="20">
        <v>-0.93</v>
      </c>
      <c r="E142" s="20">
        <v>0.1</v>
      </c>
      <c r="F142" s="26">
        <v>466.19</v>
      </c>
      <c r="Q142" s="20">
        <v>14.1</v>
      </c>
      <c r="R142" s="20">
        <v>71.28</v>
      </c>
      <c r="S142" s="26">
        <v>71</v>
      </c>
      <c r="T142" s="20">
        <v>-0.28000000000000003</v>
      </c>
      <c r="U142" s="20">
        <v>0</v>
      </c>
      <c r="V142" s="20">
        <v>1673.76</v>
      </c>
    </row>
    <row r="143" spans="1:22" ht="16.8" x14ac:dyDescent="0.3">
      <c r="A143" s="20">
        <v>14.2</v>
      </c>
      <c r="B143" s="20">
        <v>71</v>
      </c>
      <c r="C143" s="26">
        <v>71.83</v>
      </c>
      <c r="D143" s="20">
        <v>-0.83</v>
      </c>
      <c r="E143" s="20">
        <v>0.11</v>
      </c>
      <c r="F143" s="26">
        <v>461.58</v>
      </c>
      <c r="Q143" s="20">
        <v>14.2</v>
      </c>
      <c r="R143" s="20">
        <v>71.31</v>
      </c>
      <c r="S143" s="26">
        <v>71</v>
      </c>
      <c r="T143" s="26">
        <v>-0.31</v>
      </c>
      <c r="U143" s="26">
        <v>-0.03</v>
      </c>
      <c r="V143" s="26">
        <v>1641.51</v>
      </c>
    </row>
    <row r="144" spans="1:22" ht="16.8" x14ac:dyDescent="0.3">
      <c r="A144" s="20">
        <v>14.3</v>
      </c>
      <c r="B144" s="20">
        <v>71</v>
      </c>
      <c r="C144" s="20">
        <v>71.67</v>
      </c>
      <c r="D144" s="20">
        <v>-0.67</v>
      </c>
      <c r="E144" s="20">
        <v>0.15</v>
      </c>
      <c r="F144" s="20">
        <v>1368.71</v>
      </c>
      <c r="Q144" s="20">
        <v>14.3</v>
      </c>
      <c r="R144" s="20">
        <v>71.23</v>
      </c>
      <c r="S144" s="26">
        <v>71</v>
      </c>
      <c r="T144" s="26">
        <v>-0.23</v>
      </c>
      <c r="U144" s="26">
        <v>0.08</v>
      </c>
      <c r="V144" s="20">
        <v>1745.6</v>
      </c>
    </row>
    <row r="145" spans="1:22" ht="16.8" x14ac:dyDescent="0.3">
      <c r="A145" s="20">
        <v>14.4</v>
      </c>
      <c r="B145" s="20">
        <v>71</v>
      </c>
      <c r="C145" s="26">
        <v>71.459999999999994</v>
      </c>
      <c r="D145" s="20">
        <v>-0.46</v>
      </c>
      <c r="E145" s="20">
        <v>0.21</v>
      </c>
      <c r="F145" s="26">
        <v>1802.47</v>
      </c>
      <c r="Q145" s="20">
        <v>14.4</v>
      </c>
      <c r="R145" s="20">
        <v>71.27</v>
      </c>
      <c r="S145" s="26">
        <v>71</v>
      </c>
      <c r="T145" s="26">
        <v>-0.27</v>
      </c>
      <c r="U145" s="26">
        <v>-0.04</v>
      </c>
      <c r="V145" s="26">
        <v>1640.62</v>
      </c>
    </row>
    <row r="146" spans="1:22" ht="16.8" x14ac:dyDescent="0.3">
      <c r="A146" s="20">
        <v>14.5</v>
      </c>
      <c r="B146" s="20">
        <v>71</v>
      </c>
      <c r="C146" s="26">
        <v>71.290000000000006</v>
      </c>
      <c r="D146" s="20">
        <v>-0.28999999999999998</v>
      </c>
      <c r="E146" s="20">
        <v>0.17</v>
      </c>
      <c r="F146" s="20">
        <v>1992.81</v>
      </c>
      <c r="Q146" s="20">
        <v>14.5</v>
      </c>
      <c r="R146" s="20">
        <v>71.3</v>
      </c>
      <c r="S146" s="26">
        <v>71</v>
      </c>
      <c r="T146" s="26">
        <v>-0.3</v>
      </c>
      <c r="U146" s="26">
        <v>-0.02</v>
      </c>
      <c r="V146" s="20">
        <v>1648.75</v>
      </c>
    </row>
    <row r="147" spans="1:22" ht="16.8" x14ac:dyDescent="0.3">
      <c r="A147" s="20">
        <v>14.6</v>
      </c>
      <c r="B147" s="20">
        <v>71</v>
      </c>
      <c r="C147" s="20">
        <v>71.069999999999993</v>
      </c>
      <c r="D147" s="20">
        <v>-7.0000000000000007E-2</v>
      </c>
      <c r="E147" s="20">
        <v>0.22</v>
      </c>
      <c r="F147" s="26">
        <v>2172.2199999999998</v>
      </c>
      <c r="Q147" s="20">
        <v>14.6</v>
      </c>
      <c r="R147" s="20">
        <v>71.3</v>
      </c>
      <c r="S147" s="26">
        <v>71</v>
      </c>
      <c r="T147" s="26">
        <v>-0.3</v>
      </c>
      <c r="U147" s="26">
        <v>0</v>
      </c>
      <c r="V147" s="20">
        <v>1667.5</v>
      </c>
    </row>
    <row r="148" spans="1:22" ht="16.8" x14ac:dyDescent="0.3">
      <c r="A148" s="20">
        <v>14.7</v>
      </c>
      <c r="B148" s="20">
        <v>71</v>
      </c>
      <c r="C148" s="26">
        <v>70.849999999999994</v>
      </c>
      <c r="D148" s="20">
        <v>0.15</v>
      </c>
      <c r="E148" s="20">
        <v>0.21</v>
      </c>
      <c r="F148" s="26">
        <v>2414.88</v>
      </c>
      <c r="Q148" s="20">
        <v>14.7</v>
      </c>
      <c r="R148" s="20">
        <v>71.319999999999993</v>
      </c>
      <c r="S148" s="26">
        <v>71</v>
      </c>
      <c r="T148" s="26">
        <v>-0.32</v>
      </c>
      <c r="U148" s="20">
        <v>-0.02</v>
      </c>
      <c r="V148" s="26">
        <v>1643.09</v>
      </c>
    </row>
    <row r="149" spans="1:22" ht="16.8" x14ac:dyDescent="0.3">
      <c r="A149" s="20">
        <v>14.8</v>
      </c>
      <c r="B149" s="20">
        <v>71</v>
      </c>
      <c r="C149" s="26">
        <v>70.69</v>
      </c>
      <c r="D149" s="20">
        <v>0.31</v>
      </c>
      <c r="E149" s="20">
        <v>0.16</v>
      </c>
      <c r="F149" s="20">
        <v>2554.16</v>
      </c>
      <c r="Q149" s="20">
        <v>14.8</v>
      </c>
      <c r="R149" s="20">
        <v>71.290000000000006</v>
      </c>
      <c r="S149" s="26">
        <v>71</v>
      </c>
      <c r="T149" s="26">
        <v>-0.28999999999999998</v>
      </c>
      <c r="U149" s="26">
        <v>0.03</v>
      </c>
      <c r="V149" s="20">
        <v>1693.33</v>
      </c>
    </row>
    <row r="150" spans="1:22" ht="16.8" x14ac:dyDescent="0.3">
      <c r="A150" s="20">
        <v>14.9</v>
      </c>
      <c r="B150" s="20">
        <v>71</v>
      </c>
      <c r="C150" s="20">
        <v>70.489999999999995</v>
      </c>
      <c r="D150" s="20">
        <v>0.51</v>
      </c>
      <c r="E150" s="20">
        <v>0.2</v>
      </c>
      <c r="F150" s="26">
        <v>2625.03</v>
      </c>
      <c r="Q150" s="20">
        <v>14.9</v>
      </c>
      <c r="R150" s="20">
        <v>71.3</v>
      </c>
      <c r="S150" s="26">
        <v>71</v>
      </c>
      <c r="T150" s="26">
        <v>-0.3</v>
      </c>
      <c r="U150" s="26">
        <v>-0.01</v>
      </c>
      <c r="V150" s="26">
        <v>1658.74</v>
      </c>
    </row>
    <row r="151" spans="1:22" ht="16.8" x14ac:dyDescent="0.3">
      <c r="A151" s="20">
        <v>15</v>
      </c>
      <c r="B151" s="20">
        <v>71</v>
      </c>
      <c r="C151" s="26">
        <v>70.42</v>
      </c>
      <c r="D151" s="20">
        <v>0.57999999999999996</v>
      </c>
      <c r="E151" s="20">
        <v>0.08</v>
      </c>
      <c r="F151" s="26">
        <v>2459.89</v>
      </c>
      <c r="Q151" s="20">
        <v>15</v>
      </c>
      <c r="R151" s="20">
        <v>71.31</v>
      </c>
      <c r="S151" s="26">
        <v>71</v>
      </c>
      <c r="T151" s="26">
        <v>-0.31</v>
      </c>
      <c r="U151" s="26">
        <v>-0.01</v>
      </c>
      <c r="V151" s="20">
        <v>1656.61</v>
      </c>
    </row>
    <row r="152" spans="1:22" ht="16.8" x14ac:dyDescent="0.3">
      <c r="A152" s="20">
        <v>15.1</v>
      </c>
      <c r="B152" s="20">
        <v>71</v>
      </c>
      <c r="C152" s="20">
        <v>70.319999999999993</v>
      </c>
      <c r="D152" s="20">
        <v>0.68</v>
      </c>
      <c r="E152" s="20">
        <v>0.1</v>
      </c>
      <c r="F152" s="20">
        <v>2611.4299999999998</v>
      </c>
      <c r="Q152" s="20">
        <v>15.1</v>
      </c>
      <c r="R152" s="20">
        <v>71.260000000000005</v>
      </c>
      <c r="S152" s="26">
        <v>71</v>
      </c>
      <c r="T152" s="26">
        <v>-0.26</v>
      </c>
      <c r="U152" s="26">
        <v>0.05</v>
      </c>
      <c r="V152" s="26">
        <v>1709.68</v>
      </c>
    </row>
    <row r="153" spans="1:22" ht="16.8" x14ac:dyDescent="0.3">
      <c r="A153" s="20">
        <v>15.2</v>
      </c>
      <c r="B153" s="20">
        <v>71</v>
      </c>
      <c r="C153" s="26">
        <v>70.23</v>
      </c>
      <c r="D153" s="20">
        <v>0.77</v>
      </c>
      <c r="E153" s="20">
        <v>0.09</v>
      </c>
      <c r="F153" s="26">
        <v>2731.02</v>
      </c>
      <c r="Q153" s="20">
        <v>15.2</v>
      </c>
      <c r="R153" s="20">
        <v>71.28</v>
      </c>
      <c r="S153" s="26">
        <v>71</v>
      </c>
      <c r="T153" s="26">
        <v>-0.28000000000000003</v>
      </c>
      <c r="U153" s="26">
        <v>-0.02</v>
      </c>
      <c r="V153" s="20">
        <v>1646.39</v>
      </c>
    </row>
    <row r="154" spans="1:22" ht="16.8" x14ac:dyDescent="0.3">
      <c r="A154" s="20">
        <v>15.3</v>
      </c>
      <c r="B154" s="20">
        <v>71</v>
      </c>
      <c r="C154" s="26">
        <v>70.16</v>
      </c>
      <c r="D154" s="20">
        <v>0.84</v>
      </c>
      <c r="E154" s="20">
        <v>7.0000000000000007E-2</v>
      </c>
      <c r="F154" s="26">
        <v>2719.74</v>
      </c>
      <c r="Q154" s="20">
        <v>15.3</v>
      </c>
      <c r="R154" s="20">
        <v>71.27</v>
      </c>
      <c r="S154" s="26">
        <v>71</v>
      </c>
      <c r="T154" s="26">
        <v>-0.27</v>
      </c>
      <c r="U154" s="26">
        <v>0.01</v>
      </c>
      <c r="V154" s="26">
        <v>1673.08</v>
      </c>
    </row>
    <row r="155" spans="1:22" ht="16.8" x14ac:dyDescent="0.3">
      <c r="A155" s="20">
        <v>15.4</v>
      </c>
      <c r="B155" s="20">
        <v>71</v>
      </c>
      <c r="C155" s="20">
        <v>70.22</v>
      </c>
      <c r="D155" s="20">
        <v>0.78</v>
      </c>
      <c r="E155" s="20">
        <v>-0.06</v>
      </c>
      <c r="F155" s="20">
        <v>2678.57</v>
      </c>
      <c r="Q155" s="20">
        <v>15.4</v>
      </c>
      <c r="R155" s="20">
        <v>71.319999999999993</v>
      </c>
      <c r="S155" s="26">
        <v>71</v>
      </c>
      <c r="T155" s="20">
        <v>-0.32</v>
      </c>
      <c r="U155" s="26">
        <v>-0.05</v>
      </c>
      <c r="V155" s="20">
        <v>1618.58</v>
      </c>
    </row>
    <row r="156" spans="1:22" ht="16.8" x14ac:dyDescent="0.3">
      <c r="A156" s="20">
        <v>15.5</v>
      </c>
      <c r="B156" s="20">
        <v>71</v>
      </c>
      <c r="C156" s="26">
        <v>70.19</v>
      </c>
      <c r="D156" s="20">
        <v>0.81</v>
      </c>
      <c r="E156" s="20">
        <v>0.04</v>
      </c>
      <c r="F156" s="26">
        <v>2648.79</v>
      </c>
      <c r="Q156" s="20">
        <v>15.5</v>
      </c>
      <c r="R156" s="20">
        <v>71.260000000000005</v>
      </c>
      <c r="S156" s="26">
        <v>71</v>
      </c>
      <c r="T156" s="26">
        <v>-0.26</v>
      </c>
      <c r="U156" s="26">
        <v>0.06</v>
      </c>
      <c r="V156" s="26">
        <v>1719.85</v>
      </c>
    </row>
    <row r="157" spans="1:22" ht="16.8" x14ac:dyDescent="0.3">
      <c r="A157" s="20">
        <v>15.6</v>
      </c>
      <c r="B157" s="20">
        <v>71</v>
      </c>
      <c r="C157" s="26">
        <v>70.23</v>
      </c>
      <c r="D157" s="20">
        <v>0.77</v>
      </c>
      <c r="E157" s="20">
        <v>-0.04</v>
      </c>
      <c r="F157" s="26">
        <v>2618.52</v>
      </c>
      <c r="Q157" s="20">
        <v>15.6</v>
      </c>
      <c r="R157" s="20">
        <v>71.3</v>
      </c>
      <c r="S157" s="26">
        <v>71</v>
      </c>
      <c r="T157" s="20">
        <v>-0.3</v>
      </c>
      <c r="U157" s="26">
        <v>-0.04</v>
      </c>
      <c r="V157" s="20">
        <v>1627.8</v>
      </c>
    </row>
    <row r="158" spans="1:22" ht="16.8" x14ac:dyDescent="0.3">
      <c r="A158" s="20">
        <v>15.7</v>
      </c>
      <c r="B158" s="20">
        <v>71</v>
      </c>
      <c r="C158" s="20">
        <v>70.25</v>
      </c>
      <c r="D158" s="20">
        <v>0.75</v>
      </c>
      <c r="E158" s="20">
        <v>-0.02</v>
      </c>
      <c r="F158" s="20">
        <v>2523.37</v>
      </c>
      <c r="Q158" s="20">
        <v>15.7</v>
      </c>
      <c r="R158" s="20">
        <v>71.23</v>
      </c>
      <c r="S158" s="26">
        <v>71</v>
      </c>
      <c r="T158" s="26">
        <v>-0.23</v>
      </c>
      <c r="U158" s="26">
        <v>7.0000000000000007E-2</v>
      </c>
      <c r="V158" s="20">
        <v>1730.54</v>
      </c>
    </row>
    <row r="159" spans="1:22" ht="16.8" x14ac:dyDescent="0.3">
      <c r="A159" s="20">
        <v>15.8</v>
      </c>
      <c r="B159" s="20">
        <v>71</v>
      </c>
      <c r="C159" s="26">
        <v>70.3</v>
      </c>
      <c r="D159" s="20">
        <v>0.7</v>
      </c>
      <c r="E159" s="20">
        <v>-0.05</v>
      </c>
      <c r="F159" s="26">
        <v>2527.96</v>
      </c>
      <c r="Q159" s="20">
        <v>15.8</v>
      </c>
      <c r="R159" s="20">
        <v>71.27</v>
      </c>
      <c r="S159" s="26">
        <v>71</v>
      </c>
      <c r="T159" s="26">
        <v>-0.27</v>
      </c>
      <c r="U159" s="26">
        <v>-0.04</v>
      </c>
      <c r="V159" s="26">
        <v>1632.08</v>
      </c>
    </row>
    <row r="160" spans="1:22" ht="16.8" x14ac:dyDescent="0.3">
      <c r="A160" s="20">
        <v>15.9</v>
      </c>
      <c r="B160" s="20">
        <v>71</v>
      </c>
      <c r="C160" s="26">
        <v>70.36</v>
      </c>
      <c r="D160" s="20">
        <v>0.64</v>
      </c>
      <c r="E160" s="20">
        <v>-0.06</v>
      </c>
      <c r="F160" s="26">
        <v>2487.59</v>
      </c>
      <c r="Q160" s="20">
        <v>15.9</v>
      </c>
      <c r="R160" s="20">
        <v>71.3</v>
      </c>
      <c r="S160" s="26">
        <v>71</v>
      </c>
      <c r="T160" s="26">
        <v>-0.3</v>
      </c>
      <c r="U160" s="26">
        <v>-0.03</v>
      </c>
      <c r="V160" s="20">
        <v>1632.35</v>
      </c>
    </row>
    <row r="161" spans="1:22" ht="16.8" x14ac:dyDescent="0.3">
      <c r="A161" s="20">
        <v>16</v>
      </c>
      <c r="B161" s="20">
        <v>71</v>
      </c>
      <c r="C161" s="20">
        <v>70.52</v>
      </c>
      <c r="D161" s="20">
        <v>0.48</v>
      </c>
      <c r="E161" s="20">
        <v>-0.15</v>
      </c>
      <c r="F161" s="20">
        <v>2541.25</v>
      </c>
      <c r="Q161" s="20">
        <v>16</v>
      </c>
      <c r="R161" s="20">
        <v>71.3</v>
      </c>
      <c r="S161" s="26">
        <v>71</v>
      </c>
      <c r="T161" s="26">
        <v>-0.3</v>
      </c>
      <c r="U161" s="26">
        <v>0</v>
      </c>
      <c r="V161" s="26">
        <v>1657.58</v>
      </c>
    </row>
    <row r="162" spans="1:22" ht="16.8" x14ac:dyDescent="0.3">
      <c r="A162" s="20">
        <v>16.100000000000001</v>
      </c>
      <c r="B162" s="20">
        <v>71</v>
      </c>
      <c r="C162" s="26">
        <v>70.61</v>
      </c>
      <c r="D162" s="20">
        <v>0.39</v>
      </c>
      <c r="E162" s="20">
        <v>-0.09</v>
      </c>
      <c r="F162" s="26">
        <v>2430.7399999999998</v>
      </c>
      <c r="Q162" s="20">
        <v>16.100000000000001</v>
      </c>
      <c r="R162" s="20">
        <v>71.3</v>
      </c>
      <c r="S162" s="26">
        <v>71</v>
      </c>
      <c r="T162" s="20">
        <v>-0.3</v>
      </c>
      <c r="U162" s="20">
        <v>0</v>
      </c>
      <c r="V162" s="20">
        <v>1656.84</v>
      </c>
    </row>
    <row r="163" spans="1:22" ht="16.8" x14ac:dyDescent="0.3">
      <c r="A163" s="20">
        <v>16.2</v>
      </c>
      <c r="B163" s="20">
        <v>71</v>
      </c>
      <c r="C163" s="20">
        <v>70.75</v>
      </c>
      <c r="D163" s="20">
        <v>0.25</v>
      </c>
      <c r="E163" s="20">
        <v>-0.15</v>
      </c>
      <c r="F163" s="20">
        <v>2508.98</v>
      </c>
      <c r="Q163" s="20">
        <v>16.2</v>
      </c>
      <c r="R163" s="20">
        <v>71.319999999999993</v>
      </c>
      <c r="S163" s="26">
        <v>71</v>
      </c>
      <c r="T163" s="26">
        <v>-0.32</v>
      </c>
      <c r="U163" s="26">
        <v>-0.02</v>
      </c>
      <c r="V163" s="26">
        <v>1632.44</v>
      </c>
    </row>
    <row r="164" spans="1:22" ht="16.8" x14ac:dyDescent="0.3">
      <c r="A164" s="20">
        <v>16.3</v>
      </c>
      <c r="B164" s="20">
        <v>71</v>
      </c>
      <c r="C164" s="26">
        <v>70.849999999999994</v>
      </c>
      <c r="D164" s="20">
        <v>0.15</v>
      </c>
      <c r="E164" s="20">
        <v>-0.1</v>
      </c>
      <c r="F164" s="26">
        <v>2418.61</v>
      </c>
      <c r="Q164" s="20">
        <v>16.3</v>
      </c>
      <c r="R164" s="20">
        <v>71.319999999999993</v>
      </c>
      <c r="S164" s="26">
        <v>71</v>
      </c>
      <c r="T164" s="20">
        <v>-0.32</v>
      </c>
      <c r="U164" s="20">
        <v>0</v>
      </c>
      <c r="V164" s="20">
        <v>1651.12</v>
      </c>
    </row>
    <row r="165" spans="1:22" ht="16.8" x14ac:dyDescent="0.3">
      <c r="A165" s="20">
        <v>16.399999999999999</v>
      </c>
      <c r="B165" s="20">
        <v>71</v>
      </c>
      <c r="C165" s="26">
        <v>70.98</v>
      </c>
      <c r="D165" s="20">
        <v>0.02</v>
      </c>
      <c r="E165" s="20">
        <v>-0.12</v>
      </c>
      <c r="F165" s="26">
        <v>2285.96</v>
      </c>
      <c r="Q165" s="20">
        <v>16.399999999999999</v>
      </c>
      <c r="R165" s="20">
        <v>71.27</v>
      </c>
      <c r="S165" s="26">
        <v>71</v>
      </c>
      <c r="T165" s="26">
        <v>-0.27</v>
      </c>
      <c r="U165" s="26">
        <v>0.06</v>
      </c>
      <c r="V165" s="26">
        <v>1705.54</v>
      </c>
    </row>
    <row r="166" spans="1:22" ht="16.8" x14ac:dyDescent="0.3">
      <c r="A166" s="20">
        <v>16.5</v>
      </c>
      <c r="B166" s="20">
        <v>71</v>
      </c>
      <c r="C166" s="20">
        <v>71.069999999999993</v>
      </c>
      <c r="D166" s="20">
        <v>-7.0000000000000007E-2</v>
      </c>
      <c r="E166" s="20">
        <v>-0.09</v>
      </c>
      <c r="F166" s="20">
        <v>2187.37</v>
      </c>
      <c r="Q166" s="20">
        <v>16.5</v>
      </c>
      <c r="R166" s="20">
        <v>71.28</v>
      </c>
      <c r="S166" s="26">
        <v>71</v>
      </c>
      <c r="T166" s="26">
        <v>-0.28000000000000003</v>
      </c>
      <c r="U166" s="26">
        <v>-0.02</v>
      </c>
      <c r="V166" s="20">
        <v>1643.65</v>
      </c>
    </row>
    <row r="167" spans="1:22" ht="16.8" x14ac:dyDescent="0.3">
      <c r="A167" s="20">
        <v>16.600000000000001</v>
      </c>
      <c r="B167" s="20">
        <v>71</v>
      </c>
      <c r="C167" s="26">
        <v>71.17</v>
      </c>
      <c r="D167" s="20">
        <v>-0.17</v>
      </c>
      <c r="E167" s="20">
        <v>-0.1</v>
      </c>
      <c r="F167" s="26">
        <v>2090.6</v>
      </c>
      <c r="Q167" s="20">
        <v>16.600000000000001</v>
      </c>
      <c r="R167" s="20">
        <v>71.290000000000006</v>
      </c>
      <c r="S167" s="26">
        <v>71</v>
      </c>
      <c r="T167" s="26">
        <v>-0.28999999999999998</v>
      </c>
      <c r="U167" s="26">
        <v>-0.01</v>
      </c>
      <c r="V167" s="20">
        <v>1648.05</v>
      </c>
    </row>
    <row r="168" spans="1:22" ht="16.8" x14ac:dyDescent="0.3">
      <c r="A168" s="20">
        <v>16.7</v>
      </c>
      <c r="B168" s="20">
        <v>71</v>
      </c>
      <c r="C168" s="20">
        <v>71.33</v>
      </c>
      <c r="D168" s="20">
        <v>-0.33</v>
      </c>
      <c r="E168" s="20">
        <v>-0.16</v>
      </c>
      <c r="F168" s="26">
        <v>1957.76</v>
      </c>
      <c r="Q168" s="20">
        <v>16.7</v>
      </c>
      <c r="R168" s="20">
        <v>71.34</v>
      </c>
      <c r="S168" s="26">
        <v>71</v>
      </c>
      <c r="T168" s="26">
        <v>-0.34</v>
      </c>
      <c r="U168" s="26">
        <v>-0.05</v>
      </c>
      <c r="V168" s="26">
        <v>1606.5</v>
      </c>
    </row>
    <row r="169" spans="1:22" ht="16.8" x14ac:dyDescent="0.3">
      <c r="A169" s="20">
        <v>16.8</v>
      </c>
      <c r="B169" s="20">
        <v>71</v>
      </c>
      <c r="C169" s="26">
        <v>71.400000000000006</v>
      </c>
      <c r="D169" s="20">
        <v>-0.4</v>
      </c>
      <c r="E169" s="20">
        <v>-0.08</v>
      </c>
      <c r="F169" s="20">
        <v>1871.93</v>
      </c>
      <c r="Q169" s="20">
        <v>16.8</v>
      </c>
      <c r="R169" s="20">
        <v>71.3</v>
      </c>
      <c r="S169" s="26">
        <v>71</v>
      </c>
      <c r="T169" s="26">
        <v>-0.3</v>
      </c>
      <c r="U169" s="26">
        <v>0.04</v>
      </c>
      <c r="V169" s="20">
        <v>1684.06</v>
      </c>
    </row>
    <row r="170" spans="1:22" ht="16.8" x14ac:dyDescent="0.3">
      <c r="A170" s="20">
        <v>16.899999999999999</v>
      </c>
      <c r="B170" s="20">
        <v>71</v>
      </c>
      <c r="C170" s="26">
        <v>71.52</v>
      </c>
      <c r="D170" s="20">
        <v>-0.52</v>
      </c>
      <c r="E170" s="20">
        <v>-0.11</v>
      </c>
      <c r="F170" s="26">
        <v>1724.1</v>
      </c>
      <c r="Q170" s="20">
        <v>16.899999999999999</v>
      </c>
      <c r="R170" s="20">
        <v>71.3</v>
      </c>
      <c r="S170" s="26">
        <v>71</v>
      </c>
      <c r="T170" s="26">
        <v>-0.3</v>
      </c>
      <c r="U170" s="26">
        <v>0</v>
      </c>
      <c r="V170" s="26">
        <v>1650.85</v>
      </c>
    </row>
    <row r="171" spans="1:22" ht="16.8" x14ac:dyDescent="0.3">
      <c r="A171" s="20">
        <v>17</v>
      </c>
      <c r="B171" s="20">
        <v>71</v>
      </c>
      <c r="C171" s="20">
        <v>71.489999999999995</v>
      </c>
      <c r="D171" s="20">
        <v>-0.49</v>
      </c>
      <c r="E171" s="20">
        <v>0.02</v>
      </c>
      <c r="F171" s="20">
        <v>1759.46</v>
      </c>
      <c r="Q171" s="20">
        <v>17</v>
      </c>
      <c r="R171" s="20">
        <v>71.25</v>
      </c>
      <c r="S171" s="26">
        <v>71</v>
      </c>
      <c r="T171" s="26">
        <v>-0.25</v>
      </c>
      <c r="U171" s="26">
        <v>0.05</v>
      </c>
      <c r="V171" s="20">
        <v>1697.45</v>
      </c>
    </row>
    <row r="172" spans="1:22" ht="16.8" x14ac:dyDescent="0.3">
      <c r="A172" s="20">
        <v>17.100000000000001</v>
      </c>
      <c r="B172" s="20">
        <v>71</v>
      </c>
      <c r="C172" s="26">
        <v>71.61</v>
      </c>
      <c r="D172" s="20">
        <v>-0.61</v>
      </c>
      <c r="E172" s="20">
        <v>-0.12</v>
      </c>
      <c r="F172" s="26">
        <v>1542.04</v>
      </c>
      <c r="Q172" s="20">
        <v>17.100000000000001</v>
      </c>
      <c r="R172" s="20">
        <v>71.31</v>
      </c>
      <c r="S172" s="26">
        <v>71</v>
      </c>
      <c r="T172" s="26">
        <v>-0.31</v>
      </c>
      <c r="U172" s="26">
        <v>-0.06</v>
      </c>
      <c r="V172" s="26">
        <v>1602.63</v>
      </c>
    </row>
    <row r="173" spans="1:22" ht="16.8" x14ac:dyDescent="0.3">
      <c r="A173" s="20">
        <v>17.2</v>
      </c>
      <c r="B173" s="20">
        <v>71</v>
      </c>
      <c r="C173" s="26">
        <v>71.709999999999994</v>
      </c>
      <c r="D173" s="20">
        <v>-0.71</v>
      </c>
      <c r="E173" s="20">
        <v>-0.09</v>
      </c>
      <c r="F173" s="26">
        <v>1238.06</v>
      </c>
      <c r="Q173" s="20">
        <v>17.2</v>
      </c>
      <c r="R173" s="20">
        <v>71.27</v>
      </c>
      <c r="S173" s="26">
        <v>71</v>
      </c>
      <c r="T173" s="26">
        <v>-0.27</v>
      </c>
      <c r="U173" s="26">
        <v>0.04</v>
      </c>
      <c r="V173" s="20">
        <v>1686.77</v>
      </c>
    </row>
    <row r="174" spans="1:22" ht="16.8" x14ac:dyDescent="0.3">
      <c r="A174" s="20">
        <v>17.3</v>
      </c>
      <c r="B174" s="20">
        <v>71</v>
      </c>
      <c r="C174" s="20">
        <v>71.67</v>
      </c>
      <c r="D174" s="20">
        <v>-0.67</v>
      </c>
      <c r="E174" s="20">
        <v>0.03</v>
      </c>
      <c r="F174" s="20">
        <v>1368.71</v>
      </c>
      <c r="Q174" s="20">
        <v>17.3</v>
      </c>
      <c r="R174" s="20">
        <v>71.25</v>
      </c>
      <c r="S174" s="26">
        <v>71</v>
      </c>
      <c r="T174" s="26">
        <v>-0.25</v>
      </c>
      <c r="U174" s="26">
        <v>0.02</v>
      </c>
      <c r="V174" s="26">
        <v>1669.44</v>
      </c>
    </row>
    <row r="175" spans="1:22" ht="16.8" x14ac:dyDescent="0.3">
      <c r="A175" s="20">
        <v>17.399999999999999</v>
      </c>
      <c r="B175" s="20">
        <v>71</v>
      </c>
      <c r="C175" s="26">
        <v>71.739999999999995</v>
      </c>
      <c r="D175" s="20">
        <v>-0.74</v>
      </c>
      <c r="E175" s="20">
        <v>-0.06</v>
      </c>
      <c r="F175" s="26">
        <v>1062.68</v>
      </c>
      <c r="Q175" s="20">
        <v>17.399999999999999</v>
      </c>
      <c r="R175" s="20">
        <v>71.27</v>
      </c>
      <c r="S175" s="26">
        <v>71</v>
      </c>
      <c r="T175" s="26">
        <v>-0.27</v>
      </c>
      <c r="U175" s="26">
        <v>-0.02</v>
      </c>
      <c r="V175" s="20">
        <v>1640.03</v>
      </c>
    </row>
    <row r="176" spans="1:22" ht="16.8" x14ac:dyDescent="0.3">
      <c r="A176" s="20">
        <v>17.5</v>
      </c>
      <c r="B176" s="20">
        <v>71</v>
      </c>
      <c r="C176" s="20">
        <v>71.739999999999995</v>
      </c>
      <c r="D176" s="20">
        <v>-0.74</v>
      </c>
      <c r="E176" s="20">
        <v>0</v>
      </c>
      <c r="F176" s="26">
        <v>1036.43</v>
      </c>
      <c r="Q176" s="20">
        <v>17.5</v>
      </c>
      <c r="R176" s="20">
        <v>71.260000000000005</v>
      </c>
      <c r="S176" s="26">
        <v>71</v>
      </c>
      <c r="T176" s="26">
        <v>-0.26</v>
      </c>
      <c r="U176" s="26">
        <v>0.01</v>
      </c>
      <c r="V176" s="26">
        <v>1660.27</v>
      </c>
    </row>
    <row r="177" spans="1:22" ht="16.8" x14ac:dyDescent="0.3">
      <c r="A177" s="20">
        <v>17.600000000000001</v>
      </c>
      <c r="B177" s="20">
        <v>71</v>
      </c>
      <c r="C177" s="26">
        <v>71.73</v>
      </c>
      <c r="D177" s="20">
        <v>-0.73</v>
      </c>
      <c r="E177" s="20">
        <v>0.01</v>
      </c>
      <c r="F177" s="20">
        <v>1111.94</v>
      </c>
      <c r="Q177" s="20">
        <v>17.600000000000001</v>
      </c>
      <c r="R177" s="20">
        <v>71.25</v>
      </c>
      <c r="S177" s="26">
        <v>71</v>
      </c>
      <c r="T177" s="20">
        <v>-0.25</v>
      </c>
      <c r="U177" s="26">
        <v>0.01</v>
      </c>
      <c r="V177" s="20">
        <v>1661.01</v>
      </c>
    </row>
    <row r="178" spans="1:22" ht="16.8" x14ac:dyDescent="0.3">
      <c r="A178" s="20">
        <v>17.7</v>
      </c>
      <c r="B178" s="20">
        <v>71</v>
      </c>
      <c r="C178" s="26">
        <v>71.67</v>
      </c>
      <c r="D178" s="20">
        <v>-0.67</v>
      </c>
      <c r="E178" s="20">
        <v>0.06</v>
      </c>
      <c r="F178" s="26">
        <v>1368.71</v>
      </c>
      <c r="Q178" s="20">
        <v>17.7</v>
      </c>
      <c r="R178" s="20">
        <v>71.23</v>
      </c>
      <c r="S178" s="26">
        <v>71</v>
      </c>
      <c r="T178" s="26">
        <v>-0.23</v>
      </c>
      <c r="U178" s="26">
        <v>0.02</v>
      </c>
      <c r="V178" s="20">
        <v>1669.67</v>
      </c>
    </row>
    <row r="179" spans="1:22" ht="16.8" x14ac:dyDescent="0.3">
      <c r="A179" s="20">
        <v>17.8</v>
      </c>
      <c r="B179" s="20">
        <v>71</v>
      </c>
      <c r="C179" s="20">
        <v>71.67</v>
      </c>
      <c r="D179" s="20">
        <v>-0.67</v>
      </c>
      <c r="E179" s="20">
        <v>0</v>
      </c>
      <c r="F179" s="20">
        <v>1382.72</v>
      </c>
      <c r="Q179" s="20">
        <v>17.8</v>
      </c>
      <c r="R179" s="20">
        <v>71.239999999999995</v>
      </c>
      <c r="S179" s="26">
        <v>71</v>
      </c>
      <c r="T179" s="20">
        <v>-0.24</v>
      </c>
      <c r="U179" s="26">
        <v>-0.01</v>
      </c>
      <c r="V179" s="26">
        <v>1648.22</v>
      </c>
    </row>
    <row r="180" spans="1:22" ht="16.8" x14ac:dyDescent="0.3">
      <c r="A180" s="20">
        <v>17.899999999999999</v>
      </c>
      <c r="B180" s="20">
        <v>71</v>
      </c>
      <c r="C180" s="26">
        <v>71.62</v>
      </c>
      <c r="D180" s="20">
        <v>-0.62</v>
      </c>
      <c r="E180" s="20">
        <v>0.04</v>
      </c>
      <c r="F180" s="26">
        <v>1512.81</v>
      </c>
      <c r="Q180" s="20">
        <v>17.899999999999999</v>
      </c>
      <c r="R180" s="20">
        <v>71.23</v>
      </c>
      <c r="S180" s="26">
        <v>71</v>
      </c>
      <c r="T180" s="26">
        <v>-0.23</v>
      </c>
      <c r="U180" s="26">
        <v>0.02</v>
      </c>
      <c r="V180" s="20">
        <v>1669.89</v>
      </c>
    </row>
    <row r="181" spans="1:22" ht="16.8" x14ac:dyDescent="0.3">
      <c r="A181" s="20">
        <v>18</v>
      </c>
      <c r="B181" s="20">
        <v>71</v>
      </c>
      <c r="C181" s="20">
        <v>71.56</v>
      </c>
      <c r="D181" s="20">
        <v>-0.56000000000000005</v>
      </c>
      <c r="E181" s="20">
        <v>7.0000000000000007E-2</v>
      </c>
      <c r="F181" s="26">
        <v>1655.14</v>
      </c>
      <c r="Q181" s="20">
        <v>18</v>
      </c>
      <c r="R181" s="20">
        <v>71.22</v>
      </c>
      <c r="S181" s="26">
        <v>71</v>
      </c>
      <c r="T181" s="26">
        <v>-0.22</v>
      </c>
      <c r="U181" s="26">
        <v>0.01</v>
      </c>
      <c r="V181" s="26">
        <v>1664.24</v>
      </c>
    </row>
    <row r="182" spans="1:22" ht="16.8" x14ac:dyDescent="0.3">
      <c r="A182" s="20">
        <v>18.100000000000001</v>
      </c>
      <c r="B182" s="20">
        <v>71</v>
      </c>
      <c r="C182" s="26">
        <v>71.45</v>
      </c>
      <c r="D182" s="20">
        <v>-0.45</v>
      </c>
      <c r="E182" s="20">
        <v>0.11</v>
      </c>
      <c r="F182" s="20">
        <v>1817.91</v>
      </c>
      <c r="Q182" s="20">
        <v>18.100000000000001</v>
      </c>
      <c r="R182" s="20">
        <v>71.25</v>
      </c>
      <c r="S182" s="26">
        <v>71</v>
      </c>
      <c r="T182" s="26">
        <v>-0.25</v>
      </c>
      <c r="U182" s="26">
        <v>-0.03</v>
      </c>
      <c r="V182" s="20">
        <v>1625.63</v>
      </c>
    </row>
    <row r="183" spans="1:22" ht="16.8" x14ac:dyDescent="0.3">
      <c r="A183" s="20">
        <v>18.2</v>
      </c>
      <c r="B183" s="20">
        <v>71</v>
      </c>
      <c r="C183" s="26">
        <v>71.349999999999994</v>
      </c>
      <c r="D183" s="20">
        <v>-0.35</v>
      </c>
      <c r="E183" s="20">
        <v>0.1</v>
      </c>
      <c r="F183" s="26">
        <v>1935.88</v>
      </c>
      <c r="Q183" s="20">
        <v>18.2</v>
      </c>
      <c r="R183" s="20">
        <v>71.2</v>
      </c>
      <c r="S183" s="26">
        <v>71</v>
      </c>
      <c r="T183" s="26">
        <v>-0.2</v>
      </c>
      <c r="U183" s="26">
        <v>0.05</v>
      </c>
      <c r="V183" s="26">
        <v>1698.34</v>
      </c>
    </row>
    <row r="184" spans="1:22" ht="16.8" x14ac:dyDescent="0.3">
      <c r="A184" s="20">
        <v>18.3</v>
      </c>
      <c r="B184" s="20">
        <v>71</v>
      </c>
      <c r="C184" s="20">
        <v>71.23</v>
      </c>
      <c r="D184" s="20">
        <v>-0.23</v>
      </c>
      <c r="E184" s="20">
        <v>0.12</v>
      </c>
      <c r="F184" s="20">
        <v>2039.16</v>
      </c>
      <c r="Q184" s="20">
        <v>18.3</v>
      </c>
      <c r="R184" s="20">
        <v>71.2</v>
      </c>
      <c r="S184" s="26">
        <v>71</v>
      </c>
      <c r="T184" s="20">
        <v>-0.2</v>
      </c>
      <c r="U184" s="20">
        <v>0</v>
      </c>
      <c r="V184" s="20">
        <v>1658.87</v>
      </c>
    </row>
    <row r="185" spans="1:22" ht="16.8" x14ac:dyDescent="0.3">
      <c r="A185" s="20">
        <v>18.399999999999999</v>
      </c>
      <c r="B185" s="20">
        <v>71</v>
      </c>
      <c r="C185" s="26">
        <v>71.209999999999994</v>
      </c>
      <c r="D185" s="20">
        <v>-0.21</v>
      </c>
      <c r="E185" s="20">
        <v>0.02</v>
      </c>
      <c r="F185" s="26">
        <v>2055.69</v>
      </c>
      <c r="Q185" s="20">
        <v>18.399999999999999</v>
      </c>
      <c r="R185" s="20">
        <v>71.23</v>
      </c>
      <c r="S185" s="26">
        <v>71</v>
      </c>
      <c r="T185" s="26">
        <v>-0.23</v>
      </c>
      <c r="U185" s="26">
        <v>-0.02</v>
      </c>
      <c r="V185" s="26">
        <v>1634.69</v>
      </c>
    </row>
    <row r="186" spans="1:22" ht="16.8" x14ac:dyDescent="0.3">
      <c r="A186" s="20">
        <v>18.5</v>
      </c>
      <c r="B186" s="20">
        <v>71</v>
      </c>
      <c r="C186" s="26">
        <v>71.13</v>
      </c>
      <c r="D186" s="20">
        <v>-0.13</v>
      </c>
      <c r="E186" s="20">
        <v>0.08</v>
      </c>
      <c r="F186" s="26">
        <v>2123.8000000000002</v>
      </c>
      <c r="Q186" s="20">
        <v>18.5</v>
      </c>
      <c r="R186" s="20">
        <v>71.23</v>
      </c>
      <c r="S186" s="26">
        <v>71</v>
      </c>
      <c r="T186" s="20">
        <v>-0.23</v>
      </c>
      <c r="U186" s="20">
        <v>0</v>
      </c>
      <c r="V186" s="20">
        <v>1653.62</v>
      </c>
    </row>
    <row r="187" spans="1:22" ht="16.8" x14ac:dyDescent="0.3">
      <c r="A187" s="20">
        <v>18.600000000000001</v>
      </c>
      <c r="B187" s="20">
        <v>71</v>
      </c>
      <c r="C187" s="20">
        <v>71.040000000000006</v>
      </c>
      <c r="D187" s="20">
        <v>-0.04</v>
      </c>
      <c r="E187" s="20">
        <v>0.09</v>
      </c>
      <c r="F187" s="20">
        <v>2212.8200000000002</v>
      </c>
      <c r="Q187" s="20">
        <v>18.600000000000001</v>
      </c>
      <c r="R187" s="20">
        <v>71.209999999999994</v>
      </c>
      <c r="S187" s="26">
        <v>71</v>
      </c>
      <c r="T187" s="26">
        <v>-0.21</v>
      </c>
      <c r="U187" s="26">
        <v>0.02</v>
      </c>
      <c r="V187" s="20">
        <v>1668.85</v>
      </c>
    </row>
    <row r="188" spans="1:22" ht="16.8" x14ac:dyDescent="0.3">
      <c r="A188" s="20">
        <v>18.7</v>
      </c>
      <c r="B188" s="20">
        <v>71</v>
      </c>
      <c r="C188" s="26">
        <v>70.97</v>
      </c>
      <c r="D188" s="20">
        <v>0.03</v>
      </c>
      <c r="E188" s="20">
        <v>7.0000000000000007E-2</v>
      </c>
      <c r="F188" s="26">
        <v>2295.3000000000002</v>
      </c>
      <c r="Q188" s="20">
        <v>18.7</v>
      </c>
      <c r="R188" s="20">
        <v>71.17</v>
      </c>
      <c r="S188" s="26">
        <v>71</v>
      </c>
      <c r="T188" s="26">
        <v>-0.17</v>
      </c>
      <c r="U188" s="26">
        <v>0.04</v>
      </c>
      <c r="V188" s="26">
        <v>1694.78</v>
      </c>
    </row>
    <row r="189" spans="1:22" ht="16.8" x14ac:dyDescent="0.3">
      <c r="A189" s="20">
        <v>18.8</v>
      </c>
      <c r="B189" s="20">
        <v>71</v>
      </c>
      <c r="C189" s="20">
        <v>70.88</v>
      </c>
      <c r="D189" s="20">
        <v>0.12</v>
      </c>
      <c r="E189" s="20">
        <v>0.1</v>
      </c>
      <c r="F189" s="26">
        <v>2398.88</v>
      </c>
      <c r="Q189" s="20">
        <v>18.8</v>
      </c>
      <c r="R189" s="20">
        <v>71.150000000000006</v>
      </c>
      <c r="S189" s="26">
        <v>71</v>
      </c>
      <c r="T189" s="26">
        <v>-0.15</v>
      </c>
      <c r="U189" s="26">
        <v>0.02</v>
      </c>
      <c r="V189" s="20">
        <v>1685.55</v>
      </c>
    </row>
    <row r="190" spans="1:22" ht="16.8" x14ac:dyDescent="0.3">
      <c r="A190" s="20">
        <v>18.899999999999999</v>
      </c>
      <c r="B190" s="20">
        <v>71</v>
      </c>
      <c r="C190" s="26">
        <v>70.86</v>
      </c>
      <c r="D190" s="20">
        <v>0.14000000000000001</v>
      </c>
      <c r="E190" s="20">
        <v>0.01</v>
      </c>
      <c r="F190" s="20">
        <v>2288.85</v>
      </c>
      <c r="Q190" s="20">
        <v>18.899999999999999</v>
      </c>
      <c r="R190" s="20">
        <v>71.17</v>
      </c>
      <c r="S190" s="26">
        <v>71</v>
      </c>
      <c r="T190" s="26">
        <v>-0.17</v>
      </c>
      <c r="U190" s="26">
        <v>-0.02</v>
      </c>
      <c r="V190" s="26">
        <v>1642.04</v>
      </c>
    </row>
    <row r="191" spans="1:22" ht="16.8" x14ac:dyDescent="0.3">
      <c r="A191" s="20">
        <v>19</v>
      </c>
      <c r="B191" s="20">
        <v>71</v>
      </c>
      <c r="C191" s="26">
        <v>70.86</v>
      </c>
      <c r="D191" s="20">
        <v>0.14000000000000001</v>
      </c>
      <c r="E191" s="20">
        <v>0</v>
      </c>
      <c r="F191" s="26">
        <v>2262.08</v>
      </c>
      <c r="Q191" s="20">
        <v>19</v>
      </c>
      <c r="R191" s="20">
        <v>71.17</v>
      </c>
      <c r="S191" s="26">
        <v>71</v>
      </c>
      <c r="T191" s="26">
        <v>-0.17</v>
      </c>
      <c r="U191" s="26">
        <v>0</v>
      </c>
      <c r="V191" s="20">
        <v>1661.1</v>
      </c>
    </row>
    <row r="192" spans="1:22" ht="16.8" x14ac:dyDescent="0.3">
      <c r="A192" s="20">
        <v>19.100000000000001</v>
      </c>
      <c r="B192" s="20">
        <v>71</v>
      </c>
      <c r="C192" s="20">
        <v>70.84</v>
      </c>
      <c r="D192" s="20">
        <v>0.16</v>
      </c>
      <c r="E192" s="20">
        <v>0.02</v>
      </c>
      <c r="F192" s="20">
        <v>2314.8200000000002</v>
      </c>
      <c r="Q192" s="20">
        <v>19.100000000000001</v>
      </c>
      <c r="R192" s="20">
        <v>71.17</v>
      </c>
      <c r="S192" s="26">
        <v>71</v>
      </c>
      <c r="T192" s="20">
        <v>-0.17</v>
      </c>
      <c r="U192" s="20">
        <v>0</v>
      </c>
      <c r="V192" s="26">
        <v>1660.69</v>
      </c>
    </row>
    <row r="193" spans="1:22" ht="16.8" x14ac:dyDescent="0.3">
      <c r="A193" s="20">
        <v>19.2</v>
      </c>
      <c r="B193" s="20">
        <v>71</v>
      </c>
      <c r="C193" s="26">
        <v>70.83</v>
      </c>
      <c r="D193" s="20">
        <v>0.17</v>
      </c>
      <c r="E193" s="20">
        <v>0.01</v>
      </c>
      <c r="F193" s="26">
        <v>2280.06</v>
      </c>
      <c r="Q193" s="20">
        <v>19.2</v>
      </c>
      <c r="R193" s="20">
        <v>71.180000000000007</v>
      </c>
      <c r="S193" s="26">
        <v>71</v>
      </c>
      <c r="T193" s="26">
        <v>-0.18</v>
      </c>
      <c r="U193" s="26">
        <v>-0.01</v>
      </c>
      <c r="V193" s="20">
        <v>1652.38</v>
      </c>
    </row>
    <row r="194" spans="1:22" ht="16.8" x14ac:dyDescent="0.3">
      <c r="A194" s="20">
        <v>19.3</v>
      </c>
      <c r="B194" s="20">
        <v>71</v>
      </c>
      <c r="C194" s="20">
        <v>70.88</v>
      </c>
      <c r="D194" s="20">
        <v>0.12</v>
      </c>
      <c r="E194" s="20">
        <v>-0.05</v>
      </c>
      <c r="F194" s="26">
        <v>2371.81</v>
      </c>
      <c r="Q194" s="20">
        <v>19.3</v>
      </c>
      <c r="R194" s="20">
        <v>71.150000000000006</v>
      </c>
      <c r="S194" s="26">
        <v>71</v>
      </c>
      <c r="T194" s="26">
        <v>-0.15</v>
      </c>
      <c r="U194" s="26">
        <v>0.03</v>
      </c>
      <c r="V194" s="26">
        <v>1689.98</v>
      </c>
    </row>
    <row r="195" spans="1:22" ht="16.8" x14ac:dyDescent="0.3">
      <c r="A195" s="20">
        <v>19.399999999999999</v>
      </c>
      <c r="B195" s="20">
        <v>71</v>
      </c>
      <c r="C195" s="26">
        <v>70.87</v>
      </c>
      <c r="D195" s="20">
        <v>0.13</v>
      </c>
      <c r="E195" s="20">
        <v>0.02</v>
      </c>
      <c r="F195" s="20">
        <v>2297.67</v>
      </c>
      <c r="Q195" s="20">
        <v>19.399999999999999</v>
      </c>
      <c r="R195" s="20">
        <v>71.150000000000006</v>
      </c>
      <c r="S195" s="26">
        <v>71</v>
      </c>
      <c r="T195" s="26">
        <v>-0.15</v>
      </c>
      <c r="U195" s="26">
        <v>-0.01</v>
      </c>
      <c r="V195" s="20">
        <v>1655.76</v>
      </c>
    </row>
    <row r="196" spans="1:22" ht="16.8" x14ac:dyDescent="0.3">
      <c r="A196" s="20">
        <v>19.5</v>
      </c>
      <c r="B196" s="20">
        <v>71</v>
      </c>
      <c r="C196" s="26">
        <v>70.900000000000006</v>
      </c>
      <c r="D196" s="20">
        <v>0.1</v>
      </c>
      <c r="E196" s="20">
        <v>-0.04</v>
      </c>
      <c r="F196" s="26">
        <v>2339.81</v>
      </c>
      <c r="Q196" s="20">
        <v>19.5</v>
      </c>
      <c r="R196" s="20">
        <v>71.150000000000006</v>
      </c>
      <c r="S196" s="26">
        <v>71</v>
      </c>
      <c r="T196" s="26">
        <v>-0.15</v>
      </c>
      <c r="U196" s="26">
        <v>0</v>
      </c>
      <c r="V196" s="26">
        <v>1661.87</v>
      </c>
    </row>
    <row r="197" spans="1:22" ht="16.8" x14ac:dyDescent="0.3">
      <c r="A197" s="20">
        <v>19.600000000000001</v>
      </c>
      <c r="B197" s="20">
        <v>71</v>
      </c>
      <c r="C197" s="20">
        <v>71</v>
      </c>
      <c r="D197" s="20">
        <v>0</v>
      </c>
      <c r="E197" s="20">
        <v>-0.09</v>
      </c>
      <c r="F197" s="20">
        <v>2266.92</v>
      </c>
      <c r="Q197" s="20">
        <v>19.600000000000001</v>
      </c>
      <c r="R197" s="20">
        <v>71.180000000000007</v>
      </c>
      <c r="S197" s="26">
        <v>71</v>
      </c>
      <c r="T197" s="20">
        <v>-0.18</v>
      </c>
      <c r="U197" s="26">
        <v>-0.02</v>
      </c>
      <c r="V197" s="20">
        <v>1637.83</v>
      </c>
    </row>
    <row r="198" spans="1:22" ht="16.8" x14ac:dyDescent="0.3">
      <c r="A198" s="20">
        <v>19.7</v>
      </c>
      <c r="B198" s="20">
        <v>71</v>
      </c>
      <c r="C198" s="26">
        <v>70.98</v>
      </c>
      <c r="D198" s="20">
        <v>0.02</v>
      </c>
      <c r="E198" s="20">
        <v>0.02</v>
      </c>
      <c r="F198" s="26">
        <v>2290.65</v>
      </c>
      <c r="Q198" s="20">
        <v>19.7</v>
      </c>
      <c r="R198" s="20">
        <v>71.14</v>
      </c>
      <c r="S198" s="26">
        <v>71</v>
      </c>
      <c r="T198" s="26">
        <v>-0.14000000000000001</v>
      </c>
      <c r="U198" s="26">
        <v>0.04</v>
      </c>
      <c r="V198" s="26">
        <v>1696.33</v>
      </c>
    </row>
    <row r="199" spans="1:22" ht="16.8" x14ac:dyDescent="0.3">
      <c r="A199" s="20">
        <v>19.8</v>
      </c>
      <c r="B199" s="20">
        <v>71</v>
      </c>
      <c r="C199" s="26">
        <v>71.09</v>
      </c>
      <c r="D199" s="20">
        <v>-0.09</v>
      </c>
      <c r="E199" s="20">
        <v>-0.12</v>
      </c>
      <c r="F199" s="26">
        <v>2162.79</v>
      </c>
      <c r="Q199" s="20">
        <v>19.8</v>
      </c>
      <c r="R199" s="20">
        <v>71.14</v>
      </c>
      <c r="S199" s="26">
        <v>71</v>
      </c>
      <c r="T199" s="20">
        <v>-0.14000000000000001</v>
      </c>
      <c r="U199" s="26">
        <v>0</v>
      </c>
      <c r="V199" s="20">
        <v>1663.5</v>
      </c>
    </row>
    <row r="200" spans="1:22" ht="16.8" x14ac:dyDescent="0.3">
      <c r="A200" s="20">
        <v>19.899999999999999</v>
      </c>
      <c r="B200" s="20">
        <v>71</v>
      </c>
      <c r="C200" s="20">
        <v>71.08</v>
      </c>
      <c r="D200" s="20">
        <v>-0.08</v>
      </c>
      <c r="E200" s="20">
        <v>0.01</v>
      </c>
      <c r="F200" s="20">
        <v>2174.98</v>
      </c>
      <c r="Q200" s="20">
        <v>19.899999999999999</v>
      </c>
      <c r="R200" s="20">
        <v>71.14</v>
      </c>
      <c r="S200" s="26">
        <v>71</v>
      </c>
      <c r="T200" s="26">
        <v>-0.14000000000000001</v>
      </c>
      <c r="U200" s="26">
        <v>0</v>
      </c>
      <c r="V200" s="20">
        <v>1663.17</v>
      </c>
    </row>
    <row r="201" spans="1:22" ht="16.8" x14ac:dyDescent="0.3">
      <c r="A201" s="20">
        <v>20</v>
      </c>
      <c r="B201" s="20">
        <v>71</v>
      </c>
      <c r="C201" s="26">
        <v>71.13</v>
      </c>
      <c r="D201" s="20">
        <v>-0.13</v>
      </c>
      <c r="E201" s="20">
        <v>-0.05</v>
      </c>
      <c r="F201" s="26">
        <v>2123.8000000000002</v>
      </c>
      <c r="Q201" s="20">
        <v>20</v>
      </c>
      <c r="R201" s="20">
        <v>71.16</v>
      </c>
      <c r="S201" s="26">
        <v>71</v>
      </c>
      <c r="T201" s="26">
        <v>-0.16</v>
      </c>
      <c r="U201" s="26">
        <v>-0.02</v>
      </c>
      <c r="V201" s="26">
        <v>1639.15</v>
      </c>
    </row>
    <row r="202" spans="1:22" ht="16.8" x14ac:dyDescent="0.3">
      <c r="A202" s="20">
        <v>20.100000000000001</v>
      </c>
      <c r="B202" s="20">
        <v>71</v>
      </c>
      <c r="C202" s="20">
        <v>71.19</v>
      </c>
      <c r="D202" s="20">
        <v>-0.19</v>
      </c>
      <c r="E202" s="20">
        <v>-0.06</v>
      </c>
      <c r="F202" s="20">
        <v>2069.4</v>
      </c>
      <c r="Q202" s="20">
        <v>20.100000000000001</v>
      </c>
      <c r="R202" s="20">
        <v>71.14</v>
      </c>
      <c r="S202" s="26">
        <v>71</v>
      </c>
      <c r="T202" s="26">
        <v>-0.14000000000000001</v>
      </c>
      <c r="U202" s="26">
        <v>0.02</v>
      </c>
      <c r="V202" s="20">
        <v>1681.92</v>
      </c>
    </row>
    <row r="203" spans="1:22" ht="16.8" x14ac:dyDescent="0.3">
      <c r="A203" s="20">
        <v>20.2</v>
      </c>
      <c r="B203" s="20">
        <v>71</v>
      </c>
      <c r="C203" s="26">
        <v>71.3</v>
      </c>
      <c r="D203" s="20">
        <v>-0.3</v>
      </c>
      <c r="E203" s="20">
        <v>-0.1</v>
      </c>
      <c r="F203" s="26">
        <v>1986.99</v>
      </c>
      <c r="Q203" s="20">
        <v>20.2</v>
      </c>
      <c r="R203" s="20">
        <v>71.14</v>
      </c>
      <c r="S203" s="26">
        <v>71</v>
      </c>
      <c r="T203" s="26">
        <v>-0.14000000000000001</v>
      </c>
      <c r="U203" s="26">
        <v>0</v>
      </c>
      <c r="V203" s="26">
        <v>1662.09</v>
      </c>
    </row>
    <row r="204" spans="1:22" ht="16.8" x14ac:dyDescent="0.3">
      <c r="A204" s="20">
        <v>20.3</v>
      </c>
      <c r="B204" s="20">
        <v>71</v>
      </c>
      <c r="C204" s="26">
        <v>71.34</v>
      </c>
      <c r="D204" s="20">
        <v>-0.34</v>
      </c>
      <c r="E204" s="20">
        <v>-0.04</v>
      </c>
      <c r="F204" s="26">
        <v>1944.68</v>
      </c>
      <c r="Q204" s="20">
        <v>20.3</v>
      </c>
      <c r="R204" s="20">
        <v>71.150000000000006</v>
      </c>
      <c r="S204" s="26">
        <v>71</v>
      </c>
      <c r="T204" s="20">
        <v>-0.15</v>
      </c>
      <c r="U204" s="26">
        <v>-0.02</v>
      </c>
      <c r="V204" s="20">
        <v>1645.96</v>
      </c>
    </row>
    <row r="205" spans="1:22" ht="16.8" x14ac:dyDescent="0.3">
      <c r="A205" s="20">
        <v>20.399999999999999</v>
      </c>
      <c r="B205" s="20">
        <v>71</v>
      </c>
      <c r="C205" s="20">
        <v>71.39</v>
      </c>
      <c r="D205" s="20">
        <v>-0.39</v>
      </c>
      <c r="E205" s="20">
        <v>-0.05</v>
      </c>
      <c r="F205" s="20">
        <v>1890.69</v>
      </c>
      <c r="Q205" s="20">
        <v>20.399999999999999</v>
      </c>
      <c r="R205" s="20">
        <v>71.06</v>
      </c>
      <c r="S205" s="26">
        <v>71</v>
      </c>
      <c r="T205" s="26">
        <v>-0.06</v>
      </c>
      <c r="U205" s="26">
        <v>0.09</v>
      </c>
      <c r="V205" s="26">
        <v>1745.35</v>
      </c>
    </row>
    <row r="206" spans="1:22" ht="16.8" x14ac:dyDescent="0.3">
      <c r="A206" s="20">
        <v>20.5</v>
      </c>
      <c r="B206" s="20">
        <v>71</v>
      </c>
      <c r="C206" s="26">
        <v>71.45</v>
      </c>
      <c r="D206" s="20">
        <v>-0.45</v>
      </c>
      <c r="E206" s="20">
        <v>-0.06</v>
      </c>
      <c r="F206" s="26">
        <v>1812.8</v>
      </c>
      <c r="Q206" s="20">
        <v>20.5</v>
      </c>
      <c r="R206" s="20">
        <v>71.11</v>
      </c>
      <c r="S206" s="26">
        <v>71</v>
      </c>
      <c r="T206" s="20">
        <v>-0.11</v>
      </c>
      <c r="U206" s="26">
        <v>-0.05</v>
      </c>
      <c r="V206" s="20">
        <v>1626.43</v>
      </c>
    </row>
    <row r="207" spans="1:22" ht="16.8" x14ac:dyDescent="0.3">
      <c r="A207" s="20">
        <v>20.6</v>
      </c>
      <c r="B207" s="20">
        <v>71</v>
      </c>
      <c r="C207" s="20">
        <v>71.47</v>
      </c>
      <c r="D207" s="20">
        <v>-0.47</v>
      </c>
      <c r="E207" s="20">
        <v>-0.02</v>
      </c>
      <c r="F207" s="20">
        <v>1791.98</v>
      </c>
      <c r="Q207" s="20">
        <v>20.6</v>
      </c>
      <c r="R207" s="20">
        <v>70.650000000000006</v>
      </c>
      <c r="S207" s="26">
        <v>71</v>
      </c>
      <c r="T207" s="26">
        <v>0.35</v>
      </c>
      <c r="U207" s="26">
        <v>0.46</v>
      </c>
      <c r="V207" s="20">
        <v>2114.8000000000002</v>
      </c>
    </row>
    <row r="208" spans="1:22" ht="16.8" x14ac:dyDescent="0.3">
      <c r="A208" s="20">
        <v>20.7</v>
      </c>
      <c r="B208" s="20">
        <v>71</v>
      </c>
      <c r="C208" s="26">
        <v>71.5</v>
      </c>
      <c r="D208" s="20">
        <v>-0.5</v>
      </c>
      <c r="E208" s="20">
        <v>-0.03</v>
      </c>
      <c r="F208" s="26">
        <v>1748.24</v>
      </c>
      <c r="Q208" s="20">
        <v>20.7</v>
      </c>
      <c r="R208" s="20">
        <v>71.14</v>
      </c>
      <c r="S208" s="26">
        <v>71</v>
      </c>
      <c r="T208" s="20">
        <v>-0.14000000000000001</v>
      </c>
      <c r="U208" s="26">
        <v>-0.48</v>
      </c>
      <c r="V208" s="26">
        <v>1272.08</v>
      </c>
    </row>
    <row r="209" spans="1:22" ht="16.8" x14ac:dyDescent="0.3">
      <c r="A209" s="20">
        <v>20.8</v>
      </c>
      <c r="B209" s="20">
        <v>71</v>
      </c>
      <c r="C209" s="26">
        <v>71.569999999999993</v>
      </c>
      <c r="D209" s="20">
        <v>-0.56999999999999995</v>
      </c>
      <c r="E209" s="20">
        <v>-7.0000000000000007E-2</v>
      </c>
      <c r="F209" s="26">
        <v>1632.81</v>
      </c>
      <c r="Q209" s="20">
        <v>20.8</v>
      </c>
      <c r="R209" s="20">
        <v>70.180000000000007</v>
      </c>
      <c r="S209" s="26">
        <v>71</v>
      </c>
      <c r="T209" s="26">
        <v>0.82</v>
      </c>
      <c r="U209" s="26">
        <v>0.96</v>
      </c>
      <c r="V209" s="20">
        <v>2600.27</v>
      </c>
    </row>
    <row r="210" spans="1:22" ht="16.8" x14ac:dyDescent="0.3">
      <c r="A210" s="20">
        <v>20.9</v>
      </c>
      <c r="B210" s="20">
        <v>71</v>
      </c>
      <c r="C210" s="20">
        <v>71.62</v>
      </c>
      <c r="D210" s="20">
        <v>-0.62</v>
      </c>
      <c r="E210" s="20">
        <v>-0.05</v>
      </c>
      <c r="F210" s="20">
        <v>1522.81</v>
      </c>
      <c r="Q210" s="20">
        <v>20.9</v>
      </c>
      <c r="R210" s="20">
        <v>71.12</v>
      </c>
      <c r="S210" s="26">
        <v>71</v>
      </c>
      <c r="T210" s="20">
        <v>-0.12</v>
      </c>
      <c r="U210" s="26">
        <v>-0.94</v>
      </c>
      <c r="V210" s="26">
        <v>906.34</v>
      </c>
    </row>
    <row r="211" spans="1:22" ht="16.8" x14ac:dyDescent="0.3">
      <c r="A211" s="20">
        <v>21</v>
      </c>
      <c r="B211" s="20">
        <v>71</v>
      </c>
      <c r="C211" s="26">
        <v>71.540000000000006</v>
      </c>
      <c r="D211" s="20">
        <v>-0.54</v>
      </c>
      <c r="E211" s="20">
        <v>0.08</v>
      </c>
      <c r="F211" s="26">
        <v>1684.35</v>
      </c>
      <c r="Q211" s="20">
        <v>21</v>
      </c>
      <c r="R211" s="20">
        <v>70.150000000000006</v>
      </c>
      <c r="S211" s="26">
        <v>71</v>
      </c>
      <c r="T211" s="26">
        <v>0.85</v>
      </c>
      <c r="U211" s="26">
        <v>0.97</v>
      </c>
      <c r="V211" s="20">
        <v>2612.69</v>
      </c>
    </row>
    <row r="212" spans="1:22" ht="16.8" x14ac:dyDescent="0.3">
      <c r="A212" s="20">
        <v>21.1</v>
      </c>
      <c r="B212" s="20">
        <v>71</v>
      </c>
      <c r="C212" s="26">
        <v>71.650000000000006</v>
      </c>
      <c r="D212" s="20">
        <v>-0.65</v>
      </c>
      <c r="E212" s="20">
        <v>-0.11</v>
      </c>
      <c r="F212" s="20">
        <v>1434.82</v>
      </c>
      <c r="Q212" s="20">
        <v>21.1</v>
      </c>
      <c r="R212" s="20">
        <v>71.14</v>
      </c>
      <c r="S212" s="26">
        <v>71</v>
      </c>
      <c r="T212" s="20">
        <v>-0.14000000000000001</v>
      </c>
      <c r="U212" s="26">
        <v>-0.98</v>
      </c>
      <c r="V212" s="26">
        <v>872.87</v>
      </c>
    </row>
    <row r="213" spans="1:22" ht="16.8" x14ac:dyDescent="0.3">
      <c r="A213" s="20">
        <v>21.2</v>
      </c>
      <c r="B213" s="20">
        <v>71</v>
      </c>
      <c r="C213" s="20">
        <v>71.62</v>
      </c>
      <c r="D213" s="20">
        <v>-0.62</v>
      </c>
      <c r="E213" s="20">
        <v>0.04</v>
      </c>
      <c r="F213" s="26">
        <v>1532.55</v>
      </c>
      <c r="Q213" s="20">
        <v>21.2</v>
      </c>
      <c r="R213" s="20">
        <v>70.150000000000006</v>
      </c>
      <c r="S213" s="26">
        <v>71</v>
      </c>
      <c r="T213" s="20">
        <v>0.85</v>
      </c>
      <c r="U213" s="26">
        <v>0.98</v>
      </c>
      <c r="V213" s="20">
        <v>2627.44</v>
      </c>
    </row>
    <row r="214" spans="1:22" ht="16.8" x14ac:dyDescent="0.3">
      <c r="A214" s="20">
        <v>21.3</v>
      </c>
      <c r="B214" s="20">
        <v>71</v>
      </c>
      <c r="C214" s="26">
        <v>71.599999999999994</v>
      </c>
      <c r="D214" s="20">
        <v>-0.6</v>
      </c>
      <c r="E214" s="20">
        <v>0.02</v>
      </c>
      <c r="F214" s="26">
        <v>1577.75</v>
      </c>
      <c r="Q214" s="20">
        <v>21.3</v>
      </c>
      <c r="R214" s="20">
        <v>71.180000000000007</v>
      </c>
      <c r="S214" s="26">
        <v>71</v>
      </c>
      <c r="T214" s="26">
        <v>-0.18</v>
      </c>
      <c r="U214" s="26">
        <v>-1.02</v>
      </c>
      <c r="V214" s="26">
        <v>835.18</v>
      </c>
    </row>
    <row r="215" spans="1:22" ht="16.8" x14ac:dyDescent="0.3">
      <c r="A215" s="20">
        <v>21.4</v>
      </c>
      <c r="B215" s="20">
        <v>71</v>
      </c>
      <c r="C215" s="20">
        <v>71.55</v>
      </c>
      <c r="D215" s="20">
        <v>-0.55000000000000004</v>
      </c>
      <c r="E215" s="20">
        <v>0.04</v>
      </c>
      <c r="F215" s="20">
        <v>1662.63</v>
      </c>
      <c r="Q215" s="20">
        <v>21.4</v>
      </c>
      <c r="R215" s="20">
        <v>70.17</v>
      </c>
      <c r="S215" s="26">
        <v>71</v>
      </c>
      <c r="T215" s="20">
        <v>0.83</v>
      </c>
      <c r="U215" s="26">
        <v>1.01</v>
      </c>
      <c r="V215" s="20">
        <v>2645.8</v>
      </c>
    </row>
    <row r="216" spans="1:22" ht="16.8" x14ac:dyDescent="0.3">
      <c r="A216" s="20">
        <v>21.5</v>
      </c>
      <c r="B216" s="20">
        <v>71</v>
      </c>
      <c r="C216" s="26">
        <v>71.59</v>
      </c>
      <c r="D216" s="20">
        <v>-0.59</v>
      </c>
      <c r="E216" s="20">
        <v>-0.04</v>
      </c>
      <c r="F216" s="26">
        <v>1594.39</v>
      </c>
      <c r="Q216" s="20">
        <v>21.5</v>
      </c>
      <c r="R216" s="20">
        <v>71.2</v>
      </c>
      <c r="S216" s="26">
        <v>71</v>
      </c>
      <c r="T216" s="26">
        <v>-0.2</v>
      </c>
      <c r="U216" s="26">
        <v>-1.03</v>
      </c>
      <c r="V216" s="26">
        <v>826.12</v>
      </c>
    </row>
    <row r="217" spans="1:22" ht="16.8" x14ac:dyDescent="0.3">
      <c r="A217" s="20">
        <v>21.6</v>
      </c>
      <c r="B217" s="20">
        <v>71</v>
      </c>
      <c r="C217" s="26">
        <v>71.48</v>
      </c>
      <c r="D217" s="20">
        <v>-0.48</v>
      </c>
      <c r="E217" s="20">
        <v>0.11</v>
      </c>
      <c r="F217" s="20">
        <v>1781.3</v>
      </c>
      <c r="Q217" s="20">
        <v>21.6</v>
      </c>
      <c r="R217" s="20">
        <v>70.19</v>
      </c>
      <c r="S217" s="26">
        <v>71</v>
      </c>
      <c r="T217" s="20">
        <v>0.81</v>
      </c>
      <c r="U217" s="26">
        <v>1.01</v>
      </c>
      <c r="V217" s="20">
        <v>2643.18</v>
      </c>
    </row>
    <row r="218" spans="1:22" ht="16.8" x14ac:dyDescent="0.3">
      <c r="A218" s="20">
        <v>21.7</v>
      </c>
      <c r="B218" s="20">
        <v>71</v>
      </c>
      <c r="C218" s="20">
        <v>71.47</v>
      </c>
      <c r="D218" s="20">
        <v>-0.47</v>
      </c>
      <c r="E218" s="20">
        <v>0</v>
      </c>
      <c r="F218" s="26">
        <v>1786.69</v>
      </c>
      <c r="Q218" s="20">
        <v>21.7</v>
      </c>
      <c r="R218" s="20">
        <v>71.25</v>
      </c>
      <c r="S218" s="26">
        <v>71</v>
      </c>
      <c r="T218" s="26">
        <v>-0.25</v>
      </c>
      <c r="U218" s="26">
        <v>-1.06</v>
      </c>
      <c r="V218" s="26">
        <v>799.76</v>
      </c>
    </row>
    <row r="219" spans="1:22" ht="16.8" x14ac:dyDescent="0.3">
      <c r="A219" s="20">
        <v>21.8</v>
      </c>
      <c r="B219" s="20">
        <v>71</v>
      </c>
      <c r="C219" s="26">
        <v>71.37</v>
      </c>
      <c r="D219" s="20">
        <v>-0.37</v>
      </c>
      <c r="E219" s="20">
        <v>0.1</v>
      </c>
      <c r="F219" s="26">
        <v>1909.09</v>
      </c>
      <c r="Q219" s="20">
        <v>21.8</v>
      </c>
      <c r="R219" s="20">
        <v>70.239999999999995</v>
      </c>
      <c r="S219" s="26">
        <v>71</v>
      </c>
      <c r="T219" s="26">
        <v>0.76</v>
      </c>
      <c r="U219" s="26">
        <v>1.01</v>
      </c>
      <c r="V219" s="20">
        <v>2636.19</v>
      </c>
    </row>
    <row r="220" spans="1:22" ht="16.8" x14ac:dyDescent="0.3">
      <c r="A220" s="20">
        <v>21.9</v>
      </c>
      <c r="B220" s="20">
        <v>71</v>
      </c>
      <c r="C220" s="20">
        <v>71.37</v>
      </c>
      <c r="D220" s="20">
        <v>-0.37</v>
      </c>
      <c r="E220" s="20">
        <v>0</v>
      </c>
      <c r="F220" s="20">
        <v>1904.52</v>
      </c>
      <c r="Q220" s="20">
        <v>21.9</v>
      </c>
      <c r="R220" s="20">
        <v>71.27</v>
      </c>
      <c r="S220" s="26">
        <v>71</v>
      </c>
      <c r="T220" s="26">
        <v>-0.27</v>
      </c>
      <c r="U220" s="26">
        <v>-1.02</v>
      </c>
      <c r="V220" s="20">
        <v>824.21</v>
      </c>
    </row>
    <row r="221" spans="1:22" ht="16.8" x14ac:dyDescent="0.3">
      <c r="A221" s="20">
        <v>22</v>
      </c>
      <c r="B221" s="20">
        <v>71</v>
      </c>
      <c r="C221" s="26">
        <v>71.28</v>
      </c>
      <c r="D221" s="20">
        <v>-0.28000000000000003</v>
      </c>
      <c r="E221" s="20">
        <v>0.1</v>
      </c>
      <c r="F221" s="26">
        <v>2001.73</v>
      </c>
      <c r="Q221" s="20">
        <v>22</v>
      </c>
      <c r="R221" s="20">
        <v>70.260000000000005</v>
      </c>
      <c r="S221" s="26">
        <v>71</v>
      </c>
      <c r="T221" s="26">
        <v>0.74</v>
      </c>
      <c r="U221" s="26">
        <v>1.01</v>
      </c>
      <c r="V221" s="26">
        <v>2634.64</v>
      </c>
    </row>
    <row r="222" spans="1:22" ht="16.8" x14ac:dyDescent="0.3">
      <c r="A222" s="20">
        <v>22.1</v>
      </c>
      <c r="B222" s="20">
        <v>71</v>
      </c>
      <c r="C222" s="26">
        <v>71.25</v>
      </c>
      <c r="D222" s="20">
        <v>-0.25</v>
      </c>
      <c r="E222" s="20">
        <v>0.03</v>
      </c>
      <c r="F222" s="20">
        <v>2023.11</v>
      </c>
      <c r="Q222" s="20">
        <v>22.1</v>
      </c>
      <c r="R222" s="20">
        <v>71.31</v>
      </c>
      <c r="S222" s="26">
        <v>71</v>
      </c>
      <c r="T222" s="26">
        <v>-0.31</v>
      </c>
      <c r="U222" s="20">
        <v>-1.05</v>
      </c>
      <c r="V222" s="20">
        <v>798.94</v>
      </c>
    </row>
    <row r="223" spans="1:22" ht="16.8" x14ac:dyDescent="0.3">
      <c r="A223" s="20">
        <v>22.2</v>
      </c>
      <c r="B223" s="20">
        <v>71</v>
      </c>
      <c r="C223" s="20">
        <v>71.17</v>
      </c>
      <c r="D223" s="20">
        <v>-0.17</v>
      </c>
      <c r="E223" s="20">
        <v>0.08</v>
      </c>
      <c r="F223" s="26">
        <v>2094.1999999999998</v>
      </c>
      <c r="Q223" s="20">
        <v>22.2</v>
      </c>
      <c r="R223" s="20">
        <v>70.31</v>
      </c>
      <c r="S223" s="26">
        <v>71</v>
      </c>
      <c r="T223" s="26">
        <v>0.69</v>
      </c>
      <c r="U223" s="26">
        <v>1</v>
      </c>
      <c r="V223" s="26">
        <v>2620.84</v>
      </c>
    </row>
    <row r="224" spans="1:22" ht="16.8" x14ac:dyDescent="0.3">
      <c r="A224" s="20">
        <v>22.3</v>
      </c>
      <c r="B224" s="20">
        <v>71</v>
      </c>
      <c r="C224" s="26">
        <v>71.099999999999994</v>
      </c>
      <c r="D224" s="20">
        <v>-0.1</v>
      </c>
      <c r="E224" s="20">
        <v>0.06</v>
      </c>
      <c r="F224" s="26">
        <v>2154.7800000000002</v>
      </c>
      <c r="Q224" s="20">
        <v>22.3</v>
      </c>
      <c r="R224" s="20">
        <v>71.31</v>
      </c>
      <c r="S224" s="26">
        <v>71</v>
      </c>
      <c r="T224" s="20">
        <v>-0.31</v>
      </c>
      <c r="U224" s="26">
        <v>-1.01</v>
      </c>
      <c r="V224" s="20">
        <v>830.98</v>
      </c>
    </row>
    <row r="225" spans="1:22" ht="16.8" x14ac:dyDescent="0.3">
      <c r="A225" s="20">
        <v>22.4</v>
      </c>
      <c r="B225" s="20">
        <v>71</v>
      </c>
      <c r="C225" s="26">
        <v>71.06</v>
      </c>
      <c r="D225" s="20">
        <v>-0.06</v>
      </c>
      <c r="E225" s="20">
        <v>0.04</v>
      </c>
      <c r="F225" s="20">
        <v>2199.9699999999998</v>
      </c>
      <c r="Q225" s="20">
        <v>22.4</v>
      </c>
      <c r="R225" s="20">
        <v>70.319999999999993</v>
      </c>
      <c r="S225" s="26">
        <v>71</v>
      </c>
      <c r="T225" s="26">
        <v>0.68</v>
      </c>
      <c r="U225" s="26">
        <v>0.99</v>
      </c>
      <c r="V225" s="26">
        <v>2612.5</v>
      </c>
    </row>
    <row r="226" spans="1:22" ht="16.8" x14ac:dyDescent="0.3">
      <c r="A226" s="20">
        <v>22.5</v>
      </c>
      <c r="B226" s="20">
        <v>71</v>
      </c>
      <c r="C226" s="20">
        <v>71.069999999999993</v>
      </c>
      <c r="D226" s="20">
        <v>-7.0000000000000007E-2</v>
      </c>
      <c r="E226" s="20">
        <v>-0.01</v>
      </c>
      <c r="F226" s="26">
        <v>2187.37</v>
      </c>
      <c r="Q226" s="20">
        <v>22.5</v>
      </c>
      <c r="R226" s="20">
        <v>71.319999999999993</v>
      </c>
      <c r="S226" s="20">
        <v>71</v>
      </c>
      <c r="T226" s="26">
        <v>-0.32</v>
      </c>
      <c r="U226" s="26">
        <v>-1</v>
      </c>
      <c r="V226" s="20">
        <v>836.98</v>
      </c>
    </row>
    <row r="227" spans="1:22" ht="16.8" x14ac:dyDescent="0.3">
      <c r="A227" s="20">
        <v>22.6</v>
      </c>
      <c r="B227" s="20">
        <v>71</v>
      </c>
      <c r="C227" s="26">
        <v>71.040000000000006</v>
      </c>
      <c r="D227" s="20">
        <v>-0.04</v>
      </c>
      <c r="E227" s="20">
        <v>0.02</v>
      </c>
      <c r="F227" s="20">
        <v>2212.8200000000002</v>
      </c>
      <c r="Q227" s="20">
        <v>22.6</v>
      </c>
      <c r="R227" s="20">
        <v>70.319999999999993</v>
      </c>
      <c r="S227" s="26">
        <v>71</v>
      </c>
      <c r="T227" s="26">
        <v>0.68</v>
      </c>
      <c r="U227" s="26">
        <v>1</v>
      </c>
      <c r="V227" s="26">
        <v>2619.87</v>
      </c>
    </row>
    <row r="228" spans="1:22" ht="16.8" x14ac:dyDescent="0.3">
      <c r="A228" s="20">
        <v>22.7</v>
      </c>
      <c r="B228" s="20">
        <v>71</v>
      </c>
      <c r="C228" s="20">
        <v>71.069999999999993</v>
      </c>
      <c r="D228" s="20">
        <v>-7.0000000000000007E-2</v>
      </c>
      <c r="E228" s="20">
        <v>-0.02</v>
      </c>
      <c r="F228" s="26">
        <v>2187.37</v>
      </c>
      <c r="Q228" s="20">
        <v>22.7</v>
      </c>
      <c r="R228" s="20">
        <v>71.33</v>
      </c>
      <c r="S228" s="26">
        <v>71</v>
      </c>
      <c r="T228" s="26">
        <v>-0.33</v>
      </c>
      <c r="U228" s="26">
        <v>-1.01</v>
      </c>
      <c r="V228" s="20">
        <v>829.97</v>
      </c>
    </row>
    <row r="229" spans="1:22" ht="16.8" x14ac:dyDescent="0.3">
      <c r="A229" s="20">
        <v>22.8</v>
      </c>
      <c r="B229" s="20">
        <v>71</v>
      </c>
      <c r="C229" s="26">
        <v>71.05</v>
      </c>
      <c r="D229" s="20">
        <v>-0.05</v>
      </c>
      <c r="E229" s="20">
        <v>0.02</v>
      </c>
      <c r="F229" s="26">
        <v>2208.4899999999998</v>
      </c>
      <c r="Q229" s="20">
        <v>22.8</v>
      </c>
      <c r="R229" s="20">
        <v>70.319999999999993</v>
      </c>
      <c r="S229" s="26">
        <v>71</v>
      </c>
      <c r="T229" s="26">
        <v>0.68</v>
      </c>
      <c r="U229" s="26">
        <v>1.01</v>
      </c>
      <c r="V229" s="20">
        <v>2627.23</v>
      </c>
    </row>
    <row r="230" spans="1:22" ht="16.8" x14ac:dyDescent="0.3">
      <c r="A230" s="20">
        <v>22.9</v>
      </c>
      <c r="B230" s="20">
        <v>71</v>
      </c>
      <c r="C230" s="26">
        <v>71.02</v>
      </c>
      <c r="D230" s="20">
        <v>-0.02</v>
      </c>
      <c r="E230" s="20">
        <v>0.02</v>
      </c>
      <c r="F230" s="20">
        <v>2234.81</v>
      </c>
      <c r="Q230" s="20">
        <v>22.9</v>
      </c>
      <c r="R230" s="20">
        <v>71.39</v>
      </c>
      <c r="S230" s="26">
        <v>71</v>
      </c>
      <c r="T230" s="26">
        <v>-0.39</v>
      </c>
      <c r="U230" s="26">
        <v>-1.06</v>
      </c>
      <c r="V230" s="26">
        <v>775.6</v>
      </c>
    </row>
    <row r="231" spans="1:22" ht="16.8" x14ac:dyDescent="0.3">
      <c r="A231" s="20">
        <v>23</v>
      </c>
      <c r="B231" s="20">
        <v>71</v>
      </c>
      <c r="C231" s="20">
        <v>71.069999999999993</v>
      </c>
      <c r="D231" s="20">
        <v>-7.0000000000000007E-2</v>
      </c>
      <c r="E231" s="20">
        <v>-0.05</v>
      </c>
      <c r="F231" s="26">
        <v>2183.1999999999998</v>
      </c>
      <c r="Q231" s="20">
        <v>23</v>
      </c>
      <c r="R231" s="20">
        <v>70.349999999999994</v>
      </c>
      <c r="S231" s="26">
        <v>71</v>
      </c>
      <c r="T231" s="26">
        <v>0.65</v>
      </c>
      <c r="U231" s="26">
        <v>1.04</v>
      </c>
      <c r="V231" s="20">
        <v>2649.75</v>
      </c>
    </row>
    <row r="232" spans="1:22" ht="16.8" x14ac:dyDescent="0.3">
      <c r="A232" s="20">
        <v>23.1</v>
      </c>
      <c r="B232" s="20">
        <v>71</v>
      </c>
      <c r="C232" s="26">
        <v>71.08</v>
      </c>
      <c r="D232" s="20">
        <v>-0.08</v>
      </c>
      <c r="E232" s="20">
        <v>-0.01</v>
      </c>
      <c r="F232" s="26">
        <v>2170.9</v>
      </c>
      <c r="Q232" s="20">
        <v>23.1</v>
      </c>
      <c r="R232" s="20">
        <v>71.39</v>
      </c>
      <c r="S232" s="26">
        <v>71</v>
      </c>
      <c r="T232" s="20">
        <v>-0.39</v>
      </c>
      <c r="U232" s="20">
        <v>-1.04</v>
      </c>
      <c r="V232" s="26">
        <v>795.74</v>
      </c>
    </row>
    <row r="233" spans="1:22" ht="16.8" x14ac:dyDescent="0.3">
      <c r="A233" s="20">
        <v>23.2</v>
      </c>
      <c r="B233" s="20">
        <v>71</v>
      </c>
      <c r="C233" s="26">
        <v>71.12</v>
      </c>
      <c r="D233" s="20">
        <v>-0.12</v>
      </c>
      <c r="E233" s="20">
        <v>-0.03</v>
      </c>
      <c r="F233" s="20">
        <v>2139.13</v>
      </c>
      <c r="Q233" s="20">
        <v>23.2</v>
      </c>
      <c r="R233" s="20">
        <v>70.38</v>
      </c>
      <c r="S233" s="20">
        <v>71</v>
      </c>
      <c r="T233" s="26">
        <v>0.62</v>
      </c>
      <c r="U233" s="26">
        <v>1.01</v>
      </c>
      <c r="V233" s="20">
        <v>2618.85</v>
      </c>
    </row>
    <row r="234" spans="1:22" ht="16.8" x14ac:dyDescent="0.3">
      <c r="A234" s="20">
        <v>23.3</v>
      </c>
      <c r="B234" s="20">
        <v>71</v>
      </c>
      <c r="C234" s="20">
        <v>71.13</v>
      </c>
      <c r="D234" s="20">
        <v>-0.13</v>
      </c>
      <c r="E234" s="20">
        <v>-0.02</v>
      </c>
      <c r="F234" s="26">
        <v>2123.8000000000002</v>
      </c>
      <c r="Q234" s="20">
        <v>23.3</v>
      </c>
      <c r="R234" s="20">
        <v>71.430000000000007</v>
      </c>
      <c r="S234" s="26">
        <v>71</v>
      </c>
      <c r="T234" s="26">
        <v>-0.43</v>
      </c>
      <c r="U234" s="20">
        <v>-1.05</v>
      </c>
      <c r="V234" s="26">
        <v>782.87</v>
      </c>
    </row>
    <row r="235" spans="1:22" ht="16.8" x14ac:dyDescent="0.3">
      <c r="A235" s="20">
        <v>23.4</v>
      </c>
      <c r="B235" s="20">
        <v>71</v>
      </c>
      <c r="C235" s="26">
        <v>71.12</v>
      </c>
      <c r="D235" s="20">
        <v>-0.12</v>
      </c>
      <c r="E235" s="20">
        <v>0.02</v>
      </c>
      <c r="F235" s="20">
        <v>2139.13</v>
      </c>
      <c r="Q235" s="20">
        <v>23.4</v>
      </c>
      <c r="R235" s="20">
        <v>70.36</v>
      </c>
      <c r="S235" s="20">
        <v>71</v>
      </c>
      <c r="T235" s="26">
        <v>0.64</v>
      </c>
      <c r="U235" s="26">
        <v>1.07</v>
      </c>
      <c r="V235" s="20">
        <v>2675.48</v>
      </c>
    </row>
    <row r="236" spans="1:22" ht="16.8" x14ac:dyDescent="0.3">
      <c r="A236" s="20">
        <v>23.5</v>
      </c>
      <c r="B236" s="20">
        <v>71</v>
      </c>
      <c r="C236" s="26">
        <v>71.17</v>
      </c>
      <c r="D236" s="20">
        <v>-0.17</v>
      </c>
      <c r="E236" s="20">
        <v>-0.06</v>
      </c>
      <c r="F236" s="26">
        <v>2087.02</v>
      </c>
      <c r="Q236" s="20">
        <v>23.5</v>
      </c>
      <c r="R236" s="20">
        <v>71.44</v>
      </c>
      <c r="S236" s="26">
        <v>71</v>
      </c>
      <c r="T236" s="26">
        <v>-0.44</v>
      </c>
      <c r="U236" s="26">
        <v>-1.0900000000000001</v>
      </c>
      <c r="V236" s="26">
        <v>748.14</v>
      </c>
    </row>
    <row r="237" spans="1:22" ht="16.8" x14ac:dyDescent="0.3">
      <c r="A237" s="20">
        <v>23.6</v>
      </c>
      <c r="B237" s="20">
        <v>71</v>
      </c>
      <c r="C237" s="20">
        <v>71.209999999999994</v>
      </c>
      <c r="D237" s="20">
        <v>-0.21</v>
      </c>
      <c r="E237" s="20">
        <v>-0.03</v>
      </c>
      <c r="F237" s="26">
        <v>2059.08</v>
      </c>
      <c r="Q237" s="20">
        <v>23.6</v>
      </c>
      <c r="R237" s="20">
        <v>70.41</v>
      </c>
      <c r="S237" s="26">
        <v>71</v>
      </c>
      <c r="T237" s="26">
        <v>0.59</v>
      </c>
      <c r="U237" s="26">
        <v>1.03</v>
      </c>
      <c r="V237" s="20">
        <v>2633.74</v>
      </c>
    </row>
    <row r="238" spans="1:22" ht="16.8" x14ac:dyDescent="0.3">
      <c r="A238" s="20">
        <v>23.7</v>
      </c>
      <c r="B238" s="20">
        <v>71</v>
      </c>
      <c r="C238" s="26">
        <v>71.19</v>
      </c>
      <c r="D238" s="20">
        <v>-0.19</v>
      </c>
      <c r="E238" s="20">
        <v>0.02</v>
      </c>
      <c r="F238" s="20">
        <v>2072.89</v>
      </c>
      <c r="Q238" s="20">
        <v>23.7</v>
      </c>
      <c r="R238" s="20">
        <v>71.459999999999994</v>
      </c>
      <c r="S238" s="26">
        <v>71</v>
      </c>
      <c r="T238" s="26">
        <v>-0.46</v>
      </c>
      <c r="U238" s="26">
        <v>-1.05</v>
      </c>
      <c r="V238" s="20">
        <v>778.19</v>
      </c>
    </row>
    <row r="239" spans="1:22" ht="16.8" x14ac:dyDescent="0.3">
      <c r="A239" s="20">
        <v>23.8</v>
      </c>
      <c r="B239" s="20">
        <v>71</v>
      </c>
      <c r="C239" s="26">
        <v>71.260000000000005</v>
      </c>
      <c r="D239" s="20">
        <v>-0.26</v>
      </c>
      <c r="E239" s="20">
        <v>-7.0000000000000007E-2</v>
      </c>
      <c r="F239" s="26">
        <v>2016.89</v>
      </c>
      <c r="Q239" s="20">
        <v>23.8</v>
      </c>
      <c r="R239" s="20">
        <v>70.400000000000006</v>
      </c>
      <c r="S239" s="26">
        <v>71</v>
      </c>
      <c r="T239" s="20">
        <v>0.6</v>
      </c>
      <c r="U239" s="26">
        <v>1.06</v>
      </c>
      <c r="V239" s="26">
        <v>2662.82</v>
      </c>
    </row>
    <row r="240" spans="1:22" ht="16.8" x14ac:dyDescent="0.3">
      <c r="A240" s="20">
        <v>23.9</v>
      </c>
      <c r="B240" s="20">
        <v>71</v>
      </c>
      <c r="C240" s="20">
        <v>71.290000000000006</v>
      </c>
      <c r="D240" s="20">
        <v>-0.28999999999999998</v>
      </c>
      <c r="E240" s="20">
        <v>-0.03</v>
      </c>
      <c r="F240" s="26">
        <v>1995.76</v>
      </c>
      <c r="Q240" s="20">
        <v>23.9</v>
      </c>
      <c r="R240" s="20">
        <v>71.489999999999995</v>
      </c>
      <c r="S240" s="26">
        <v>71</v>
      </c>
      <c r="T240" s="26">
        <v>-0.49</v>
      </c>
      <c r="U240" s="26">
        <v>-1.1000000000000001</v>
      </c>
      <c r="V240" s="20">
        <v>734</v>
      </c>
    </row>
    <row r="241" spans="1:22" ht="16.8" x14ac:dyDescent="0.3">
      <c r="A241" s="20">
        <v>24</v>
      </c>
      <c r="B241" s="20">
        <v>71</v>
      </c>
      <c r="C241" s="26">
        <v>71.34</v>
      </c>
      <c r="D241" s="20">
        <v>-0.34</v>
      </c>
      <c r="E241" s="20">
        <v>-0.06</v>
      </c>
      <c r="F241" s="20">
        <v>1940.29</v>
      </c>
      <c r="Q241" s="20">
        <v>24</v>
      </c>
      <c r="R241" s="20">
        <v>70.48</v>
      </c>
      <c r="S241" s="26">
        <v>71</v>
      </c>
      <c r="T241" s="20">
        <v>0.52</v>
      </c>
      <c r="U241" s="26">
        <v>1.02</v>
      </c>
      <c r="V241" s="26">
        <v>2610.19</v>
      </c>
    </row>
    <row r="242" spans="1:22" ht="16.8" x14ac:dyDescent="0.3">
      <c r="A242" s="20">
        <v>24.1</v>
      </c>
      <c r="B242" s="20">
        <v>71</v>
      </c>
      <c r="C242" s="26">
        <v>71.37</v>
      </c>
      <c r="D242" s="20">
        <v>-0.37</v>
      </c>
      <c r="E242" s="20">
        <v>-0.03</v>
      </c>
      <c r="F242" s="26">
        <v>1904.52</v>
      </c>
      <c r="Q242" s="20">
        <v>24.1</v>
      </c>
      <c r="R242" s="20">
        <v>71.48</v>
      </c>
      <c r="S242" s="26">
        <v>71</v>
      </c>
      <c r="T242" s="26">
        <v>-0.48</v>
      </c>
      <c r="U242" s="26">
        <v>-1.01</v>
      </c>
      <c r="V242" s="20">
        <v>806.92</v>
      </c>
    </row>
    <row r="243" spans="1:22" ht="16.8" x14ac:dyDescent="0.3">
      <c r="A243" s="20">
        <v>24.2</v>
      </c>
      <c r="B243" s="20">
        <v>71</v>
      </c>
      <c r="C243" s="20">
        <v>71.400000000000006</v>
      </c>
      <c r="D243" s="20">
        <v>-0.4</v>
      </c>
      <c r="E243" s="20">
        <v>-0.03</v>
      </c>
      <c r="F243" s="20">
        <v>1871.93</v>
      </c>
      <c r="Q243" s="20">
        <v>24.2</v>
      </c>
      <c r="R243" s="20">
        <v>70.45</v>
      </c>
      <c r="S243" s="26">
        <v>71</v>
      </c>
      <c r="T243" s="26">
        <v>0.55000000000000004</v>
      </c>
      <c r="U243" s="26">
        <v>1.03</v>
      </c>
      <c r="V243" s="20">
        <v>2627.47</v>
      </c>
    </row>
    <row r="244" spans="1:22" ht="16.8" x14ac:dyDescent="0.3">
      <c r="A244" s="20">
        <v>24.3</v>
      </c>
      <c r="B244" s="20">
        <v>71</v>
      </c>
      <c r="C244" s="26">
        <v>71.44</v>
      </c>
      <c r="D244" s="20">
        <v>-0.44</v>
      </c>
      <c r="E244" s="20">
        <v>-0.04</v>
      </c>
      <c r="F244" s="26">
        <v>1828.04</v>
      </c>
      <c r="Q244" s="20">
        <v>24.3</v>
      </c>
      <c r="R244" s="20">
        <v>71.48</v>
      </c>
      <c r="S244" s="26">
        <v>71</v>
      </c>
      <c r="T244" s="20">
        <v>-4</v>
      </c>
      <c r="U244" s="20">
        <v>-1.02</v>
      </c>
      <c r="V244" s="26">
        <v>795.47</v>
      </c>
    </row>
    <row r="245" spans="1:22" ht="16.8" x14ac:dyDescent="0.3">
      <c r="A245" s="20">
        <v>24.4</v>
      </c>
      <c r="B245" s="20">
        <v>71</v>
      </c>
      <c r="C245" s="20">
        <v>71.42</v>
      </c>
      <c r="D245" s="20">
        <v>-0.42</v>
      </c>
      <c r="E245" s="20">
        <v>0.02</v>
      </c>
      <c r="F245" s="20">
        <v>1852.77</v>
      </c>
      <c r="Q245" s="20">
        <v>24.4</v>
      </c>
      <c r="R245" s="20">
        <v>70.48</v>
      </c>
      <c r="S245" s="26">
        <v>71</v>
      </c>
      <c r="T245" s="26">
        <v>0.52</v>
      </c>
      <c r="U245" s="26">
        <v>1</v>
      </c>
      <c r="V245" s="20">
        <v>2597.48</v>
      </c>
    </row>
    <row r="246" spans="1:22" ht="16.8" x14ac:dyDescent="0.3">
      <c r="A246" s="20">
        <v>24.5</v>
      </c>
      <c r="B246" s="20">
        <v>71</v>
      </c>
      <c r="C246" s="26">
        <v>71.45</v>
      </c>
      <c r="D246" s="20">
        <v>-0.45</v>
      </c>
      <c r="E246" s="20">
        <v>-0.03</v>
      </c>
      <c r="F246" s="26">
        <v>1812.8</v>
      </c>
      <c r="Q246" s="20">
        <v>24.5</v>
      </c>
      <c r="R246" s="20">
        <v>71.52</v>
      </c>
      <c r="S246" s="26">
        <v>71</v>
      </c>
      <c r="T246" s="20">
        <v>-0.52</v>
      </c>
      <c r="U246" s="20">
        <v>-1.04</v>
      </c>
      <c r="V246" s="26">
        <v>775.65</v>
      </c>
    </row>
    <row r="247" spans="1:22" ht="16.8" x14ac:dyDescent="0.3">
      <c r="A247" s="20">
        <v>24.6</v>
      </c>
      <c r="B247" s="20">
        <v>71</v>
      </c>
      <c r="C247" s="26">
        <v>71.42</v>
      </c>
      <c r="D247" s="20">
        <v>-0.42</v>
      </c>
      <c r="E247" s="20">
        <v>0.03</v>
      </c>
      <c r="F247" s="26">
        <v>1852.77</v>
      </c>
      <c r="Q247" s="20">
        <v>24.6</v>
      </c>
      <c r="R247" s="20">
        <v>70.459999999999994</v>
      </c>
      <c r="S247" s="26">
        <v>71</v>
      </c>
      <c r="T247" s="26">
        <v>0.54</v>
      </c>
      <c r="U247" s="26">
        <v>1.06</v>
      </c>
      <c r="V247" s="20">
        <v>2645.74</v>
      </c>
    </row>
    <row r="248" spans="1:22" ht="16.8" x14ac:dyDescent="0.3">
      <c r="A248" s="20">
        <v>24.7</v>
      </c>
      <c r="B248" s="20">
        <v>71</v>
      </c>
      <c r="C248" s="20">
        <v>71.430000000000007</v>
      </c>
      <c r="D248" s="20">
        <v>-0.43</v>
      </c>
      <c r="E248" s="20">
        <v>-0.01</v>
      </c>
      <c r="F248" s="20">
        <v>1838.02</v>
      </c>
      <c r="Q248" s="20">
        <v>24.7</v>
      </c>
      <c r="R248" s="20">
        <v>71.569999999999993</v>
      </c>
      <c r="S248" s="26">
        <v>71</v>
      </c>
      <c r="T248" s="20">
        <v>-0.56999999999999995</v>
      </c>
      <c r="U248" s="26">
        <v>-1.1100000000000001</v>
      </c>
      <c r="V248" s="26">
        <v>707.5</v>
      </c>
    </row>
    <row r="249" spans="1:22" ht="16.8" x14ac:dyDescent="0.3">
      <c r="A249" s="20">
        <v>24.8</v>
      </c>
      <c r="B249" s="20">
        <v>71</v>
      </c>
      <c r="C249" s="26">
        <v>71.45</v>
      </c>
      <c r="D249" s="20">
        <v>-0.45</v>
      </c>
      <c r="E249" s="20">
        <v>-0.02</v>
      </c>
      <c r="F249" s="26">
        <v>1812.8</v>
      </c>
      <c r="Q249" s="20">
        <v>24.8</v>
      </c>
      <c r="R249" s="20">
        <v>70.489999999999995</v>
      </c>
      <c r="S249" s="26">
        <v>71</v>
      </c>
      <c r="T249" s="26">
        <v>0.51</v>
      </c>
      <c r="U249" s="26">
        <v>1.08</v>
      </c>
      <c r="V249" s="20">
        <v>2659.58</v>
      </c>
    </row>
    <row r="250" spans="1:22" ht="16.8" x14ac:dyDescent="0.3">
      <c r="A250" s="20">
        <v>24.9</v>
      </c>
      <c r="B250" s="20">
        <v>71</v>
      </c>
      <c r="C250" s="20">
        <v>71.489999999999995</v>
      </c>
      <c r="D250" s="20">
        <v>-0.49</v>
      </c>
      <c r="E250" s="20">
        <v>-0.04</v>
      </c>
      <c r="F250" s="20">
        <v>1764.98</v>
      </c>
      <c r="Q250" s="20">
        <v>24.9</v>
      </c>
      <c r="R250" s="20">
        <v>71.52</v>
      </c>
      <c r="S250" s="26">
        <v>71</v>
      </c>
      <c r="T250" s="26">
        <v>-0.52</v>
      </c>
      <c r="U250" s="26">
        <v>-1.03</v>
      </c>
      <c r="V250" s="26">
        <v>780.65</v>
      </c>
    </row>
    <row r="251" spans="1:22" ht="16.8" x14ac:dyDescent="0.3">
      <c r="A251" s="20">
        <v>25</v>
      </c>
      <c r="B251" s="20">
        <v>71</v>
      </c>
      <c r="C251" s="26">
        <v>71.459999999999994</v>
      </c>
      <c r="D251" s="20">
        <v>-0.46</v>
      </c>
      <c r="E251" s="20">
        <v>0.02</v>
      </c>
      <c r="F251" s="26">
        <v>1797.26</v>
      </c>
      <c r="Q251" s="20">
        <v>25</v>
      </c>
      <c r="R251" s="20">
        <v>70.5</v>
      </c>
      <c r="S251" s="26">
        <v>71</v>
      </c>
      <c r="T251" s="26">
        <v>0.5</v>
      </c>
      <c r="U251" s="26">
        <v>1.02</v>
      </c>
      <c r="V251" s="20">
        <v>2612.6799999999998</v>
      </c>
    </row>
    <row r="252" spans="1:22" ht="16.8" x14ac:dyDescent="0.3">
      <c r="A252" s="20">
        <v>25.1</v>
      </c>
      <c r="B252" s="20">
        <v>71</v>
      </c>
      <c r="C252" s="26">
        <v>71.459999999999994</v>
      </c>
      <c r="D252" s="20">
        <v>-0.46</v>
      </c>
      <c r="E252" s="20">
        <v>0.01</v>
      </c>
      <c r="F252" s="26">
        <v>1807.64</v>
      </c>
      <c r="Q252" s="20">
        <v>25.1</v>
      </c>
      <c r="R252" s="20">
        <v>71.55</v>
      </c>
      <c r="S252" s="26">
        <v>71</v>
      </c>
      <c r="T252" s="26">
        <v>-0.55000000000000004</v>
      </c>
      <c r="U252" s="26">
        <v>-1.05</v>
      </c>
      <c r="V252" s="26">
        <v>763.41</v>
      </c>
    </row>
    <row r="253" spans="1:22" ht="16.8" x14ac:dyDescent="0.3">
      <c r="A253" s="20">
        <v>25.2</v>
      </c>
      <c r="B253" s="20">
        <v>71</v>
      </c>
      <c r="C253" s="20">
        <v>71.39</v>
      </c>
      <c r="D253" s="20">
        <v>-0.39</v>
      </c>
      <c r="E253" s="20">
        <v>0.06</v>
      </c>
      <c r="F253" s="20">
        <v>1886.03</v>
      </c>
      <c r="Q253" s="20">
        <v>25.2</v>
      </c>
      <c r="R253" s="20">
        <v>70.510000000000005</v>
      </c>
      <c r="S253" s="20">
        <v>71</v>
      </c>
      <c r="T253" s="26">
        <v>0.49</v>
      </c>
      <c r="U253" s="26">
        <v>1.04</v>
      </c>
      <c r="V253" s="20">
        <v>2624.17</v>
      </c>
    </row>
    <row r="254" spans="1:22" ht="16.8" x14ac:dyDescent="0.3">
      <c r="A254" s="20">
        <v>25.3</v>
      </c>
      <c r="B254" s="20">
        <v>71</v>
      </c>
      <c r="C254" s="26">
        <v>71.44</v>
      </c>
      <c r="D254" s="20">
        <v>-0.44</v>
      </c>
      <c r="E254" s="20">
        <v>-0.04</v>
      </c>
      <c r="F254" s="26">
        <v>1833.04</v>
      </c>
      <c r="Q254" s="20">
        <v>25.3</v>
      </c>
      <c r="R254" s="20">
        <v>71.510000000000005</v>
      </c>
      <c r="S254" s="26">
        <v>71</v>
      </c>
      <c r="T254" s="26">
        <v>-0.51</v>
      </c>
      <c r="U254" s="26">
        <v>-1</v>
      </c>
      <c r="V254" s="20">
        <v>809.21</v>
      </c>
    </row>
    <row r="255" spans="1:22" ht="16.8" x14ac:dyDescent="0.3">
      <c r="A255" s="20">
        <v>25.4</v>
      </c>
      <c r="B255" s="20">
        <v>71</v>
      </c>
      <c r="C255" s="20">
        <v>71.349999999999994</v>
      </c>
      <c r="D255" s="20">
        <v>-0.35</v>
      </c>
      <c r="E255" s="20">
        <v>0.08</v>
      </c>
      <c r="F255" s="20">
        <v>1927.02</v>
      </c>
      <c r="Q255" s="20">
        <v>25.4</v>
      </c>
      <c r="R255" s="20">
        <v>70.52</v>
      </c>
      <c r="S255" s="26">
        <v>71</v>
      </c>
      <c r="T255" s="26">
        <v>0.48</v>
      </c>
      <c r="U255" s="26">
        <v>0.98</v>
      </c>
      <c r="V255" s="26">
        <v>2575.87</v>
      </c>
    </row>
    <row r="256" spans="1:22" ht="16.8" x14ac:dyDescent="0.3">
      <c r="A256" s="20">
        <v>25.5</v>
      </c>
      <c r="B256" s="20">
        <v>71</v>
      </c>
      <c r="C256" s="26">
        <v>71.42</v>
      </c>
      <c r="D256" s="20">
        <v>-0.42</v>
      </c>
      <c r="E256" s="20">
        <v>-0.06</v>
      </c>
      <c r="F256" s="26">
        <v>1857.61</v>
      </c>
      <c r="Q256" s="20">
        <v>25.5</v>
      </c>
      <c r="R256" s="20">
        <v>71.61</v>
      </c>
      <c r="S256" s="26">
        <v>71</v>
      </c>
      <c r="T256" s="26">
        <v>-0.61</v>
      </c>
      <c r="U256" s="26">
        <v>-1.0900000000000001</v>
      </c>
      <c r="V256" s="20">
        <v>719.56</v>
      </c>
    </row>
    <row r="257" spans="1:22" ht="16.8" x14ac:dyDescent="0.3">
      <c r="A257" s="20">
        <v>25.6</v>
      </c>
      <c r="B257" s="20">
        <v>71</v>
      </c>
      <c r="C257" s="26">
        <v>71.34</v>
      </c>
      <c r="D257" s="20">
        <v>-0.34</v>
      </c>
      <c r="E257" s="20">
        <v>7.0000000000000007E-2</v>
      </c>
      <c r="F257" s="26">
        <v>1940.29</v>
      </c>
      <c r="Q257" s="20">
        <v>25.6</v>
      </c>
      <c r="R257" s="20">
        <v>70.5</v>
      </c>
      <c r="S257" s="26">
        <v>71</v>
      </c>
      <c r="T257" s="26">
        <v>0.5</v>
      </c>
      <c r="U257" s="26">
        <v>1.1100000000000001</v>
      </c>
      <c r="V257" s="26">
        <v>2683.63</v>
      </c>
    </row>
    <row r="258" spans="1:22" ht="16.8" x14ac:dyDescent="0.3">
      <c r="A258" s="20">
        <v>25.7</v>
      </c>
      <c r="B258" s="20">
        <v>71</v>
      </c>
      <c r="C258" s="20">
        <v>71.33</v>
      </c>
      <c r="D258" s="20">
        <v>-0.33</v>
      </c>
      <c r="E258" s="20">
        <v>0.02</v>
      </c>
      <c r="F258" s="20">
        <v>1957.76</v>
      </c>
      <c r="Q258" s="20">
        <v>25.7</v>
      </c>
      <c r="R258" s="20">
        <v>71.599999999999994</v>
      </c>
      <c r="S258" s="26">
        <v>71</v>
      </c>
      <c r="T258" s="26">
        <v>-0.6</v>
      </c>
      <c r="U258" s="26">
        <v>-1.1000000000000001</v>
      </c>
      <c r="V258" s="20">
        <v>715.57</v>
      </c>
    </row>
    <row r="259" spans="1:22" ht="16.8" x14ac:dyDescent="0.3">
      <c r="A259" s="20">
        <v>25.8</v>
      </c>
      <c r="B259" s="20">
        <v>71</v>
      </c>
      <c r="C259" s="26">
        <v>71.34</v>
      </c>
      <c r="D259" s="20">
        <v>-0.34</v>
      </c>
      <c r="E259" s="20">
        <v>-0.01</v>
      </c>
      <c r="F259" s="26">
        <v>1944.68</v>
      </c>
      <c r="Q259" s="20">
        <v>25.8</v>
      </c>
      <c r="R259" s="20">
        <v>70.510000000000005</v>
      </c>
      <c r="S259" s="26">
        <v>71</v>
      </c>
      <c r="T259" s="26">
        <v>0.49</v>
      </c>
      <c r="U259" s="26">
        <v>1.0900000000000001</v>
      </c>
      <c r="V259" s="26">
        <v>2662.52</v>
      </c>
    </row>
    <row r="260" spans="1:22" ht="16.8" x14ac:dyDescent="0.3">
      <c r="A260" s="20">
        <v>25.9</v>
      </c>
      <c r="B260" s="20">
        <v>71</v>
      </c>
      <c r="C260" s="20">
        <v>71.28</v>
      </c>
      <c r="D260" s="20">
        <v>-0.28000000000000003</v>
      </c>
      <c r="E260" s="20">
        <v>0.06</v>
      </c>
      <c r="F260" s="26">
        <v>1998.73</v>
      </c>
      <c r="Q260" s="20">
        <v>25.9</v>
      </c>
      <c r="R260" s="20">
        <v>71.58</v>
      </c>
      <c r="S260" s="26">
        <v>71</v>
      </c>
      <c r="T260" s="26">
        <v>-0.57999999999999996</v>
      </c>
      <c r="U260" s="26">
        <v>-1.07</v>
      </c>
      <c r="V260" s="20">
        <v>737.59</v>
      </c>
    </row>
    <row r="261" spans="1:22" ht="16.8" x14ac:dyDescent="0.3">
      <c r="A261" s="20">
        <v>26</v>
      </c>
      <c r="B261" s="20">
        <v>71</v>
      </c>
      <c r="C261" s="26">
        <v>71.28</v>
      </c>
      <c r="D261" s="20">
        <v>-0.28000000000000003</v>
      </c>
      <c r="E261" s="20">
        <v>0</v>
      </c>
      <c r="F261" s="20">
        <v>1998.73</v>
      </c>
      <c r="Q261" s="20">
        <v>26</v>
      </c>
      <c r="R261" s="20">
        <v>70.510000000000005</v>
      </c>
      <c r="S261" s="26">
        <v>71</v>
      </c>
      <c r="T261" s="20">
        <v>0.49</v>
      </c>
      <c r="U261" s="20">
        <v>1.07</v>
      </c>
      <c r="V261" s="20">
        <v>2649.3</v>
      </c>
    </row>
    <row r="262" spans="1:22" ht="16.8" x14ac:dyDescent="0.3">
      <c r="A262" s="20">
        <v>26.1</v>
      </c>
      <c r="B262" s="20">
        <v>71</v>
      </c>
      <c r="C262" s="26">
        <v>71.239999999999995</v>
      </c>
      <c r="D262" s="20">
        <v>-0.24</v>
      </c>
      <c r="E262" s="20">
        <v>0.04</v>
      </c>
      <c r="F262" s="26">
        <v>2032.67</v>
      </c>
      <c r="Q262" s="20">
        <v>26.1</v>
      </c>
      <c r="R262" s="20">
        <v>71.599999999999994</v>
      </c>
      <c r="S262" s="26">
        <v>71</v>
      </c>
      <c r="T262" s="26">
        <v>-0.6</v>
      </c>
      <c r="U262" s="26">
        <v>-1.1000000000000001</v>
      </c>
      <c r="V262" s="26">
        <v>713.7</v>
      </c>
    </row>
    <row r="263" spans="1:22" ht="16.8" x14ac:dyDescent="0.3">
      <c r="A263" s="20">
        <v>26.2</v>
      </c>
      <c r="B263" s="20">
        <v>71</v>
      </c>
      <c r="C263" s="20">
        <v>71.260000000000005</v>
      </c>
      <c r="D263" s="20">
        <v>-0.26</v>
      </c>
      <c r="E263" s="20">
        <v>-0.02</v>
      </c>
      <c r="F263" s="20">
        <v>2013.81</v>
      </c>
      <c r="Q263" s="20">
        <v>26.2</v>
      </c>
      <c r="R263" s="20">
        <v>70.53</v>
      </c>
      <c r="S263" s="26">
        <v>71</v>
      </c>
      <c r="T263" s="20">
        <v>0.47</v>
      </c>
      <c r="U263" s="26">
        <v>1.07</v>
      </c>
      <c r="V263" s="20">
        <v>2644.85</v>
      </c>
    </row>
    <row r="264" spans="1:22" ht="16.8" x14ac:dyDescent="0.3">
      <c r="A264" s="20">
        <v>26.3</v>
      </c>
      <c r="B264" s="20">
        <v>71</v>
      </c>
      <c r="C264" s="26">
        <v>71.239999999999995</v>
      </c>
      <c r="D264" s="20">
        <v>-0.24</v>
      </c>
      <c r="E264" s="20">
        <v>0.02</v>
      </c>
      <c r="F264" s="26">
        <v>2029.45</v>
      </c>
      <c r="Q264" s="20">
        <v>26.3</v>
      </c>
      <c r="R264" s="20">
        <v>71.599999999999994</v>
      </c>
      <c r="S264" s="26">
        <v>71</v>
      </c>
      <c r="T264" s="26">
        <v>-0.6</v>
      </c>
      <c r="U264" s="26" t="s">
        <v>44</v>
      </c>
      <c r="V264" s="26"/>
    </row>
    <row r="265" spans="1:22" ht="16.8" x14ac:dyDescent="0.3">
      <c r="A265" s="20">
        <v>26.4</v>
      </c>
      <c r="B265" s="20">
        <v>71</v>
      </c>
      <c r="C265" s="20">
        <v>71.2</v>
      </c>
      <c r="D265" s="20">
        <v>-0.2</v>
      </c>
      <c r="E265" s="20">
        <v>0.04</v>
      </c>
      <c r="F265" s="20">
        <v>2062.4899999999998</v>
      </c>
      <c r="Q265" s="20">
        <v>26.4</v>
      </c>
      <c r="R265" s="20">
        <v>70.55</v>
      </c>
      <c r="S265" s="26">
        <v>71</v>
      </c>
      <c r="T265" s="26">
        <v>0.45</v>
      </c>
      <c r="U265" s="26">
        <v>1.06</v>
      </c>
      <c r="V265" s="20">
        <v>2628.72</v>
      </c>
    </row>
    <row r="266" spans="1:22" ht="16.8" x14ac:dyDescent="0.3">
      <c r="A266" s="20">
        <v>26.5</v>
      </c>
      <c r="B266" s="20">
        <v>71</v>
      </c>
      <c r="C266" s="26">
        <v>71.23</v>
      </c>
      <c r="D266" s="20">
        <v>-0.23</v>
      </c>
      <c r="E266" s="20">
        <v>-0.03</v>
      </c>
      <c r="F266" s="26">
        <v>2039.16</v>
      </c>
      <c r="Q266" s="20">
        <v>26.5</v>
      </c>
      <c r="R266" s="20">
        <v>71.56</v>
      </c>
      <c r="S266" s="26">
        <v>71</v>
      </c>
      <c r="T266" s="26">
        <v>-0.56000000000000005</v>
      </c>
      <c r="U266" s="26">
        <v>-1.01</v>
      </c>
      <c r="V266" s="26">
        <v>792.79</v>
      </c>
    </row>
    <row r="267" spans="1:22" ht="16.8" x14ac:dyDescent="0.3">
      <c r="A267" s="20">
        <v>26.6</v>
      </c>
      <c r="B267" s="20">
        <v>71</v>
      </c>
      <c r="C267" s="26">
        <v>71.209999999999994</v>
      </c>
      <c r="D267" s="20">
        <v>-0.21</v>
      </c>
      <c r="E267" s="20">
        <v>0.02</v>
      </c>
      <c r="F267" s="26">
        <v>2059.08</v>
      </c>
      <c r="Q267" s="20">
        <v>26.6</v>
      </c>
      <c r="R267" s="20">
        <v>70.52</v>
      </c>
      <c r="S267" s="26">
        <v>71</v>
      </c>
      <c r="T267" s="26">
        <v>0.48</v>
      </c>
      <c r="U267" s="26">
        <v>1.04</v>
      </c>
      <c r="V267" s="20">
        <v>2621.0500000000002</v>
      </c>
    </row>
    <row r="268" spans="1:22" ht="16.8" x14ac:dyDescent="0.3">
      <c r="A268" s="20">
        <v>26.7</v>
      </c>
      <c r="B268" s="20">
        <v>71</v>
      </c>
      <c r="C268" s="20">
        <v>71.22</v>
      </c>
      <c r="D268" s="20">
        <v>-0.22</v>
      </c>
      <c r="E268" s="20">
        <v>-0.02</v>
      </c>
      <c r="F268" s="20">
        <v>2045.71</v>
      </c>
      <c r="Q268" s="20">
        <v>26.7</v>
      </c>
      <c r="R268" s="20">
        <v>71.599999999999994</v>
      </c>
      <c r="S268" s="26">
        <v>71</v>
      </c>
      <c r="T268" s="26">
        <v>-0.6</v>
      </c>
      <c r="U268" s="20">
        <v>-1.08</v>
      </c>
      <c r="V268" s="26">
        <v>727.18</v>
      </c>
    </row>
    <row r="269" spans="1:22" ht="16.8" x14ac:dyDescent="0.3">
      <c r="A269" s="20">
        <v>26.8</v>
      </c>
      <c r="B269" s="20">
        <v>71</v>
      </c>
      <c r="C269" s="26">
        <v>71.23</v>
      </c>
      <c r="D269" s="20">
        <v>-0.23</v>
      </c>
      <c r="E269" s="20">
        <v>-0.01</v>
      </c>
      <c r="F269" s="26">
        <v>2035.9</v>
      </c>
      <c r="Q269" s="20">
        <v>26.8</v>
      </c>
      <c r="R269" s="20">
        <v>70.48</v>
      </c>
      <c r="S269" s="26">
        <v>71</v>
      </c>
      <c r="T269" s="26">
        <v>0.52</v>
      </c>
      <c r="U269" s="26">
        <v>1.1100000000000001</v>
      </c>
      <c r="V269" s="20">
        <v>2684.8</v>
      </c>
    </row>
    <row r="270" spans="1:22" ht="16.8" x14ac:dyDescent="0.3">
      <c r="A270" s="20">
        <v>26.9</v>
      </c>
      <c r="B270" s="20">
        <v>71</v>
      </c>
      <c r="C270" s="26">
        <v>71.23</v>
      </c>
      <c r="D270" s="20">
        <v>-0.23</v>
      </c>
      <c r="E270" s="20">
        <v>0.01</v>
      </c>
      <c r="F270" s="26">
        <v>2042.42</v>
      </c>
      <c r="Q270" s="20">
        <v>26.9</v>
      </c>
      <c r="R270" s="20">
        <v>71.58</v>
      </c>
      <c r="S270" s="26">
        <v>71</v>
      </c>
      <c r="T270" s="26">
        <v>-0.57999999999999996</v>
      </c>
      <c r="U270" s="20">
        <v>-1.1000000000000001</v>
      </c>
      <c r="V270" s="20">
        <v>716.79</v>
      </c>
    </row>
    <row r="271" spans="1:22" ht="16.8" x14ac:dyDescent="0.3">
      <c r="A271" s="20">
        <v>27</v>
      </c>
      <c r="B271" s="20">
        <v>71</v>
      </c>
      <c r="C271" s="20">
        <v>71.27</v>
      </c>
      <c r="D271" s="20">
        <v>-0.27</v>
      </c>
      <c r="E271" s="20">
        <v>-0.05</v>
      </c>
      <c r="F271" s="20">
        <v>2004.71</v>
      </c>
      <c r="Q271" s="20">
        <v>27</v>
      </c>
      <c r="R271" s="20">
        <v>70.55</v>
      </c>
      <c r="S271" s="26">
        <v>71</v>
      </c>
      <c r="T271" s="26">
        <v>0.45</v>
      </c>
      <c r="U271" s="26">
        <v>1.03</v>
      </c>
      <c r="V271" s="26">
        <v>2608.5300000000002</v>
      </c>
    </row>
    <row r="272" spans="1:22" ht="16.8" x14ac:dyDescent="0.3">
      <c r="A272" s="20">
        <v>27.1</v>
      </c>
      <c r="B272" s="20">
        <v>71</v>
      </c>
      <c r="C272" s="26">
        <v>71.2</v>
      </c>
      <c r="D272" s="20">
        <v>-0.2</v>
      </c>
      <c r="E272" s="20">
        <v>7.0000000000000007E-2</v>
      </c>
      <c r="F272" s="26">
        <v>2062.4899999999998</v>
      </c>
      <c r="Q272" s="20">
        <v>27.1</v>
      </c>
      <c r="R272" s="20">
        <v>71.61</v>
      </c>
      <c r="S272" s="26">
        <v>71</v>
      </c>
      <c r="T272" s="26">
        <v>-0.61</v>
      </c>
      <c r="U272" s="26">
        <v>-1.06</v>
      </c>
      <c r="V272" s="20">
        <v>736.88</v>
      </c>
    </row>
    <row r="273" spans="1:22" ht="16.8" x14ac:dyDescent="0.3">
      <c r="A273" s="20">
        <v>27.2</v>
      </c>
      <c r="B273" s="20">
        <v>71</v>
      </c>
      <c r="C273" s="26">
        <v>71.260000000000005</v>
      </c>
      <c r="D273" s="20">
        <v>-0.26</v>
      </c>
      <c r="E273" s="20">
        <v>-0.06</v>
      </c>
      <c r="F273" s="20">
        <v>2016.89</v>
      </c>
      <c r="Q273" s="20">
        <v>27.2</v>
      </c>
      <c r="R273" s="20">
        <v>70.53</v>
      </c>
      <c r="S273" s="26">
        <v>71</v>
      </c>
      <c r="T273" s="26">
        <v>0.47</v>
      </c>
      <c r="U273" s="26">
        <v>1.08</v>
      </c>
      <c r="V273" s="26">
        <v>2649.9</v>
      </c>
    </row>
    <row r="274" spans="1:22" ht="16.8" x14ac:dyDescent="0.3">
      <c r="A274" s="20">
        <v>27.3</v>
      </c>
      <c r="B274" s="20">
        <v>71</v>
      </c>
      <c r="C274" s="20">
        <v>71.260000000000005</v>
      </c>
      <c r="D274" s="20">
        <v>-0.26</v>
      </c>
      <c r="E274" s="20">
        <v>0</v>
      </c>
      <c r="F274" s="26">
        <v>2016.89</v>
      </c>
      <c r="Q274" s="20">
        <v>27.3</v>
      </c>
      <c r="R274" s="20">
        <v>71.56</v>
      </c>
      <c r="S274" s="26">
        <v>71</v>
      </c>
      <c r="T274" s="26">
        <v>-0.56000000000000005</v>
      </c>
      <c r="U274" s="26">
        <v>-1.03</v>
      </c>
      <c r="V274" s="20">
        <v>770.85</v>
      </c>
    </row>
    <row r="275" spans="1:22" ht="16.8" x14ac:dyDescent="0.3">
      <c r="A275" s="20">
        <v>27.4</v>
      </c>
      <c r="B275" s="20">
        <v>71</v>
      </c>
      <c r="C275" s="26">
        <v>71.27</v>
      </c>
      <c r="D275" s="20">
        <v>-0.27</v>
      </c>
      <c r="E275" s="20">
        <v>-0.01</v>
      </c>
      <c r="F275" s="26">
        <v>2007.73</v>
      </c>
      <c r="Q275" s="20">
        <v>27.4</v>
      </c>
      <c r="R275" s="20">
        <v>70.52</v>
      </c>
      <c r="S275" s="26">
        <v>71</v>
      </c>
      <c r="T275" s="26">
        <v>0.48</v>
      </c>
      <c r="U275" s="26">
        <v>1.05</v>
      </c>
      <c r="V275" s="26">
        <v>2626.47</v>
      </c>
    </row>
    <row r="276" spans="1:22" ht="16.8" x14ac:dyDescent="0.3">
      <c r="A276" s="20">
        <v>27.5</v>
      </c>
      <c r="B276" s="20">
        <v>71</v>
      </c>
      <c r="C276" s="20">
        <v>71.31</v>
      </c>
      <c r="D276" s="20">
        <v>-0.31</v>
      </c>
      <c r="E276" s="20">
        <v>-0.04</v>
      </c>
      <c r="F276" s="20">
        <v>1979.14</v>
      </c>
      <c r="Q276" s="20">
        <v>27.5</v>
      </c>
      <c r="R276" s="20">
        <v>71.569999999999993</v>
      </c>
      <c r="S276" s="26">
        <v>71</v>
      </c>
      <c r="T276" s="20">
        <v>-0.56999999999999995</v>
      </c>
      <c r="U276" s="26">
        <v>-1.06</v>
      </c>
      <c r="V276" s="20">
        <v>749.77</v>
      </c>
    </row>
    <row r="277" spans="1:22" ht="16.8" x14ac:dyDescent="0.3">
      <c r="A277" s="20">
        <v>27.6</v>
      </c>
      <c r="B277" s="20">
        <v>71</v>
      </c>
      <c r="C277" s="26">
        <v>71.290000000000006</v>
      </c>
      <c r="D277" s="20">
        <v>-0.28999999999999998</v>
      </c>
      <c r="E277" s="20">
        <v>0.01</v>
      </c>
      <c r="F277" s="26">
        <v>1989.9</v>
      </c>
      <c r="Q277" s="20">
        <v>27.6</v>
      </c>
      <c r="R277" s="20">
        <v>70.510000000000005</v>
      </c>
      <c r="S277" s="26">
        <v>71</v>
      </c>
      <c r="T277" s="26">
        <v>0.49</v>
      </c>
      <c r="U277" s="26">
        <v>1.06</v>
      </c>
      <c r="V277" s="26">
        <v>2640.63</v>
      </c>
    </row>
    <row r="278" spans="1:22" ht="16.8" x14ac:dyDescent="0.3">
      <c r="A278" s="20">
        <v>27.7</v>
      </c>
      <c r="B278" s="20">
        <v>71</v>
      </c>
      <c r="C278" s="26">
        <v>71.28</v>
      </c>
      <c r="D278" s="20">
        <v>-0.28000000000000003</v>
      </c>
      <c r="E278" s="20">
        <v>0.01</v>
      </c>
      <c r="F278" s="26">
        <v>1998.73</v>
      </c>
      <c r="Q278" s="20">
        <v>27.7</v>
      </c>
      <c r="R278" s="20">
        <v>71.61</v>
      </c>
      <c r="S278" s="26">
        <v>71</v>
      </c>
      <c r="T278" s="26">
        <v>-0.61</v>
      </c>
      <c r="U278" s="26">
        <v>-1.1000000000000001</v>
      </c>
      <c r="V278" s="20">
        <v>703.64</v>
      </c>
    </row>
    <row r="279" spans="1:22" ht="16.8" x14ac:dyDescent="0.3">
      <c r="A279" s="20">
        <v>27.8</v>
      </c>
      <c r="B279" s="20">
        <v>71</v>
      </c>
      <c r="C279" s="20">
        <v>71.36</v>
      </c>
      <c r="D279" s="20">
        <v>-0.36</v>
      </c>
      <c r="E279" s="20">
        <v>-0.08</v>
      </c>
      <c r="F279" s="20">
        <v>1922.57</v>
      </c>
      <c r="Q279" s="20">
        <v>27.8</v>
      </c>
      <c r="R279" s="20">
        <v>70.540000000000006</v>
      </c>
      <c r="S279" s="20">
        <v>71</v>
      </c>
      <c r="T279" s="26">
        <v>0.46</v>
      </c>
      <c r="U279" s="26">
        <v>1.07</v>
      </c>
      <c r="V279" s="20">
        <v>2641.24</v>
      </c>
    </row>
    <row r="280" spans="1:22" ht="16.8" x14ac:dyDescent="0.3">
      <c r="A280" s="20">
        <v>27.9</v>
      </c>
      <c r="B280" s="20">
        <v>71</v>
      </c>
      <c r="C280" s="26">
        <v>71.34</v>
      </c>
      <c r="D280" s="20">
        <v>-0.34</v>
      </c>
      <c r="E280" s="20">
        <v>0.02</v>
      </c>
      <c r="F280" s="26">
        <v>1940.29</v>
      </c>
      <c r="Q280" s="20">
        <v>27.9</v>
      </c>
      <c r="R280" s="20">
        <v>71.599999999999994</v>
      </c>
      <c r="S280" s="26">
        <v>71</v>
      </c>
      <c r="T280" s="26">
        <v>-0.6</v>
      </c>
      <c r="U280" s="26">
        <v>-1.06</v>
      </c>
      <c r="V280" s="26">
        <v>745.02</v>
      </c>
    </row>
    <row r="281" spans="1:22" ht="16.8" x14ac:dyDescent="0.3">
      <c r="A281" s="20">
        <v>28</v>
      </c>
      <c r="B281" s="20">
        <v>71</v>
      </c>
      <c r="C281" s="26">
        <v>71.38</v>
      </c>
      <c r="D281" s="20">
        <v>-0.38</v>
      </c>
      <c r="E281" s="20">
        <v>-0.04</v>
      </c>
      <c r="F281" s="20">
        <v>1899.95</v>
      </c>
      <c r="Q281" s="20">
        <v>28</v>
      </c>
      <c r="R281" s="20">
        <v>70.52</v>
      </c>
      <c r="S281" s="26">
        <v>71</v>
      </c>
      <c r="T281" s="20">
        <v>0.48</v>
      </c>
      <c r="U281" s="26">
        <v>1.08</v>
      </c>
      <c r="V281" s="20">
        <v>2651.59</v>
      </c>
    </row>
    <row r="282" spans="1:22" ht="16.8" x14ac:dyDescent="0.3">
      <c r="A282" s="20">
        <v>28.1</v>
      </c>
      <c r="B282" s="20">
        <v>71</v>
      </c>
      <c r="C282" s="20">
        <v>71.319999999999993</v>
      </c>
      <c r="D282" s="20">
        <v>-0.32</v>
      </c>
      <c r="E282" s="20">
        <v>0.06</v>
      </c>
      <c r="F282" s="26">
        <v>1962.08</v>
      </c>
      <c r="Q282" s="20">
        <v>28.1</v>
      </c>
      <c r="R282" s="20">
        <v>71.61</v>
      </c>
      <c r="S282" s="26">
        <v>71</v>
      </c>
      <c r="T282" s="26">
        <v>-0.61</v>
      </c>
      <c r="U282" s="26">
        <v>-1.1000000000000001</v>
      </c>
      <c r="V282" s="26">
        <v>709.47</v>
      </c>
    </row>
    <row r="283" spans="1:22" ht="16.8" x14ac:dyDescent="0.3">
      <c r="A283" s="20">
        <v>28.2</v>
      </c>
      <c r="B283" s="20">
        <v>71</v>
      </c>
      <c r="C283" s="26">
        <v>71.33</v>
      </c>
      <c r="D283" s="20">
        <v>-0.33</v>
      </c>
      <c r="E283" s="20">
        <v>0</v>
      </c>
      <c r="F283" s="26">
        <v>1957.76</v>
      </c>
      <c r="Q283" s="20">
        <v>28.2</v>
      </c>
      <c r="R283" s="20">
        <v>70.540000000000006</v>
      </c>
      <c r="S283" s="26">
        <v>71</v>
      </c>
      <c r="T283" s="20">
        <v>0.46</v>
      </c>
      <c r="U283" s="26">
        <v>1.07</v>
      </c>
      <c r="V283" s="20">
        <v>2640.58</v>
      </c>
    </row>
    <row r="284" spans="1:22" ht="16.8" x14ac:dyDescent="0.3">
      <c r="A284" s="20">
        <v>28.3</v>
      </c>
      <c r="B284" s="20">
        <v>71</v>
      </c>
      <c r="C284" s="20">
        <v>71.37</v>
      </c>
      <c r="D284" s="20">
        <v>-0.37</v>
      </c>
      <c r="E284" s="20">
        <v>-0.04</v>
      </c>
      <c r="F284" s="20">
        <v>1909.09</v>
      </c>
      <c r="Q284" s="20">
        <v>28.3</v>
      </c>
      <c r="R284" s="20">
        <v>71.599999999999994</v>
      </c>
      <c r="S284" s="26">
        <v>71</v>
      </c>
      <c r="T284" s="26">
        <v>-0.6</v>
      </c>
      <c r="U284" s="26">
        <v>0</v>
      </c>
      <c r="V284" s="26">
        <v>-0.6</v>
      </c>
    </row>
    <row r="285" spans="1:22" ht="16.8" x14ac:dyDescent="0.3">
      <c r="A285" s="20">
        <v>28.4</v>
      </c>
      <c r="B285" s="20">
        <v>71</v>
      </c>
      <c r="C285" s="26">
        <v>71.33</v>
      </c>
      <c r="D285" s="20">
        <v>-0.33</v>
      </c>
      <c r="E285" s="20">
        <v>0.04</v>
      </c>
      <c r="F285" s="26">
        <v>1957.76</v>
      </c>
      <c r="Q285" s="20">
        <v>28.4</v>
      </c>
      <c r="R285" s="20">
        <v>70.48</v>
      </c>
      <c r="S285" s="26">
        <v>71</v>
      </c>
      <c r="T285" s="20">
        <v>0.52</v>
      </c>
      <c r="U285" s="26">
        <v>1.1100000000000001</v>
      </c>
      <c r="V285" s="20">
        <v>2682.48</v>
      </c>
    </row>
    <row r="286" spans="1:22" ht="16.8" x14ac:dyDescent="0.3">
      <c r="A286" s="20">
        <v>28.5</v>
      </c>
      <c r="B286" s="20">
        <v>71</v>
      </c>
      <c r="C286" s="26">
        <v>71.33</v>
      </c>
      <c r="D286" s="20">
        <v>-0.33</v>
      </c>
      <c r="E286" s="20">
        <v>0</v>
      </c>
      <c r="F286" s="20">
        <v>1957.76</v>
      </c>
      <c r="Q286" s="20">
        <v>28.5</v>
      </c>
      <c r="R286" s="20">
        <v>71.61</v>
      </c>
      <c r="S286" s="26">
        <v>71</v>
      </c>
      <c r="T286" s="26">
        <v>-0.61</v>
      </c>
      <c r="U286" s="26">
        <v>-1.1299999999999999</v>
      </c>
      <c r="V286" s="26">
        <v>682.92</v>
      </c>
    </row>
    <row r="287" spans="1:22" ht="16.8" x14ac:dyDescent="0.3">
      <c r="A287" s="20">
        <v>28.6</v>
      </c>
      <c r="B287" s="20">
        <v>71</v>
      </c>
      <c r="C287" s="20">
        <v>71.38</v>
      </c>
      <c r="D287" s="20">
        <v>-0.38</v>
      </c>
      <c r="E287" s="20">
        <v>-0.06</v>
      </c>
      <c r="F287" s="26">
        <v>1895.31</v>
      </c>
      <c r="Q287" s="20">
        <v>28.6</v>
      </c>
      <c r="R287" s="20">
        <v>70.540000000000006</v>
      </c>
      <c r="S287" s="26">
        <v>71</v>
      </c>
      <c r="T287" s="20">
        <v>0.46</v>
      </c>
      <c r="U287" s="26">
        <v>1.07</v>
      </c>
      <c r="V287" s="20">
        <v>2640</v>
      </c>
    </row>
    <row r="288" spans="1:22" ht="16.8" x14ac:dyDescent="0.3">
      <c r="A288" s="20">
        <v>28.7</v>
      </c>
      <c r="B288" s="20">
        <v>71</v>
      </c>
      <c r="C288" s="26">
        <v>71.37</v>
      </c>
      <c r="D288" s="20">
        <v>-0.37</v>
      </c>
      <c r="E288" s="20">
        <v>0.01</v>
      </c>
      <c r="F288" s="26">
        <v>1909.09</v>
      </c>
      <c r="Q288" s="20">
        <v>28.7</v>
      </c>
      <c r="R288" s="20">
        <v>71.599999999999994</v>
      </c>
      <c r="S288" s="26">
        <v>71</v>
      </c>
      <c r="T288" s="26">
        <v>-0.6</v>
      </c>
      <c r="U288" s="26">
        <v>-1.06</v>
      </c>
      <c r="V288" s="26">
        <v>735.89</v>
      </c>
    </row>
    <row r="289" spans="1:22" ht="16.8" x14ac:dyDescent="0.3">
      <c r="A289" s="20">
        <v>28.8</v>
      </c>
      <c r="B289" s="20">
        <v>71</v>
      </c>
      <c r="C289" s="26">
        <v>71.36</v>
      </c>
      <c r="D289" s="20">
        <v>-0.36</v>
      </c>
      <c r="E289" s="20">
        <v>0.01</v>
      </c>
      <c r="F289" s="20">
        <v>1922.57</v>
      </c>
      <c r="Q289" s="20">
        <v>28.8</v>
      </c>
      <c r="R289" s="20">
        <v>70.52</v>
      </c>
      <c r="S289" s="26">
        <v>71</v>
      </c>
      <c r="T289" s="26">
        <v>0.48</v>
      </c>
      <c r="U289" s="26">
        <v>1.0900000000000001</v>
      </c>
      <c r="V289" s="20">
        <v>2656.83</v>
      </c>
    </row>
    <row r="290" spans="1:22" ht="16.8" x14ac:dyDescent="0.3">
      <c r="A290" s="20">
        <v>28.9</v>
      </c>
      <c r="B290" s="20">
        <v>71</v>
      </c>
      <c r="C290" s="20">
        <v>71.28</v>
      </c>
      <c r="D290" s="20">
        <v>-0.28000000000000003</v>
      </c>
      <c r="E290" s="20">
        <v>0.08</v>
      </c>
      <c r="F290" s="26">
        <v>1998.73</v>
      </c>
      <c r="Q290" s="20">
        <v>28.9</v>
      </c>
      <c r="R290" s="20">
        <v>71.56</v>
      </c>
      <c r="S290" s="26">
        <v>71</v>
      </c>
      <c r="T290" s="26">
        <v>-0.56000000000000005</v>
      </c>
      <c r="U290" s="26">
        <v>-1.05</v>
      </c>
      <c r="V290" s="26">
        <v>755.54</v>
      </c>
    </row>
    <row r="291" spans="1:22" ht="16.8" x14ac:dyDescent="0.3">
      <c r="A291" s="20">
        <v>29</v>
      </c>
      <c r="B291" s="20">
        <v>71</v>
      </c>
      <c r="C291" s="26">
        <v>71.3</v>
      </c>
      <c r="D291" s="20">
        <v>-0.3</v>
      </c>
      <c r="E291" s="20">
        <v>-0.02</v>
      </c>
      <c r="F291" s="26">
        <v>1983.37</v>
      </c>
      <c r="Q291" s="20">
        <v>29</v>
      </c>
      <c r="R291" s="20">
        <v>70.56</v>
      </c>
      <c r="S291" s="26">
        <v>71</v>
      </c>
      <c r="T291" s="26">
        <v>0.44</v>
      </c>
      <c r="U291" s="26">
        <v>1</v>
      </c>
      <c r="V291" s="20">
        <v>2576.81</v>
      </c>
    </row>
    <row r="292" spans="1:22" ht="16.8" x14ac:dyDescent="0.3">
      <c r="A292" s="20">
        <v>29.1</v>
      </c>
      <c r="B292" s="20">
        <v>71</v>
      </c>
      <c r="C292" s="20">
        <v>71.34</v>
      </c>
      <c r="D292" s="20">
        <v>-0.34</v>
      </c>
      <c r="E292" s="20">
        <v>-0.04</v>
      </c>
      <c r="F292" s="20">
        <v>1940.29</v>
      </c>
      <c r="Q292" s="20">
        <v>29.1</v>
      </c>
      <c r="R292" s="20">
        <v>71.64</v>
      </c>
      <c r="S292" s="26">
        <v>71</v>
      </c>
      <c r="T292" s="20">
        <v>-0.64</v>
      </c>
      <c r="U292" s="26">
        <v>-1.08</v>
      </c>
      <c r="V292" s="20">
        <v>715.3</v>
      </c>
    </row>
    <row r="293" spans="1:22" ht="16.8" x14ac:dyDescent="0.3">
      <c r="A293" s="20">
        <v>29.2</v>
      </c>
      <c r="B293" s="20">
        <v>71</v>
      </c>
      <c r="C293" s="26">
        <v>71.319999999999993</v>
      </c>
      <c r="D293" s="20">
        <v>-0.32</v>
      </c>
      <c r="E293" s="20">
        <v>0.02</v>
      </c>
      <c r="F293" s="26">
        <v>1966.37</v>
      </c>
      <c r="Q293" s="20">
        <v>29.2</v>
      </c>
      <c r="R293" s="20">
        <v>70.52</v>
      </c>
      <c r="S293" s="26">
        <v>71</v>
      </c>
      <c r="T293" s="26">
        <v>0.48</v>
      </c>
      <c r="U293" s="26">
        <v>1.1200000000000001</v>
      </c>
      <c r="V293" s="26">
        <v>2680.7</v>
      </c>
    </row>
    <row r="294" spans="1:22" ht="16.8" x14ac:dyDescent="0.3">
      <c r="A294" s="20">
        <v>29.3</v>
      </c>
      <c r="B294" s="20">
        <v>71</v>
      </c>
      <c r="C294" s="26">
        <v>71.27</v>
      </c>
      <c r="D294" s="20">
        <v>-0.27</v>
      </c>
      <c r="E294" s="20">
        <v>0.05</v>
      </c>
      <c r="F294" s="20">
        <v>2010.74</v>
      </c>
      <c r="Q294" s="20">
        <v>29.3</v>
      </c>
      <c r="R294" s="20">
        <v>71.599999999999994</v>
      </c>
      <c r="S294" s="26">
        <v>71</v>
      </c>
      <c r="T294" s="26">
        <v>-0.6</v>
      </c>
      <c r="U294" s="26">
        <v>-1.07</v>
      </c>
      <c r="V294" s="20">
        <v>729.74</v>
      </c>
    </row>
    <row r="295" spans="1:22" ht="16.8" x14ac:dyDescent="0.3">
      <c r="A295" s="20">
        <v>29.4</v>
      </c>
      <c r="B295" s="20">
        <v>71</v>
      </c>
      <c r="C295" s="20">
        <v>71.33</v>
      </c>
      <c r="D295" s="20">
        <v>-0.33</v>
      </c>
      <c r="E295" s="20">
        <v>-0.06</v>
      </c>
      <c r="F295" s="26">
        <v>1957.76</v>
      </c>
      <c r="Q295" s="20">
        <v>29.4</v>
      </c>
      <c r="R295" s="20">
        <v>70.52</v>
      </c>
      <c r="S295" s="26">
        <v>71</v>
      </c>
      <c r="T295" s="26">
        <v>0.48</v>
      </c>
      <c r="U295" s="26">
        <v>1.07</v>
      </c>
      <c r="V295" s="26">
        <v>2641.43</v>
      </c>
    </row>
    <row r="296" spans="1:22" ht="16.8" x14ac:dyDescent="0.3">
      <c r="A296" s="20">
        <v>29.5</v>
      </c>
      <c r="B296" s="20">
        <v>71</v>
      </c>
      <c r="C296" s="26">
        <v>71.33</v>
      </c>
      <c r="D296" s="20">
        <v>-0.33</v>
      </c>
      <c r="E296" s="20">
        <v>0</v>
      </c>
      <c r="F296" s="20">
        <v>1957.76</v>
      </c>
      <c r="Q296" s="20">
        <v>29.5</v>
      </c>
      <c r="R296" s="20">
        <v>71.599999999999994</v>
      </c>
      <c r="S296" s="26">
        <v>71</v>
      </c>
      <c r="T296" s="26">
        <v>-0.6</v>
      </c>
      <c r="U296" s="26">
        <v>-1.08</v>
      </c>
      <c r="V296" s="20">
        <v>721.55</v>
      </c>
    </row>
    <row r="297" spans="1:22" ht="16.8" x14ac:dyDescent="0.3">
      <c r="A297" s="20">
        <v>29.6</v>
      </c>
      <c r="B297" s="20">
        <v>71</v>
      </c>
      <c r="C297" s="26">
        <v>71.34</v>
      </c>
      <c r="D297" s="20">
        <v>-0.34</v>
      </c>
      <c r="E297" s="20">
        <v>-0.01</v>
      </c>
      <c r="F297" s="26">
        <v>1944.68</v>
      </c>
      <c r="Q297" s="20">
        <v>29.6</v>
      </c>
      <c r="R297" s="20">
        <v>70.510000000000005</v>
      </c>
      <c r="S297" s="26">
        <v>71</v>
      </c>
      <c r="T297" s="26">
        <v>0.49</v>
      </c>
      <c r="U297" s="26">
        <v>1.1000000000000001</v>
      </c>
      <c r="V297" s="26">
        <v>2663.37</v>
      </c>
    </row>
    <row r="298" spans="1:22" ht="16.8" x14ac:dyDescent="0.3">
      <c r="A298" s="20">
        <v>29.7</v>
      </c>
      <c r="B298" s="20">
        <v>71</v>
      </c>
      <c r="C298" s="20">
        <v>71.27</v>
      </c>
      <c r="D298" s="20">
        <v>-0.27</v>
      </c>
      <c r="E298" s="20">
        <v>7.0000000000000007E-2</v>
      </c>
      <c r="F298" s="26">
        <v>2010.74</v>
      </c>
      <c r="Q298" s="20">
        <v>29.7</v>
      </c>
      <c r="R298" s="20">
        <v>71.63</v>
      </c>
      <c r="S298" s="26">
        <v>71</v>
      </c>
      <c r="T298" s="26">
        <v>-0.63</v>
      </c>
      <c r="U298" s="26">
        <v>-1.1200000000000001</v>
      </c>
      <c r="V298" s="20">
        <v>684.61</v>
      </c>
    </row>
    <row r="299" spans="1:22" ht="16.8" x14ac:dyDescent="0.3">
      <c r="A299" s="20">
        <v>29.8</v>
      </c>
      <c r="B299" s="20">
        <v>71</v>
      </c>
      <c r="C299" s="26">
        <v>71.349999999999994</v>
      </c>
      <c r="D299" s="20">
        <v>-0.35</v>
      </c>
      <c r="E299" s="20">
        <v>-0.08</v>
      </c>
      <c r="F299" s="20">
        <v>1931.46</v>
      </c>
      <c r="Q299" s="20">
        <v>29.8</v>
      </c>
      <c r="R299" s="20">
        <v>70.52</v>
      </c>
      <c r="S299" s="26">
        <v>71</v>
      </c>
      <c r="T299" s="26">
        <v>0.48</v>
      </c>
      <c r="U299" s="26">
        <v>1.1100000000000001</v>
      </c>
      <c r="V299" s="26">
        <v>2674.64</v>
      </c>
    </row>
    <row r="300" spans="1:22" ht="16.8" x14ac:dyDescent="0.3">
      <c r="A300" s="20">
        <v>29.9</v>
      </c>
      <c r="B300" s="20">
        <v>71</v>
      </c>
      <c r="C300" s="26">
        <v>71.36</v>
      </c>
      <c r="D300" s="20">
        <v>-0.36</v>
      </c>
      <c r="E300" s="20">
        <v>-0.01</v>
      </c>
      <c r="F300" s="26">
        <v>1918.1</v>
      </c>
      <c r="Q300" s="20">
        <v>29.9</v>
      </c>
      <c r="R300" s="20">
        <v>71.569999999999993</v>
      </c>
      <c r="S300" s="26">
        <v>71</v>
      </c>
      <c r="T300" s="26">
        <v>-0.56999999999999995</v>
      </c>
      <c r="U300" s="26">
        <v>-1.06</v>
      </c>
      <c r="V300" s="20">
        <v>745.98</v>
      </c>
    </row>
    <row r="301" spans="1:22" ht="16.8" x14ac:dyDescent="0.3">
      <c r="A301" s="20">
        <v>30</v>
      </c>
      <c r="B301" s="20">
        <v>71</v>
      </c>
      <c r="C301" s="20">
        <v>71.33</v>
      </c>
      <c r="D301" s="20">
        <v>-0.33</v>
      </c>
      <c r="E301" s="20">
        <v>0.03</v>
      </c>
      <c r="F301" s="26">
        <v>1953.42</v>
      </c>
      <c r="Q301" s="20">
        <v>30</v>
      </c>
      <c r="R301" s="20">
        <v>70.45</v>
      </c>
      <c r="S301" s="26">
        <v>71</v>
      </c>
      <c r="T301" s="26">
        <v>0.55000000000000004</v>
      </c>
      <c r="U301" s="26">
        <v>1.1200000000000001</v>
      </c>
      <c r="V301" s="20">
        <v>2692.06</v>
      </c>
    </row>
    <row r="302" spans="1:22" ht="16.8" x14ac:dyDescent="0.3">
      <c r="A302" s="20">
        <v>30.1</v>
      </c>
      <c r="B302" s="20">
        <v>71</v>
      </c>
      <c r="C302" s="26">
        <v>71.34</v>
      </c>
      <c r="D302" s="20">
        <v>-0.34</v>
      </c>
      <c r="E302" s="20">
        <v>-0.01</v>
      </c>
      <c r="F302" s="20">
        <v>1940.29</v>
      </c>
      <c r="Q302" s="20">
        <v>30.1</v>
      </c>
      <c r="R302" s="20">
        <v>71.64</v>
      </c>
      <c r="S302" s="26">
        <v>71</v>
      </c>
      <c r="T302" s="26">
        <v>-0.64</v>
      </c>
      <c r="U302" s="26">
        <v>-1.19</v>
      </c>
      <c r="V302" s="26">
        <v>622.95000000000005</v>
      </c>
    </row>
    <row r="303" spans="1:22" ht="16.8" x14ac:dyDescent="0.3">
      <c r="A303" s="20">
        <v>30.2</v>
      </c>
      <c r="B303" s="20">
        <v>71</v>
      </c>
      <c r="C303" s="20">
        <v>71.34</v>
      </c>
      <c r="D303" s="20">
        <v>-0.34</v>
      </c>
      <c r="E303" s="20">
        <v>0</v>
      </c>
      <c r="F303" s="26">
        <v>1940.29</v>
      </c>
      <c r="Q303" s="20">
        <v>30.2</v>
      </c>
      <c r="R303" s="20">
        <v>70.52</v>
      </c>
      <c r="S303" s="26">
        <v>71</v>
      </c>
      <c r="T303" s="26">
        <v>0.48</v>
      </c>
      <c r="U303" s="26">
        <v>1.1200000000000001</v>
      </c>
      <c r="V303" s="20">
        <v>2679.28</v>
      </c>
    </row>
    <row r="304" spans="1:22" ht="16.8" x14ac:dyDescent="0.3">
      <c r="A304" s="20">
        <v>30.3</v>
      </c>
      <c r="B304" s="20">
        <v>71</v>
      </c>
      <c r="C304" s="26">
        <v>71.349999999999994</v>
      </c>
      <c r="D304" s="20">
        <v>-0.35</v>
      </c>
      <c r="E304" s="20">
        <v>-0.01</v>
      </c>
      <c r="F304" s="20">
        <v>1931.46</v>
      </c>
      <c r="Q304" s="20">
        <v>30.3</v>
      </c>
      <c r="R304" s="20">
        <v>71.61</v>
      </c>
      <c r="S304" s="26">
        <v>71</v>
      </c>
      <c r="T304" s="26">
        <v>-0.61</v>
      </c>
      <c r="U304" s="26">
        <v>-1.0900000000000001</v>
      </c>
      <c r="V304" s="26">
        <v>712.55</v>
      </c>
    </row>
    <row r="305" spans="1:22" ht="16.8" x14ac:dyDescent="0.3">
      <c r="A305" s="20">
        <v>30.4</v>
      </c>
      <c r="B305" s="20">
        <v>71</v>
      </c>
      <c r="C305" s="26">
        <v>71.349999999999994</v>
      </c>
      <c r="D305" s="20">
        <v>-0.35</v>
      </c>
      <c r="E305" s="20">
        <v>0</v>
      </c>
      <c r="F305" s="26">
        <v>1935.88</v>
      </c>
      <c r="Q305" s="20">
        <v>30.4</v>
      </c>
      <c r="R305" s="20">
        <v>70.510000000000005</v>
      </c>
      <c r="S305" s="26">
        <v>71</v>
      </c>
      <c r="T305" s="26">
        <v>0.49</v>
      </c>
      <c r="U305" s="26">
        <v>1.1000000000000001</v>
      </c>
      <c r="V305" s="20">
        <v>2668.73</v>
      </c>
    </row>
    <row r="306" spans="1:22" ht="16.8" x14ac:dyDescent="0.3">
      <c r="A306" s="20">
        <v>30.5</v>
      </c>
      <c r="B306" s="20">
        <v>71</v>
      </c>
      <c r="C306" s="20">
        <v>71.349999999999994</v>
      </c>
      <c r="D306" s="20">
        <v>-0.35</v>
      </c>
      <c r="E306" s="20">
        <v>0</v>
      </c>
      <c r="F306" s="26">
        <v>1935.88</v>
      </c>
      <c r="Q306" s="20">
        <v>30.5</v>
      </c>
      <c r="R306" s="20">
        <v>71.650000000000006</v>
      </c>
      <c r="S306" s="26">
        <v>71</v>
      </c>
      <c r="T306" s="26">
        <v>-0.65</v>
      </c>
      <c r="U306" s="26">
        <v>-1.1399999999999999</v>
      </c>
      <c r="V306" s="26">
        <v>659.81</v>
      </c>
    </row>
    <row r="307" spans="1:22" ht="16.8" x14ac:dyDescent="0.3">
      <c r="A307" s="20">
        <v>30.6</v>
      </c>
      <c r="B307" s="20">
        <v>71</v>
      </c>
      <c r="C307" s="26">
        <v>71.27</v>
      </c>
      <c r="D307" s="20">
        <v>-0.27</v>
      </c>
      <c r="E307" s="20">
        <v>7.0000000000000007E-2</v>
      </c>
      <c r="F307" s="20">
        <v>2004.71</v>
      </c>
      <c r="Q307" s="20">
        <v>30.6</v>
      </c>
      <c r="R307" s="20">
        <v>70.56</v>
      </c>
      <c r="S307" s="26">
        <v>71</v>
      </c>
      <c r="T307" s="20">
        <v>0.44</v>
      </c>
      <c r="U307" s="26">
        <v>1.0900000000000001</v>
      </c>
      <c r="V307" s="20">
        <v>2645.58</v>
      </c>
    </row>
    <row r="308" spans="1:22" ht="16.8" x14ac:dyDescent="0.3">
      <c r="A308" s="20">
        <v>30.7</v>
      </c>
      <c r="B308" s="20">
        <v>71</v>
      </c>
      <c r="C308" s="26">
        <v>71.37</v>
      </c>
      <c r="D308" s="20">
        <v>-0.37</v>
      </c>
      <c r="E308" s="20">
        <v>-0.09</v>
      </c>
      <c r="F308" s="26">
        <v>1913.58</v>
      </c>
      <c r="Q308" s="20">
        <v>30.7</v>
      </c>
      <c r="R308" s="20">
        <v>71.59</v>
      </c>
      <c r="S308" s="26">
        <v>71</v>
      </c>
      <c r="T308" s="26">
        <v>-0.59</v>
      </c>
      <c r="U308" s="26">
        <v>-1.02</v>
      </c>
      <c r="V308" s="20">
        <v>767.85</v>
      </c>
    </row>
    <row r="309" spans="1:22" ht="16.8" x14ac:dyDescent="0.3">
      <c r="A309" s="20">
        <v>30.8</v>
      </c>
      <c r="B309" s="20">
        <v>71</v>
      </c>
      <c r="C309" s="20">
        <v>71.319999999999993</v>
      </c>
      <c r="D309" s="20">
        <v>-0.32</v>
      </c>
      <c r="E309" s="20">
        <v>0.05</v>
      </c>
      <c r="F309" s="20">
        <v>1966.37</v>
      </c>
      <c r="Q309" s="20">
        <v>30.8</v>
      </c>
      <c r="R309" s="20">
        <v>70.540000000000006</v>
      </c>
      <c r="S309" s="26">
        <v>71</v>
      </c>
      <c r="T309" s="26">
        <v>0.46</v>
      </c>
      <c r="U309" s="26">
        <v>1.05</v>
      </c>
      <c r="V309" s="26">
        <v>2616.9</v>
      </c>
    </row>
    <row r="310" spans="1:22" ht="16.8" x14ac:dyDescent="0.3">
      <c r="A310" s="20">
        <v>30.9</v>
      </c>
      <c r="B310" s="20">
        <v>71</v>
      </c>
      <c r="C310" s="26">
        <v>71.319999999999993</v>
      </c>
      <c r="D310" s="20">
        <v>-0.32</v>
      </c>
      <c r="E310" s="20">
        <v>0</v>
      </c>
      <c r="F310" s="26">
        <v>1966.37</v>
      </c>
      <c r="Q310" s="20">
        <v>30.9</v>
      </c>
      <c r="R310" s="20">
        <v>71.650000000000006</v>
      </c>
      <c r="S310" s="26">
        <v>71</v>
      </c>
      <c r="T310" s="26">
        <v>-0.65</v>
      </c>
      <c r="U310" s="26">
        <v>-1.1100000000000001</v>
      </c>
      <c r="V310" s="20">
        <v>684.94</v>
      </c>
    </row>
    <row r="311" spans="1:22" ht="16.8" x14ac:dyDescent="0.3">
      <c r="A311" s="20">
        <v>31</v>
      </c>
      <c r="B311" s="20">
        <v>71</v>
      </c>
      <c r="C311" s="26">
        <v>71.36</v>
      </c>
      <c r="D311" s="20">
        <v>-0.36</v>
      </c>
      <c r="E311" s="20">
        <v>-0.04</v>
      </c>
      <c r="F311" s="26">
        <v>1918.1</v>
      </c>
      <c r="Q311" s="20">
        <v>31</v>
      </c>
      <c r="R311" s="20">
        <v>70.510000000000005</v>
      </c>
      <c r="S311" s="26">
        <v>71</v>
      </c>
      <c r="T311" s="26">
        <v>0.49</v>
      </c>
      <c r="U311" s="26">
        <v>1.1399999999999999</v>
      </c>
      <c r="V311" s="26">
        <v>2699.95</v>
      </c>
    </row>
    <row r="312" spans="1:22" ht="16.8" x14ac:dyDescent="0.3">
      <c r="A312" s="20">
        <v>31.1</v>
      </c>
      <c r="B312" s="20">
        <v>71</v>
      </c>
      <c r="C312" s="20">
        <v>71.33</v>
      </c>
      <c r="D312" s="20">
        <v>-0.33</v>
      </c>
      <c r="E312" s="20">
        <v>0.03</v>
      </c>
      <c r="F312" s="20">
        <v>1949.06</v>
      </c>
      <c r="Q312" s="20">
        <v>31.1</v>
      </c>
      <c r="R312" s="20">
        <v>71.63</v>
      </c>
      <c r="S312" s="26">
        <v>71</v>
      </c>
      <c r="T312" s="20">
        <v>-0.63</v>
      </c>
      <c r="U312" s="26">
        <v>-1.1200000000000001</v>
      </c>
      <c r="V312" s="20">
        <v>682.21</v>
      </c>
    </row>
    <row r="313" spans="1:22" ht="16.8" x14ac:dyDescent="0.3">
      <c r="A313" s="20">
        <v>31.2</v>
      </c>
      <c r="B313" s="20">
        <v>71</v>
      </c>
      <c r="C313" s="26">
        <v>71.319999999999993</v>
      </c>
      <c r="D313" s="20">
        <v>-0.32</v>
      </c>
      <c r="E313" s="20">
        <v>0.01</v>
      </c>
      <c r="F313" s="26">
        <v>1962.08</v>
      </c>
      <c r="Q313" s="20">
        <v>31.2</v>
      </c>
      <c r="R313" s="20">
        <v>70.48</v>
      </c>
      <c r="S313" s="26">
        <v>71</v>
      </c>
      <c r="T313" s="26">
        <v>0.52</v>
      </c>
      <c r="U313" s="26">
        <v>1.1499999999999999</v>
      </c>
      <c r="V313" s="26">
        <v>2711.68</v>
      </c>
    </row>
    <row r="314" spans="1:22" ht="16.8" x14ac:dyDescent="0.3">
      <c r="A314" s="20">
        <v>31.3</v>
      </c>
      <c r="B314" s="20">
        <v>71</v>
      </c>
      <c r="C314" s="20">
        <v>71.290000000000006</v>
      </c>
      <c r="D314" s="20">
        <v>-0.28999999999999998</v>
      </c>
      <c r="E314" s="20">
        <v>0.03</v>
      </c>
      <c r="F314" s="26">
        <v>1989.9</v>
      </c>
      <c r="Q314" s="20">
        <v>31.3</v>
      </c>
      <c r="R314" s="20">
        <v>71.64</v>
      </c>
      <c r="S314" s="26">
        <v>71</v>
      </c>
      <c r="T314" s="20">
        <v>-0.64</v>
      </c>
      <c r="U314" s="26">
        <v>-1.17</v>
      </c>
      <c r="V314" s="20">
        <v>640.20000000000005</v>
      </c>
    </row>
    <row r="315" spans="1:22" ht="16.8" x14ac:dyDescent="0.3">
      <c r="A315" s="20">
        <v>31.4</v>
      </c>
      <c r="B315" s="20">
        <v>71</v>
      </c>
      <c r="C315" s="26">
        <v>71.33</v>
      </c>
      <c r="D315" s="20">
        <v>-0.33</v>
      </c>
      <c r="E315" s="20">
        <v>-0.03</v>
      </c>
      <c r="F315" s="20">
        <v>1957.76</v>
      </c>
      <c r="Q315" s="20">
        <v>31.4</v>
      </c>
      <c r="R315" s="20">
        <v>70.52</v>
      </c>
      <c r="S315" s="20">
        <v>71</v>
      </c>
      <c r="T315" s="26">
        <v>0.48</v>
      </c>
      <c r="U315" s="26">
        <v>1.1299999999999999</v>
      </c>
      <c r="V315" s="20">
        <v>2684.93</v>
      </c>
    </row>
    <row r="316" spans="1:22" ht="16.8" x14ac:dyDescent="0.3">
      <c r="A316" s="20">
        <v>31.5</v>
      </c>
      <c r="B316" s="20">
        <v>71</v>
      </c>
      <c r="C316" s="26">
        <v>71.28</v>
      </c>
      <c r="D316" s="20">
        <v>-0.28000000000000003</v>
      </c>
      <c r="E316" s="20">
        <v>0.05</v>
      </c>
      <c r="F316" s="26">
        <v>2001.73</v>
      </c>
      <c r="Q316" s="20">
        <v>31.5</v>
      </c>
      <c r="R316" s="20">
        <v>71.64</v>
      </c>
      <c r="S316" s="26">
        <v>71</v>
      </c>
      <c r="T316" s="26">
        <v>-0.64</v>
      </c>
      <c r="U316" s="26">
        <v>-1.1299999999999999</v>
      </c>
      <c r="V316" s="26">
        <v>672.27</v>
      </c>
    </row>
    <row r="317" spans="1:22" ht="16.8" x14ac:dyDescent="0.3">
      <c r="A317" s="20">
        <v>31.6</v>
      </c>
      <c r="B317" s="20">
        <v>71</v>
      </c>
      <c r="C317" s="20">
        <v>71.290000000000006</v>
      </c>
      <c r="D317" s="20">
        <v>-0.28999999999999998</v>
      </c>
      <c r="E317" s="20">
        <v>-0.02</v>
      </c>
      <c r="F317" s="20">
        <v>1989.9</v>
      </c>
      <c r="Q317" s="20">
        <v>31.6</v>
      </c>
      <c r="R317" s="20">
        <v>70.540000000000006</v>
      </c>
      <c r="S317" s="20">
        <v>71</v>
      </c>
      <c r="T317" s="26">
        <v>0.46</v>
      </c>
      <c r="U317" s="26">
        <v>1.1000000000000001</v>
      </c>
      <c r="V317" s="20">
        <v>2660.85</v>
      </c>
    </row>
    <row r="318" spans="1:22" ht="16.8" x14ac:dyDescent="0.3">
      <c r="A318" s="20">
        <v>31.7</v>
      </c>
      <c r="B318" s="20">
        <v>71</v>
      </c>
      <c r="C318" s="26">
        <v>71.349999999999994</v>
      </c>
      <c r="D318" s="20">
        <v>-0.35</v>
      </c>
      <c r="E318" s="20">
        <v>-0.06</v>
      </c>
      <c r="F318" s="26">
        <v>1931.46</v>
      </c>
      <c r="Q318" s="20">
        <v>31.7</v>
      </c>
      <c r="R318" s="20">
        <v>71.64</v>
      </c>
      <c r="S318" s="26">
        <v>71</v>
      </c>
      <c r="T318" s="26">
        <v>-0.64</v>
      </c>
      <c r="U318" s="26">
        <v>-1.1000000000000001</v>
      </c>
      <c r="V318" s="26">
        <v>699.19</v>
      </c>
    </row>
    <row r="319" spans="1:22" ht="16.8" x14ac:dyDescent="0.3">
      <c r="A319" s="20">
        <v>31.8</v>
      </c>
      <c r="B319" s="20">
        <v>71</v>
      </c>
      <c r="C319" s="26">
        <v>71.290000000000006</v>
      </c>
      <c r="D319" s="20">
        <v>-0.28999999999999998</v>
      </c>
      <c r="E319" s="20">
        <v>0.06</v>
      </c>
      <c r="F319" s="26">
        <v>1992.81</v>
      </c>
      <c r="Q319" s="20">
        <v>31.8</v>
      </c>
      <c r="R319" s="20">
        <v>70.53</v>
      </c>
      <c r="S319" s="26">
        <v>71</v>
      </c>
      <c r="T319" s="26">
        <v>0.47</v>
      </c>
      <c r="U319" s="26">
        <v>1.1000000000000001</v>
      </c>
      <c r="V319" s="20">
        <v>2661.82</v>
      </c>
    </row>
    <row r="320" spans="1:22" ht="16.8" x14ac:dyDescent="0.3">
      <c r="A320" s="20">
        <v>31.9</v>
      </c>
      <c r="B320" s="20">
        <v>71</v>
      </c>
      <c r="C320" s="20">
        <v>71.38</v>
      </c>
      <c r="D320" s="20">
        <v>-0.38</v>
      </c>
      <c r="E320" s="20">
        <v>-0.09</v>
      </c>
      <c r="F320" s="20">
        <v>1895.31</v>
      </c>
      <c r="Q320" s="20">
        <v>31.9</v>
      </c>
      <c r="R320" s="20">
        <v>71.64</v>
      </c>
      <c r="S320" s="26">
        <v>71</v>
      </c>
      <c r="T320" s="26">
        <v>-0.64</v>
      </c>
      <c r="U320" s="26">
        <v>-1.1100000000000001</v>
      </c>
      <c r="V320" s="26">
        <v>684.38</v>
      </c>
    </row>
    <row r="321" spans="1:22" ht="16.8" x14ac:dyDescent="0.3">
      <c r="A321" s="20">
        <v>32</v>
      </c>
      <c r="B321" s="20">
        <v>71</v>
      </c>
      <c r="C321" s="26">
        <v>71.37</v>
      </c>
      <c r="D321" s="20">
        <v>-0.37</v>
      </c>
      <c r="E321" s="20">
        <v>0.01</v>
      </c>
      <c r="F321" s="26">
        <v>1904.52</v>
      </c>
      <c r="Q321" s="20">
        <v>32</v>
      </c>
      <c r="R321" s="20">
        <v>70.52</v>
      </c>
      <c r="S321" s="26">
        <v>71</v>
      </c>
      <c r="T321" s="26">
        <v>0.48</v>
      </c>
      <c r="U321" s="26">
        <v>1.1299999999999999</v>
      </c>
      <c r="V321" s="20">
        <v>2683.65</v>
      </c>
    </row>
    <row r="322" spans="1:22" ht="16.8" x14ac:dyDescent="0.3">
      <c r="A322" s="20">
        <v>32.1</v>
      </c>
      <c r="B322" s="20">
        <v>71</v>
      </c>
      <c r="C322" s="20">
        <v>71.27</v>
      </c>
      <c r="D322" s="20">
        <v>-0.27</v>
      </c>
      <c r="E322" s="20">
        <v>0.1</v>
      </c>
      <c r="F322" s="26">
        <v>2007.73</v>
      </c>
      <c r="Q322" s="20">
        <v>32.1</v>
      </c>
      <c r="R322" s="20">
        <v>71.63</v>
      </c>
      <c r="S322" s="26">
        <v>71</v>
      </c>
      <c r="T322" s="26">
        <v>-0.63</v>
      </c>
      <c r="U322" s="26">
        <v>-1.1100000000000001</v>
      </c>
      <c r="V322" s="20">
        <v>686.77</v>
      </c>
    </row>
    <row r="323" spans="1:22" ht="16.8" x14ac:dyDescent="0.3">
      <c r="A323" s="20">
        <v>32.200000000000003</v>
      </c>
      <c r="B323" s="20">
        <v>71</v>
      </c>
      <c r="C323" s="26">
        <v>71.33</v>
      </c>
      <c r="D323" s="20">
        <v>-0.33</v>
      </c>
      <c r="E323" s="20">
        <v>-0.06</v>
      </c>
      <c r="F323" s="20">
        <v>1953.42</v>
      </c>
      <c r="Q323" s="20">
        <v>32.200000000000003</v>
      </c>
      <c r="R323" s="20">
        <v>70.56</v>
      </c>
      <c r="S323" s="26">
        <v>71</v>
      </c>
      <c r="T323" s="26">
        <v>0.44</v>
      </c>
      <c r="U323" s="26">
        <v>1.07</v>
      </c>
      <c r="V323" s="26">
        <v>2630.85</v>
      </c>
    </row>
    <row r="324" spans="1:22" ht="16.8" x14ac:dyDescent="0.3">
      <c r="A324" s="20">
        <v>32.299999999999997</v>
      </c>
      <c r="B324" s="20">
        <v>71</v>
      </c>
      <c r="C324" s="26">
        <v>71.290000000000006</v>
      </c>
      <c r="D324" s="20">
        <v>-0.28999999999999998</v>
      </c>
      <c r="E324" s="20">
        <v>0.04</v>
      </c>
      <c r="F324" s="26">
        <v>1989.9</v>
      </c>
      <c r="Q324" s="20">
        <v>32.299999999999997</v>
      </c>
      <c r="R324" s="20">
        <v>71.599999999999994</v>
      </c>
      <c r="S324" s="26">
        <v>71</v>
      </c>
      <c r="T324" s="26">
        <v>-0.6</v>
      </c>
      <c r="U324" s="26">
        <v>-1.04</v>
      </c>
      <c r="V324" s="20">
        <v>750.35</v>
      </c>
    </row>
    <row r="325" spans="1:22" ht="16.8" x14ac:dyDescent="0.3">
      <c r="A325" s="20">
        <v>32.4</v>
      </c>
      <c r="B325" s="20">
        <v>71</v>
      </c>
      <c r="C325" s="20">
        <v>71.27</v>
      </c>
      <c r="D325" s="20">
        <v>-0.27</v>
      </c>
      <c r="E325" s="20">
        <v>0.02</v>
      </c>
      <c r="F325" s="20">
        <v>2004.71</v>
      </c>
      <c r="Q325" s="20">
        <v>32.4</v>
      </c>
      <c r="R325" s="20">
        <v>70.510000000000005</v>
      </c>
      <c r="S325" s="26">
        <v>71</v>
      </c>
      <c r="T325" s="20">
        <v>0.49</v>
      </c>
      <c r="U325" s="26">
        <v>1.0900000000000001</v>
      </c>
      <c r="V325" s="26">
        <v>2651.82</v>
      </c>
    </row>
    <row r="326" spans="1:22" ht="16.8" x14ac:dyDescent="0.3">
      <c r="A326" s="20">
        <v>32.5</v>
      </c>
      <c r="B326" s="20">
        <v>71</v>
      </c>
      <c r="C326" s="26">
        <v>71.33</v>
      </c>
      <c r="D326" s="20">
        <v>-0.33</v>
      </c>
      <c r="E326" s="20">
        <v>-0.05</v>
      </c>
      <c r="F326" s="26">
        <v>1957.76</v>
      </c>
      <c r="Q326" s="20">
        <v>32.5</v>
      </c>
      <c r="R326" s="20">
        <v>71.599999999999994</v>
      </c>
      <c r="S326" s="20">
        <v>71</v>
      </c>
      <c r="T326" s="26">
        <v>-0.6</v>
      </c>
      <c r="U326" s="26">
        <v>-1.0900000000000001</v>
      </c>
      <c r="V326" s="20">
        <v>711.12</v>
      </c>
    </row>
    <row r="327" spans="1:22" ht="16.8" x14ac:dyDescent="0.3">
      <c r="A327" s="20">
        <v>32.6</v>
      </c>
      <c r="B327" s="20">
        <v>71</v>
      </c>
      <c r="C327" s="26">
        <v>71.28</v>
      </c>
      <c r="D327" s="20">
        <v>-0.28000000000000003</v>
      </c>
      <c r="E327" s="20">
        <v>0.04</v>
      </c>
      <c r="F327" s="26">
        <v>1998.73</v>
      </c>
      <c r="Q327" s="20">
        <v>32.6</v>
      </c>
      <c r="R327" s="20">
        <v>70.52</v>
      </c>
      <c r="S327" s="26">
        <v>71</v>
      </c>
      <c r="T327" s="26">
        <v>0.48</v>
      </c>
      <c r="U327" s="26">
        <v>1.07</v>
      </c>
      <c r="V327" s="26">
        <v>2635.79</v>
      </c>
    </row>
    <row r="328" spans="1:22" ht="16.8" x14ac:dyDescent="0.3">
      <c r="A328" s="20">
        <v>32.700000000000003</v>
      </c>
      <c r="B328" s="20">
        <v>71</v>
      </c>
      <c r="C328" s="20">
        <v>71.27</v>
      </c>
      <c r="D328" s="20">
        <v>-0.27</v>
      </c>
      <c r="E328" s="20">
        <v>0.01</v>
      </c>
      <c r="F328" s="20">
        <v>2004.71</v>
      </c>
      <c r="Q328" s="20">
        <v>32.700000000000003</v>
      </c>
      <c r="R328" s="20">
        <v>71.62</v>
      </c>
      <c r="S328" s="26">
        <v>71</v>
      </c>
      <c r="T328" s="26">
        <v>-0.62</v>
      </c>
      <c r="U328" s="26">
        <v>-1.1000000000000001</v>
      </c>
      <c r="V328" s="20">
        <v>700.14</v>
      </c>
    </row>
    <row r="329" spans="1:22" ht="16.8" x14ac:dyDescent="0.3">
      <c r="A329" s="20">
        <v>32.799999999999997</v>
      </c>
      <c r="B329" s="20">
        <v>71</v>
      </c>
      <c r="C329" s="26">
        <v>71.28</v>
      </c>
      <c r="D329" s="20">
        <v>-0.28000000000000003</v>
      </c>
      <c r="E329" s="20">
        <v>-0.01</v>
      </c>
      <c r="F329" s="26">
        <v>1998.73</v>
      </c>
      <c r="Q329" s="20">
        <v>32.799999999999997</v>
      </c>
      <c r="R329" s="20">
        <v>70.510000000000005</v>
      </c>
      <c r="S329" s="26">
        <v>71</v>
      </c>
      <c r="T329" s="26">
        <v>0.49</v>
      </c>
      <c r="U329" s="26">
        <v>1.1100000000000001</v>
      </c>
      <c r="V329" s="26">
        <v>2670.69</v>
      </c>
    </row>
    <row r="330" spans="1:22" ht="16.8" x14ac:dyDescent="0.3">
      <c r="A330" s="20">
        <v>32.9</v>
      </c>
      <c r="B330" s="20">
        <v>71</v>
      </c>
      <c r="C330" s="26">
        <v>71.34</v>
      </c>
      <c r="D330" s="20">
        <v>-0.34</v>
      </c>
      <c r="E330" s="20">
        <v>-0.06</v>
      </c>
      <c r="F330" s="20">
        <v>1944.68</v>
      </c>
      <c r="Q330" s="20">
        <v>32.9</v>
      </c>
      <c r="R330" s="20">
        <v>71.599999999999994</v>
      </c>
      <c r="S330" s="26">
        <v>71</v>
      </c>
      <c r="T330" s="26">
        <v>-0.6</v>
      </c>
      <c r="U330" s="26">
        <v>-1.1000000000000001</v>
      </c>
      <c r="V330" s="20">
        <v>702.61</v>
      </c>
    </row>
    <row r="331" spans="1:22" ht="16.8" x14ac:dyDescent="0.3">
      <c r="A331" s="20">
        <v>33</v>
      </c>
      <c r="B331" s="20">
        <v>71</v>
      </c>
      <c r="C331" s="20">
        <v>71.33</v>
      </c>
      <c r="D331" s="20">
        <v>-0.33</v>
      </c>
      <c r="E331" s="20">
        <v>0</v>
      </c>
      <c r="F331" s="26">
        <v>1949.06</v>
      </c>
      <c r="Q331" s="20">
        <v>33</v>
      </c>
      <c r="R331" s="20">
        <v>70.52</v>
      </c>
      <c r="S331" s="26">
        <v>71</v>
      </c>
      <c r="T331" s="26">
        <v>0.48</v>
      </c>
      <c r="U331" s="26">
        <v>1.08</v>
      </c>
      <c r="V331" s="26">
        <v>2641.64</v>
      </c>
    </row>
    <row r="332" spans="1:22" ht="16.8" x14ac:dyDescent="0.3">
      <c r="A332" s="20">
        <v>33.1</v>
      </c>
      <c r="B332" s="20">
        <v>71</v>
      </c>
      <c r="C332" s="26">
        <v>71.34</v>
      </c>
      <c r="D332" s="20">
        <v>-0.34</v>
      </c>
      <c r="E332" s="20">
        <v>-0.01</v>
      </c>
      <c r="F332" s="26">
        <v>1940.29</v>
      </c>
      <c r="Q332" s="20">
        <v>33.1</v>
      </c>
      <c r="R332" s="20">
        <v>71.52</v>
      </c>
      <c r="S332" s="26">
        <v>71</v>
      </c>
      <c r="T332" s="26">
        <v>-0.52</v>
      </c>
      <c r="U332" s="26">
        <v>-1</v>
      </c>
      <c r="V332" s="20">
        <v>794.17</v>
      </c>
    </row>
    <row r="333" spans="1:22" ht="16.8" x14ac:dyDescent="0.3">
      <c r="A333" s="20">
        <v>33.200000000000003</v>
      </c>
      <c r="B333" s="20">
        <v>71</v>
      </c>
      <c r="C333" s="20">
        <v>71.290000000000006</v>
      </c>
      <c r="D333" s="20">
        <v>-0.28999999999999998</v>
      </c>
      <c r="E333" s="20">
        <v>0.06</v>
      </c>
      <c r="F333" s="26">
        <v>1995.76</v>
      </c>
      <c r="Q333" s="20">
        <v>33.200000000000003</v>
      </c>
      <c r="R333" s="20">
        <v>70.5</v>
      </c>
      <c r="S333" s="26">
        <v>71</v>
      </c>
      <c r="T333" s="26">
        <v>0.5</v>
      </c>
      <c r="U333" s="26">
        <v>1.02</v>
      </c>
      <c r="V333" s="26">
        <v>2600.23</v>
      </c>
    </row>
    <row r="334" spans="1:22" ht="16.8" x14ac:dyDescent="0.3">
      <c r="A334" s="20">
        <v>33.299999999999997</v>
      </c>
      <c r="B334" s="20">
        <v>71</v>
      </c>
      <c r="C334" s="26">
        <v>71.349999999999994</v>
      </c>
      <c r="D334" s="20">
        <v>-0.35</v>
      </c>
      <c r="E334" s="20">
        <v>-0.06</v>
      </c>
      <c r="F334" s="20">
        <v>1931.46</v>
      </c>
      <c r="Q334" s="20">
        <v>33.299999999999997</v>
      </c>
      <c r="R334" s="20">
        <v>70.92</v>
      </c>
      <c r="S334" s="26">
        <v>71</v>
      </c>
      <c r="T334" s="20">
        <v>0.08</v>
      </c>
      <c r="U334" s="26">
        <v>-0.42</v>
      </c>
      <c r="V334" s="20">
        <v>1366.33</v>
      </c>
    </row>
    <row r="335" spans="1:22" ht="16.8" x14ac:dyDescent="0.3">
      <c r="A335" s="20">
        <v>33.4</v>
      </c>
      <c r="B335" s="20">
        <v>71</v>
      </c>
      <c r="C335" s="26">
        <v>71.290000000000006</v>
      </c>
      <c r="D335" s="20">
        <v>-0.28999999999999998</v>
      </c>
      <c r="E335" s="20">
        <v>0.06</v>
      </c>
      <c r="F335" s="26">
        <v>1992.81</v>
      </c>
      <c r="Q335" s="20">
        <v>33.4</v>
      </c>
      <c r="R335" s="20">
        <v>70.55</v>
      </c>
      <c r="S335" s="26">
        <v>71</v>
      </c>
      <c r="T335" s="26">
        <v>0.45</v>
      </c>
      <c r="U335" s="26">
        <v>0.37</v>
      </c>
      <c r="V335" s="26">
        <v>2067.19</v>
      </c>
    </row>
    <row r="336" spans="1:22" ht="16.8" x14ac:dyDescent="0.3">
      <c r="A336" s="20">
        <v>33.5</v>
      </c>
      <c r="B336" s="20">
        <v>71</v>
      </c>
      <c r="C336" s="20">
        <v>71.37</v>
      </c>
      <c r="D336" s="20">
        <v>-0.37</v>
      </c>
      <c r="E336" s="20">
        <v>-0.08</v>
      </c>
      <c r="F336" s="26">
        <v>1904.52</v>
      </c>
      <c r="Q336" s="20">
        <v>33.5</v>
      </c>
      <c r="R336" s="20">
        <v>70.61</v>
      </c>
      <c r="S336" s="26">
        <v>71</v>
      </c>
      <c r="T336" s="26">
        <v>0.39</v>
      </c>
      <c r="U336" s="26">
        <v>-0.06</v>
      </c>
      <c r="V336" s="20">
        <v>1706.43</v>
      </c>
    </row>
    <row r="337" spans="1:22" ht="16.8" x14ac:dyDescent="0.3">
      <c r="A337" s="20">
        <v>33.6</v>
      </c>
      <c r="B337" s="20">
        <v>71</v>
      </c>
      <c r="C337" s="26">
        <v>71.31</v>
      </c>
      <c r="D337" s="20">
        <v>-0.31</v>
      </c>
      <c r="E337" s="20">
        <v>0.06</v>
      </c>
      <c r="F337" s="20">
        <v>1970.63</v>
      </c>
      <c r="Q337" s="20">
        <v>33.6</v>
      </c>
      <c r="R337" s="20">
        <v>70.510000000000005</v>
      </c>
      <c r="S337" s="26">
        <v>71</v>
      </c>
      <c r="T337" s="26">
        <v>0.49</v>
      </c>
      <c r="U337" s="26">
        <v>0.1</v>
      </c>
      <c r="V337" s="20">
        <v>1861.9</v>
      </c>
    </row>
    <row r="338" spans="1:22" ht="16.8" x14ac:dyDescent="0.3">
      <c r="A338" s="20">
        <v>33.700000000000003</v>
      </c>
      <c r="B338" s="20">
        <v>71</v>
      </c>
      <c r="C338" s="26">
        <v>71.31</v>
      </c>
      <c r="D338" s="20">
        <v>-0.31</v>
      </c>
      <c r="E338" s="20">
        <v>0.01</v>
      </c>
      <c r="F338" s="26">
        <v>1979.14</v>
      </c>
      <c r="Q338" s="20">
        <v>33.700000000000003</v>
      </c>
      <c r="R338" s="20">
        <v>70.569999999999993</v>
      </c>
      <c r="S338" s="26">
        <v>71</v>
      </c>
      <c r="T338" s="26">
        <v>0.43</v>
      </c>
      <c r="U338" s="26">
        <v>-0.06</v>
      </c>
      <c r="V338" s="26">
        <v>1715.57</v>
      </c>
    </row>
    <row r="339" spans="1:22" ht="16.8" x14ac:dyDescent="0.3">
      <c r="A339" s="20">
        <v>33.799999999999997</v>
      </c>
      <c r="B339" s="20">
        <v>71</v>
      </c>
      <c r="C339" s="20">
        <v>71.39</v>
      </c>
      <c r="D339" s="20">
        <v>-0.39</v>
      </c>
      <c r="E339" s="20">
        <v>-0.08</v>
      </c>
      <c r="F339" s="20">
        <v>1886.03</v>
      </c>
      <c r="Q339" s="20">
        <v>33.799999999999997</v>
      </c>
      <c r="R339" s="20">
        <v>70.569999999999993</v>
      </c>
      <c r="S339" s="26">
        <v>71</v>
      </c>
      <c r="T339" s="26">
        <v>0.43</v>
      </c>
      <c r="U339" s="26">
        <v>0</v>
      </c>
      <c r="V339" s="20">
        <v>1768.59</v>
      </c>
    </row>
    <row r="340" spans="1:22" ht="16.8" x14ac:dyDescent="0.3">
      <c r="A340" s="20">
        <v>33.9</v>
      </c>
      <c r="B340" s="20">
        <v>71</v>
      </c>
      <c r="C340" s="26">
        <v>71.33</v>
      </c>
      <c r="D340" s="20">
        <v>-0.33</v>
      </c>
      <c r="E340" s="20">
        <v>0.06</v>
      </c>
      <c r="F340" s="26">
        <v>1953.42</v>
      </c>
      <c r="Q340" s="20">
        <v>33.9</v>
      </c>
      <c r="R340" s="20">
        <v>70.61</v>
      </c>
      <c r="S340" s="26">
        <v>71</v>
      </c>
      <c r="T340" s="26">
        <v>0.39</v>
      </c>
      <c r="U340" s="26">
        <v>-0.04</v>
      </c>
      <c r="V340" s="26">
        <v>1730.2</v>
      </c>
    </row>
    <row r="341" spans="1:22" ht="16.8" x14ac:dyDescent="0.3">
      <c r="A341" s="20">
        <v>34</v>
      </c>
      <c r="B341" s="20">
        <v>71</v>
      </c>
      <c r="C341" s="20">
        <v>71.34</v>
      </c>
      <c r="D341" s="20">
        <v>-0.34</v>
      </c>
      <c r="E341" s="20">
        <v>-0.01</v>
      </c>
      <c r="F341" s="26">
        <v>1944.68</v>
      </c>
      <c r="Q341" s="20">
        <v>34</v>
      </c>
      <c r="R341" s="20">
        <v>70.61</v>
      </c>
      <c r="S341" s="26">
        <v>71</v>
      </c>
      <c r="T341" s="26">
        <v>0.39</v>
      </c>
      <c r="U341" s="26">
        <v>0</v>
      </c>
      <c r="V341" s="20">
        <v>1763.64</v>
      </c>
    </row>
    <row r="342" spans="1:22" ht="16.8" x14ac:dyDescent="0.3">
      <c r="A342" s="20">
        <v>34.1</v>
      </c>
      <c r="B342" s="20">
        <v>71</v>
      </c>
      <c r="C342" s="26">
        <v>71.38</v>
      </c>
      <c r="D342" s="20">
        <v>-0.38</v>
      </c>
      <c r="E342" s="20">
        <v>-0.04</v>
      </c>
      <c r="F342" s="20">
        <v>1899.95</v>
      </c>
      <c r="Q342" s="20">
        <v>34.1</v>
      </c>
      <c r="R342" s="20">
        <v>70.599999999999994</v>
      </c>
      <c r="S342" s="26">
        <v>71</v>
      </c>
      <c r="T342" s="26">
        <v>0.4</v>
      </c>
      <c r="U342" s="26">
        <v>0.02</v>
      </c>
      <c r="V342" s="26">
        <v>1780.37</v>
      </c>
    </row>
    <row r="343" spans="1:22" ht="16.8" x14ac:dyDescent="0.3">
      <c r="A343" s="20">
        <v>34.200000000000003</v>
      </c>
      <c r="B343" s="20">
        <v>71</v>
      </c>
      <c r="C343" s="26">
        <v>71.36</v>
      </c>
      <c r="D343" s="20">
        <v>-0.36</v>
      </c>
      <c r="E343" s="20">
        <v>0.02</v>
      </c>
      <c r="F343" s="26">
        <v>1922.57</v>
      </c>
      <c r="Q343" s="20">
        <v>34.200000000000003</v>
      </c>
      <c r="R343" s="20">
        <v>70.62</v>
      </c>
      <c r="S343" s="26">
        <v>71</v>
      </c>
      <c r="T343" s="26">
        <v>0.38</v>
      </c>
      <c r="U343" s="26">
        <v>-0.02</v>
      </c>
      <c r="V343" s="20">
        <v>1744.71</v>
      </c>
    </row>
    <row r="344" spans="1:22" ht="16.8" x14ac:dyDescent="0.3">
      <c r="A344" s="20">
        <v>34.299999999999997</v>
      </c>
      <c r="B344" s="20">
        <v>71</v>
      </c>
      <c r="C344" s="20">
        <v>71.349999999999994</v>
      </c>
      <c r="D344" s="20">
        <v>-0.35</v>
      </c>
      <c r="E344" s="20">
        <v>0</v>
      </c>
      <c r="F344" s="26">
        <v>1927.02</v>
      </c>
      <c r="Q344" s="20">
        <v>34.299999999999997</v>
      </c>
      <c r="R344" s="20">
        <v>70.650000000000006</v>
      </c>
      <c r="S344" s="26">
        <v>71</v>
      </c>
      <c r="T344" s="26">
        <v>0.35</v>
      </c>
      <c r="U344" s="20">
        <v>-0.03</v>
      </c>
      <c r="V344" s="20">
        <v>1733.59</v>
      </c>
    </row>
    <row r="345" spans="1:22" ht="16.8" x14ac:dyDescent="0.3">
      <c r="A345" s="20">
        <v>34.4</v>
      </c>
      <c r="B345" s="20">
        <v>71</v>
      </c>
      <c r="C345" s="26">
        <v>71.34</v>
      </c>
      <c r="D345" s="20">
        <v>-0.34</v>
      </c>
      <c r="E345" s="20">
        <v>0.01</v>
      </c>
      <c r="F345" s="20">
        <v>1940.29</v>
      </c>
      <c r="Q345" s="20">
        <v>34.4</v>
      </c>
      <c r="R345" s="20">
        <v>70.67</v>
      </c>
      <c r="S345" s="26">
        <v>71</v>
      </c>
      <c r="T345" s="26">
        <v>0.33</v>
      </c>
      <c r="U345" s="26">
        <v>-0.02</v>
      </c>
      <c r="V345" s="26">
        <v>1744.64</v>
      </c>
    </row>
    <row r="346" spans="1:22" ht="16.8" x14ac:dyDescent="0.3">
      <c r="A346" s="20">
        <v>34.5</v>
      </c>
      <c r="B346" s="20">
        <v>71</v>
      </c>
      <c r="C346" s="26">
        <v>71.33</v>
      </c>
      <c r="D346" s="20">
        <v>-0.33</v>
      </c>
      <c r="E346" s="20">
        <v>0.02</v>
      </c>
      <c r="F346" s="26">
        <v>1957.76</v>
      </c>
      <c r="Q346" s="20">
        <v>34.5</v>
      </c>
      <c r="R346" s="20">
        <v>70.709999999999994</v>
      </c>
      <c r="S346" s="26">
        <v>71</v>
      </c>
      <c r="T346" s="26">
        <v>0.28999999999999998</v>
      </c>
      <c r="U346" s="26">
        <v>-0.04</v>
      </c>
      <c r="V346" s="20">
        <v>1719.02</v>
      </c>
    </row>
    <row r="347" spans="1:22" ht="16.8" x14ac:dyDescent="0.3">
      <c r="A347" s="20">
        <v>34.6</v>
      </c>
      <c r="B347" s="20">
        <v>71</v>
      </c>
      <c r="C347" s="20">
        <v>71.319999999999993</v>
      </c>
      <c r="D347" s="20">
        <v>-0.32</v>
      </c>
      <c r="E347" s="20">
        <v>0.01</v>
      </c>
      <c r="F347" s="20">
        <v>1966.37</v>
      </c>
      <c r="Q347" s="20">
        <v>34.6</v>
      </c>
      <c r="R347" s="20">
        <v>70.72</v>
      </c>
      <c r="S347" s="26">
        <v>71</v>
      </c>
      <c r="T347" s="26">
        <v>0.28000000000000003</v>
      </c>
      <c r="U347" s="26">
        <v>-0.01</v>
      </c>
      <c r="V347" s="26">
        <v>1744.32</v>
      </c>
    </row>
    <row r="348" spans="1:22" ht="16.8" x14ac:dyDescent="0.3">
      <c r="A348" s="20">
        <v>34.700000000000003</v>
      </c>
      <c r="B348" s="20">
        <v>71</v>
      </c>
      <c r="C348" s="26">
        <v>71.36</v>
      </c>
      <c r="D348" s="20">
        <v>-0.36</v>
      </c>
      <c r="E348" s="20">
        <v>-0.04</v>
      </c>
      <c r="F348" s="26">
        <v>1922.57</v>
      </c>
      <c r="Q348" s="20">
        <v>34.700000000000003</v>
      </c>
      <c r="R348" s="20">
        <v>70.75</v>
      </c>
      <c r="S348" s="26">
        <v>71</v>
      </c>
      <c r="T348" s="26">
        <v>0.25</v>
      </c>
      <c r="U348" s="26">
        <v>-0.03</v>
      </c>
      <c r="V348" s="20">
        <v>1719.94</v>
      </c>
    </row>
    <row r="349" spans="1:22" ht="16.8" x14ac:dyDescent="0.3">
      <c r="A349" s="20">
        <v>34.799999999999997</v>
      </c>
      <c r="B349" s="20">
        <v>71</v>
      </c>
      <c r="C349" s="20">
        <v>71.349999999999994</v>
      </c>
      <c r="D349" s="20">
        <v>-0.35</v>
      </c>
      <c r="E349" s="20">
        <v>0.01</v>
      </c>
      <c r="F349" s="26">
        <v>1931.46</v>
      </c>
      <c r="Q349" s="20">
        <v>34.799999999999997</v>
      </c>
      <c r="R349" s="20">
        <v>70.73</v>
      </c>
      <c r="S349" s="26">
        <v>71</v>
      </c>
      <c r="T349" s="26">
        <v>0.27</v>
      </c>
      <c r="U349" s="26">
        <v>0.02</v>
      </c>
      <c r="V349" s="26">
        <v>1762.34</v>
      </c>
    </row>
    <row r="350" spans="1:22" ht="16.8" x14ac:dyDescent="0.3">
      <c r="A350" s="20">
        <v>34.9</v>
      </c>
      <c r="B350" s="20">
        <v>71</v>
      </c>
      <c r="C350" s="26">
        <v>71.37</v>
      </c>
      <c r="D350" s="20">
        <v>-0.37</v>
      </c>
      <c r="E350" s="20">
        <v>-0.02</v>
      </c>
      <c r="F350" s="20">
        <v>1909.09</v>
      </c>
      <c r="Q350" s="20">
        <v>34.9</v>
      </c>
      <c r="R350" s="20">
        <v>70.8</v>
      </c>
      <c r="S350" s="26">
        <v>71</v>
      </c>
      <c r="T350" s="26">
        <v>0.2</v>
      </c>
      <c r="U350" s="20">
        <v>-0.06</v>
      </c>
      <c r="V350" s="20">
        <v>1686.87</v>
      </c>
    </row>
    <row r="351" spans="1:22" ht="16.8" x14ac:dyDescent="0.3">
      <c r="A351" s="20">
        <v>35</v>
      </c>
      <c r="B351" s="20">
        <v>71</v>
      </c>
      <c r="C351" s="26">
        <v>71.38</v>
      </c>
      <c r="D351" s="20">
        <v>-0.38</v>
      </c>
      <c r="E351" s="20">
        <v>-0.01</v>
      </c>
      <c r="F351" s="26">
        <v>1895.31</v>
      </c>
      <c r="Q351" s="20">
        <v>35</v>
      </c>
      <c r="R351" s="20">
        <v>70.78</v>
      </c>
      <c r="S351" s="26">
        <v>71</v>
      </c>
      <c r="T351" s="26">
        <v>0.22</v>
      </c>
      <c r="U351" s="26">
        <v>0.02</v>
      </c>
      <c r="V351" s="26">
        <v>1755.12</v>
      </c>
    </row>
    <row r="352" spans="1:22" ht="16.8" x14ac:dyDescent="0.3">
      <c r="A352" s="20">
        <v>35.1</v>
      </c>
      <c r="B352" s="20">
        <v>71</v>
      </c>
      <c r="C352" s="20">
        <v>71.37</v>
      </c>
      <c r="D352" s="20">
        <v>-0.37</v>
      </c>
      <c r="E352" s="20">
        <v>0.02</v>
      </c>
      <c r="F352" s="20">
        <v>1913.58</v>
      </c>
      <c r="Q352" s="20">
        <v>35.1</v>
      </c>
      <c r="R352" s="20">
        <v>70.81</v>
      </c>
      <c r="S352" s="26">
        <v>71</v>
      </c>
      <c r="T352" s="20">
        <v>0.19</v>
      </c>
      <c r="U352" s="20">
        <v>-0.03</v>
      </c>
      <c r="V352" s="20">
        <v>1711.12</v>
      </c>
    </row>
    <row r="353" spans="1:22" ht="16.8" x14ac:dyDescent="0.3">
      <c r="A353" s="20">
        <v>35.200000000000003</v>
      </c>
      <c r="B353" s="20">
        <v>71</v>
      </c>
      <c r="C353" s="26">
        <v>71.349999999999994</v>
      </c>
      <c r="D353" s="20">
        <v>-0.35</v>
      </c>
      <c r="E353" s="20">
        <v>0.01</v>
      </c>
      <c r="F353" s="26">
        <v>1927.02</v>
      </c>
      <c r="Q353" s="20">
        <v>35.200000000000003</v>
      </c>
      <c r="R353" s="20">
        <v>70.81</v>
      </c>
      <c r="S353" s="26">
        <v>71</v>
      </c>
      <c r="T353" s="26">
        <v>0.19</v>
      </c>
      <c r="U353" s="26">
        <v>0</v>
      </c>
      <c r="V353" s="26">
        <v>1737.56</v>
      </c>
    </row>
    <row r="354" spans="1:22" ht="16.8" x14ac:dyDescent="0.3">
      <c r="A354" s="20">
        <v>35.299999999999997</v>
      </c>
      <c r="B354" s="20">
        <v>71</v>
      </c>
      <c r="C354" s="20">
        <v>71.31</v>
      </c>
      <c r="D354" s="20">
        <v>-0.31</v>
      </c>
      <c r="E354" s="20">
        <v>0.05</v>
      </c>
      <c r="F354" s="26">
        <v>1979.14</v>
      </c>
      <c r="Q354" s="20">
        <v>35.299999999999997</v>
      </c>
      <c r="R354" s="20">
        <v>70.819999999999993</v>
      </c>
      <c r="S354" s="26">
        <v>71</v>
      </c>
      <c r="T354" s="20">
        <v>0.18</v>
      </c>
      <c r="U354" s="26">
        <v>-0.01</v>
      </c>
      <c r="V354" s="20">
        <v>1730.12</v>
      </c>
    </row>
    <row r="355" spans="1:22" ht="16.8" x14ac:dyDescent="0.3">
      <c r="A355" s="20">
        <v>35.4</v>
      </c>
      <c r="B355" s="20">
        <v>71</v>
      </c>
      <c r="C355" s="26">
        <v>71.28</v>
      </c>
      <c r="D355" s="20">
        <v>-0.28000000000000003</v>
      </c>
      <c r="E355" s="20">
        <v>0.02</v>
      </c>
      <c r="F355" s="20">
        <v>1998.73</v>
      </c>
      <c r="Q355" s="20">
        <v>35.4</v>
      </c>
      <c r="R355" s="20">
        <v>70.819999999999993</v>
      </c>
      <c r="S355" s="26">
        <v>71</v>
      </c>
      <c r="T355" s="26">
        <v>0.18</v>
      </c>
      <c r="U355" s="26">
        <v>0</v>
      </c>
      <c r="V355" s="26">
        <v>1737.06</v>
      </c>
    </row>
    <row r="356" spans="1:22" ht="16.8" x14ac:dyDescent="0.3">
      <c r="A356" s="20">
        <v>35.5</v>
      </c>
      <c r="B356" s="20">
        <v>71</v>
      </c>
      <c r="C356" s="26">
        <v>71.27</v>
      </c>
      <c r="D356" s="20">
        <v>-0.27</v>
      </c>
      <c r="E356" s="20">
        <v>0.01</v>
      </c>
      <c r="F356" s="26">
        <v>2007.73</v>
      </c>
      <c r="Q356" s="20">
        <v>35.5</v>
      </c>
      <c r="R356" s="20">
        <v>70.849999999999994</v>
      </c>
      <c r="S356" s="26">
        <v>71</v>
      </c>
      <c r="T356" s="26">
        <v>0.15</v>
      </c>
      <c r="U356" s="26">
        <v>-0.02</v>
      </c>
      <c r="V356" s="20">
        <v>1713.84</v>
      </c>
    </row>
    <row r="357" spans="1:22" ht="16.8" x14ac:dyDescent="0.3">
      <c r="A357" s="20">
        <v>35.6</v>
      </c>
      <c r="B357" s="20">
        <v>71</v>
      </c>
      <c r="C357" s="20">
        <v>71.33</v>
      </c>
      <c r="D357" s="20">
        <v>-0.33</v>
      </c>
      <c r="E357" s="20">
        <v>-0.06</v>
      </c>
      <c r="F357" s="26">
        <v>1953.42</v>
      </c>
      <c r="Q357" s="20">
        <v>35.6</v>
      </c>
      <c r="R357" s="20">
        <v>70.81</v>
      </c>
      <c r="S357" s="26">
        <v>71</v>
      </c>
      <c r="T357" s="26">
        <v>0.19</v>
      </c>
      <c r="U357" s="20">
        <v>0.03</v>
      </c>
      <c r="V357" s="26">
        <v>1765.26</v>
      </c>
    </row>
    <row r="358" spans="1:22" ht="16.8" x14ac:dyDescent="0.3">
      <c r="A358" s="20">
        <v>35.700000000000003</v>
      </c>
      <c r="B358" s="20">
        <v>71</v>
      </c>
      <c r="C358" s="26">
        <v>71.27</v>
      </c>
      <c r="D358" s="20">
        <v>-0.27</v>
      </c>
      <c r="E358" s="20">
        <v>0.06</v>
      </c>
      <c r="F358" s="20">
        <v>2010.74</v>
      </c>
      <c r="Q358" s="20">
        <v>35.700000000000003</v>
      </c>
      <c r="R358" s="20">
        <v>70.849999999999994</v>
      </c>
      <c r="S358" s="26">
        <v>71</v>
      </c>
      <c r="T358" s="26">
        <v>0.15</v>
      </c>
      <c r="U358" s="26">
        <v>-0.03</v>
      </c>
      <c r="V358" s="20">
        <v>1708.18</v>
      </c>
    </row>
    <row r="359" spans="1:22" ht="16.8" x14ac:dyDescent="0.3">
      <c r="A359" s="20">
        <v>35.799999999999997</v>
      </c>
      <c r="B359" s="20">
        <v>71</v>
      </c>
      <c r="C359" s="26">
        <v>71.31</v>
      </c>
      <c r="D359" s="20">
        <v>-0.31</v>
      </c>
      <c r="E359" s="20">
        <v>-0.04</v>
      </c>
      <c r="F359" s="26">
        <v>1979.14</v>
      </c>
      <c r="Q359" s="20">
        <v>35.799999999999997</v>
      </c>
      <c r="R359" s="20">
        <v>70.87</v>
      </c>
      <c r="S359" s="26">
        <v>71</v>
      </c>
      <c r="T359" s="26">
        <v>0.13</v>
      </c>
      <c r="U359" s="20">
        <v>-0.02</v>
      </c>
      <c r="V359" s="20">
        <v>1710.86</v>
      </c>
    </row>
    <row r="360" spans="1:22" ht="16.8" x14ac:dyDescent="0.3">
      <c r="A360" s="20">
        <v>35.9</v>
      </c>
      <c r="B360" s="20">
        <v>71</v>
      </c>
      <c r="C360" s="20">
        <v>71.290000000000006</v>
      </c>
      <c r="D360" s="20">
        <v>-0.28999999999999998</v>
      </c>
      <c r="E360" s="20">
        <v>0.02</v>
      </c>
      <c r="F360" s="26">
        <v>1992.81</v>
      </c>
      <c r="Q360" s="20">
        <v>35.9</v>
      </c>
      <c r="R360" s="20">
        <v>70.88</v>
      </c>
      <c r="S360" s="26">
        <v>71</v>
      </c>
      <c r="T360" s="26">
        <v>0.12</v>
      </c>
      <c r="U360" s="26">
        <v>-0.01</v>
      </c>
      <c r="V360" s="26">
        <v>1722.79</v>
      </c>
    </row>
    <row r="361" spans="1:22" ht="16.8" x14ac:dyDescent="0.3">
      <c r="A361" s="20">
        <v>36</v>
      </c>
      <c r="B361" s="20">
        <v>71</v>
      </c>
      <c r="C361" s="26">
        <v>71.290000000000006</v>
      </c>
      <c r="D361" s="20">
        <v>-0.28999999999999998</v>
      </c>
      <c r="E361" s="20">
        <v>0</v>
      </c>
      <c r="F361" s="20">
        <v>1992.81</v>
      </c>
      <c r="Q361" s="20">
        <v>36</v>
      </c>
      <c r="R361" s="20">
        <v>70.89</v>
      </c>
      <c r="S361" s="26">
        <v>71</v>
      </c>
      <c r="T361" s="26">
        <v>0.11</v>
      </c>
      <c r="U361" s="26">
        <v>-0.01</v>
      </c>
      <c r="V361" s="20">
        <v>1721.69</v>
      </c>
    </row>
    <row r="362" spans="1:22" ht="16.8" x14ac:dyDescent="0.3">
      <c r="A362" s="20">
        <v>36.1</v>
      </c>
      <c r="B362" s="20">
        <v>71</v>
      </c>
      <c r="C362" s="20">
        <v>71.31</v>
      </c>
      <c r="D362" s="20">
        <v>-0.31</v>
      </c>
      <c r="E362" s="20">
        <v>-0.02</v>
      </c>
      <c r="F362" s="26">
        <v>1970.63</v>
      </c>
      <c r="Q362" s="20">
        <v>36.1</v>
      </c>
      <c r="R362" s="20">
        <v>70.930000000000007</v>
      </c>
      <c r="S362" s="26">
        <v>71</v>
      </c>
      <c r="T362" s="26">
        <v>7.0000000000000007E-2</v>
      </c>
      <c r="U362" s="26">
        <v>-0.04</v>
      </c>
      <c r="V362" s="26">
        <v>1689.03</v>
      </c>
    </row>
    <row r="363" spans="1:22" ht="16.8" x14ac:dyDescent="0.3">
      <c r="A363" s="20">
        <v>36.200000000000003</v>
      </c>
      <c r="B363" s="20">
        <v>71</v>
      </c>
      <c r="C363" s="26">
        <v>71.290000000000006</v>
      </c>
      <c r="D363" s="20">
        <v>-0.28999999999999998</v>
      </c>
      <c r="E363" s="20">
        <v>0.02</v>
      </c>
      <c r="F363" s="20">
        <v>1989.9</v>
      </c>
      <c r="Q363" s="20">
        <v>36.200000000000003</v>
      </c>
      <c r="R363" s="20">
        <v>70.959999999999994</v>
      </c>
      <c r="S363" s="26">
        <v>71</v>
      </c>
      <c r="T363" s="26">
        <v>0.04</v>
      </c>
      <c r="U363" s="26">
        <v>-0.03</v>
      </c>
      <c r="V363" s="20">
        <v>1690.12</v>
      </c>
    </row>
    <row r="364" spans="1:22" ht="16.8" x14ac:dyDescent="0.3">
      <c r="A364" s="20">
        <v>36.299999999999997</v>
      </c>
      <c r="B364" s="20">
        <v>71</v>
      </c>
      <c r="C364" s="26">
        <v>71.31</v>
      </c>
      <c r="D364" s="20">
        <v>-0.31</v>
      </c>
      <c r="E364" s="20">
        <v>-0.01</v>
      </c>
      <c r="F364" s="26">
        <v>1979.14</v>
      </c>
      <c r="Q364" s="20">
        <v>36.299999999999997</v>
      </c>
      <c r="R364" s="20">
        <v>70.930000000000007</v>
      </c>
      <c r="S364" s="26">
        <v>71</v>
      </c>
      <c r="T364" s="26">
        <v>7.0000000000000007E-2</v>
      </c>
      <c r="U364" s="26">
        <v>0.03</v>
      </c>
      <c r="V364" s="26">
        <v>1747.76</v>
      </c>
    </row>
    <row r="365" spans="1:22" ht="16.8" x14ac:dyDescent="0.3">
      <c r="A365" s="20">
        <v>36.4</v>
      </c>
      <c r="B365" s="20">
        <v>71</v>
      </c>
      <c r="C365" s="20">
        <v>71.25</v>
      </c>
      <c r="D365" s="20">
        <v>-0.25</v>
      </c>
      <c r="E365" s="20">
        <v>0.05</v>
      </c>
      <c r="F365" s="26">
        <v>2019.98</v>
      </c>
      <c r="Q365" s="20">
        <v>36.4</v>
      </c>
      <c r="R365" s="20">
        <v>70.959999999999994</v>
      </c>
      <c r="S365" s="26">
        <v>71</v>
      </c>
      <c r="T365" s="26">
        <v>0.04</v>
      </c>
      <c r="U365" s="26">
        <v>-0.03</v>
      </c>
      <c r="V365" s="20">
        <v>1690.4</v>
      </c>
    </row>
    <row r="366" spans="1:22" ht="16.8" x14ac:dyDescent="0.3">
      <c r="A366" s="20">
        <v>36.5</v>
      </c>
      <c r="B366" s="20">
        <v>71</v>
      </c>
      <c r="C366" s="26">
        <v>71.260000000000005</v>
      </c>
      <c r="D366" s="20">
        <v>-0.26</v>
      </c>
      <c r="E366" s="20">
        <v>0</v>
      </c>
      <c r="F366" s="20">
        <v>2016.89</v>
      </c>
      <c r="Q366" s="20">
        <v>36.5</v>
      </c>
      <c r="R366" s="20">
        <v>70.97</v>
      </c>
      <c r="S366" s="26">
        <v>71</v>
      </c>
      <c r="T366" s="26">
        <v>0.03</v>
      </c>
      <c r="U366" s="26">
        <v>-0.01</v>
      </c>
      <c r="V366" s="20">
        <v>1708.59</v>
      </c>
    </row>
    <row r="367" spans="1:22" ht="16.8" x14ac:dyDescent="0.3">
      <c r="A367" s="20">
        <v>36.6</v>
      </c>
      <c r="B367" s="20">
        <v>71</v>
      </c>
      <c r="C367" s="26">
        <v>71.31</v>
      </c>
      <c r="D367" s="20">
        <v>-0.31</v>
      </c>
      <c r="E367" s="20">
        <v>-0.05</v>
      </c>
      <c r="F367" s="26">
        <v>1974.89</v>
      </c>
      <c r="Q367" s="20">
        <v>36.6</v>
      </c>
      <c r="R367" s="20">
        <v>70.94</v>
      </c>
      <c r="S367" s="26">
        <v>71</v>
      </c>
      <c r="T367" s="26">
        <v>0.06</v>
      </c>
      <c r="U367" s="26">
        <v>0.02</v>
      </c>
      <c r="V367" s="26">
        <v>1738.83</v>
      </c>
    </row>
    <row r="368" spans="1:22" ht="16.8" x14ac:dyDescent="0.3">
      <c r="A368" s="20">
        <v>36.700000000000003</v>
      </c>
      <c r="B368" s="20">
        <v>71</v>
      </c>
      <c r="C368" s="20">
        <v>71.290000000000006</v>
      </c>
      <c r="D368" s="20">
        <v>-0.28999999999999998</v>
      </c>
      <c r="E368" s="20">
        <v>0.02</v>
      </c>
      <c r="F368" s="20">
        <v>1992.81</v>
      </c>
      <c r="Q368" s="20">
        <v>36.700000000000003</v>
      </c>
      <c r="R368" s="20">
        <v>70.98</v>
      </c>
      <c r="S368" s="26">
        <v>71</v>
      </c>
      <c r="T368" s="26">
        <v>0.02</v>
      </c>
      <c r="U368" s="26">
        <v>-0.04</v>
      </c>
      <c r="V368" s="20">
        <v>1680.04</v>
      </c>
    </row>
    <row r="369" spans="1:22" ht="16.8" x14ac:dyDescent="0.3">
      <c r="A369" s="20">
        <v>36.799999999999997</v>
      </c>
      <c r="B369" s="20">
        <v>71</v>
      </c>
      <c r="C369" s="26">
        <v>71.27</v>
      </c>
      <c r="D369" s="20">
        <v>-0.27</v>
      </c>
      <c r="E369" s="20">
        <v>0.02</v>
      </c>
      <c r="F369" s="26">
        <v>2007.73</v>
      </c>
      <c r="Q369" s="20">
        <v>36.799999999999997</v>
      </c>
      <c r="R369" s="20">
        <v>70.97</v>
      </c>
      <c r="S369" s="26">
        <v>71</v>
      </c>
      <c r="T369" s="26">
        <v>0.03</v>
      </c>
      <c r="U369" s="26">
        <v>0.02</v>
      </c>
      <c r="V369" s="26">
        <v>1728.35</v>
      </c>
    </row>
    <row r="370" spans="1:22" ht="16.8" x14ac:dyDescent="0.3">
      <c r="A370" s="20">
        <v>36.9</v>
      </c>
      <c r="B370" s="20">
        <v>71</v>
      </c>
      <c r="C370" s="20">
        <v>71.319999999999993</v>
      </c>
      <c r="D370" s="20">
        <v>-0.32</v>
      </c>
      <c r="E370" s="20">
        <v>-0.05</v>
      </c>
      <c r="F370" s="26">
        <v>1966.37</v>
      </c>
      <c r="Q370" s="20">
        <v>36.9</v>
      </c>
      <c r="R370" s="20">
        <v>71</v>
      </c>
      <c r="S370" s="26">
        <v>71</v>
      </c>
      <c r="T370" s="26">
        <v>0</v>
      </c>
      <c r="U370" s="26">
        <v>-0.03</v>
      </c>
      <c r="V370" s="20">
        <v>1683.86</v>
      </c>
    </row>
    <row r="371" spans="1:22" ht="16.8" x14ac:dyDescent="0.3">
      <c r="A371" s="20">
        <v>37</v>
      </c>
      <c r="B371" s="20">
        <v>71</v>
      </c>
      <c r="C371" s="26">
        <v>71.319999999999993</v>
      </c>
      <c r="D371" s="20">
        <v>-0.32</v>
      </c>
      <c r="E371" s="20">
        <v>0</v>
      </c>
      <c r="F371" s="20">
        <v>1962.08</v>
      </c>
      <c r="Q371" s="20">
        <v>37</v>
      </c>
      <c r="R371" s="20">
        <v>71.02</v>
      </c>
      <c r="S371" s="26">
        <v>71</v>
      </c>
      <c r="T371" s="26">
        <v>-0.02</v>
      </c>
      <c r="U371" s="26">
        <v>-0.02</v>
      </c>
      <c r="V371" s="26">
        <v>1686.17</v>
      </c>
    </row>
    <row r="372" spans="1:22" ht="16.8" x14ac:dyDescent="0.3">
      <c r="A372" s="20">
        <v>37.1</v>
      </c>
      <c r="B372" s="20">
        <v>71</v>
      </c>
      <c r="C372" s="26">
        <v>71.27</v>
      </c>
      <c r="D372" s="20">
        <v>-0.27</v>
      </c>
      <c r="E372" s="20">
        <v>0.06</v>
      </c>
      <c r="F372" s="26">
        <v>2010.74</v>
      </c>
      <c r="Q372" s="20">
        <v>37.1</v>
      </c>
      <c r="R372" s="20">
        <v>70.98</v>
      </c>
      <c r="S372" s="26">
        <v>71</v>
      </c>
      <c r="T372" s="20">
        <v>0.02</v>
      </c>
      <c r="U372" s="26">
        <v>0.04</v>
      </c>
      <c r="V372" s="20">
        <v>1745.06</v>
      </c>
    </row>
    <row r="373" spans="1:22" ht="16.8" x14ac:dyDescent="0.3">
      <c r="A373" s="20">
        <v>37.200000000000003</v>
      </c>
      <c r="B373" s="20">
        <v>71</v>
      </c>
      <c r="C373" s="20">
        <v>71.3</v>
      </c>
      <c r="D373" s="20">
        <v>-0.3</v>
      </c>
      <c r="E373" s="20">
        <v>-0.04</v>
      </c>
      <c r="F373" s="20">
        <v>1983.37</v>
      </c>
      <c r="Q373" s="20">
        <v>37.200000000000003</v>
      </c>
      <c r="R373" s="20">
        <v>71.02</v>
      </c>
      <c r="S373" s="26">
        <v>71</v>
      </c>
      <c r="T373" s="26">
        <v>-0.02</v>
      </c>
      <c r="U373" s="26">
        <v>-0.03</v>
      </c>
      <c r="V373" s="26">
        <v>1681.07</v>
      </c>
    </row>
    <row r="374" spans="1:22" ht="16.8" x14ac:dyDescent="0.3">
      <c r="A374" s="20">
        <v>37.299999999999997</v>
      </c>
      <c r="B374" s="20">
        <v>71</v>
      </c>
      <c r="C374" s="26">
        <v>71.34</v>
      </c>
      <c r="D374" s="20">
        <v>-0.34</v>
      </c>
      <c r="E374" s="20">
        <v>-0.04</v>
      </c>
      <c r="F374" s="26">
        <v>1944.68</v>
      </c>
      <c r="Q374" s="20">
        <v>37.299999999999997</v>
      </c>
      <c r="R374" s="20">
        <v>71.02</v>
      </c>
      <c r="S374" s="26">
        <v>71</v>
      </c>
      <c r="T374" s="20">
        <v>-0.02</v>
      </c>
      <c r="U374" s="26">
        <v>-0.01</v>
      </c>
      <c r="V374" s="20">
        <v>1699.1</v>
      </c>
    </row>
    <row r="375" spans="1:22" ht="16.8" x14ac:dyDescent="0.3">
      <c r="A375" s="20">
        <v>37.4</v>
      </c>
      <c r="B375" s="20">
        <v>71</v>
      </c>
      <c r="C375" s="26">
        <v>71.34</v>
      </c>
      <c r="D375" s="20">
        <v>-0.34</v>
      </c>
      <c r="E375" s="20">
        <v>0</v>
      </c>
      <c r="F375" s="26">
        <v>1944.68</v>
      </c>
      <c r="Q375" s="20">
        <v>37.4</v>
      </c>
      <c r="R375" s="20">
        <v>71.05</v>
      </c>
      <c r="S375" s="26">
        <v>71</v>
      </c>
      <c r="T375" s="26">
        <v>-0.05</v>
      </c>
      <c r="U375" s="26">
        <v>-0.02</v>
      </c>
      <c r="V375" s="26">
        <v>1681.88</v>
      </c>
    </row>
    <row r="376" spans="1:22" ht="16.8" x14ac:dyDescent="0.3">
      <c r="A376" s="20">
        <v>37.5</v>
      </c>
      <c r="B376" s="20">
        <v>71</v>
      </c>
      <c r="C376" s="20">
        <v>71.349999999999994</v>
      </c>
      <c r="D376" s="20">
        <v>-0.35</v>
      </c>
      <c r="E376" s="20">
        <v>-0.02</v>
      </c>
      <c r="F376" s="20">
        <v>1927.02</v>
      </c>
      <c r="Q376" s="20">
        <v>37.5</v>
      </c>
      <c r="R376" s="20">
        <v>71.040000000000006</v>
      </c>
      <c r="S376" s="26">
        <v>71</v>
      </c>
      <c r="T376" s="26">
        <v>-0.04</v>
      </c>
      <c r="U376" s="26">
        <v>0.01</v>
      </c>
      <c r="V376" s="20">
        <v>1709.13</v>
      </c>
    </row>
    <row r="377" spans="1:22" ht="16.8" x14ac:dyDescent="0.3">
      <c r="A377" s="20">
        <v>37.6</v>
      </c>
      <c r="B377" s="20">
        <v>71</v>
      </c>
      <c r="C377" s="26">
        <v>71.33</v>
      </c>
      <c r="D377" s="20">
        <v>-0.33</v>
      </c>
      <c r="E377" s="20">
        <v>0.02</v>
      </c>
      <c r="F377" s="26">
        <v>1949.06</v>
      </c>
      <c r="Q377" s="20">
        <v>37.6</v>
      </c>
      <c r="R377" s="20">
        <v>71.02</v>
      </c>
      <c r="S377" s="20">
        <v>71</v>
      </c>
      <c r="T377" s="26">
        <v>-0.02</v>
      </c>
      <c r="U377" s="26">
        <v>0.02</v>
      </c>
      <c r="V377" s="20">
        <v>1726.21</v>
      </c>
    </row>
    <row r="378" spans="1:22" ht="16.8" x14ac:dyDescent="0.3">
      <c r="A378" s="20">
        <v>37.700000000000003</v>
      </c>
      <c r="B378" s="20">
        <v>71</v>
      </c>
      <c r="C378" s="20">
        <v>71.36</v>
      </c>
      <c r="D378" s="20">
        <v>-0.36</v>
      </c>
      <c r="E378" s="20">
        <v>-0.03</v>
      </c>
      <c r="F378" s="20">
        <v>1918.1</v>
      </c>
      <c r="Q378" s="20">
        <v>37.700000000000003</v>
      </c>
      <c r="R378" s="20">
        <v>71.05</v>
      </c>
      <c r="S378" s="26">
        <v>71</v>
      </c>
      <c r="T378" s="26">
        <v>-0.05</v>
      </c>
      <c r="U378" s="26">
        <v>-0.03</v>
      </c>
      <c r="V378" s="26">
        <v>1675.12</v>
      </c>
    </row>
    <row r="379" spans="1:22" ht="16.8" x14ac:dyDescent="0.3">
      <c r="A379" s="20">
        <v>37.799999999999997</v>
      </c>
      <c r="B379" s="20">
        <v>71</v>
      </c>
      <c r="C379" s="26">
        <v>71.28</v>
      </c>
      <c r="D379" s="20">
        <v>-0.28000000000000003</v>
      </c>
      <c r="E379" s="20">
        <v>0.08</v>
      </c>
      <c r="F379" s="26">
        <v>2001.73</v>
      </c>
      <c r="Q379" s="20">
        <v>37.799999999999997</v>
      </c>
      <c r="R379" s="20">
        <v>71.03</v>
      </c>
      <c r="S379" s="20">
        <v>71</v>
      </c>
      <c r="T379" s="26">
        <v>-0.03</v>
      </c>
      <c r="U379" s="20">
        <v>0.02</v>
      </c>
      <c r="V379" s="20">
        <v>1716.76</v>
      </c>
    </row>
    <row r="380" spans="1:22" ht="16.8" x14ac:dyDescent="0.3">
      <c r="A380" s="20">
        <v>37.9</v>
      </c>
      <c r="B380" s="20">
        <v>71</v>
      </c>
      <c r="C380" s="26">
        <v>71.37</v>
      </c>
      <c r="D380" s="20">
        <v>-0.37</v>
      </c>
      <c r="E380" s="20">
        <v>-0.09</v>
      </c>
      <c r="F380" s="26">
        <v>1909.09</v>
      </c>
      <c r="Q380" s="20">
        <v>37.9</v>
      </c>
      <c r="R380" s="20">
        <v>71.069999999999993</v>
      </c>
      <c r="S380" s="26">
        <v>71</v>
      </c>
      <c r="T380" s="26">
        <v>-7.0000000000000007E-2</v>
      </c>
      <c r="U380" s="26">
        <v>-0.04</v>
      </c>
      <c r="V380" s="26">
        <v>1664.25</v>
      </c>
    </row>
    <row r="381" spans="1:22" ht="16.8" x14ac:dyDescent="0.3">
      <c r="A381" s="20">
        <v>38</v>
      </c>
      <c r="B381" s="20">
        <v>71</v>
      </c>
      <c r="C381" s="20">
        <v>71.319999999999993</v>
      </c>
      <c r="D381" s="20">
        <v>-0.32</v>
      </c>
      <c r="E381" s="20">
        <v>0.05</v>
      </c>
      <c r="F381" s="20">
        <v>1966.37</v>
      </c>
      <c r="Q381" s="20">
        <v>38</v>
      </c>
      <c r="R381" s="20">
        <v>71.08</v>
      </c>
      <c r="S381" s="26">
        <v>71</v>
      </c>
      <c r="T381" s="20">
        <v>-0.08</v>
      </c>
      <c r="U381" s="26">
        <v>-0.01</v>
      </c>
      <c r="V381" s="20">
        <v>1688.65</v>
      </c>
    </row>
    <row r="382" spans="1:22" ht="16.8" x14ac:dyDescent="0.3">
      <c r="A382" s="20">
        <v>38.1</v>
      </c>
      <c r="B382" s="20">
        <v>71</v>
      </c>
      <c r="C382" s="26">
        <v>71.39</v>
      </c>
      <c r="D382" s="20">
        <v>-0.39</v>
      </c>
      <c r="E382" s="20">
        <v>-7.0000000000000007E-2</v>
      </c>
      <c r="F382" s="26">
        <v>1886.03</v>
      </c>
      <c r="Q382" s="20">
        <v>38.1</v>
      </c>
      <c r="R382" s="20">
        <v>71.09</v>
      </c>
      <c r="S382" s="26">
        <v>71</v>
      </c>
      <c r="T382" s="26">
        <v>-0.09</v>
      </c>
      <c r="U382" s="26">
        <v>-0.01</v>
      </c>
      <c r="V382" s="26">
        <v>1687.06</v>
      </c>
    </row>
    <row r="383" spans="1:22" ht="16.8" x14ac:dyDescent="0.3">
      <c r="A383" s="20">
        <v>38.200000000000003</v>
      </c>
      <c r="B383" s="20">
        <v>71</v>
      </c>
      <c r="C383" s="26">
        <v>71.260000000000005</v>
      </c>
      <c r="D383" s="20">
        <v>-0.26</v>
      </c>
      <c r="E383" s="20">
        <v>0.13</v>
      </c>
      <c r="F383" s="26">
        <v>2016.89</v>
      </c>
      <c r="Q383" s="20">
        <v>38.200000000000003</v>
      </c>
      <c r="R383" s="20">
        <v>71.09</v>
      </c>
      <c r="S383" s="26">
        <v>71</v>
      </c>
      <c r="T383" s="20">
        <v>-0.09</v>
      </c>
      <c r="U383" s="26">
        <v>0</v>
      </c>
      <c r="V383" s="20">
        <v>1693.33</v>
      </c>
    </row>
    <row r="384" spans="1:22" ht="16.8" x14ac:dyDescent="0.3">
      <c r="A384" s="20">
        <v>38.299999999999997</v>
      </c>
      <c r="B384" s="20">
        <v>71</v>
      </c>
      <c r="C384" s="20">
        <v>71.37</v>
      </c>
      <c r="D384" s="20">
        <v>-0.37</v>
      </c>
      <c r="E384" s="20">
        <v>-0.12</v>
      </c>
      <c r="F384" s="20">
        <v>1904.52</v>
      </c>
      <c r="Q384" s="20">
        <v>38.299999999999997</v>
      </c>
      <c r="R384" s="20">
        <v>71.069999999999993</v>
      </c>
      <c r="S384" s="26">
        <v>71</v>
      </c>
      <c r="T384" s="26">
        <v>-7.0000000000000007E-2</v>
      </c>
      <c r="U384" s="26">
        <v>0.02</v>
      </c>
      <c r="V384" s="26">
        <v>1708.89</v>
      </c>
    </row>
    <row r="385" spans="1:22" ht="16.8" x14ac:dyDescent="0.3">
      <c r="A385" s="20">
        <v>38.4</v>
      </c>
      <c r="B385" s="20">
        <v>71</v>
      </c>
      <c r="C385" s="26">
        <v>71.239999999999995</v>
      </c>
      <c r="D385" s="20">
        <v>-0.24</v>
      </c>
      <c r="E385" s="20">
        <v>0.14000000000000001</v>
      </c>
      <c r="F385" s="26">
        <v>2032.67</v>
      </c>
      <c r="Q385" s="20">
        <v>38.4</v>
      </c>
      <c r="R385" s="20">
        <v>71.08</v>
      </c>
      <c r="S385" s="26">
        <v>71</v>
      </c>
      <c r="T385" s="26">
        <v>-0.08</v>
      </c>
      <c r="U385" s="26">
        <v>-0.01</v>
      </c>
      <c r="V385" s="20">
        <v>1687.83</v>
      </c>
    </row>
    <row r="386" spans="1:22" ht="16.8" x14ac:dyDescent="0.3">
      <c r="A386" s="20">
        <v>38.5</v>
      </c>
      <c r="B386" s="20">
        <v>71</v>
      </c>
      <c r="C386" s="20">
        <v>71.44</v>
      </c>
      <c r="D386" s="20">
        <v>-0.44</v>
      </c>
      <c r="E386" s="20">
        <v>-0.2</v>
      </c>
      <c r="F386" s="20">
        <v>1833.04</v>
      </c>
      <c r="Q386" s="20">
        <v>38.5</v>
      </c>
      <c r="R386" s="20">
        <v>71.040000000000006</v>
      </c>
      <c r="S386" s="26">
        <v>71</v>
      </c>
      <c r="T386" s="26">
        <v>-0.04</v>
      </c>
      <c r="U386" s="26">
        <v>0.04</v>
      </c>
      <c r="V386" s="26">
        <v>1733.57</v>
      </c>
    </row>
    <row r="387" spans="1:22" ht="16.8" x14ac:dyDescent="0.3">
      <c r="A387" s="20">
        <v>38.6</v>
      </c>
      <c r="B387" s="20">
        <v>71</v>
      </c>
      <c r="C387" s="26">
        <v>71.239999999999995</v>
      </c>
      <c r="D387" s="20">
        <v>-0.24</v>
      </c>
      <c r="E387" s="20">
        <v>0.2</v>
      </c>
      <c r="F387" s="26">
        <v>2027.43</v>
      </c>
      <c r="Q387" s="20">
        <v>38.6</v>
      </c>
      <c r="R387" s="20">
        <v>71.099999999999994</v>
      </c>
      <c r="S387" s="26">
        <v>71</v>
      </c>
      <c r="T387" s="26">
        <v>-0.1</v>
      </c>
      <c r="U387" s="26">
        <v>-0.06</v>
      </c>
      <c r="V387" s="20">
        <v>1645.78</v>
      </c>
    </row>
    <row r="388" spans="1:22" ht="16.8" x14ac:dyDescent="0.3">
      <c r="A388" s="20">
        <v>38.700000000000003</v>
      </c>
      <c r="B388" s="20">
        <v>71</v>
      </c>
      <c r="C388" s="26">
        <v>71.44</v>
      </c>
      <c r="D388" s="20">
        <v>-0.44</v>
      </c>
      <c r="E388" s="20">
        <v>-0.2</v>
      </c>
      <c r="F388" s="20">
        <v>1833.04</v>
      </c>
      <c r="Q388" s="20">
        <v>38.700000000000003</v>
      </c>
      <c r="R388" s="20">
        <v>71.069999999999993</v>
      </c>
      <c r="S388" s="26">
        <v>71</v>
      </c>
      <c r="T388" s="26">
        <v>-7.0000000000000007E-2</v>
      </c>
      <c r="U388" s="26">
        <v>0.02</v>
      </c>
      <c r="V388" s="26">
        <v>1714.66</v>
      </c>
    </row>
    <row r="389" spans="1:22" ht="16.8" x14ac:dyDescent="0.3">
      <c r="A389" s="20">
        <v>38.799999999999997</v>
      </c>
      <c r="B389" s="20">
        <v>71</v>
      </c>
      <c r="C389" s="20">
        <v>71.23</v>
      </c>
      <c r="D389" s="20">
        <v>-0.23</v>
      </c>
      <c r="E389" s="20">
        <v>0.2</v>
      </c>
      <c r="F389" s="26">
        <v>2028.47</v>
      </c>
      <c r="Q389" s="20">
        <v>38.799999999999997</v>
      </c>
      <c r="R389" s="20">
        <v>71.069999999999993</v>
      </c>
      <c r="S389" s="26">
        <v>71</v>
      </c>
      <c r="T389" s="26">
        <v>-7.0000000000000007E-2</v>
      </c>
      <c r="U389" s="26">
        <v>0</v>
      </c>
      <c r="V389" s="20">
        <v>1695</v>
      </c>
    </row>
    <row r="390" spans="1:22" ht="16.8" x14ac:dyDescent="0.3">
      <c r="A390" s="20">
        <v>38.9</v>
      </c>
      <c r="B390" s="20">
        <v>71</v>
      </c>
      <c r="C390" s="26">
        <v>71.37</v>
      </c>
      <c r="D390" s="20">
        <v>-0.37</v>
      </c>
      <c r="E390" s="20">
        <v>-0.14000000000000001</v>
      </c>
      <c r="F390" s="26">
        <v>1904.52</v>
      </c>
      <c r="Q390" s="20">
        <v>38.9</v>
      </c>
      <c r="R390" s="20">
        <v>70.989999999999995</v>
      </c>
      <c r="S390" s="26">
        <v>71</v>
      </c>
      <c r="T390" s="26">
        <v>0.01</v>
      </c>
      <c r="U390" s="26">
        <v>0.08</v>
      </c>
      <c r="V390" s="26">
        <v>1773.72</v>
      </c>
    </row>
    <row r="391" spans="1:22" ht="16.8" x14ac:dyDescent="0.3">
      <c r="A391" s="20">
        <v>39</v>
      </c>
      <c r="B391" s="20">
        <v>71</v>
      </c>
      <c r="C391" s="26">
        <v>71.2</v>
      </c>
      <c r="D391" s="20">
        <v>-0.2</v>
      </c>
      <c r="E391" s="20">
        <v>0.18</v>
      </c>
      <c r="F391" s="20">
        <v>2065.9299999999998</v>
      </c>
      <c r="Q391" s="20">
        <v>39</v>
      </c>
      <c r="R391" s="20">
        <v>71.099999999999994</v>
      </c>
      <c r="S391" s="26">
        <v>71</v>
      </c>
      <c r="T391" s="26">
        <v>-0.1</v>
      </c>
      <c r="U391" s="26">
        <v>-0.1</v>
      </c>
      <c r="V391" s="20">
        <v>1606.23</v>
      </c>
    </row>
    <row r="392" spans="1:22" ht="16.8" x14ac:dyDescent="0.3">
      <c r="A392" s="20">
        <v>39.1</v>
      </c>
      <c r="B392" s="20">
        <v>71</v>
      </c>
      <c r="C392" s="20">
        <v>71.42</v>
      </c>
      <c r="D392" s="20">
        <v>-0.42</v>
      </c>
      <c r="E392" s="20">
        <v>-0.23</v>
      </c>
      <c r="F392" s="26">
        <v>1847.9</v>
      </c>
      <c r="Q392" s="20">
        <v>39.1</v>
      </c>
      <c r="R392" s="20">
        <v>71.05</v>
      </c>
      <c r="S392" s="26">
        <v>71</v>
      </c>
      <c r="T392" s="26">
        <v>-0.05</v>
      </c>
      <c r="U392" s="26">
        <v>0.05</v>
      </c>
      <c r="V392" s="26">
        <v>1737.75</v>
      </c>
    </row>
    <row r="393" spans="1:22" ht="16.8" x14ac:dyDescent="0.3">
      <c r="A393" s="20">
        <v>39.200000000000003</v>
      </c>
      <c r="B393" s="20">
        <v>71</v>
      </c>
      <c r="C393" s="26">
        <v>71.16</v>
      </c>
      <c r="D393" s="20">
        <v>-0.16</v>
      </c>
      <c r="E393" s="20">
        <v>0.27</v>
      </c>
      <c r="F393" s="26">
        <v>2053.23</v>
      </c>
      <c r="Q393" s="20">
        <v>39.200000000000003</v>
      </c>
      <c r="R393" s="20">
        <v>71.08</v>
      </c>
      <c r="S393" s="26">
        <v>71</v>
      </c>
      <c r="T393" s="26">
        <v>-0.08</v>
      </c>
      <c r="U393" s="26">
        <v>-0.03</v>
      </c>
      <c r="V393" s="20">
        <v>1667.11</v>
      </c>
    </row>
    <row r="394" spans="1:22" ht="16.8" x14ac:dyDescent="0.3">
      <c r="A394" s="20">
        <v>39.299999999999997</v>
      </c>
      <c r="B394" s="20">
        <v>71</v>
      </c>
      <c r="C394" s="26">
        <v>71.37</v>
      </c>
      <c r="D394" s="20">
        <v>-0.37</v>
      </c>
      <c r="E394" s="20">
        <v>-0.22</v>
      </c>
      <c r="F394" s="20">
        <v>1904.52</v>
      </c>
      <c r="Q394" s="20">
        <v>39.299999999999997</v>
      </c>
      <c r="R394" s="20">
        <v>71.099999999999994</v>
      </c>
      <c r="S394" s="26">
        <v>71</v>
      </c>
      <c r="T394" s="20">
        <v>-0.1</v>
      </c>
      <c r="U394" s="20">
        <v>-0.02</v>
      </c>
      <c r="V394" s="20">
        <v>1677.11</v>
      </c>
    </row>
    <row r="395" spans="1:22" ht="16.8" x14ac:dyDescent="0.3">
      <c r="A395" s="20">
        <v>39.4</v>
      </c>
      <c r="B395" s="20">
        <v>71</v>
      </c>
      <c r="C395" s="20">
        <v>71.16</v>
      </c>
      <c r="D395" s="20">
        <v>-0.16</v>
      </c>
      <c r="E395" s="20">
        <v>0.21</v>
      </c>
      <c r="F395" s="26">
        <v>2084.5700000000002</v>
      </c>
      <c r="Q395" s="20">
        <v>39.4</v>
      </c>
      <c r="R395" s="20">
        <v>71.069999999999993</v>
      </c>
      <c r="S395" s="26">
        <v>71</v>
      </c>
      <c r="T395" s="26">
        <v>-7.0000000000000007E-2</v>
      </c>
      <c r="U395" s="26">
        <v>0.02</v>
      </c>
      <c r="V395" s="26">
        <v>1713.52</v>
      </c>
    </row>
    <row r="396" spans="1:22" ht="16.8" x14ac:dyDescent="0.3">
      <c r="A396" s="20">
        <v>39.5</v>
      </c>
      <c r="B396" s="20">
        <v>71</v>
      </c>
      <c r="C396" s="26">
        <v>71.42</v>
      </c>
      <c r="D396" s="20">
        <v>-0.42</v>
      </c>
      <c r="E396" s="20">
        <v>-0.26</v>
      </c>
      <c r="F396" s="26">
        <v>1852.77</v>
      </c>
      <c r="Q396" s="20">
        <v>39.5</v>
      </c>
      <c r="R396" s="20">
        <v>71.06</v>
      </c>
      <c r="S396" s="26">
        <v>71</v>
      </c>
      <c r="T396" s="26">
        <v>-0.06</v>
      </c>
      <c r="U396" s="20">
        <v>0.01</v>
      </c>
      <c r="V396" s="20">
        <v>1701.75</v>
      </c>
    </row>
    <row r="397" spans="1:22" ht="16.8" x14ac:dyDescent="0.3">
      <c r="A397" s="20">
        <v>39.6</v>
      </c>
      <c r="B397" s="20">
        <v>71</v>
      </c>
      <c r="C397" s="26">
        <v>71.180000000000007</v>
      </c>
      <c r="D397" s="20">
        <v>-0.18</v>
      </c>
      <c r="E397" s="20">
        <v>0.24</v>
      </c>
      <c r="F397" s="20">
        <v>2051.2199999999998</v>
      </c>
      <c r="Q397" s="20">
        <v>39.6</v>
      </c>
      <c r="R397" s="20">
        <v>71.08</v>
      </c>
      <c r="S397" s="26">
        <v>71</v>
      </c>
      <c r="T397" s="26">
        <v>-0.08</v>
      </c>
      <c r="U397" s="26">
        <v>-0.02</v>
      </c>
      <c r="V397" s="26">
        <v>1679.32</v>
      </c>
    </row>
    <row r="398" spans="1:22" ht="16.8" x14ac:dyDescent="0.3">
      <c r="A398" s="20">
        <v>39.700000000000003</v>
      </c>
      <c r="B398" s="20">
        <v>71</v>
      </c>
      <c r="C398" s="20">
        <v>71.31</v>
      </c>
      <c r="D398" s="20">
        <v>-0.31</v>
      </c>
      <c r="E398" s="20">
        <v>-0.13</v>
      </c>
      <c r="F398" s="26">
        <v>1974.89</v>
      </c>
      <c r="Q398" s="20">
        <v>39.700000000000003</v>
      </c>
      <c r="R398" s="20">
        <v>71.040000000000006</v>
      </c>
      <c r="S398" s="26">
        <v>71</v>
      </c>
      <c r="T398" s="26">
        <v>-0.04</v>
      </c>
      <c r="U398" s="26">
        <v>0.04</v>
      </c>
      <c r="V398" s="20">
        <v>1731.55</v>
      </c>
    </row>
    <row r="399" spans="1:22" ht="16.8" x14ac:dyDescent="0.3">
      <c r="A399" s="20">
        <v>39.799999999999997</v>
      </c>
      <c r="B399" s="20">
        <v>71</v>
      </c>
      <c r="C399" s="26">
        <v>71.2</v>
      </c>
      <c r="D399" s="20">
        <v>-0.2</v>
      </c>
      <c r="E399" s="20">
        <v>0.11</v>
      </c>
      <c r="F399" s="20">
        <v>2065.9299999999998</v>
      </c>
      <c r="Q399" s="20">
        <v>39.799999999999997</v>
      </c>
      <c r="R399" s="20">
        <v>71.099999999999994</v>
      </c>
      <c r="S399" s="26">
        <v>71</v>
      </c>
      <c r="T399" s="20">
        <v>-0.1</v>
      </c>
      <c r="U399" s="26">
        <v>-0.06</v>
      </c>
      <c r="V399" s="26">
        <v>1643.76</v>
      </c>
    </row>
    <row r="400" spans="1:22" ht="16.8" x14ac:dyDescent="0.3">
      <c r="A400" s="20">
        <v>39.9</v>
      </c>
      <c r="B400" s="20">
        <v>71</v>
      </c>
      <c r="C400" s="26">
        <v>71.25</v>
      </c>
      <c r="D400" s="20">
        <v>-0.25</v>
      </c>
      <c r="E400" s="20">
        <v>-0.06</v>
      </c>
      <c r="F400" s="26">
        <v>2019.98</v>
      </c>
      <c r="Q400" s="20">
        <v>39.9</v>
      </c>
      <c r="R400" s="20">
        <v>71.09</v>
      </c>
      <c r="S400" s="26">
        <v>71</v>
      </c>
      <c r="T400" s="26">
        <v>-0.09</v>
      </c>
      <c r="U400" s="26">
        <v>0.01</v>
      </c>
      <c r="V400" s="20">
        <v>1696.87</v>
      </c>
    </row>
    <row r="401" spans="1:22" ht="16.8" x14ac:dyDescent="0.3">
      <c r="A401" s="20">
        <v>40</v>
      </c>
      <c r="B401" s="20">
        <v>71</v>
      </c>
      <c r="C401" s="20">
        <v>71.19</v>
      </c>
      <c r="D401" s="20">
        <v>-0.19</v>
      </c>
      <c r="E401" s="20">
        <v>0.06</v>
      </c>
      <c r="F401" s="20">
        <v>2069.4</v>
      </c>
      <c r="Q401" s="20">
        <v>40</v>
      </c>
      <c r="R401" s="20">
        <v>71.06</v>
      </c>
      <c r="S401" s="26">
        <v>71</v>
      </c>
      <c r="T401" s="20">
        <v>-0.06</v>
      </c>
      <c r="U401" s="26">
        <v>0.03</v>
      </c>
      <c r="V401" s="20">
        <v>1721.71</v>
      </c>
    </row>
    <row r="402" spans="1:22" ht="16.8" x14ac:dyDescent="0.3">
      <c r="A402" s="20">
        <v>40.1</v>
      </c>
      <c r="B402" s="20">
        <v>71</v>
      </c>
      <c r="C402" s="26">
        <v>71.290000000000006</v>
      </c>
      <c r="D402" s="20">
        <v>-0.28999999999999998</v>
      </c>
      <c r="E402" s="20">
        <v>-0.1</v>
      </c>
      <c r="F402" s="26">
        <v>1989.9</v>
      </c>
      <c r="Q402" s="20">
        <v>40.1</v>
      </c>
      <c r="R402" s="20">
        <v>71.08</v>
      </c>
      <c r="S402" s="26">
        <v>71</v>
      </c>
      <c r="T402" s="26">
        <v>-0.08</v>
      </c>
      <c r="U402" s="26">
        <v>-0.02</v>
      </c>
      <c r="V402" s="26">
        <v>1671.92</v>
      </c>
    </row>
    <row r="403" spans="1:22" ht="16.8" x14ac:dyDescent="0.3">
      <c r="A403" s="20">
        <v>40.200000000000003</v>
      </c>
      <c r="B403" s="20">
        <v>71</v>
      </c>
      <c r="C403" s="20">
        <v>71.16</v>
      </c>
      <c r="D403" s="20">
        <v>-0.16</v>
      </c>
      <c r="E403" s="20">
        <v>0.13</v>
      </c>
      <c r="F403" s="26">
        <v>2097.83</v>
      </c>
      <c r="Q403" s="20">
        <v>40.200000000000003</v>
      </c>
      <c r="R403" s="20">
        <v>71.08</v>
      </c>
      <c r="S403" s="26">
        <v>71</v>
      </c>
      <c r="T403" s="26">
        <v>-0.08</v>
      </c>
      <c r="U403" s="26">
        <v>0</v>
      </c>
      <c r="V403" s="20">
        <v>1691.21</v>
      </c>
    </row>
    <row r="404" spans="1:22" ht="16.8" x14ac:dyDescent="0.3">
      <c r="A404" s="20">
        <v>40.299999999999997</v>
      </c>
      <c r="B404" s="20">
        <v>71</v>
      </c>
      <c r="C404" s="26">
        <v>71.239999999999995</v>
      </c>
      <c r="D404" s="20">
        <v>-0.24</v>
      </c>
      <c r="E404" s="20">
        <v>-0.08</v>
      </c>
      <c r="F404" s="20">
        <v>2032.67</v>
      </c>
      <c r="Q404" s="20">
        <v>40.299999999999997</v>
      </c>
      <c r="R404" s="20">
        <v>71.13</v>
      </c>
      <c r="S404" s="26">
        <v>71</v>
      </c>
      <c r="T404" s="26">
        <v>-0.13</v>
      </c>
      <c r="U404" s="26">
        <v>-0.05</v>
      </c>
      <c r="V404" s="26">
        <v>1643.69</v>
      </c>
    </row>
    <row r="405" spans="1:22" ht="16.8" x14ac:dyDescent="0.3">
      <c r="A405" s="20">
        <v>40.4</v>
      </c>
      <c r="B405" s="20">
        <v>71</v>
      </c>
      <c r="C405" s="26">
        <v>71.23</v>
      </c>
      <c r="D405" s="20">
        <v>-0.23</v>
      </c>
      <c r="E405" s="20">
        <v>0</v>
      </c>
      <c r="F405" s="26">
        <v>2035.9</v>
      </c>
      <c r="Q405" s="20">
        <v>40.4</v>
      </c>
      <c r="R405" s="20">
        <v>71.099999999999994</v>
      </c>
      <c r="S405" s="26">
        <v>71</v>
      </c>
      <c r="T405" s="26">
        <v>-0.1</v>
      </c>
      <c r="U405" s="26">
        <v>0.02</v>
      </c>
      <c r="V405" s="20">
        <v>1705.99</v>
      </c>
    </row>
    <row r="406" spans="1:22" ht="16.8" x14ac:dyDescent="0.3">
      <c r="A406" s="20">
        <v>40.5</v>
      </c>
      <c r="B406" s="20">
        <v>71</v>
      </c>
      <c r="C406" s="20">
        <v>71.19</v>
      </c>
      <c r="D406" s="20">
        <v>-0.19</v>
      </c>
      <c r="E406" s="20">
        <v>0.04</v>
      </c>
      <c r="F406" s="26">
        <v>2072.89</v>
      </c>
      <c r="Q406" s="20">
        <v>40.5</v>
      </c>
      <c r="R406" s="20">
        <v>71.099999999999994</v>
      </c>
      <c r="S406" s="26">
        <v>71</v>
      </c>
      <c r="T406" s="26">
        <v>-0.1</v>
      </c>
      <c r="U406" s="26">
        <v>0.01</v>
      </c>
      <c r="V406" s="26">
        <v>1694.14</v>
      </c>
    </row>
    <row r="407" spans="1:22" ht="16.8" x14ac:dyDescent="0.3">
      <c r="A407" s="20">
        <v>40.6</v>
      </c>
      <c r="B407" s="20">
        <v>71</v>
      </c>
      <c r="C407" s="26">
        <v>71.27</v>
      </c>
      <c r="D407" s="20">
        <v>-0.27</v>
      </c>
      <c r="E407" s="20">
        <v>-0.08</v>
      </c>
      <c r="F407" s="20">
        <v>2004.71</v>
      </c>
      <c r="Q407" s="20">
        <v>40.6</v>
      </c>
      <c r="R407" s="20">
        <v>71.09</v>
      </c>
      <c r="S407" s="26">
        <v>71</v>
      </c>
      <c r="T407" s="20">
        <v>-0.09</v>
      </c>
      <c r="U407" s="26">
        <v>0.01</v>
      </c>
      <c r="V407" s="20">
        <v>1695.29</v>
      </c>
    </row>
    <row r="408" spans="1:22" ht="16.8" x14ac:dyDescent="0.3">
      <c r="A408" s="20">
        <v>40.700000000000003</v>
      </c>
      <c r="B408" s="20">
        <v>71</v>
      </c>
      <c r="C408" s="26">
        <v>71.22</v>
      </c>
      <c r="D408" s="20">
        <v>-0.22</v>
      </c>
      <c r="E408" s="20">
        <v>0.06</v>
      </c>
      <c r="F408" s="26">
        <v>2049</v>
      </c>
      <c r="Q408" s="20">
        <v>40.700000000000003</v>
      </c>
      <c r="R408" s="20">
        <v>71.099999999999994</v>
      </c>
      <c r="S408" s="26">
        <v>71</v>
      </c>
      <c r="T408" s="26">
        <v>-0.1</v>
      </c>
      <c r="U408" s="26">
        <v>-0.01</v>
      </c>
      <c r="V408" s="26">
        <v>1680.69</v>
      </c>
    </row>
    <row r="409" spans="1:22" ht="16.8" x14ac:dyDescent="0.3">
      <c r="A409" s="20">
        <v>40.799999999999997</v>
      </c>
      <c r="B409" s="20">
        <v>71</v>
      </c>
      <c r="C409" s="20">
        <v>71.290000000000006</v>
      </c>
      <c r="D409" s="20">
        <v>-0.28999999999999998</v>
      </c>
      <c r="E409" s="20">
        <v>-0.08</v>
      </c>
      <c r="F409" s="20">
        <v>1989.9</v>
      </c>
      <c r="Q409" s="20">
        <v>40.799999999999997</v>
      </c>
      <c r="R409" s="20">
        <v>71.09</v>
      </c>
      <c r="S409" s="26">
        <v>71</v>
      </c>
      <c r="T409" s="26">
        <v>-0.09</v>
      </c>
      <c r="U409" s="26">
        <v>0.01</v>
      </c>
      <c r="V409" s="20">
        <v>1694.83</v>
      </c>
    </row>
    <row r="410" spans="1:22" ht="16.8" x14ac:dyDescent="0.3">
      <c r="A410" s="20">
        <v>40.9</v>
      </c>
      <c r="B410" s="20">
        <v>71</v>
      </c>
      <c r="C410" s="26">
        <v>71.3</v>
      </c>
      <c r="D410" s="20">
        <v>-0.3</v>
      </c>
      <c r="E410" s="20">
        <v>0</v>
      </c>
      <c r="F410" s="26">
        <v>1986.99</v>
      </c>
      <c r="Q410" s="20">
        <v>40.9</v>
      </c>
      <c r="R410" s="20">
        <v>71.06</v>
      </c>
      <c r="S410" s="26">
        <v>71</v>
      </c>
      <c r="T410" s="26">
        <v>-0.06</v>
      </c>
      <c r="U410" s="26">
        <v>0.02</v>
      </c>
      <c r="V410" s="26">
        <v>1711.78</v>
      </c>
    </row>
    <row r="411" spans="1:22" ht="16.8" x14ac:dyDescent="0.3">
      <c r="A411" s="20">
        <v>41</v>
      </c>
      <c r="B411" s="20">
        <v>71</v>
      </c>
      <c r="C411" s="20">
        <v>71.27</v>
      </c>
      <c r="D411" s="20">
        <v>-0.27</v>
      </c>
      <c r="E411" s="20">
        <v>0.02</v>
      </c>
      <c r="F411" s="26">
        <v>2004.71</v>
      </c>
      <c r="Q411" s="20">
        <v>41</v>
      </c>
      <c r="R411" s="20">
        <v>71.099999999999994</v>
      </c>
      <c r="S411" s="26">
        <v>71</v>
      </c>
      <c r="T411" s="26">
        <v>-0.1</v>
      </c>
      <c r="U411" s="26">
        <v>-0.03</v>
      </c>
      <c r="V411" s="20">
        <v>1660.59</v>
      </c>
    </row>
    <row r="412" spans="1:22" ht="16.8" x14ac:dyDescent="0.3">
      <c r="A412" s="20">
        <v>41.1</v>
      </c>
      <c r="B412" s="20">
        <v>71</v>
      </c>
      <c r="C412" s="26">
        <v>71.31</v>
      </c>
      <c r="D412" s="20">
        <v>-0.31</v>
      </c>
      <c r="E412" s="20">
        <v>-0.03</v>
      </c>
      <c r="F412" s="20">
        <v>1979.14</v>
      </c>
      <c r="Q412" s="20">
        <v>41.1</v>
      </c>
      <c r="R412" s="20">
        <v>71.08</v>
      </c>
      <c r="S412" s="26">
        <v>71</v>
      </c>
      <c r="T412" s="26">
        <v>-0.08</v>
      </c>
      <c r="U412" s="26">
        <v>0.02</v>
      </c>
      <c r="V412" s="26">
        <v>1702.1</v>
      </c>
    </row>
    <row r="413" spans="1:22" ht="16.8" x14ac:dyDescent="0.3">
      <c r="A413" s="20">
        <v>41.2</v>
      </c>
      <c r="B413" s="20">
        <v>71</v>
      </c>
      <c r="C413" s="26">
        <v>71.290000000000006</v>
      </c>
      <c r="D413" s="20">
        <v>-0.28999999999999998</v>
      </c>
      <c r="E413" s="20">
        <v>0.01</v>
      </c>
      <c r="F413" s="26">
        <v>1989.9</v>
      </c>
      <c r="Q413" s="20">
        <v>41.2</v>
      </c>
      <c r="R413" s="20">
        <v>71.099999999999994</v>
      </c>
      <c r="S413" s="26">
        <v>71</v>
      </c>
      <c r="T413" s="26">
        <v>-0.1</v>
      </c>
      <c r="U413" s="26">
        <v>-0.02</v>
      </c>
      <c r="V413" s="20">
        <v>1673.14</v>
      </c>
    </row>
    <row r="414" spans="1:22" ht="16.8" x14ac:dyDescent="0.3">
      <c r="A414" s="20">
        <v>41.3</v>
      </c>
      <c r="B414" s="20">
        <v>71</v>
      </c>
      <c r="C414" s="20">
        <v>71.349999999999994</v>
      </c>
      <c r="D414" s="20">
        <v>-0.35</v>
      </c>
      <c r="E414" s="20">
        <v>-0.06</v>
      </c>
      <c r="F414" s="20">
        <v>1927.02</v>
      </c>
      <c r="Q414" s="20">
        <v>41.3</v>
      </c>
      <c r="R414" s="20">
        <v>71.09</v>
      </c>
      <c r="S414" s="26">
        <v>71</v>
      </c>
      <c r="T414" s="20">
        <v>-0.09</v>
      </c>
      <c r="U414" s="26">
        <v>0.01</v>
      </c>
      <c r="V414" s="26">
        <v>1693.77</v>
      </c>
    </row>
    <row r="415" spans="1:22" ht="16.8" x14ac:dyDescent="0.3">
      <c r="A415" s="20">
        <v>41.4</v>
      </c>
      <c r="B415" s="20">
        <v>71</v>
      </c>
      <c r="C415" s="26">
        <v>71.31</v>
      </c>
      <c r="D415" s="20">
        <v>-0.31</v>
      </c>
      <c r="E415" s="20">
        <v>0.04</v>
      </c>
      <c r="F415" s="26">
        <v>1970.63</v>
      </c>
      <c r="Q415" s="20">
        <v>41.4</v>
      </c>
      <c r="R415" s="20">
        <v>71.13</v>
      </c>
      <c r="S415" s="26">
        <v>71</v>
      </c>
      <c r="T415" s="26">
        <v>-0.13</v>
      </c>
      <c r="U415" s="26">
        <v>-0.04</v>
      </c>
      <c r="V415" s="20">
        <v>1647.62</v>
      </c>
    </row>
    <row r="416" spans="1:22" ht="16.8" x14ac:dyDescent="0.3">
      <c r="A416" s="20">
        <v>41.5</v>
      </c>
      <c r="B416" s="20">
        <v>71</v>
      </c>
      <c r="C416" s="26">
        <v>71.39</v>
      </c>
      <c r="D416" s="20">
        <v>-0.39</v>
      </c>
      <c r="E416" s="20">
        <v>-0.08</v>
      </c>
      <c r="F416" s="26">
        <v>1886.03</v>
      </c>
      <c r="Q416" s="20">
        <v>41.5</v>
      </c>
      <c r="R416" s="20">
        <v>71.11</v>
      </c>
      <c r="S416" s="26">
        <v>71</v>
      </c>
      <c r="T416" s="20">
        <v>-0.11</v>
      </c>
      <c r="U416" s="26">
        <v>0.02</v>
      </c>
      <c r="V416" s="20">
        <v>1695.55</v>
      </c>
    </row>
    <row r="417" spans="1:22" ht="16.8" x14ac:dyDescent="0.3">
      <c r="A417" s="20">
        <v>41.6</v>
      </c>
      <c r="B417" s="20">
        <v>71</v>
      </c>
      <c r="C417" s="20">
        <v>71.34</v>
      </c>
      <c r="D417" s="20">
        <v>-0.34</v>
      </c>
      <c r="E417" s="20">
        <v>0.05</v>
      </c>
      <c r="F417" s="20">
        <v>1940.29</v>
      </c>
      <c r="Q417" s="20">
        <v>41.6</v>
      </c>
      <c r="R417" s="20">
        <v>71.069999999999993</v>
      </c>
      <c r="S417" s="26">
        <v>71</v>
      </c>
      <c r="T417" s="26">
        <v>-7.0000000000000007E-2</v>
      </c>
      <c r="U417" s="26">
        <v>0.04</v>
      </c>
      <c r="V417" s="26">
        <v>1721.72</v>
      </c>
    </row>
    <row r="418" spans="1:22" ht="16.8" x14ac:dyDescent="0.3">
      <c r="A418" s="20">
        <v>41.7</v>
      </c>
      <c r="B418" s="20">
        <v>71</v>
      </c>
      <c r="C418" s="26">
        <v>71.42</v>
      </c>
      <c r="D418" s="20">
        <v>-0.42</v>
      </c>
      <c r="E418" s="20">
        <v>-0.08</v>
      </c>
      <c r="F418" s="26">
        <v>1847.9</v>
      </c>
      <c r="Q418" s="20">
        <v>41.7</v>
      </c>
      <c r="R418" s="20">
        <v>71.16</v>
      </c>
      <c r="S418" s="26">
        <v>71</v>
      </c>
      <c r="T418" s="26">
        <v>-0.16</v>
      </c>
      <c r="U418" s="26">
        <v>-0.09</v>
      </c>
      <c r="V418" s="20">
        <v>1602.29</v>
      </c>
    </row>
    <row r="419" spans="1:22" ht="16.8" x14ac:dyDescent="0.3">
      <c r="A419" s="20">
        <v>41.8</v>
      </c>
      <c r="B419" s="20">
        <v>71</v>
      </c>
      <c r="C419" s="20">
        <v>71.430000000000007</v>
      </c>
      <c r="D419" s="20">
        <v>-0.43</v>
      </c>
      <c r="E419" s="20">
        <v>0</v>
      </c>
      <c r="F419" s="26">
        <v>1842.98</v>
      </c>
      <c r="Q419" s="20">
        <v>41.8</v>
      </c>
      <c r="R419" s="20">
        <v>71.099999999999994</v>
      </c>
      <c r="S419" s="26">
        <v>71</v>
      </c>
      <c r="T419" s="20">
        <v>-0.1</v>
      </c>
      <c r="U419" s="26">
        <v>0.06</v>
      </c>
      <c r="V419" s="26">
        <v>1736.45</v>
      </c>
    </row>
    <row r="420" spans="1:22" ht="16.8" x14ac:dyDescent="0.3">
      <c r="A420" s="20">
        <v>41.9</v>
      </c>
      <c r="B420" s="20">
        <v>71</v>
      </c>
      <c r="C420" s="26">
        <v>71.44</v>
      </c>
      <c r="D420" s="20">
        <v>-0.44</v>
      </c>
      <c r="E420" s="20">
        <v>-0.01</v>
      </c>
      <c r="F420" s="20">
        <v>1833.04</v>
      </c>
      <c r="Q420" s="20">
        <v>41.9</v>
      </c>
      <c r="R420" s="20">
        <v>71.12</v>
      </c>
      <c r="S420" s="26">
        <v>71</v>
      </c>
      <c r="T420" s="26">
        <v>-0.12</v>
      </c>
      <c r="U420" s="26">
        <v>-0.02</v>
      </c>
      <c r="V420" s="20">
        <v>1660.58</v>
      </c>
    </row>
    <row r="421" spans="1:22" ht="16.8" x14ac:dyDescent="0.3">
      <c r="A421" s="20">
        <v>42</v>
      </c>
      <c r="B421" s="20">
        <v>71</v>
      </c>
      <c r="C421" s="26">
        <v>71.47</v>
      </c>
      <c r="D421" s="20">
        <v>-0.47</v>
      </c>
      <c r="E421" s="20">
        <v>-0.04</v>
      </c>
      <c r="F421" s="26">
        <v>1786.69</v>
      </c>
      <c r="Q421" s="20">
        <v>42</v>
      </c>
      <c r="R421" s="20">
        <v>71.11</v>
      </c>
      <c r="S421" s="26">
        <v>71</v>
      </c>
      <c r="T421" s="20">
        <v>-0.11</v>
      </c>
      <c r="U421" s="26">
        <v>0.01</v>
      </c>
      <c r="V421" s="26">
        <v>1687.65</v>
      </c>
    </row>
    <row r="422" spans="1:22" ht="16.8" x14ac:dyDescent="0.3">
      <c r="A422" s="20">
        <v>42.1</v>
      </c>
      <c r="B422" s="20">
        <v>71</v>
      </c>
      <c r="C422" s="20">
        <v>71.44</v>
      </c>
      <c r="D422" s="20">
        <v>-0.44</v>
      </c>
      <c r="E422" s="20">
        <v>0.03</v>
      </c>
      <c r="F422" s="20">
        <v>1822.99</v>
      </c>
      <c r="Q422" s="20">
        <v>42.1</v>
      </c>
      <c r="R422" s="20">
        <v>71.12</v>
      </c>
      <c r="S422" s="26">
        <v>71</v>
      </c>
      <c r="T422" s="26">
        <v>-0.12</v>
      </c>
      <c r="U422" s="26">
        <v>-0.01</v>
      </c>
      <c r="V422" s="20">
        <v>1672.99</v>
      </c>
    </row>
    <row r="423" spans="1:22" ht="16.8" x14ac:dyDescent="0.3">
      <c r="A423" s="20">
        <v>42.2</v>
      </c>
      <c r="B423" s="20">
        <v>71</v>
      </c>
      <c r="C423" s="26">
        <v>71.45</v>
      </c>
      <c r="D423" s="20">
        <v>-0.45</v>
      </c>
      <c r="E423" s="20">
        <v>0</v>
      </c>
      <c r="F423" s="26">
        <v>1817.91</v>
      </c>
      <c r="Q423" s="20">
        <v>42.2</v>
      </c>
      <c r="R423" s="20">
        <v>71.14</v>
      </c>
      <c r="S423" s="26">
        <v>71</v>
      </c>
      <c r="T423" s="20">
        <v>-0.14000000000000001</v>
      </c>
      <c r="U423" s="26">
        <v>-0.02</v>
      </c>
      <c r="V423" s="26">
        <v>1663.41</v>
      </c>
    </row>
    <row r="424" spans="1:22" ht="16.8" x14ac:dyDescent="0.3">
      <c r="A424" s="20">
        <v>42.3</v>
      </c>
      <c r="B424" s="20">
        <v>71</v>
      </c>
      <c r="C424" s="20">
        <v>71.41</v>
      </c>
      <c r="D424" s="20">
        <v>-0.41</v>
      </c>
      <c r="E424" s="20">
        <v>0.04</v>
      </c>
      <c r="F424" s="26">
        <v>1862.41</v>
      </c>
      <c r="Q424" s="20">
        <v>42.3</v>
      </c>
      <c r="R424" s="20">
        <v>71.14</v>
      </c>
      <c r="S424" s="26">
        <v>71</v>
      </c>
      <c r="T424" s="26">
        <v>-0.14000000000000001</v>
      </c>
      <c r="U424" s="26">
        <v>0</v>
      </c>
      <c r="V424" s="20">
        <v>1676.06</v>
      </c>
    </row>
    <row r="425" spans="1:22" ht="16.8" x14ac:dyDescent="0.3">
      <c r="A425" s="20">
        <v>42.4</v>
      </c>
      <c r="B425" s="20">
        <v>71</v>
      </c>
      <c r="C425" s="26">
        <v>71.41</v>
      </c>
      <c r="D425" s="20">
        <v>-0.41</v>
      </c>
      <c r="E425" s="20">
        <v>0</v>
      </c>
      <c r="F425" s="20">
        <v>1862.41</v>
      </c>
      <c r="Q425" s="20">
        <v>42.4</v>
      </c>
      <c r="R425" s="20">
        <v>71.12</v>
      </c>
      <c r="S425" s="26">
        <v>71</v>
      </c>
      <c r="T425" s="26">
        <v>-0.12</v>
      </c>
      <c r="U425" s="26">
        <v>0.02</v>
      </c>
      <c r="V425" s="20">
        <v>1691.49</v>
      </c>
    </row>
    <row r="426" spans="1:22" ht="16.8" x14ac:dyDescent="0.3">
      <c r="A426" s="20">
        <v>42.5</v>
      </c>
      <c r="B426" s="20">
        <v>71</v>
      </c>
      <c r="C426" s="26">
        <v>71.42</v>
      </c>
      <c r="D426" s="20">
        <v>-0.42</v>
      </c>
      <c r="E426" s="20">
        <v>0</v>
      </c>
      <c r="F426" s="26">
        <v>1857.61</v>
      </c>
      <c r="Q426" s="20">
        <v>42.5</v>
      </c>
      <c r="R426" s="20">
        <v>71.14</v>
      </c>
      <c r="S426" s="26">
        <v>71</v>
      </c>
      <c r="T426" s="26">
        <v>-0.14000000000000001</v>
      </c>
      <c r="U426" s="26">
        <v>-0.02</v>
      </c>
      <c r="V426" s="26">
        <v>1662.43</v>
      </c>
    </row>
    <row r="427" spans="1:22" ht="16.8" x14ac:dyDescent="0.3">
      <c r="A427" s="20">
        <v>42.6</v>
      </c>
      <c r="B427" s="20">
        <v>71</v>
      </c>
      <c r="C427" s="20">
        <v>71.400000000000006</v>
      </c>
      <c r="D427" s="20">
        <v>-0.4</v>
      </c>
      <c r="E427" s="20">
        <v>0.01</v>
      </c>
      <c r="F427" s="26">
        <v>1871.93</v>
      </c>
      <c r="Q427" s="20">
        <v>42.6</v>
      </c>
      <c r="R427" s="20">
        <v>71.150000000000006</v>
      </c>
      <c r="S427" s="26">
        <v>71</v>
      </c>
      <c r="T427" s="26">
        <v>-0.15</v>
      </c>
      <c r="U427" s="26">
        <v>-0.01</v>
      </c>
      <c r="V427" s="20">
        <v>1667.18</v>
      </c>
    </row>
    <row r="428" spans="1:22" ht="16.8" x14ac:dyDescent="0.3">
      <c r="A428" s="20">
        <v>42.7</v>
      </c>
      <c r="B428" s="20">
        <v>71</v>
      </c>
      <c r="C428" s="26">
        <v>71.39</v>
      </c>
      <c r="D428" s="20">
        <v>-0.39</v>
      </c>
      <c r="E428" s="20">
        <v>0.01</v>
      </c>
      <c r="F428" s="20">
        <v>1881.36</v>
      </c>
      <c r="Q428" s="20">
        <v>42.7</v>
      </c>
      <c r="R428" s="20">
        <v>71.12</v>
      </c>
      <c r="S428" s="26">
        <v>71</v>
      </c>
      <c r="T428" s="20">
        <v>-0.12</v>
      </c>
      <c r="U428" s="20">
        <v>0.02</v>
      </c>
      <c r="V428" s="26">
        <v>1697</v>
      </c>
    </row>
    <row r="429" spans="1:22" ht="16.8" x14ac:dyDescent="0.3">
      <c r="A429" s="20">
        <v>42.8</v>
      </c>
      <c r="B429" s="20">
        <v>71</v>
      </c>
      <c r="C429" s="26">
        <v>71.37</v>
      </c>
      <c r="D429" s="20">
        <v>-0.37</v>
      </c>
      <c r="E429" s="20">
        <v>0.02</v>
      </c>
      <c r="F429" s="26">
        <v>1909.09</v>
      </c>
      <c r="Q429" s="20">
        <v>42.8</v>
      </c>
      <c r="R429" s="20">
        <v>71.099999999999994</v>
      </c>
      <c r="S429" s="26">
        <v>71</v>
      </c>
      <c r="T429" s="26">
        <v>-0.1</v>
      </c>
      <c r="U429" s="26">
        <v>0.02</v>
      </c>
      <c r="V429" s="20">
        <v>1692.98</v>
      </c>
    </row>
    <row r="430" spans="1:22" ht="16.8" x14ac:dyDescent="0.3">
      <c r="A430" s="20">
        <v>42.9</v>
      </c>
      <c r="B430" s="20">
        <v>71</v>
      </c>
      <c r="C430" s="20">
        <v>71.31</v>
      </c>
      <c r="D430" s="20">
        <v>-0.31</v>
      </c>
      <c r="E430" s="20">
        <v>0.06</v>
      </c>
      <c r="F430" s="20">
        <v>1974.89</v>
      </c>
      <c r="Q430" s="20">
        <v>42.9</v>
      </c>
      <c r="R430" s="20">
        <v>71.11</v>
      </c>
      <c r="S430" s="26">
        <v>71</v>
      </c>
      <c r="T430" s="20">
        <v>-0.11</v>
      </c>
      <c r="U430" s="20">
        <v>-0.01</v>
      </c>
      <c r="V430" s="26">
        <v>1671.85</v>
      </c>
    </row>
    <row r="431" spans="1:22" ht="16.8" x14ac:dyDescent="0.3">
      <c r="A431" s="20">
        <v>43</v>
      </c>
      <c r="B431" s="20">
        <v>71</v>
      </c>
      <c r="C431" s="26">
        <v>71.349999999999994</v>
      </c>
      <c r="D431" s="20">
        <v>-0.35</v>
      </c>
      <c r="E431" s="20">
        <v>-0.04</v>
      </c>
      <c r="F431" s="26">
        <v>1935.88</v>
      </c>
      <c r="Q431" s="20">
        <v>43</v>
      </c>
      <c r="R431" s="20">
        <v>71.09</v>
      </c>
      <c r="S431" s="26">
        <v>71</v>
      </c>
      <c r="T431" s="26">
        <v>-0.09</v>
      </c>
      <c r="U431" s="26">
        <v>0.02</v>
      </c>
      <c r="V431" s="20">
        <v>1701.73</v>
      </c>
    </row>
    <row r="432" spans="1:22" ht="16.8" x14ac:dyDescent="0.3">
      <c r="A432" s="20">
        <v>43.1</v>
      </c>
      <c r="B432" s="20">
        <v>71</v>
      </c>
      <c r="C432" s="20">
        <v>71.34</v>
      </c>
      <c r="D432" s="20">
        <v>-0.34</v>
      </c>
      <c r="E432" s="20">
        <v>0</v>
      </c>
      <c r="F432" s="20">
        <v>1940.29</v>
      </c>
      <c r="Q432" s="20">
        <v>43.1</v>
      </c>
      <c r="R432" s="20">
        <v>71.13</v>
      </c>
      <c r="S432" s="26">
        <v>71</v>
      </c>
      <c r="T432" s="20">
        <v>-0.13</v>
      </c>
      <c r="U432" s="26">
        <v>-0.04</v>
      </c>
      <c r="V432" s="26">
        <v>1642.59</v>
      </c>
    </row>
    <row r="433" spans="1:22" ht="16.8" x14ac:dyDescent="0.3">
      <c r="A433" s="20">
        <v>43.2</v>
      </c>
      <c r="B433" s="20">
        <v>71</v>
      </c>
      <c r="C433" s="26">
        <v>71.34</v>
      </c>
      <c r="D433" s="20">
        <v>-0.34</v>
      </c>
      <c r="E433" s="20">
        <v>0</v>
      </c>
      <c r="F433" s="26">
        <v>1940.29</v>
      </c>
      <c r="Q433" s="20">
        <v>43.2</v>
      </c>
      <c r="R433" s="20">
        <v>71.13</v>
      </c>
      <c r="S433" s="26">
        <v>71</v>
      </c>
      <c r="T433" s="26">
        <v>-0.13</v>
      </c>
      <c r="U433" s="26">
        <v>0</v>
      </c>
      <c r="V433" s="20">
        <v>1674.74</v>
      </c>
    </row>
    <row r="434" spans="1:22" ht="16.8" x14ac:dyDescent="0.3">
      <c r="A434" s="20">
        <v>43.3</v>
      </c>
      <c r="B434" s="20">
        <v>71</v>
      </c>
      <c r="C434" s="26">
        <v>71.28</v>
      </c>
      <c r="D434" s="20">
        <v>-0.28000000000000003</v>
      </c>
      <c r="E434" s="20">
        <v>0.06</v>
      </c>
      <c r="F434" s="26">
        <v>1998.73</v>
      </c>
      <c r="Q434" s="20">
        <v>43.3</v>
      </c>
      <c r="R434" s="20">
        <v>71.12</v>
      </c>
      <c r="S434" s="26">
        <v>71</v>
      </c>
      <c r="T434" s="26">
        <v>-0.12</v>
      </c>
      <c r="U434" s="26">
        <v>0.01</v>
      </c>
      <c r="V434" s="26">
        <v>1682.3</v>
      </c>
    </row>
    <row r="435" spans="1:22" ht="16.8" x14ac:dyDescent="0.3">
      <c r="A435" s="20">
        <v>43.4</v>
      </c>
      <c r="B435" s="20">
        <v>71</v>
      </c>
      <c r="C435" s="20">
        <v>71.31</v>
      </c>
      <c r="D435" s="20">
        <v>-0.31</v>
      </c>
      <c r="E435" s="20">
        <v>-0.03</v>
      </c>
      <c r="F435" s="20">
        <v>1970.63</v>
      </c>
      <c r="Q435" s="20">
        <v>43.4</v>
      </c>
      <c r="R435" s="20">
        <v>71.17</v>
      </c>
      <c r="S435" s="26">
        <v>71</v>
      </c>
      <c r="T435" s="26">
        <v>-0.17</v>
      </c>
      <c r="U435" s="26">
        <v>-0.05</v>
      </c>
      <c r="V435" s="20">
        <v>1628.17</v>
      </c>
    </row>
    <row r="436" spans="1:22" ht="16.8" x14ac:dyDescent="0.3">
      <c r="A436" s="20">
        <v>43.5</v>
      </c>
      <c r="B436" s="20">
        <v>71</v>
      </c>
      <c r="C436" s="26">
        <v>71.3</v>
      </c>
      <c r="D436" s="20">
        <v>-0.3</v>
      </c>
      <c r="E436" s="20">
        <v>0.01</v>
      </c>
      <c r="F436" s="26">
        <v>1983.37</v>
      </c>
      <c r="Q436" s="20">
        <v>43.5</v>
      </c>
      <c r="R436" s="20">
        <v>71.099999999999994</v>
      </c>
      <c r="S436" s="26">
        <v>71</v>
      </c>
      <c r="T436" s="26">
        <v>-0.1</v>
      </c>
      <c r="U436" s="26">
        <v>7.0000000000000007E-2</v>
      </c>
      <c r="V436" s="26">
        <v>1737.73</v>
      </c>
    </row>
    <row r="437" spans="1:22" ht="16.8" x14ac:dyDescent="0.3">
      <c r="A437" s="20">
        <v>43.6</v>
      </c>
      <c r="B437" s="20">
        <v>71</v>
      </c>
      <c r="C437" s="20">
        <v>71.3</v>
      </c>
      <c r="D437" s="20">
        <v>-0.3</v>
      </c>
      <c r="E437" s="20">
        <v>0</v>
      </c>
      <c r="F437" s="26">
        <v>1986.99</v>
      </c>
      <c r="Q437" s="20">
        <v>43.6</v>
      </c>
      <c r="R437" s="20">
        <v>71.14</v>
      </c>
      <c r="S437" s="26">
        <v>71</v>
      </c>
      <c r="T437" s="20">
        <v>-0.14000000000000001</v>
      </c>
      <c r="U437" s="20">
        <v>-0.04</v>
      </c>
      <c r="V437" s="20">
        <v>1639.59</v>
      </c>
    </row>
    <row r="438" spans="1:22" ht="16.8" x14ac:dyDescent="0.3">
      <c r="A438" s="20">
        <v>43.7</v>
      </c>
      <c r="B438" s="20">
        <v>71</v>
      </c>
      <c r="C438" s="26">
        <v>71.290000000000006</v>
      </c>
      <c r="D438" s="20">
        <v>-0.28999999999999998</v>
      </c>
      <c r="E438" s="20">
        <v>0.01</v>
      </c>
      <c r="F438" s="20">
        <v>1992.81</v>
      </c>
      <c r="Q438" s="20">
        <v>43.7</v>
      </c>
      <c r="R438" s="20">
        <v>71.11</v>
      </c>
      <c r="S438" s="26">
        <v>71</v>
      </c>
      <c r="T438" s="26">
        <v>-0.11</v>
      </c>
      <c r="U438" s="26">
        <v>0.02</v>
      </c>
      <c r="V438" s="20">
        <v>1695.39</v>
      </c>
    </row>
    <row r="439" spans="1:22" ht="16.8" x14ac:dyDescent="0.3">
      <c r="A439" s="20">
        <v>43.8</v>
      </c>
      <c r="B439" s="20">
        <v>71</v>
      </c>
      <c r="C439" s="26">
        <v>71.290000000000006</v>
      </c>
      <c r="D439" s="20">
        <v>-0.28999999999999998</v>
      </c>
      <c r="E439" s="20">
        <v>0</v>
      </c>
      <c r="F439" s="26">
        <v>1995.76</v>
      </c>
      <c r="Q439" s="20">
        <v>43.8</v>
      </c>
      <c r="R439" s="20">
        <v>71.13</v>
      </c>
      <c r="S439" s="26">
        <v>71</v>
      </c>
      <c r="T439" s="20">
        <v>-0.13</v>
      </c>
      <c r="U439" s="20">
        <v>-0.02</v>
      </c>
      <c r="V439" s="26">
        <v>1659.85</v>
      </c>
    </row>
    <row r="440" spans="1:22" ht="16.8" x14ac:dyDescent="0.3">
      <c r="A440" s="20">
        <v>43.9</v>
      </c>
      <c r="B440" s="20">
        <v>71</v>
      </c>
      <c r="C440" s="20">
        <v>71.25</v>
      </c>
      <c r="D440" s="20">
        <v>-0.25</v>
      </c>
      <c r="E440" s="20">
        <v>0.04</v>
      </c>
      <c r="F440" s="20">
        <v>2026.27</v>
      </c>
      <c r="Q440" s="20">
        <v>43.9</v>
      </c>
      <c r="R440" s="20">
        <v>71.13</v>
      </c>
      <c r="S440" s="26">
        <v>71</v>
      </c>
      <c r="T440" s="26">
        <v>-0.13</v>
      </c>
      <c r="U440" s="26">
        <v>0</v>
      </c>
      <c r="V440" s="20">
        <v>1672.52</v>
      </c>
    </row>
    <row r="441" spans="1:22" ht="16.8" x14ac:dyDescent="0.3">
      <c r="A441" s="20">
        <v>44</v>
      </c>
      <c r="B441" s="20">
        <v>71</v>
      </c>
      <c r="C441" s="26">
        <v>71.3</v>
      </c>
      <c r="D441" s="20">
        <v>-0.3</v>
      </c>
      <c r="E441" s="20">
        <v>-0.06</v>
      </c>
      <c r="F441" s="26">
        <v>1983.37</v>
      </c>
      <c r="Q441" s="20">
        <v>44</v>
      </c>
      <c r="R441" s="20">
        <v>71.12</v>
      </c>
      <c r="S441" s="26">
        <v>71</v>
      </c>
      <c r="T441" s="26">
        <v>-0.12</v>
      </c>
      <c r="U441" s="26">
        <v>0.01</v>
      </c>
      <c r="V441" s="26">
        <v>1680.09</v>
      </c>
    </row>
    <row r="442" spans="1:22" ht="16.8" x14ac:dyDescent="0.3">
      <c r="A442" s="20">
        <v>44.1</v>
      </c>
      <c r="B442" s="20">
        <v>71</v>
      </c>
      <c r="C442" s="20">
        <v>71.23</v>
      </c>
      <c r="D442" s="20">
        <v>-0.23</v>
      </c>
      <c r="E442" s="20">
        <v>7.0000000000000007E-2</v>
      </c>
      <c r="F442" s="26">
        <v>2035.9</v>
      </c>
      <c r="Q442" s="20">
        <v>44.1</v>
      </c>
      <c r="R442" s="20">
        <v>71.13</v>
      </c>
      <c r="S442" s="26">
        <v>71</v>
      </c>
      <c r="T442" s="26">
        <v>-0.13</v>
      </c>
      <c r="U442" s="26">
        <v>-0.01</v>
      </c>
      <c r="V442" s="20">
        <v>1665.4</v>
      </c>
    </row>
    <row r="443" spans="1:22" ht="16.8" x14ac:dyDescent="0.3">
      <c r="A443" s="20">
        <v>44.2</v>
      </c>
      <c r="B443" s="20">
        <v>71</v>
      </c>
      <c r="C443" s="26">
        <v>71.23</v>
      </c>
      <c r="D443" s="20">
        <v>-0.23</v>
      </c>
      <c r="E443" s="20">
        <v>0</v>
      </c>
      <c r="F443" s="20">
        <v>2039.16</v>
      </c>
      <c r="Q443" s="20">
        <v>44.2</v>
      </c>
      <c r="R443" s="20">
        <v>71.12</v>
      </c>
      <c r="S443" s="26">
        <v>71</v>
      </c>
      <c r="T443" s="26">
        <v>-0.12</v>
      </c>
      <c r="U443" s="26">
        <v>0.01</v>
      </c>
      <c r="V443" s="26">
        <v>1679.47</v>
      </c>
    </row>
    <row r="444" spans="1:22" ht="16.8" x14ac:dyDescent="0.3">
      <c r="A444" s="20">
        <v>44.3</v>
      </c>
      <c r="B444" s="20">
        <v>71</v>
      </c>
      <c r="C444" s="26">
        <v>71.27</v>
      </c>
      <c r="D444" s="20">
        <v>-0.27</v>
      </c>
      <c r="E444" s="20">
        <v>-0.04</v>
      </c>
      <c r="F444" s="26">
        <v>2007.73</v>
      </c>
      <c r="Q444" s="20">
        <v>44.3</v>
      </c>
      <c r="R444" s="20">
        <v>71.13</v>
      </c>
      <c r="S444" s="26">
        <v>71</v>
      </c>
      <c r="T444" s="26">
        <v>-0.13</v>
      </c>
      <c r="U444" s="26">
        <v>-0.01</v>
      </c>
      <c r="V444" s="20">
        <v>1664.79</v>
      </c>
    </row>
    <row r="445" spans="1:22" ht="16.8" x14ac:dyDescent="0.3">
      <c r="A445" s="20">
        <v>44.4</v>
      </c>
      <c r="B445" s="20">
        <v>71</v>
      </c>
      <c r="C445" s="20">
        <v>71.290000000000006</v>
      </c>
      <c r="D445" s="20">
        <v>-0.28999999999999998</v>
      </c>
      <c r="E445" s="20">
        <v>-0.02</v>
      </c>
      <c r="F445" s="26">
        <v>1992.81</v>
      </c>
      <c r="Q445" s="20">
        <v>44.4</v>
      </c>
      <c r="R445" s="20">
        <v>71.12</v>
      </c>
      <c r="S445" s="26">
        <v>71.000119999999995</v>
      </c>
      <c r="T445" s="26">
        <v>0.01</v>
      </c>
      <c r="U445" s="26">
        <v>1678.85</v>
      </c>
      <c r="V445" s="26"/>
    </row>
    <row r="446" spans="1:22" ht="16.8" x14ac:dyDescent="0.3">
      <c r="A446" s="20">
        <v>44.5</v>
      </c>
      <c r="B446" s="20">
        <v>71</v>
      </c>
      <c r="C446" s="26">
        <v>71.27</v>
      </c>
      <c r="D446" s="20">
        <v>-0.27</v>
      </c>
      <c r="E446" s="20">
        <v>0.02</v>
      </c>
      <c r="F446" s="20">
        <v>2007.73</v>
      </c>
      <c r="Q446" s="20">
        <v>44.5</v>
      </c>
      <c r="R446" s="20">
        <v>71.12</v>
      </c>
      <c r="S446" s="20">
        <v>71</v>
      </c>
      <c r="T446" s="26">
        <v>-0.12</v>
      </c>
      <c r="U446" s="26">
        <v>0</v>
      </c>
      <c r="V446" s="20">
        <v>1672.05</v>
      </c>
    </row>
    <row r="447" spans="1:22" ht="16.8" x14ac:dyDescent="0.3">
      <c r="A447" s="20">
        <v>44.6</v>
      </c>
      <c r="B447" s="20">
        <v>71</v>
      </c>
      <c r="C447" s="20">
        <v>71.319999999999993</v>
      </c>
      <c r="D447" s="20">
        <v>-0.32</v>
      </c>
      <c r="E447" s="20">
        <v>-0.05</v>
      </c>
      <c r="F447" s="26">
        <v>1962.08</v>
      </c>
      <c r="Q447" s="20">
        <v>44.6</v>
      </c>
      <c r="R447" s="20">
        <v>71.14</v>
      </c>
      <c r="S447" s="26">
        <v>71</v>
      </c>
      <c r="T447" s="26">
        <v>-0.14000000000000001</v>
      </c>
      <c r="U447" s="26">
        <v>-0.02</v>
      </c>
      <c r="V447" s="20">
        <v>1655.98</v>
      </c>
    </row>
    <row r="448" spans="1:22" ht="16.8" x14ac:dyDescent="0.3">
      <c r="A448" s="20">
        <v>44.7</v>
      </c>
      <c r="B448" s="20">
        <v>71</v>
      </c>
      <c r="C448" s="26">
        <v>71.34</v>
      </c>
      <c r="D448" s="20">
        <v>-0.34</v>
      </c>
      <c r="E448" s="20">
        <v>-0.02</v>
      </c>
      <c r="F448" s="26">
        <v>1944.68</v>
      </c>
      <c r="Q448" s="20">
        <v>44.7</v>
      </c>
      <c r="R448" s="20">
        <v>71.150000000000006</v>
      </c>
      <c r="S448" s="26">
        <v>71</v>
      </c>
      <c r="T448" s="26">
        <v>-0.15</v>
      </c>
      <c r="U448" s="26">
        <v>-0.01</v>
      </c>
      <c r="V448" s="26">
        <v>1660.72</v>
      </c>
    </row>
    <row r="449" spans="1:22" ht="16.8" x14ac:dyDescent="0.3">
      <c r="A449" s="20">
        <v>44.8</v>
      </c>
      <c r="B449" s="20">
        <v>71</v>
      </c>
      <c r="C449" s="26">
        <v>71.290000000000006</v>
      </c>
      <c r="D449" s="20">
        <v>-0.28999999999999998</v>
      </c>
      <c r="E449" s="20">
        <v>0.05</v>
      </c>
      <c r="F449" s="20">
        <v>1995.76</v>
      </c>
      <c r="Q449" s="20">
        <v>44.8</v>
      </c>
      <c r="R449" s="20">
        <v>71.13</v>
      </c>
      <c r="S449" s="26">
        <v>71</v>
      </c>
      <c r="T449" s="26">
        <v>-0.13</v>
      </c>
      <c r="U449" s="26">
        <v>0.02</v>
      </c>
      <c r="V449" s="20">
        <v>1682.66</v>
      </c>
    </row>
    <row r="450" spans="1:22" ht="16.8" x14ac:dyDescent="0.3">
      <c r="A450" s="20">
        <v>44.9</v>
      </c>
      <c r="B450" s="20">
        <v>71</v>
      </c>
      <c r="C450" s="20">
        <v>71.31</v>
      </c>
      <c r="D450" s="20">
        <v>-0.31</v>
      </c>
      <c r="E450" s="20">
        <v>-0.02</v>
      </c>
      <c r="F450" s="26">
        <v>1974.89</v>
      </c>
      <c r="Q450" s="20">
        <v>44.9</v>
      </c>
      <c r="R450" s="20">
        <v>71.150000000000006</v>
      </c>
      <c r="S450" s="26">
        <v>71</v>
      </c>
      <c r="T450" s="26">
        <v>-0.15</v>
      </c>
      <c r="U450" s="26">
        <v>-0.02</v>
      </c>
      <c r="V450" s="26">
        <v>1653.55</v>
      </c>
    </row>
    <row r="451" spans="1:22" ht="16.8" x14ac:dyDescent="0.3">
      <c r="A451" s="20">
        <v>45</v>
      </c>
      <c r="B451" s="20">
        <v>71</v>
      </c>
      <c r="C451" s="26">
        <v>71.36</v>
      </c>
      <c r="D451" s="20">
        <v>-0.36</v>
      </c>
      <c r="E451" s="20">
        <v>-0.05</v>
      </c>
      <c r="F451" s="20">
        <v>1918.1</v>
      </c>
      <c r="Q451" s="20">
        <v>45</v>
      </c>
      <c r="R451" s="20">
        <v>71.13</v>
      </c>
      <c r="S451" s="26">
        <v>71</v>
      </c>
      <c r="T451" s="26">
        <v>-0.13</v>
      </c>
      <c r="U451" s="26">
        <v>0.02</v>
      </c>
      <c r="V451" s="20">
        <v>1681.98</v>
      </c>
    </row>
    <row r="452" spans="1:22" ht="16.8" x14ac:dyDescent="0.3">
      <c r="A452" s="20">
        <v>45.1</v>
      </c>
      <c r="B452" s="20">
        <v>71</v>
      </c>
      <c r="C452" s="20">
        <v>71.34</v>
      </c>
      <c r="D452" s="20">
        <v>-0.34</v>
      </c>
      <c r="E452" s="20">
        <v>0.02</v>
      </c>
      <c r="F452" s="26">
        <v>1940.29</v>
      </c>
      <c r="Q452" s="20">
        <v>45.1</v>
      </c>
      <c r="R452" s="20">
        <v>71.12</v>
      </c>
      <c r="S452" s="26">
        <v>71</v>
      </c>
      <c r="T452" s="26">
        <v>-0.12</v>
      </c>
      <c r="U452" s="26">
        <v>0.01</v>
      </c>
      <c r="V452" s="26">
        <v>1676.55</v>
      </c>
    </row>
    <row r="453" spans="1:22" ht="16.8" x14ac:dyDescent="0.3">
      <c r="A453" s="20">
        <v>45.2</v>
      </c>
      <c r="B453" s="20">
        <v>71</v>
      </c>
      <c r="C453" s="26">
        <v>71.31</v>
      </c>
      <c r="D453" s="20">
        <v>-0.31</v>
      </c>
      <c r="E453" s="20">
        <v>0.03</v>
      </c>
      <c r="F453" s="26">
        <v>1974.89</v>
      </c>
      <c r="Q453" s="20">
        <v>45.2</v>
      </c>
      <c r="R453" s="20">
        <v>71.150000000000006</v>
      </c>
      <c r="S453" s="26">
        <v>71</v>
      </c>
      <c r="T453" s="26">
        <v>-0.15</v>
      </c>
      <c r="U453" s="26">
        <v>-0.02</v>
      </c>
      <c r="V453" s="20">
        <v>1646.08</v>
      </c>
    </row>
    <row r="454" spans="1:22" ht="16.8" x14ac:dyDescent="0.3">
      <c r="A454" s="20">
        <v>45.3</v>
      </c>
      <c r="B454" s="20">
        <v>71</v>
      </c>
      <c r="C454" s="26">
        <v>71.38</v>
      </c>
      <c r="D454" s="20">
        <v>-0.38</v>
      </c>
      <c r="E454" s="20">
        <v>-7.0000000000000007E-2</v>
      </c>
      <c r="F454" s="20">
        <v>1899.95</v>
      </c>
      <c r="Q454" s="20">
        <v>45.3</v>
      </c>
      <c r="R454" s="20">
        <v>71.099999999999994</v>
      </c>
      <c r="S454" s="26">
        <v>71</v>
      </c>
      <c r="T454" s="26">
        <v>-0.1</v>
      </c>
      <c r="U454" s="26">
        <v>0.04</v>
      </c>
      <c r="V454" s="26">
        <v>1704.66</v>
      </c>
    </row>
    <row r="455" spans="1:22" ht="16.8" x14ac:dyDescent="0.3">
      <c r="A455" s="20">
        <v>45.4</v>
      </c>
      <c r="B455" s="20">
        <v>71</v>
      </c>
      <c r="C455" s="20">
        <v>71.33</v>
      </c>
      <c r="D455" s="20">
        <v>-0.33</v>
      </c>
      <c r="E455" s="20">
        <v>0.04</v>
      </c>
      <c r="F455" s="26">
        <v>1949.06</v>
      </c>
      <c r="Q455" s="20">
        <v>45.4</v>
      </c>
      <c r="R455" s="20">
        <v>71.13</v>
      </c>
      <c r="S455" s="26">
        <v>71</v>
      </c>
      <c r="T455" s="26">
        <v>-0.13</v>
      </c>
      <c r="U455" s="26">
        <v>-0.02</v>
      </c>
      <c r="V455" s="20">
        <v>1648.26</v>
      </c>
    </row>
    <row r="456" spans="1:22" ht="16.8" x14ac:dyDescent="0.3">
      <c r="A456" s="20">
        <v>45.5</v>
      </c>
      <c r="B456" s="20">
        <v>71</v>
      </c>
      <c r="C456" s="26">
        <v>71.36</v>
      </c>
      <c r="D456" s="20">
        <v>-0.36</v>
      </c>
      <c r="E456" s="20">
        <v>-0.03</v>
      </c>
      <c r="F456" s="26">
        <v>1918.1</v>
      </c>
      <c r="Q456" s="20">
        <v>45.5</v>
      </c>
      <c r="R456" s="20">
        <v>71.13</v>
      </c>
      <c r="S456" s="26">
        <v>71</v>
      </c>
      <c r="T456" s="26">
        <v>-0.13</v>
      </c>
      <c r="U456" s="26">
        <v>0</v>
      </c>
      <c r="V456" s="20">
        <v>1667.42</v>
      </c>
    </row>
    <row r="457" spans="1:22" ht="16.8" x14ac:dyDescent="0.3">
      <c r="A457" s="20">
        <v>45.6</v>
      </c>
      <c r="B457" s="20">
        <v>71</v>
      </c>
      <c r="C457" s="20">
        <v>71.42</v>
      </c>
      <c r="D457" s="20">
        <v>-0.42</v>
      </c>
      <c r="E457" s="20">
        <v>-0.06</v>
      </c>
      <c r="F457" s="20">
        <v>1852.77</v>
      </c>
      <c r="Q457" s="20">
        <v>45.6</v>
      </c>
      <c r="R457" s="20">
        <v>71.08</v>
      </c>
      <c r="S457" s="26">
        <v>71</v>
      </c>
      <c r="T457" s="26">
        <v>-0.08</v>
      </c>
      <c r="U457" s="26">
        <v>0.05</v>
      </c>
      <c r="V457" s="26">
        <v>1714.43</v>
      </c>
    </row>
    <row r="458" spans="1:22" ht="16.8" x14ac:dyDescent="0.3">
      <c r="A458" s="20">
        <v>45.7</v>
      </c>
      <c r="B458" s="20">
        <v>71</v>
      </c>
      <c r="C458" s="26">
        <v>71.38</v>
      </c>
      <c r="D458" s="20">
        <v>-0.38</v>
      </c>
      <c r="E458" s="20">
        <v>0.04</v>
      </c>
      <c r="F458" s="26">
        <v>1895.31</v>
      </c>
      <c r="Q458" s="20">
        <v>45.7</v>
      </c>
      <c r="R458" s="20">
        <v>71.099999999999994</v>
      </c>
      <c r="S458" s="26">
        <v>71</v>
      </c>
      <c r="T458" s="26">
        <v>-0.1</v>
      </c>
      <c r="U458" s="26">
        <v>-0.02</v>
      </c>
      <c r="V458" s="20">
        <v>1659.49</v>
      </c>
    </row>
    <row r="459" spans="1:22" ht="16.8" x14ac:dyDescent="0.3">
      <c r="A459" s="20">
        <v>45.8</v>
      </c>
      <c r="B459" s="20">
        <v>71</v>
      </c>
      <c r="C459" s="26">
        <v>71.42</v>
      </c>
      <c r="D459" s="20">
        <v>-0.42</v>
      </c>
      <c r="E459" s="20">
        <v>-0.04</v>
      </c>
      <c r="F459" s="20">
        <v>1847.9</v>
      </c>
      <c r="Q459" s="20">
        <v>45.8</v>
      </c>
      <c r="R459" s="20">
        <v>71.099999999999994</v>
      </c>
      <c r="S459" s="26">
        <v>71</v>
      </c>
      <c r="T459" s="26">
        <v>-0.1</v>
      </c>
      <c r="U459" s="26">
        <v>-0.01</v>
      </c>
      <c r="V459" s="26">
        <v>1664.35</v>
      </c>
    </row>
    <row r="460" spans="1:22" ht="16.8" x14ac:dyDescent="0.3">
      <c r="A460" s="20">
        <v>45.9</v>
      </c>
      <c r="B460" s="20">
        <v>71</v>
      </c>
      <c r="C460" s="20">
        <v>71.42</v>
      </c>
      <c r="D460" s="20">
        <v>-0.42</v>
      </c>
      <c r="E460" s="20">
        <v>0.01</v>
      </c>
      <c r="F460" s="26">
        <v>1857.61</v>
      </c>
      <c r="Q460" s="20">
        <v>45.9</v>
      </c>
      <c r="R460" s="20">
        <v>71.06</v>
      </c>
      <c r="S460" s="20">
        <v>71</v>
      </c>
      <c r="T460" s="26">
        <v>-0.06</v>
      </c>
      <c r="U460" s="26">
        <v>0.04</v>
      </c>
      <c r="V460" s="20">
        <v>1710.02</v>
      </c>
    </row>
    <row r="461" spans="1:22" ht="16.8" x14ac:dyDescent="0.3">
      <c r="A461" s="20">
        <v>46</v>
      </c>
      <c r="B461" s="20">
        <v>71</v>
      </c>
      <c r="C461" s="26">
        <v>71.36</v>
      </c>
      <c r="D461" s="20">
        <v>-0.36</v>
      </c>
      <c r="E461" s="20">
        <v>0.05</v>
      </c>
      <c r="F461" s="26">
        <v>1918.1</v>
      </c>
      <c r="Q461" s="20">
        <v>46</v>
      </c>
      <c r="R461" s="20">
        <v>71.099999999999994</v>
      </c>
      <c r="S461" s="26">
        <v>71</v>
      </c>
      <c r="T461" s="26">
        <v>-0.1</v>
      </c>
      <c r="U461" s="26">
        <v>-0.03</v>
      </c>
      <c r="V461" s="26">
        <v>1645.84</v>
      </c>
    </row>
    <row r="462" spans="1:22" ht="16.8" x14ac:dyDescent="0.3">
      <c r="A462" s="20">
        <v>46.1</v>
      </c>
      <c r="B462" s="20">
        <v>71</v>
      </c>
      <c r="C462" s="20">
        <v>71.36</v>
      </c>
      <c r="D462" s="20">
        <v>-0.36</v>
      </c>
      <c r="E462" s="20">
        <v>0</v>
      </c>
      <c r="F462" s="20">
        <v>1918.1</v>
      </c>
      <c r="Q462" s="20">
        <v>46.1</v>
      </c>
      <c r="R462" s="20">
        <v>71.08</v>
      </c>
      <c r="S462" s="26">
        <v>71</v>
      </c>
      <c r="T462" s="26">
        <v>-0.08</v>
      </c>
      <c r="U462" s="26">
        <v>0.02</v>
      </c>
      <c r="V462" s="20">
        <v>1687.35</v>
      </c>
    </row>
    <row r="463" spans="1:22" ht="16.8" x14ac:dyDescent="0.3">
      <c r="A463" s="20">
        <v>46.2</v>
      </c>
      <c r="B463" s="20">
        <v>71</v>
      </c>
      <c r="C463" s="26">
        <v>71.39</v>
      </c>
      <c r="D463" s="20">
        <v>-0.39</v>
      </c>
      <c r="E463" s="20">
        <v>-0.03</v>
      </c>
      <c r="F463" s="26">
        <v>1886.03</v>
      </c>
      <c r="Q463" s="20">
        <v>46.2</v>
      </c>
      <c r="R463" s="20">
        <v>71.09</v>
      </c>
      <c r="S463" s="26">
        <v>71</v>
      </c>
      <c r="T463" s="26">
        <v>-0.09</v>
      </c>
      <c r="U463" s="26">
        <v>-0.01</v>
      </c>
      <c r="V463" s="26">
        <v>1666.28</v>
      </c>
    </row>
    <row r="464" spans="1:22" ht="16.8" x14ac:dyDescent="0.3">
      <c r="A464" s="20">
        <v>46.3</v>
      </c>
      <c r="B464" s="20">
        <v>71</v>
      </c>
      <c r="C464" s="26">
        <v>71.349999999999994</v>
      </c>
      <c r="D464" s="20">
        <v>-0.35</v>
      </c>
      <c r="E464" s="20">
        <v>0.04</v>
      </c>
      <c r="F464" s="20">
        <v>1927.02</v>
      </c>
      <c r="Q464" s="20">
        <v>46.3</v>
      </c>
      <c r="R464" s="20">
        <v>71.08</v>
      </c>
      <c r="S464" s="26">
        <v>71</v>
      </c>
      <c r="T464" s="26">
        <v>-0.08</v>
      </c>
      <c r="U464" s="26">
        <v>0.01</v>
      </c>
      <c r="V464" s="20">
        <v>1680.44</v>
      </c>
    </row>
    <row r="465" spans="1:22" ht="16.8" x14ac:dyDescent="0.3">
      <c r="A465" s="20">
        <v>46.4</v>
      </c>
      <c r="B465" s="20">
        <v>71</v>
      </c>
      <c r="C465" s="20">
        <v>71.39</v>
      </c>
      <c r="D465" s="20">
        <v>-0.39</v>
      </c>
      <c r="E465" s="20">
        <v>-0.04</v>
      </c>
      <c r="F465" s="26">
        <v>1886.03</v>
      </c>
      <c r="Q465" s="20">
        <v>46.4</v>
      </c>
      <c r="R465" s="20">
        <v>71.099999999999994</v>
      </c>
      <c r="S465" s="26">
        <v>71</v>
      </c>
      <c r="T465" s="26">
        <v>-0.1</v>
      </c>
      <c r="U465" s="26">
        <v>-0.02</v>
      </c>
      <c r="V465" s="20">
        <v>1657.97</v>
      </c>
    </row>
    <row r="466" spans="1:22" ht="16.8" x14ac:dyDescent="0.3">
      <c r="A466" s="20">
        <v>46.5</v>
      </c>
      <c r="B466" s="20">
        <v>71</v>
      </c>
      <c r="C466" s="26">
        <v>71.31</v>
      </c>
      <c r="D466" s="20">
        <v>-0.31</v>
      </c>
      <c r="E466" s="20">
        <v>0.08</v>
      </c>
      <c r="F466" s="26">
        <v>1970.63</v>
      </c>
      <c r="Q466" s="20">
        <v>46.5</v>
      </c>
      <c r="R466" s="20">
        <v>71.06</v>
      </c>
      <c r="S466" s="26">
        <v>71</v>
      </c>
      <c r="T466" s="26">
        <v>-0.06</v>
      </c>
      <c r="U466" s="20">
        <v>0.03</v>
      </c>
      <c r="V466" s="26">
        <v>1702.27</v>
      </c>
    </row>
    <row r="467" spans="1:22" ht="16.8" x14ac:dyDescent="0.3">
      <c r="A467" s="20">
        <v>46.6</v>
      </c>
      <c r="B467" s="20">
        <v>71</v>
      </c>
      <c r="C467" s="20">
        <v>71.36</v>
      </c>
      <c r="D467" s="20">
        <v>-0.36</v>
      </c>
      <c r="E467" s="20">
        <v>-0.04</v>
      </c>
      <c r="F467" s="20">
        <v>1922.57</v>
      </c>
      <c r="Q467" s="20">
        <v>46.6</v>
      </c>
      <c r="R467" s="20">
        <v>71.06</v>
      </c>
      <c r="S467" s="26">
        <v>71</v>
      </c>
      <c r="T467" s="26">
        <v>-0.06</v>
      </c>
      <c r="U467" s="26">
        <v>0</v>
      </c>
      <c r="V467" s="20">
        <v>1676.14</v>
      </c>
    </row>
    <row r="468" spans="1:22" ht="16.8" x14ac:dyDescent="0.3">
      <c r="A468" s="20">
        <v>46.7</v>
      </c>
      <c r="B468" s="20">
        <v>71</v>
      </c>
      <c r="C468" s="26">
        <v>71.37</v>
      </c>
      <c r="D468" s="20">
        <v>-0.37</v>
      </c>
      <c r="E468" s="20">
        <v>-0.01</v>
      </c>
      <c r="F468" s="26">
        <v>1909.09</v>
      </c>
      <c r="Q468" s="20">
        <v>46.7</v>
      </c>
      <c r="R468" s="20">
        <v>71.099999999999994</v>
      </c>
      <c r="S468" s="26">
        <v>71</v>
      </c>
      <c r="T468" s="26">
        <v>-0.1</v>
      </c>
      <c r="U468" s="20">
        <v>-0.03</v>
      </c>
      <c r="V468" s="26">
        <v>1644.43</v>
      </c>
    </row>
    <row r="469" spans="1:22" ht="16.8" x14ac:dyDescent="0.3">
      <c r="A469" s="20">
        <v>46.8</v>
      </c>
      <c r="B469" s="20">
        <v>71</v>
      </c>
      <c r="C469" s="26">
        <v>71.31</v>
      </c>
      <c r="D469" s="20">
        <v>-0.31</v>
      </c>
      <c r="E469" s="20">
        <v>0.06</v>
      </c>
      <c r="F469" s="26">
        <v>1979.14</v>
      </c>
      <c r="Q469" s="20">
        <v>46.8</v>
      </c>
      <c r="R469" s="20">
        <v>71.06</v>
      </c>
      <c r="S469" s="20">
        <v>71</v>
      </c>
      <c r="T469" s="26">
        <v>-0.06</v>
      </c>
      <c r="U469" s="26">
        <v>0.04</v>
      </c>
      <c r="V469" s="20">
        <v>1709.6</v>
      </c>
    </row>
    <row r="470" spans="1:22" ht="16.8" x14ac:dyDescent="0.3">
      <c r="A470" s="20">
        <v>46.9</v>
      </c>
      <c r="B470" s="20">
        <v>71</v>
      </c>
      <c r="C470" s="20">
        <v>71.349999999999994</v>
      </c>
      <c r="D470" s="20">
        <v>-0.35</v>
      </c>
      <c r="E470" s="20">
        <v>-0.04</v>
      </c>
      <c r="F470" s="20">
        <v>1935.88</v>
      </c>
      <c r="Q470" s="20">
        <v>46.9</v>
      </c>
      <c r="R470" s="20">
        <v>71.09</v>
      </c>
      <c r="S470" s="26">
        <v>71</v>
      </c>
      <c r="T470" s="26">
        <v>-0.09</v>
      </c>
      <c r="U470" s="26">
        <v>-0.03</v>
      </c>
      <c r="V470" s="26">
        <v>1645.43</v>
      </c>
    </row>
    <row r="471" spans="1:22" ht="16.8" x14ac:dyDescent="0.3">
      <c r="A471" s="20">
        <v>47</v>
      </c>
      <c r="B471" s="20">
        <v>71</v>
      </c>
      <c r="C471" s="26">
        <v>71.349999999999994</v>
      </c>
      <c r="D471" s="20">
        <v>-0.35</v>
      </c>
      <c r="E471" s="20">
        <v>-0.01</v>
      </c>
      <c r="F471" s="26">
        <v>1927.02</v>
      </c>
      <c r="Q471" s="20">
        <v>47</v>
      </c>
      <c r="R471" s="20">
        <v>71.08</v>
      </c>
      <c r="S471" s="26">
        <v>71</v>
      </c>
      <c r="T471" s="26">
        <v>-0.08</v>
      </c>
      <c r="U471" s="26">
        <v>0.01</v>
      </c>
      <c r="V471" s="20">
        <v>1679.08</v>
      </c>
    </row>
    <row r="472" spans="1:22" ht="16.8" x14ac:dyDescent="0.3">
      <c r="A472" s="20">
        <v>47.1</v>
      </c>
      <c r="B472" s="20">
        <v>71</v>
      </c>
      <c r="C472" s="26">
        <v>71.31</v>
      </c>
      <c r="D472" s="20">
        <v>-0.31</v>
      </c>
      <c r="E472" s="20">
        <v>0.04</v>
      </c>
      <c r="F472" s="26">
        <v>1974.89</v>
      </c>
      <c r="Q472" s="20">
        <v>47.1</v>
      </c>
      <c r="R472" s="20">
        <v>71.06</v>
      </c>
      <c r="S472" s="26">
        <v>71</v>
      </c>
      <c r="T472" s="26">
        <v>-0.06</v>
      </c>
      <c r="U472" s="26">
        <v>0.02</v>
      </c>
      <c r="V472" s="26">
        <v>1696.06</v>
      </c>
    </row>
    <row r="473" spans="1:22" ht="16.8" x14ac:dyDescent="0.3">
      <c r="A473" s="20">
        <v>47.2</v>
      </c>
      <c r="B473" s="20">
        <v>71</v>
      </c>
      <c r="C473" s="20">
        <v>71.3</v>
      </c>
      <c r="D473" s="20">
        <v>-0.3</v>
      </c>
      <c r="E473" s="20">
        <v>0.01</v>
      </c>
      <c r="F473" s="20">
        <v>1983.37</v>
      </c>
      <c r="Q473" s="20">
        <v>47.2</v>
      </c>
      <c r="R473" s="20">
        <v>71.14</v>
      </c>
      <c r="S473" s="26">
        <v>71</v>
      </c>
      <c r="T473" s="26">
        <v>-0.14000000000000001</v>
      </c>
      <c r="U473" s="20">
        <v>-0.08</v>
      </c>
      <c r="V473" s="20">
        <v>1597.55</v>
      </c>
    </row>
    <row r="474" spans="1:22" ht="16.8" x14ac:dyDescent="0.3">
      <c r="A474" s="20">
        <v>47.3</v>
      </c>
      <c r="B474" s="20">
        <v>71</v>
      </c>
      <c r="C474" s="26">
        <v>71.33</v>
      </c>
      <c r="D474" s="20">
        <v>-0.33</v>
      </c>
      <c r="E474" s="20">
        <v>-0.03</v>
      </c>
      <c r="F474" s="26">
        <v>1953.42</v>
      </c>
      <c r="Q474" s="20">
        <v>47.3</v>
      </c>
      <c r="R474" s="20">
        <v>71.05</v>
      </c>
      <c r="S474" s="26">
        <v>71</v>
      </c>
      <c r="T474" s="26">
        <v>-0.05</v>
      </c>
      <c r="U474" s="26">
        <v>0.09</v>
      </c>
      <c r="V474" s="26">
        <v>1748.92</v>
      </c>
    </row>
    <row r="475" spans="1:22" ht="16.8" x14ac:dyDescent="0.3">
      <c r="A475" s="20">
        <v>47.4</v>
      </c>
      <c r="B475" s="20">
        <v>71</v>
      </c>
      <c r="C475" s="20">
        <v>71.290000000000006</v>
      </c>
      <c r="D475" s="20">
        <v>-0.28999999999999998</v>
      </c>
      <c r="E475" s="20">
        <v>0.04</v>
      </c>
      <c r="F475" s="20">
        <v>1989.9</v>
      </c>
      <c r="Q475" s="20">
        <v>47.4</v>
      </c>
      <c r="R475" s="20">
        <v>71.05</v>
      </c>
      <c r="S475" s="26">
        <v>71</v>
      </c>
      <c r="T475" s="26">
        <v>-0.05</v>
      </c>
      <c r="U475" s="26">
        <v>0</v>
      </c>
      <c r="V475" s="20">
        <v>1677.37</v>
      </c>
    </row>
    <row r="476" spans="1:22" ht="16.8" x14ac:dyDescent="0.3">
      <c r="A476" s="20">
        <v>47.5</v>
      </c>
      <c r="B476" s="20">
        <v>71</v>
      </c>
      <c r="C476" s="26">
        <v>71.27</v>
      </c>
      <c r="D476" s="20">
        <v>-0.27</v>
      </c>
      <c r="E476" s="20">
        <v>0.03</v>
      </c>
      <c r="F476" s="26">
        <v>2010.74</v>
      </c>
      <c r="Q476" s="20">
        <v>47.5</v>
      </c>
      <c r="R476" s="20">
        <v>71.08</v>
      </c>
      <c r="S476" s="26">
        <v>71</v>
      </c>
      <c r="T476" s="26">
        <v>-0.08</v>
      </c>
      <c r="U476" s="26">
        <v>-0.03</v>
      </c>
      <c r="V476" s="20">
        <v>1645.69</v>
      </c>
    </row>
    <row r="477" spans="1:22" ht="16.8" x14ac:dyDescent="0.3">
      <c r="A477" s="20">
        <v>47.6</v>
      </c>
      <c r="B477" s="20">
        <v>71</v>
      </c>
      <c r="C477" s="26">
        <v>71.260000000000005</v>
      </c>
      <c r="D477" s="20">
        <v>-0.26</v>
      </c>
      <c r="E477" s="20">
        <v>0</v>
      </c>
      <c r="F477" s="26">
        <v>2013.81</v>
      </c>
      <c r="Q477" s="20">
        <v>47.6</v>
      </c>
      <c r="R477" s="20">
        <v>71.040000000000006</v>
      </c>
      <c r="S477" s="26">
        <v>71</v>
      </c>
      <c r="T477" s="26">
        <v>-0.04</v>
      </c>
      <c r="U477" s="26">
        <v>0.04</v>
      </c>
      <c r="V477" s="26">
        <v>1710.91</v>
      </c>
    </row>
    <row r="478" spans="1:22" ht="16.8" x14ac:dyDescent="0.3">
      <c r="A478" s="20">
        <v>47.7</v>
      </c>
      <c r="B478" s="20">
        <v>71</v>
      </c>
      <c r="C478" s="20">
        <v>71.31</v>
      </c>
      <c r="D478" s="20">
        <v>-0.31</v>
      </c>
      <c r="E478" s="20">
        <v>-0.04</v>
      </c>
      <c r="F478" s="20">
        <v>1979.14</v>
      </c>
      <c r="Q478" s="20">
        <v>47.7</v>
      </c>
      <c r="R478" s="20">
        <v>71.040000000000006</v>
      </c>
      <c r="S478" s="20">
        <v>71</v>
      </c>
      <c r="T478" s="26">
        <v>-0.04</v>
      </c>
      <c r="U478" s="26">
        <v>0</v>
      </c>
      <c r="V478" s="20">
        <v>1678.34</v>
      </c>
    </row>
    <row r="479" spans="1:22" ht="16.8" x14ac:dyDescent="0.3">
      <c r="A479" s="20">
        <v>47.8</v>
      </c>
      <c r="B479" s="20">
        <v>71</v>
      </c>
      <c r="C479" s="26">
        <v>71.239999999999995</v>
      </c>
      <c r="D479" s="20">
        <v>-0.24</v>
      </c>
      <c r="E479" s="20">
        <v>0.06</v>
      </c>
      <c r="F479" s="26">
        <v>2029.45</v>
      </c>
      <c r="Q479" s="20">
        <v>47.8</v>
      </c>
      <c r="R479" s="20">
        <v>71.099999999999994</v>
      </c>
      <c r="S479" s="26">
        <v>71</v>
      </c>
      <c r="T479" s="26">
        <v>-0.1</v>
      </c>
      <c r="U479" s="26">
        <v>-0.06</v>
      </c>
      <c r="V479" s="26">
        <v>1623.02</v>
      </c>
    </row>
    <row r="480" spans="1:22" ht="16.8" x14ac:dyDescent="0.3">
      <c r="A480" s="20">
        <v>47.9</v>
      </c>
      <c r="B480" s="20">
        <v>71</v>
      </c>
      <c r="C480" s="26">
        <v>71.260000000000005</v>
      </c>
      <c r="D480" s="20">
        <v>-0.26</v>
      </c>
      <c r="E480" s="20">
        <v>-0.02</v>
      </c>
      <c r="F480" s="26">
        <v>2016.89</v>
      </c>
      <c r="Q480" s="20">
        <v>47.9</v>
      </c>
      <c r="R480" s="20">
        <v>71.010000000000005</v>
      </c>
      <c r="S480" s="26">
        <v>71</v>
      </c>
      <c r="T480" s="26">
        <v>-0.01</v>
      </c>
      <c r="U480" s="26">
        <v>0.09</v>
      </c>
      <c r="V480" s="20">
        <v>1755.03</v>
      </c>
    </row>
    <row r="481" spans="1:22" ht="16.8" x14ac:dyDescent="0.3">
      <c r="A481" s="20">
        <v>48</v>
      </c>
      <c r="B481" s="20">
        <v>71</v>
      </c>
      <c r="C481" s="20">
        <v>71.290000000000006</v>
      </c>
      <c r="D481" s="20">
        <v>-0.28999999999999998</v>
      </c>
      <c r="E481" s="20">
        <v>-0.03</v>
      </c>
      <c r="F481" s="20">
        <v>1992.81</v>
      </c>
      <c r="Q481" s="20">
        <v>48</v>
      </c>
      <c r="R481" s="20">
        <v>71.06</v>
      </c>
      <c r="S481" s="26">
        <v>71</v>
      </c>
      <c r="T481" s="26">
        <v>-0.06</v>
      </c>
      <c r="U481" s="26">
        <v>-0.05</v>
      </c>
      <c r="V481" s="26">
        <v>1636.22</v>
      </c>
    </row>
    <row r="482" spans="1:22" ht="16.8" x14ac:dyDescent="0.3">
      <c r="A482" s="20">
        <v>48.1</v>
      </c>
      <c r="B482" s="20">
        <v>71</v>
      </c>
      <c r="C482" s="26">
        <v>71.3</v>
      </c>
      <c r="D482" s="20">
        <v>-0.3</v>
      </c>
      <c r="E482" s="20">
        <v>-0.01</v>
      </c>
      <c r="F482" s="26">
        <v>1983.37</v>
      </c>
      <c r="Q482" s="20">
        <v>48.1</v>
      </c>
      <c r="R482" s="20">
        <v>71.08</v>
      </c>
      <c r="S482" s="26">
        <v>71</v>
      </c>
      <c r="T482" s="26">
        <v>-0.08</v>
      </c>
      <c r="U482" s="26">
        <v>-0.02</v>
      </c>
      <c r="V482" s="20">
        <v>1651.38</v>
      </c>
    </row>
    <row r="483" spans="1:22" ht="16.8" x14ac:dyDescent="0.3">
      <c r="A483" s="20">
        <v>48.2</v>
      </c>
      <c r="B483" s="20">
        <v>71</v>
      </c>
      <c r="C483" s="20">
        <v>71.260000000000005</v>
      </c>
      <c r="D483" s="20">
        <v>-0.26</v>
      </c>
      <c r="E483" s="20">
        <v>0.04</v>
      </c>
      <c r="F483" s="20">
        <v>2013.81</v>
      </c>
      <c r="Q483" s="20">
        <v>48.2</v>
      </c>
      <c r="R483" s="20">
        <v>71.040000000000006</v>
      </c>
      <c r="S483" s="26">
        <v>71</v>
      </c>
      <c r="T483" s="26">
        <v>-0.04</v>
      </c>
      <c r="U483" s="26">
        <v>0.04</v>
      </c>
      <c r="V483" s="26">
        <v>1710.11</v>
      </c>
    </row>
    <row r="484" spans="1:22" ht="16.8" x14ac:dyDescent="0.3">
      <c r="A484" s="20">
        <v>48.3</v>
      </c>
      <c r="B484" s="20">
        <v>71</v>
      </c>
      <c r="C484" s="26">
        <v>71.28</v>
      </c>
      <c r="D484" s="20">
        <v>-0.28000000000000003</v>
      </c>
      <c r="E484" s="20">
        <v>-0.02</v>
      </c>
      <c r="F484" s="26">
        <v>2001.73</v>
      </c>
      <c r="Q484" s="20">
        <v>48.3</v>
      </c>
      <c r="R484" s="20">
        <v>71.09</v>
      </c>
      <c r="S484" s="26">
        <v>71</v>
      </c>
      <c r="T484" s="26">
        <v>-0.09</v>
      </c>
      <c r="U484" s="26">
        <v>-0.05</v>
      </c>
      <c r="V484" s="20">
        <v>1630.21</v>
      </c>
    </row>
    <row r="485" spans="1:22" ht="16.8" x14ac:dyDescent="0.3">
      <c r="A485" s="20">
        <v>48.4</v>
      </c>
      <c r="B485" s="20">
        <v>71</v>
      </c>
      <c r="C485" s="20">
        <v>71.33</v>
      </c>
      <c r="D485" s="20">
        <v>-0.33</v>
      </c>
      <c r="E485" s="20">
        <v>-0.05</v>
      </c>
      <c r="F485" s="26">
        <v>1957.76</v>
      </c>
      <c r="Q485" s="20">
        <v>48.4</v>
      </c>
      <c r="R485" s="20">
        <v>71.040000000000006</v>
      </c>
      <c r="S485" s="20">
        <v>71</v>
      </c>
      <c r="T485" s="26">
        <v>-0.04</v>
      </c>
      <c r="U485" s="26" t="s">
        <v>45</v>
      </c>
      <c r="V485" s="20">
        <v>0.05</v>
      </c>
    </row>
    <row r="486" spans="1:22" ht="16.8" x14ac:dyDescent="0.3">
      <c r="A486" s="20">
        <v>48.5</v>
      </c>
      <c r="B486" s="20">
        <v>71</v>
      </c>
      <c r="C486" s="26">
        <v>71.290000000000006</v>
      </c>
      <c r="D486" s="20">
        <v>-0.28999999999999998</v>
      </c>
      <c r="E486" s="20">
        <v>0.03</v>
      </c>
      <c r="F486" s="20">
        <v>1989.9</v>
      </c>
      <c r="Q486" s="20">
        <v>48.5</v>
      </c>
      <c r="R486" s="20">
        <v>71</v>
      </c>
      <c r="S486" s="26">
        <v>71</v>
      </c>
      <c r="T486" s="20">
        <v>0</v>
      </c>
      <c r="U486" s="26">
        <v>0.04</v>
      </c>
      <c r="V486" s="26">
        <v>1716.67</v>
      </c>
    </row>
    <row r="487" spans="1:22" ht="16.8" x14ac:dyDescent="0.3">
      <c r="A487" s="20">
        <v>48.6</v>
      </c>
      <c r="B487" s="20">
        <v>71</v>
      </c>
      <c r="C487" s="26">
        <v>71.290000000000006</v>
      </c>
      <c r="D487" s="20">
        <v>-0.28999999999999998</v>
      </c>
      <c r="E487" s="20">
        <v>0</v>
      </c>
      <c r="F487" s="26">
        <v>1989.9</v>
      </c>
      <c r="Q487" s="20">
        <v>48.6</v>
      </c>
      <c r="R487" s="20">
        <v>71.05</v>
      </c>
      <c r="S487" s="20">
        <v>71</v>
      </c>
      <c r="T487" s="26">
        <v>-0.05</v>
      </c>
      <c r="U487" s="26">
        <v>-0.05</v>
      </c>
      <c r="V487" s="20">
        <v>1636.85</v>
      </c>
    </row>
    <row r="488" spans="1:22" ht="16.8" x14ac:dyDescent="0.3">
      <c r="A488" s="20">
        <v>48.7</v>
      </c>
      <c r="B488" s="20">
        <v>71</v>
      </c>
      <c r="C488" s="20">
        <v>71.349999999999994</v>
      </c>
      <c r="D488" s="20">
        <v>-0.35</v>
      </c>
      <c r="E488" s="20">
        <v>-0.05</v>
      </c>
      <c r="F488" s="26">
        <v>1935.88</v>
      </c>
      <c r="Q488" s="20">
        <v>48.7</v>
      </c>
      <c r="R488" s="20">
        <v>71.06</v>
      </c>
      <c r="S488" s="26">
        <v>71</v>
      </c>
      <c r="T488" s="26">
        <v>-0.06</v>
      </c>
      <c r="U488" s="26">
        <v>-0.01</v>
      </c>
      <c r="V488" s="26">
        <v>1667.82</v>
      </c>
    </row>
    <row r="489" spans="1:22" ht="16.8" x14ac:dyDescent="0.3">
      <c r="A489" s="20">
        <v>48.8</v>
      </c>
      <c r="B489" s="20">
        <v>71</v>
      </c>
      <c r="C489" s="26">
        <v>71.37</v>
      </c>
      <c r="D489" s="20">
        <v>-0.37</v>
      </c>
      <c r="E489" s="20">
        <v>-0.02</v>
      </c>
      <c r="F489" s="20">
        <v>1913.58</v>
      </c>
      <c r="Q489" s="20">
        <v>48.8</v>
      </c>
      <c r="R489" s="20">
        <v>71.06</v>
      </c>
      <c r="S489" s="20">
        <v>71</v>
      </c>
      <c r="T489" s="26">
        <v>-0.06</v>
      </c>
      <c r="U489" s="26">
        <v>-0.01</v>
      </c>
      <c r="V489" s="20">
        <v>1666.28</v>
      </c>
    </row>
    <row r="490" spans="1:22" ht="16.8" x14ac:dyDescent="0.3">
      <c r="A490" s="20">
        <v>48.9</v>
      </c>
      <c r="B490" s="20">
        <v>71</v>
      </c>
      <c r="C490" s="20">
        <v>71.42</v>
      </c>
      <c r="D490" s="20">
        <v>-0.42</v>
      </c>
      <c r="E490" s="20">
        <v>-0.05</v>
      </c>
      <c r="F490" s="26">
        <v>1857.61</v>
      </c>
      <c r="Q490" s="20">
        <v>48.9</v>
      </c>
      <c r="R490" s="20">
        <v>71.06</v>
      </c>
      <c r="S490" s="26">
        <v>71</v>
      </c>
      <c r="T490" s="26">
        <v>-0.06</v>
      </c>
      <c r="U490" s="26">
        <v>0.01</v>
      </c>
      <c r="V490" s="26">
        <v>1680.51</v>
      </c>
    </row>
    <row r="491" spans="1:22" ht="16.8" x14ac:dyDescent="0.3">
      <c r="A491" s="20">
        <v>49</v>
      </c>
      <c r="B491" s="20">
        <v>71</v>
      </c>
      <c r="C491" s="26">
        <v>71.39</v>
      </c>
      <c r="D491" s="20">
        <v>-0.39</v>
      </c>
      <c r="E491" s="20">
        <v>0.02</v>
      </c>
      <c r="F491" s="20">
        <v>1886.03</v>
      </c>
      <c r="Q491" s="20">
        <v>49</v>
      </c>
      <c r="R491" s="20">
        <v>71.040000000000006</v>
      </c>
      <c r="S491" s="20">
        <v>71</v>
      </c>
      <c r="T491" s="26">
        <v>-0.04</v>
      </c>
      <c r="U491" s="26">
        <v>0.02</v>
      </c>
      <c r="V491" s="20">
        <v>1689.65</v>
      </c>
    </row>
    <row r="492" spans="1:22" ht="16.8" x14ac:dyDescent="0.3">
      <c r="A492" s="20">
        <v>49.1</v>
      </c>
      <c r="B492" s="20">
        <v>71</v>
      </c>
      <c r="C492" s="26">
        <v>71.41</v>
      </c>
      <c r="D492" s="20">
        <v>-0.41</v>
      </c>
      <c r="E492" s="20">
        <v>-0.02</v>
      </c>
      <c r="F492" s="26">
        <v>1867.17</v>
      </c>
      <c r="Q492" s="20">
        <v>49.1</v>
      </c>
      <c r="R492" s="20">
        <v>71.06</v>
      </c>
      <c r="S492" s="26">
        <v>71</v>
      </c>
      <c r="T492" s="26">
        <v>-0.06</v>
      </c>
      <c r="U492" s="26">
        <v>-0.02</v>
      </c>
      <c r="V492" s="26">
        <v>1660.79</v>
      </c>
    </row>
    <row r="493" spans="1:22" ht="16.8" x14ac:dyDescent="0.3">
      <c r="A493" s="20">
        <v>49.2</v>
      </c>
      <c r="B493" s="20">
        <v>71</v>
      </c>
      <c r="C493" s="20">
        <v>71.349999999999994</v>
      </c>
      <c r="D493" s="20">
        <v>-0.35</v>
      </c>
      <c r="E493" s="20">
        <v>0.06</v>
      </c>
      <c r="F493" s="26">
        <v>1935.88</v>
      </c>
      <c r="Q493" s="20">
        <v>49.2</v>
      </c>
      <c r="R493" s="20">
        <v>71.02</v>
      </c>
      <c r="S493" s="26">
        <v>71</v>
      </c>
      <c r="T493" s="26">
        <v>-0.02</v>
      </c>
      <c r="U493" s="26">
        <v>0.03</v>
      </c>
      <c r="V493" s="20">
        <v>1705.18</v>
      </c>
    </row>
    <row r="494" spans="1:22" ht="16.8" x14ac:dyDescent="0.3">
      <c r="A494" s="20">
        <v>49.3</v>
      </c>
      <c r="B494" s="20">
        <v>71</v>
      </c>
      <c r="C494" s="26">
        <v>71.37</v>
      </c>
      <c r="D494" s="20">
        <v>-0.37</v>
      </c>
      <c r="E494" s="20">
        <v>-0.03</v>
      </c>
      <c r="F494" s="20">
        <v>1904.52</v>
      </c>
      <c r="Q494" s="20">
        <v>49.3</v>
      </c>
      <c r="R494" s="20">
        <v>71.069999999999993</v>
      </c>
      <c r="S494" s="26">
        <v>71</v>
      </c>
      <c r="T494" s="26">
        <v>-7.0000000000000007E-2</v>
      </c>
      <c r="U494" s="26">
        <v>-0.05</v>
      </c>
      <c r="V494" s="26">
        <v>1631.82</v>
      </c>
    </row>
    <row r="495" spans="1:22" ht="16.8" x14ac:dyDescent="0.3">
      <c r="A495" s="20">
        <v>49.4</v>
      </c>
      <c r="B495" s="20">
        <v>71</v>
      </c>
      <c r="C495" s="20">
        <v>71.37</v>
      </c>
      <c r="D495" s="20">
        <v>-0.37</v>
      </c>
      <c r="E495" s="20">
        <v>0</v>
      </c>
      <c r="F495" s="26">
        <v>1909.09</v>
      </c>
      <c r="Q495" s="20">
        <v>49.4</v>
      </c>
      <c r="R495" s="20">
        <v>71.010000000000005</v>
      </c>
      <c r="S495" s="26">
        <v>71</v>
      </c>
      <c r="T495" s="26">
        <v>-0.01</v>
      </c>
      <c r="U495" s="26">
        <v>0.06</v>
      </c>
      <c r="V495" s="20">
        <v>1733.73</v>
      </c>
    </row>
    <row r="496" spans="1:22" ht="16.8" x14ac:dyDescent="0.3">
      <c r="A496" s="20">
        <v>49.5</v>
      </c>
      <c r="B496" s="20">
        <v>71</v>
      </c>
      <c r="C496" s="26">
        <v>71.36</v>
      </c>
      <c r="D496" s="20">
        <v>-0.36</v>
      </c>
      <c r="E496" s="20">
        <v>0.01</v>
      </c>
      <c r="F496" s="26">
        <v>1922.57</v>
      </c>
      <c r="Q496" s="20">
        <v>49.5</v>
      </c>
      <c r="R496" s="20">
        <v>71.05</v>
      </c>
      <c r="S496" s="26">
        <v>71</v>
      </c>
      <c r="T496" s="26">
        <v>-0.05</v>
      </c>
      <c r="U496" s="26">
        <v>-0.04</v>
      </c>
      <c r="V496" s="26">
        <v>1642.29</v>
      </c>
    </row>
    <row r="497" spans="1:22" ht="16.8" x14ac:dyDescent="0.3">
      <c r="A497" s="20">
        <v>49.6</v>
      </c>
      <c r="B497" s="20">
        <v>71</v>
      </c>
      <c r="C497" s="26">
        <v>71.39</v>
      </c>
      <c r="D497" s="20">
        <v>-0.39</v>
      </c>
      <c r="E497" s="20">
        <v>-0.04</v>
      </c>
      <c r="F497" s="20">
        <v>1881.36</v>
      </c>
      <c r="Q497" s="20">
        <v>49.6</v>
      </c>
      <c r="R497" s="20">
        <v>71.06</v>
      </c>
      <c r="S497" s="26">
        <v>71</v>
      </c>
      <c r="T497" s="26">
        <v>-0.06</v>
      </c>
      <c r="U497" s="26">
        <v>-0.02</v>
      </c>
      <c r="V497" s="20">
        <v>1658.87</v>
      </c>
    </row>
    <row r="498" spans="1:22" ht="16.8" x14ac:dyDescent="0.3">
      <c r="A498" s="20">
        <v>49.7</v>
      </c>
      <c r="B498" s="20">
        <v>71</v>
      </c>
      <c r="C498" s="20">
        <v>71.36</v>
      </c>
      <c r="D498" s="20">
        <v>-0.36</v>
      </c>
      <c r="E498" s="20">
        <v>0.04</v>
      </c>
      <c r="F498" s="26">
        <v>1922.57</v>
      </c>
      <c r="Q498" s="20">
        <v>49.7</v>
      </c>
      <c r="R498" s="20">
        <v>71.05</v>
      </c>
      <c r="S498" s="26">
        <v>71</v>
      </c>
      <c r="T498" s="26">
        <v>-0.05</v>
      </c>
      <c r="U498" s="26">
        <v>0.02</v>
      </c>
      <c r="V498" s="26">
        <v>1687.48</v>
      </c>
    </row>
    <row r="499" spans="1:22" ht="16.8" x14ac:dyDescent="0.3">
      <c r="A499" s="20">
        <v>49.8</v>
      </c>
      <c r="B499" s="20">
        <v>71</v>
      </c>
      <c r="C499" s="26">
        <v>71.39</v>
      </c>
      <c r="D499" s="20">
        <v>-0.39</v>
      </c>
      <c r="E499" s="20">
        <v>-0.04</v>
      </c>
      <c r="F499" s="26">
        <v>1881.36</v>
      </c>
      <c r="Q499" s="20">
        <v>49.8</v>
      </c>
      <c r="R499" s="20">
        <v>71.06</v>
      </c>
      <c r="S499" s="26">
        <v>71</v>
      </c>
      <c r="T499" s="26">
        <v>-0.06</v>
      </c>
      <c r="U499" s="26">
        <v>-0.02</v>
      </c>
      <c r="V499" s="20">
        <v>1658.59</v>
      </c>
    </row>
    <row r="500" spans="1:22" ht="16.8" x14ac:dyDescent="0.3">
      <c r="A500" s="20">
        <v>49.9</v>
      </c>
      <c r="B500" s="20">
        <v>71</v>
      </c>
      <c r="C500" s="26">
        <v>71.400000000000006</v>
      </c>
      <c r="D500" s="20">
        <v>-0.4</v>
      </c>
      <c r="E500" s="20">
        <v>-0.01</v>
      </c>
      <c r="F500" s="20">
        <v>1871.93</v>
      </c>
      <c r="Q500" s="20">
        <v>49.9</v>
      </c>
      <c r="R500" s="20">
        <v>71.02</v>
      </c>
      <c r="S500" s="26">
        <v>71</v>
      </c>
      <c r="T500" s="26">
        <v>-0.02</v>
      </c>
      <c r="U500" s="26">
        <v>0.04</v>
      </c>
      <c r="V500" s="26">
        <v>1710.86</v>
      </c>
    </row>
    <row r="501" spans="1:22" ht="16.8" x14ac:dyDescent="0.3">
      <c r="A501" s="20">
        <v>50</v>
      </c>
      <c r="B501" s="20">
        <v>71</v>
      </c>
      <c r="C501" s="20">
        <v>71.38</v>
      </c>
      <c r="D501" s="20">
        <v>-0.38</v>
      </c>
      <c r="E501" s="20">
        <v>0.02</v>
      </c>
      <c r="F501" s="26">
        <v>1899.95</v>
      </c>
      <c r="Q501" s="20">
        <v>50</v>
      </c>
      <c r="R501" s="20">
        <v>71.06</v>
      </c>
      <c r="S501" s="26">
        <v>71</v>
      </c>
      <c r="T501" s="26">
        <v>-0.06</v>
      </c>
      <c r="U501" s="26">
        <v>-0.04</v>
      </c>
      <c r="V501" s="20">
        <v>1638.89</v>
      </c>
    </row>
    <row r="502" spans="1:22" ht="16.8" x14ac:dyDescent="0.3">
      <c r="A502" s="20">
        <v>50.1</v>
      </c>
      <c r="B502" s="20">
        <v>71</v>
      </c>
      <c r="C502" s="26">
        <v>71.39</v>
      </c>
      <c r="D502" s="20">
        <v>-0.39</v>
      </c>
      <c r="E502" s="20">
        <v>-0.02</v>
      </c>
      <c r="F502" s="26">
        <v>1881.36</v>
      </c>
      <c r="Q502" s="20">
        <v>50.1</v>
      </c>
      <c r="R502" s="20">
        <v>71.010000000000005</v>
      </c>
      <c r="S502" s="26">
        <v>71</v>
      </c>
      <c r="T502" s="26">
        <v>-0.01</v>
      </c>
      <c r="U502" s="26">
        <v>0.06</v>
      </c>
      <c r="V502" s="26">
        <v>1726.43</v>
      </c>
    </row>
    <row r="503" spans="1:22" ht="16.8" x14ac:dyDescent="0.3">
      <c r="A503" s="20">
        <v>50.2</v>
      </c>
      <c r="B503" s="20">
        <v>71</v>
      </c>
      <c r="C503" s="20">
        <v>71.319999999999993</v>
      </c>
      <c r="D503" s="20">
        <v>-0.32</v>
      </c>
      <c r="E503" s="20">
        <v>7.0000000000000007E-2</v>
      </c>
      <c r="F503" s="20">
        <v>1962.08</v>
      </c>
      <c r="Q503" s="20">
        <v>50.2</v>
      </c>
      <c r="R503" s="20">
        <v>71.069999999999993</v>
      </c>
      <c r="S503" s="26">
        <v>71</v>
      </c>
      <c r="T503" s="26">
        <v>-7.0000000000000007E-2</v>
      </c>
      <c r="U503" s="26">
        <v>-0.06</v>
      </c>
      <c r="V503" s="20">
        <v>1617.82</v>
      </c>
    </row>
    <row r="504" spans="1:22" ht="16.8" x14ac:dyDescent="0.3">
      <c r="A504" s="20">
        <v>50.3</v>
      </c>
      <c r="B504" s="20">
        <v>71</v>
      </c>
      <c r="C504" s="26">
        <v>71.33</v>
      </c>
      <c r="D504" s="20">
        <v>-0.33</v>
      </c>
      <c r="E504" s="20">
        <v>0</v>
      </c>
      <c r="F504" s="26">
        <v>1957.76</v>
      </c>
      <c r="Q504" s="20">
        <v>50.3</v>
      </c>
      <c r="R504" s="20">
        <v>71.099999999999994</v>
      </c>
      <c r="S504" s="26">
        <v>71</v>
      </c>
      <c r="T504" s="26">
        <v>-0.1</v>
      </c>
      <c r="U504" s="26">
        <v>-0.02</v>
      </c>
      <c r="V504" s="26">
        <v>1645.94</v>
      </c>
    </row>
    <row r="505" spans="1:22" ht="16.8" x14ac:dyDescent="0.3">
      <c r="A505" s="20">
        <v>50.4</v>
      </c>
      <c r="B505" s="20">
        <v>71</v>
      </c>
      <c r="C505" s="20">
        <v>71.31</v>
      </c>
      <c r="D505" s="20">
        <v>-0.31</v>
      </c>
      <c r="E505" s="20">
        <v>0.01</v>
      </c>
      <c r="F505" s="20">
        <v>1970.63</v>
      </c>
      <c r="Q505" s="20">
        <v>50.4</v>
      </c>
      <c r="R505" s="20">
        <v>71.08</v>
      </c>
      <c r="S505" s="20">
        <v>71</v>
      </c>
      <c r="T505" s="26">
        <v>-0.08</v>
      </c>
      <c r="U505" s="26">
        <v>0.02</v>
      </c>
      <c r="V505" s="20">
        <v>1680.96</v>
      </c>
    </row>
    <row r="506" spans="1:22" ht="16.8" x14ac:dyDescent="0.3">
      <c r="A506" s="20">
        <v>50.5</v>
      </c>
      <c r="B506" s="20">
        <v>71</v>
      </c>
      <c r="C506" s="26">
        <v>71.349999999999994</v>
      </c>
      <c r="D506" s="20">
        <v>-0.35</v>
      </c>
      <c r="E506" s="20">
        <v>-0.04</v>
      </c>
      <c r="F506" s="26">
        <v>1927.02</v>
      </c>
      <c r="Q506" s="20">
        <v>50.5</v>
      </c>
      <c r="R506" s="20">
        <v>71.06</v>
      </c>
      <c r="S506" s="26">
        <v>71</v>
      </c>
      <c r="T506" s="26">
        <v>-0.06</v>
      </c>
      <c r="U506" s="26">
        <v>0.02</v>
      </c>
      <c r="V506" s="26">
        <v>1683.55</v>
      </c>
    </row>
    <row r="507" spans="1:22" ht="16.8" x14ac:dyDescent="0.3">
      <c r="A507" s="20">
        <v>50.6</v>
      </c>
      <c r="B507" s="20">
        <v>71</v>
      </c>
      <c r="C507" s="26">
        <v>71.34</v>
      </c>
      <c r="D507" s="20">
        <v>-0.34</v>
      </c>
      <c r="E507" s="20">
        <v>0.01</v>
      </c>
      <c r="F507" s="26">
        <v>1940.29</v>
      </c>
      <c r="Q507" s="20">
        <v>50.6</v>
      </c>
      <c r="R507" s="20">
        <v>71.08</v>
      </c>
      <c r="S507" s="20">
        <v>71</v>
      </c>
      <c r="T507" s="26">
        <v>-0.08</v>
      </c>
      <c r="U507" s="26">
        <v>-0.02</v>
      </c>
      <c r="V507" s="20">
        <v>1654.63</v>
      </c>
    </row>
    <row r="508" spans="1:22" ht="16.8" x14ac:dyDescent="0.3">
      <c r="A508" s="20">
        <v>50.7</v>
      </c>
      <c r="B508" s="20">
        <v>71</v>
      </c>
      <c r="C508" s="20">
        <v>71.319999999999993</v>
      </c>
      <c r="D508" s="20">
        <v>-0.32</v>
      </c>
      <c r="E508" s="20">
        <v>0.02</v>
      </c>
      <c r="F508" s="20">
        <v>1962.08</v>
      </c>
      <c r="Q508" s="20">
        <v>50.7</v>
      </c>
      <c r="R508" s="20">
        <v>71.099999999999994</v>
      </c>
      <c r="S508" s="26">
        <v>71</v>
      </c>
      <c r="T508" s="26">
        <v>-0.1</v>
      </c>
      <c r="U508" s="26">
        <v>-0.02</v>
      </c>
      <c r="V508" s="26">
        <v>1651.64</v>
      </c>
    </row>
    <row r="509" spans="1:22" ht="16.8" x14ac:dyDescent="0.3">
      <c r="A509" s="20">
        <v>50.8</v>
      </c>
      <c r="B509" s="20">
        <v>71</v>
      </c>
      <c r="C509" s="26">
        <v>71.319999999999993</v>
      </c>
      <c r="D509" s="20">
        <v>-0.32</v>
      </c>
      <c r="E509" s="20">
        <v>0</v>
      </c>
      <c r="F509" s="26">
        <v>1962.08</v>
      </c>
      <c r="Q509" s="20">
        <v>50.8</v>
      </c>
      <c r="R509" s="20">
        <v>71.09</v>
      </c>
      <c r="S509" s="20">
        <v>71</v>
      </c>
      <c r="T509" s="26">
        <v>-0.09</v>
      </c>
      <c r="U509" s="26">
        <v>0.01</v>
      </c>
      <c r="V509" s="20">
        <v>1672.27</v>
      </c>
    </row>
    <row r="510" spans="1:22" ht="16.8" x14ac:dyDescent="0.3">
      <c r="A510" s="20">
        <v>50.9</v>
      </c>
      <c r="B510" s="20">
        <v>71</v>
      </c>
      <c r="C510" s="26">
        <v>71.27</v>
      </c>
      <c r="D510" s="20">
        <v>-0.27</v>
      </c>
      <c r="E510" s="20">
        <v>0.05</v>
      </c>
      <c r="F510" s="20">
        <v>2004.71</v>
      </c>
      <c r="Q510" s="20">
        <v>50.9</v>
      </c>
      <c r="R510" s="20">
        <v>71.11</v>
      </c>
      <c r="S510" s="26">
        <v>71</v>
      </c>
      <c r="T510" s="26">
        <v>-0.11</v>
      </c>
      <c r="U510" s="26">
        <v>-0.02</v>
      </c>
      <c r="V510" s="20">
        <v>1641.9</v>
      </c>
    </row>
    <row r="511" spans="1:22" ht="16.8" x14ac:dyDescent="0.3">
      <c r="A511" s="20">
        <v>51</v>
      </c>
      <c r="B511" s="20">
        <v>71</v>
      </c>
      <c r="C511" s="20">
        <v>71.31</v>
      </c>
      <c r="D511" s="20">
        <v>-0.31</v>
      </c>
      <c r="E511" s="20">
        <v>-0.04</v>
      </c>
      <c r="F511" s="26">
        <v>1974.89</v>
      </c>
      <c r="Q511" s="20">
        <v>51</v>
      </c>
      <c r="R511" s="20">
        <v>71.099999999999994</v>
      </c>
      <c r="S511" s="26">
        <v>71</v>
      </c>
      <c r="T511" s="26">
        <v>-0.1</v>
      </c>
      <c r="U511" s="26">
        <v>0.02</v>
      </c>
      <c r="V511" s="26">
        <v>1676.87</v>
      </c>
    </row>
    <row r="512" spans="1:22" ht="16.8" x14ac:dyDescent="0.3">
      <c r="A512" s="20">
        <v>51.1</v>
      </c>
      <c r="B512" s="20">
        <v>71</v>
      </c>
      <c r="C512" s="26">
        <v>71.290000000000006</v>
      </c>
      <c r="D512" s="20">
        <v>-0.28999999999999998</v>
      </c>
      <c r="E512" s="20">
        <v>0.02</v>
      </c>
      <c r="F512" s="26">
        <v>1992.81</v>
      </c>
      <c r="Q512" s="20">
        <v>51.1</v>
      </c>
      <c r="R512" s="20">
        <v>71.099999999999994</v>
      </c>
      <c r="S512" s="26">
        <v>71</v>
      </c>
      <c r="T512" s="26">
        <v>-0.1</v>
      </c>
      <c r="U512" s="26">
        <v>0</v>
      </c>
      <c r="V512" s="20">
        <v>1663.65</v>
      </c>
    </row>
    <row r="513" spans="1:22" ht="16.8" x14ac:dyDescent="0.3">
      <c r="A513" s="20">
        <v>51.2</v>
      </c>
      <c r="B513" s="20">
        <v>71</v>
      </c>
      <c r="C513" s="20">
        <v>71.27</v>
      </c>
      <c r="D513" s="20">
        <v>-0.27</v>
      </c>
      <c r="E513" s="20">
        <v>0.02</v>
      </c>
      <c r="F513" s="20">
        <v>2007.73</v>
      </c>
      <c r="Q513" s="20">
        <v>51.2</v>
      </c>
      <c r="R513" s="20">
        <v>71.099999999999994</v>
      </c>
      <c r="S513" s="26">
        <v>71</v>
      </c>
      <c r="T513" s="26">
        <v>-0.1</v>
      </c>
      <c r="U513" s="26">
        <v>0</v>
      </c>
      <c r="V513" s="26">
        <v>1663.41</v>
      </c>
    </row>
    <row r="514" spans="1:22" ht="16.8" x14ac:dyDescent="0.3">
      <c r="A514" s="20">
        <v>51.3</v>
      </c>
      <c r="B514" s="20">
        <v>71</v>
      </c>
      <c r="C514" s="26">
        <v>71.25</v>
      </c>
      <c r="D514" s="20">
        <v>-0.25</v>
      </c>
      <c r="E514" s="20">
        <v>0.02</v>
      </c>
      <c r="F514" s="26">
        <v>2019.98</v>
      </c>
      <c r="Q514" s="20">
        <v>51.3</v>
      </c>
      <c r="R514" s="20">
        <v>71.06</v>
      </c>
      <c r="S514" s="26">
        <v>71</v>
      </c>
      <c r="T514" s="26">
        <v>-0.06</v>
      </c>
      <c r="U514" s="26">
        <v>0.03</v>
      </c>
      <c r="V514" s="20">
        <v>1694.72</v>
      </c>
    </row>
    <row r="515" spans="1:22" ht="16.8" x14ac:dyDescent="0.3">
      <c r="A515" s="20">
        <v>51.4</v>
      </c>
      <c r="B515" s="20">
        <v>71</v>
      </c>
      <c r="C515" s="26">
        <v>71.319999999999993</v>
      </c>
      <c r="D515" s="20">
        <v>-0.32</v>
      </c>
      <c r="E515" s="20">
        <v>-0.06</v>
      </c>
      <c r="F515" s="26">
        <v>1966.37</v>
      </c>
      <c r="Q515" s="20">
        <v>51.4</v>
      </c>
      <c r="R515" s="20">
        <v>71.05</v>
      </c>
      <c r="S515" s="26">
        <v>71</v>
      </c>
      <c r="T515" s="26">
        <v>-0.05</v>
      </c>
      <c r="U515" s="26">
        <v>0.02</v>
      </c>
      <c r="V515" s="26">
        <v>1684.36</v>
      </c>
    </row>
    <row r="516" spans="1:22" ht="16.8" x14ac:dyDescent="0.3">
      <c r="A516" s="20">
        <v>51.5</v>
      </c>
      <c r="B516" s="20">
        <v>71</v>
      </c>
      <c r="C516" s="20">
        <v>71.31</v>
      </c>
      <c r="D516" s="20">
        <v>-0.31</v>
      </c>
      <c r="E516" s="20">
        <v>0.01</v>
      </c>
      <c r="F516" s="20">
        <v>1979.14</v>
      </c>
      <c r="Q516" s="20">
        <v>51.5</v>
      </c>
      <c r="R516" s="20">
        <v>71.06</v>
      </c>
      <c r="S516" s="26">
        <v>71</v>
      </c>
      <c r="T516" s="26">
        <v>-0.06</v>
      </c>
      <c r="U516" s="26">
        <v>-0.01</v>
      </c>
      <c r="V516" s="20">
        <v>1663.36</v>
      </c>
    </row>
    <row r="517" spans="1:22" ht="16.8" x14ac:dyDescent="0.3">
      <c r="A517" s="20">
        <v>51.6</v>
      </c>
      <c r="B517" s="20">
        <v>71</v>
      </c>
      <c r="C517" s="26">
        <v>71.319999999999993</v>
      </c>
      <c r="D517" s="20">
        <v>-0.32</v>
      </c>
      <c r="E517" s="20">
        <v>-0.02</v>
      </c>
      <c r="F517" s="26">
        <v>1962.08</v>
      </c>
      <c r="Q517" s="20">
        <v>51.6</v>
      </c>
      <c r="R517" s="20">
        <v>71.06</v>
      </c>
      <c r="S517" s="26">
        <v>71</v>
      </c>
      <c r="T517" s="26">
        <v>-0.06</v>
      </c>
      <c r="U517" s="26">
        <v>-0.01</v>
      </c>
      <c r="V517" s="20">
        <v>1661.82</v>
      </c>
    </row>
    <row r="518" spans="1:22" ht="16.8" x14ac:dyDescent="0.3">
      <c r="A518" s="20">
        <v>51.7</v>
      </c>
      <c r="B518" s="20">
        <v>71</v>
      </c>
      <c r="C518" s="26">
        <v>71.33</v>
      </c>
      <c r="D518" s="20">
        <v>-0.33</v>
      </c>
      <c r="E518" s="20">
        <v>0</v>
      </c>
      <c r="F518" s="20">
        <v>1957.76</v>
      </c>
      <c r="Q518" s="20">
        <v>51.7</v>
      </c>
      <c r="R518" s="20">
        <v>71.03</v>
      </c>
      <c r="S518" s="26">
        <v>71</v>
      </c>
      <c r="T518" s="26">
        <v>-0.03</v>
      </c>
      <c r="U518" s="20">
        <v>0.03</v>
      </c>
      <c r="V518" s="26">
        <v>1699.72</v>
      </c>
    </row>
    <row r="519" spans="1:22" ht="16.8" x14ac:dyDescent="0.3">
      <c r="A519" s="20">
        <v>51.8</v>
      </c>
      <c r="B519" s="20">
        <v>71</v>
      </c>
      <c r="C519" s="20">
        <v>71.3</v>
      </c>
      <c r="D519" s="20">
        <v>-0.3</v>
      </c>
      <c r="E519" s="20">
        <v>0.02</v>
      </c>
      <c r="F519" s="26">
        <v>1983.37</v>
      </c>
      <c r="Q519" s="20">
        <v>51.8</v>
      </c>
      <c r="R519" s="20">
        <v>71.150000000000006</v>
      </c>
      <c r="S519" s="26">
        <v>71</v>
      </c>
      <c r="T519" s="26">
        <v>-0.15</v>
      </c>
      <c r="U519" s="26">
        <v>-0.12</v>
      </c>
      <c r="V519" s="20">
        <v>1555.33</v>
      </c>
    </row>
    <row r="520" spans="1:22" ht="16.8" x14ac:dyDescent="0.3">
      <c r="A520" s="20">
        <v>51.9</v>
      </c>
      <c r="B520" s="20">
        <v>71</v>
      </c>
      <c r="C520" s="26">
        <v>71.27</v>
      </c>
      <c r="D520" s="20">
        <v>-0.27</v>
      </c>
      <c r="E520" s="20">
        <v>0.03</v>
      </c>
      <c r="F520" s="26">
        <v>2004.71</v>
      </c>
      <c r="Q520" s="20">
        <v>51.9</v>
      </c>
      <c r="R520" s="20">
        <v>71.180000000000007</v>
      </c>
      <c r="S520" s="26">
        <v>71</v>
      </c>
      <c r="T520" s="26">
        <v>-0.18</v>
      </c>
      <c r="U520" s="26">
        <v>-0.02</v>
      </c>
      <c r="V520" s="26">
        <v>1628.71</v>
      </c>
    </row>
    <row r="521" spans="1:22" ht="16.8" x14ac:dyDescent="0.3">
      <c r="A521" s="20">
        <v>52</v>
      </c>
      <c r="B521" s="20">
        <v>71</v>
      </c>
      <c r="C521" s="20">
        <v>71.3</v>
      </c>
      <c r="D521" s="20">
        <v>-0.3</v>
      </c>
      <c r="E521" s="20">
        <v>-0.02</v>
      </c>
      <c r="F521" s="20">
        <v>1986.99</v>
      </c>
      <c r="Q521" s="20">
        <v>52</v>
      </c>
      <c r="R521" s="20">
        <v>71.27</v>
      </c>
      <c r="S521" s="26">
        <v>71</v>
      </c>
      <c r="T521" s="26">
        <v>-0.27</v>
      </c>
      <c r="U521" s="26">
        <v>-0.1</v>
      </c>
      <c r="V521" s="20">
        <v>1553.06</v>
      </c>
    </row>
    <row r="522" spans="1:22" ht="16.8" x14ac:dyDescent="0.3">
      <c r="A522" s="20">
        <v>52.1</v>
      </c>
      <c r="B522" s="20">
        <v>71</v>
      </c>
      <c r="C522" s="26">
        <v>71.349999999999994</v>
      </c>
      <c r="D522" s="20">
        <v>-0.35</v>
      </c>
      <c r="E522" s="20">
        <v>-0.05</v>
      </c>
      <c r="F522" s="26">
        <v>1935.88</v>
      </c>
      <c r="Q522" s="20">
        <v>52.1</v>
      </c>
      <c r="R522" s="20">
        <v>71.42</v>
      </c>
      <c r="S522" s="26">
        <v>71</v>
      </c>
      <c r="T522" s="26">
        <v>-0.42</v>
      </c>
      <c r="U522" s="26">
        <v>-0.15</v>
      </c>
      <c r="V522" s="26">
        <v>1488.34</v>
      </c>
    </row>
    <row r="523" spans="1:22" ht="16.8" x14ac:dyDescent="0.3">
      <c r="A523" s="20">
        <v>52.2</v>
      </c>
      <c r="B523" s="20">
        <v>71</v>
      </c>
      <c r="C523" s="26">
        <v>71.33</v>
      </c>
      <c r="D523" s="20">
        <v>-0.33</v>
      </c>
      <c r="E523" s="20">
        <v>0.02</v>
      </c>
      <c r="F523" s="26">
        <v>1953.42</v>
      </c>
      <c r="Q523" s="20">
        <v>52.2</v>
      </c>
      <c r="R523" s="20">
        <v>71.52</v>
      </c>
      <c r="S523" s="20">
        <v>71</v>
      </c>
      <c r="T523" s="26">
        <v>-0.52</v>
      </c>
      <c r="U523" s="26">
        <v>-0.1</v>
      </c>
      <c r="V523" s="20">
        <v>1509.53</v>
      </c>
    </row>
    <row r="524" spans="1:22" ht="16.8" x14ac:dyDescent="0.3">
      <c r="A524" s="20">
        <v>52.3</v>
      </c>
      <c r="B524" s="20">
        <v>71</v>
      </c>
      <c r="C524" s="20">
        <v>71.290000000000006</v>
      </c>
      <c r="D524" s="20">
        <v>-0.28999999999999998</v>
      </c>
      <c r="E524" s="20">
        <v>0.04</v>
      </c>
      <c r="F524" s="20">
        <v>1995.76</v>
      </c>
      <c r="Q524" s="20">
        <v>52.3</v>
      </c>
      <c r="R524" s="20">
        <v>71.55</v>
      </c>
      <c r="S524" s="26">
        <v>71</v>
      </c>
      <c r="T524" s="26">
        <v>-0.55000000000000004</v>
      </c>
      <c r="U524" s="26">
        <v>-0.03</v>
      </c>
      <c r="V524" s="26">
        <v>1554.63</v>
      </c>
    </row>
    <row r="525" spans="1:22" ht="16.8" x14ac:dyDescent="0.3">
      <c r="A525" s="20">
        <v>52.4</v>
      </c>
      <c r="B525" s="20">
        <v>71</v>
      </c>
      <c r="C525" s="26">
        <v>71.349999999999994</v>
      </c>
      <c r="D525" s="20">
        <v>-0.35</v>
      </c>
      <c r="E525" s="20">
        <v>-7.0000000000000007E-2</v>
      </c>
      <c r="F525" s="26">
        <v>1927.02</v>
      </c>
      <c r="Q525" s="20">
        <v>52.4</v>
      </c>
      <c r="R525" s="20">
        <v>71.64</v>
      </c>
      <c r="S525" s="26">
        <v>71</v>
      </c>
      <c r="T525" s="26">
        <v>-0.64</v>
      </c>
      <c r="U525" s="26">
        <v>-0.1</v>
      </c>
      <c r="V525" s="20">
        <v>1484.59</v>
      </c>
    </row>
    <row r="526" spans="1:22" ht="16.8" x14ac:dyDescent="0.3">
      <c r="A526" s="20">
        <v>52.5</v>
      </c>
      <c r="B526" s="20">
        <v>71</v>
      </c>
      <c r="C526" s="20">
        <v>71.349999999999994</v>
      </c>
      <c r="D526" s="20">
        <v>-0.35</v>
      </c>
      <c r="E526" s="20">
        <v>0.01</v>
      </c>
      <c r="F526" s="20">
        <v>1935.88</v>
      </c>
      <c r="Q526" s="20">
        <v>52.5</v>
      </c>
      <c r="R526" s="20">
        <v>71.66</v>
      </c>
      <c r="S526" s="26">
        <v>71</v>
      </c>
      <c r="T526" s="26">
        <v>-0.66</v>
      </c>
      <c r="U526" s="26">
        <v>-0.02</v>
      </c>
      <c r="V526" s="26">
        <v>1545.16</v>
      </c>
    </row>
    <row r="527" spans="1:22" ht="16.8" x14ac:dyDescent="0.3">
      <c r="A527" s="20">
        <v>52.6</v>
      </c>
      <c r="B527" s="20">
        <v>71</v>
      </c>
      <c r="C527" s="26">
        <v>71.36</v>
      </c>
      <c r="D527" s="20">
        <v>-0.36</v>
      </c>
      <c r="E527" s="20">
        <v>-0.01</v>
      </c>
      <c r="F527" s="26">
        <v>1922.57</v>
      </c>
      <c r="Q527" s="20">
        <v>52.6</v>
      </c>
      <c r="R527" s="20">
        <v>71.69</v>
      </c>
      <c r="S527" s="26">
        <v>71</v>
      </c>
      <c r="T527" s="26">
        <v>-0.69</v>
      </c>
      <c r="U527" s="26">
        <v>-0.03</v>
      </c>
      <c r="V527" s="20">
        <v>1524.95</v>
      </c>
    </row>
    <row r="528" spans="1:22" ht="16.8" x14ac:dyDescent="0.3">
      <c r="A528" s="20">
        <v>52.7</v>
      </c>
      <c r="B528" s="20">
        <v>71</v>
      </c>
      <c r="C528" s="26">
        <v>71.37</v>
      </c>
      <c r="D528" s="20">
        <v>-0.37</v>
      </c>
      <c r="E528" s="20">
        <v>-0.01</v>
      </c>
      <c r="F528" s="26">
        <v>1913.58</v>
      </c>
      <c r="Q528" s="20">
        <v>52.7</v>
      </c>
      <c r="R528" s="20">
        <v>71.69</v>
      </c>
      <c r="S528" s="26">
        <v>71</v>
      </c>
      <c r="T528" s="26">
        <v>-0.69</v>
      </c>
      <c r="U528" s="26">
        <v>0</v>
      </c>
      <c r="V528" s="26">
        <v>1549.21</v>
      </c>
    </row>
    <row r="529" spans="1:22" ht="16.8" x14ac:dyDescent="0.3">
      <c r="A529" s="20">
        <v>52.8</v>
      </c>
      <c r="B529" s="20">
        <v>71</v>
      </c>
      <c r="C529" s="20">
        <v>71.319999999999993</v>
      </c>
      <c r="D529" s="20">
        <v>-0.32</v>
      </c>
      <c r="E529" s="20">
        <v>0.04</v>
      </c>
      <c r="F529" s="20">
        <v>1962.08</v>
      </c>
      <c r="Q529" s="20">
        <v>52.8</v>
      </c>
      <c r="R529" s="20">
        <v>71.709999999999994</v>
      </c>
      <c r="S529" s="26">
        <v>71</v>
      </c>
      <c r="T529" s="26">
        <v>-0.71</v>
      </c>
      <c r="U529" s="26">
        <v>-0.02</v>
      </c>
      <c r="V529" s="20">
        <v>1531.7</v>
      </c>
    </row>
    <row r="530" spans="1:22" ht="16.8" x14ac:dyDescent="0.3">
      <c r="A530" s="20">
        <v>52.9</v>
      </c>
      <c r="B530" s="20">
        <v>71</v>
      </c>
      <c r="C530" s="26">
        <v>71.36</v>
      </c>
      <c r="D530" s="20">
        <v>-0.36</v>
      </c>
      <c r="E530" s="20">
        <v>-0.04</v>
      </c>
      <c r="F530" s="26">
        <v>1922.57</v>
      </c>
      <c r="Q530" s="20">
        <v>52.9</v>
      </c>
      <c r="R530" s="20">
        <v>71.7</v>
      </c>
      <c r="S530" s="26">
        <v>71</v>
      </c>
      <c r="T530" s="26">
        <v>-0.7</v>
      </c>
      <c r="U530" s="26">
        <v>0.01</v>
      </c>
      <c r="V530" s="20">
        <v>1550.84</v>
      </c>
    </row>
    <row r="531" spans="1:22" ht="16.8" x14ac:dyDescent="0.3">
      <c r="A531" s="20">
        <v>53</v>
      </c>
      <c r="B531" s="20">
        <v>71</v>
      </c>
      <c r="C531" s="26">
        <v>71.349999999999994</v>
      </c>
      <c r="D531" s="20">
        <v>-0.35</v>
      </c>
      <c r="E531" s="20">
        <v>0.01</v>
      </c>
      <c r="F531" s="26">
        <v>1931.46</v>
      </c>
      <c r="Q531" s="20">
        <v>53</v>
      </c>
      <c r="R531" s="20">
        <v>71.650000000000006</v>
      </c>
      <c r="S531" s="26">
        <v>71</v>
      </c>
      <c r="T531" s="26">
        <v>-0.65</v>
      </c>
      <c r="U531" s="26">
        <v>0.05</v>
      </c>
      <c r="V531" s="26">
        <v>1589.93</v>
      </c>
    </row>
    <row r="532" spans="1:22" ht="16.8" x14ac:dyDescent="0.3">
      <c r="A532" s="20">
        <v>53.1</v>
      </c>
      <c r="B532" s="20">
        <v>71</v>
      </c>
      <c r="C532" s="20">
        <v>71.34</v>
      </c>
      <c r="D532" s="20">
        <v>-0.34</v>
      </c>
      <c r="E532" s="20">
        <v>0.01</v>
      </c>
      <c r="F532" s="20">
        <v>1940.29</v>
      </c>
      <c r="Q532" s="20">
        <v>53.1</v>
      </c>
      <c r="R532" s="20">
        <v>71.67</v>
      </c>
      <c r="S532" s="26">
        <v>71</v>
      </c>
      <c r="T532" s="26">
        <v>-0.67</v>
      </c>
      <c r="U532" s="26">
        <v>-0.02</v>
      </c>
      <c r="V532" s="20">
        <v>1533.56</v>
      </c>
    </row>
    <row r="533" spans="1:22" ht="16.8" x14ac:dyDescent="0.3">
      <c r="A533" s="20">
        <v>53.2</v>
      </c>
      <c r="B533" s="20">
        <v>71</v>
      </c>
      <c r="C533" s="26">
        <v>71.349999999999994</v>
      </c>
      <c r="D533" s="20">
        <v>-0.35</v>
      </c>
      <c r="E533" s="20">
        <v>0</v>
      </c>
      <c r="F533" s="26">
        <v>1935.88</v>
      </c>
      <c r="Q533" s="20">
        <v>53.2</v>
      </c>
      <c r="R533" s="20">
        <v>71.64</v>
      </c>
      <c r="S533" s="26">
        <v>71</v>
      </c>
      <c r="T533" s="26">
        <v>-0.64</v>
      </c>
      <c r="U533" s="26">
        <v>0.02</v>
      </c>
      <c r="V533" s="26">
        <v>1568.57</v>
      </c>
    </row>
    <row r="534" spans="1:22" ht="16.8" x14ac:dyDescent="0.3">
      <c r="A534" s="20">
        <v>53.3</v>
      </c>
      <c r="B534" s="20">
        <v>71</v>
      </c>
      <c r="C534" s="20">
        <v>71.37</v>
      </c>
      <c r="D534" s="20">
        <v>-0.37</v>
      </c>
      <c r="E534" s="20">
        <v>-0.02</v>
      </c>
      <c r="F534" s="20">
        <v>1909.09</v>
      </c>
      <c r="Q534" s="20">
        <v>53.3</v>
      </c>
      <c r="R534" s="20">
        <v>71.64</v>
      </c>
      <c r="S534" s="26">
        <v>71</v>
      </c>
      <c r="T534" s="26">
        <v>-0.64</v>
      </c>
      <c r="U534" s="26">
        <v>0.01</v>
      </c>
      <c r="V534" s="20">
        <v>1555.37</v>
      </c>
    </row>
    <row r="535" spans="1:22" ht="16.8" x14ac:dyDescent="0.3">
      <c r="A535" s="20">
        <v>53.4</v>
      </c>
      <c r="B535" s="20">
        <v>71</v>
      </c>
      <c r="C535" s="26">
        <v>71.36</v>
      </c>
      <c r="D535" s="20">
        <v>-0.36</v>
      </c>
      <c r="E535" s="20">
        <v>0.01</v>
      </c>
      <c r="F535" s="26">
        <v>1918.1</v>
      </c>
      <c r="Q535" s="20">
        <v>53.4</v>
      </c>
      <c r="R535" s="20">
        <v>71.64</v>
      </c>
      <c r="S535" s="26">
        <v>71</v>
      </c>
      <c r="T535" s="20">
        <v>-0.64</v>
      </c>
      <c r="U535" s="26">
        <v>-0.01</v>
      </c>
      <c r="V535" s="26">
        <v>1539.41</v>
      </c>
    </row>
    <row r="536" spans="1:22" ht="16.8" x14ac:dyDescent="0.3">
      <c r="A536" s="20">
        <v>53.5</v>
      </c>
      <c r="B536" s="20">
        <v>71</v>
      </c>
      <c r="C536" s="20">
        <v>71.34</v>
      </c>
      <c r="D536" s="20">
        <v>-0.34</v>
      </c>
      <c r="E536" s="20">
        <v>0.02</v>
      </c>
      <c r="F536" s="26">
        <v>1940.29</v>
      </c>
      <c r="Q536" s="20">
        <v>53.5</v>
      </c>
      <c r="R536" s="20">
        <v>71.599999999999994</v>
      </c>
      <c r="S536" s="26">
        <v>71</v>
      </c>
      <c r="T536" s="26">
        <v>-0.6</v>
      </c>
      <c r="U536" s="26">
        <v>0.05</v>
      </c>
      <c r="V536" s="20">
        <v>1591.64</v>
      </c>
    </row>
    <row r="537" spans="1:22" ht="16.8" x14ac:dyDescent="0.3">
      <c r="A537" s="20">
        <v>53.6</v>
      </c>
      <c r="B537" s="20">
        <v>71</v>
      </c>
      <c r="C537" s="26">
        <v>71.34</v>
      </c>
      <c r="D537" s="20">
        <v>-0.34</v>
      </c>
      <c r="E537" s="20">
        <v>0</v>
      </c>
      <c r="F537" s="20">
        <v>1944.68</v>
      </c>
      <c r="Q537" s="20">
        <v>53.6</v>
      </c>
      <c r="R537" s="20">
        <v>71.599999999999994</v>
      </c>
      <c r="S537" s="26">
        <v>71</v>
      </c>
      <c r="T537" s="20">
        <v>-0.6</v>
      </c>
      <c r="U537" s="26">
        <v>0</v>
      </c>
      <c r="V537" s="26">
        <v>1551.19</v>
      </c>
    </row>
    <row r="538" spans="1:22" ht="16.8" x14ac:dyDescent="0.3">
      <c r="A538" s="20">
        <v>53.7</v>
      </c>
      <c r="B538" s="20">
        <v>71</v>
      </c>
      <c r="C538" s="26">
        <v>71.33</v>
      </c>
      <c r="D538" s="20">
        <v>-0.33</v>
      </c>
      <c r="E538" s="20">
        <v>0.01</v>
      </c>
      <c r="F538" s="26">
        <v>1957.76</v>
      </c>
      <c r="Q538" s="20">
        <v>53.7</v>
      </c>
      <c r="R538" s="20">
        <v>71.58</v>
      </c>
      <c r="S538" s="26">
        <v>71</v>
      </c>
      <c r="T538" s="26">
        <v>-0.57999999999999996</v>
      </c>
      <c r="U538" s="26">
        <v>0.02</v>
      </c>
      <c r="V538" s="20">
        <v>1565.49</v>
      </c>
    </row>
    <row r="539" spans="1:22" ht="16.8" x14ac:dyDescent="0.3">
      <c r="A539" s="20">
        <v>53.8</v>
      </c>
      <c r="B539" s="20">
        <v>71</v>
      </c>
      <c r="C539" s="20">
        <v>71.33</v>
      </c>
      <c r="D539" s="20">
        <v>-0.33</v>
      </c>
      <c r="E539" s="20">
        <v>0</v>
      </c>
      <c r="F539" s="20">
        <v>1953.42</v>
      </c>
      <c r="Q539" s="20">
        <v>53.8</v>
      </c>
      <c r="R539" s="20">
        <v>71.59</v>
      </c>
      <c r="S539" s="26">
        <v>71</v>
      </c>
      <c r="T539" s="26">
        <v>-0.59</v>
      </c>
      <c r="U539" s="26">
        <v>-0.01</v>
      </c>
      <c r="V539" s="20">
        <v>1543.17</v>
      </c>
    </row>
    <row r="540" spans="1:22" ht="16.8" x14ac:dyDescent="0.3">
      <c r="A540" s="20">
        <v>53.9</v>
      </c>
      <c r="B540" s="20">
        <v>71</v>
      </c>
      <c r="C540" s="26">
        <v>71.319999999999993</v>
      </c>
      <c r="D540" s="20">
        <v>-0.32</v>
      </c>
      <c r="E540" s="20">
        <v>0.01</v>
      </c>
      <c r="F540" s="26">
        <v>1962.08</v>
      </c>
      <c r="Q540" s="20">
        <v>53.9</v>
      </c>
      <c r="R540" s="20">
        <v>71.53</v>
      </c>
      <c r="S540" s="26">
        <v>71</v>
      </c>
      <c r="T540" s="26">
        <v>-0.53</v>
      </c>
      <c r="U540" s="26">
        <v>0.06</v>
      </c>
      <c r="V540" s="26">
        <v>1603.44</v>
      </c>
    </row>
    <row r="541" spans="1:22" ht="16.8" x14ac:dyDescent="0.3">
      <c r="A541" s="20">
        <v>54</v>
      </c>
      <c r="B541" s="20">
        <v>71</v>
      </c>
      <c r="C541" s="26">
        <v>71.319999999999993</v>
      </c>
      <c r="D541" s="20">
        <v>-0.32</v>
      </c>
      <c r="E541" s="20">
        <v>0</v>
      </c>
      <c r="F541" s="26">
        <v>1962.08</v>
      </c>
      <c r="Q541" s="20">
        <v>54</v>
      </c>
      <c r="R541" s="20">
        <v>71.52</v>
      </c>
      <c r="S541" s="26">
        <v>71</v>
      </c>
      <c r="T541" s="26">
        <v>-0.52</v>
      </c>
      <c r="U541" s="26">
        <v>0.02</v>
      </c>
      <c r="V541" s="20">
        <v>1572.42</v>
      </c>
    </row>
    <row r="542" spans="1:22" ht="16.8" x14ac:dyDescent="0.3">
      <c r="A542" s="20">
        <v>54.1</v>
      </c>
      <c r="B542" s="20">
        <v>71</v>
      </c>
      <c r="C542" s="20">
        <v>71.34</v>
      </c>
      <c r="D542" s="20">
        <v>-0.34</v>
      </c>
      <c r="E542" s="20">
        <v>-0.02</v>
      </c>
      <c r="F542" s="20">
        <v>1940.29</v>
      </c>
      <c r="Q542" s="20">
        <v>54.1</v>
      </c>
      <c r="R542" s="20">
        <v>71.510000000000005</v>
      </c>
      <c r="S542" s="26">
        <v>71</v>
      </c>
      <c r="T542" s="26">
        <v>-0.51</v>
      </c>
      <c r="U542" s="26">
        <v>0.01</v>
      </c>
      <c r="V542" s="26">
        <v>1566.04</v>
      </c>
    </row>
    <row r="543" spans="1:22" ht="16.8" x14ac:dyDescent="0.3">
      <c r="A543" s="20">
        <v>54.2</v>
      </c>
      <c r="B543" s="20">
        <v>71</v>
      </c>
      <c r="C543" s="26">
        <v>71.319999999999993</v>
      </c>
      <c r="D543" s="20">
        <v>-0.32</v>
      </c>
      <c r="E543" s="20">
        <v>0.02</v>
      </c>
      <c r="F543" s="26">
        <v>1966.37</v>
      </c>
      <c r="Q543" s="20">
        <v>54.2</v>
      </c>
      <c r="R543" s="20">
        <v>71.48</v>
      </c>
      <c r="S543" s="26">
        <v>71</v>
      </c>
      <c r="T543" s="26">
        <v>-0.48</v>
      </c>
      <c r="U543" s="26">
        <v>0.02</v>
      </c>
      <c r="V543" s="20">
        <v>1581.95</v>
      </c>
    </row>
    <row r="544" spans="1:22" ht="16.8" x14ac:dyDescent="0.3">
      <c r="A544" s="20">
        <v>54.3</v>
      </c>
      <c r="B544" s="20">
        <v>71</v>
      </c>
      <c r="C544" s="20">
        <v>71.31</v>
      </c>
      <c r="D544" s="20">
        <v>-0.31</v>
      </c>
      <c r="E544" s="20">
        <v>0.01</v>
      </c>
      <c r="F544" s="26">
        <v>1979.14</v>
      </c>
      <c r="Q544" s="20">
        <v>54.3</v>
      </c>
      <c r="R544" s="20">
        <v>71.48</v>
      </c>
      <c r="S544" s="26">
        <v>71</v>
      </c>
      <c r="T544" s="26">
        <v>-0.48</v>
      </c>
      <c r="U544" s="26">
        <v>0</v>
      </c>
      <c r="V544" s="26">
        <v>1561.27</v>
      </c>
    </row>
    <row r="545" spans="1:22" ht="16.8" x14ac:dyDescent="0.3">
      <c r="A545" s="20">
        <v>54.4</v>
      </c>
      <c r="B545" s="20">
        <v>71</v>
      </c>
      <c r="C545" s="26">
        <v>71.33</v>
      </c>
      <c r="D545" s="20">
        <v>-0.33</v>
      </c>
      <c r="E545" s="20">
        <v>-0.02</v>
      </c>
      <c r="F545" s="20">
        <v>1957.76</v>
      </c>
      <c r="Q545" s="20">
        <v>54.4</v>
      </c>
      <c r="R545" s="20">
        <v>71.48</v>
      </c>
      <c r="S545" s="20">
        <v>71</v>
      </c>
      <c r="T545" s="26">
        <v>-0.48</v>
      </c>
      <c r="U545" s="26">
        <v>0.01</v>
      </c>
      <c r="V545" s="20">
        <v>1567.96</v>
      </c>
    </row>
    <row r="546" spans="1:22" ht="16.8" x14ac:dyDescent="0.3">
      <c r="A546" s="20">
        <v>54.5</v>
      </c>
      <c r="B546" s="20">
        <v>71</v>
      </c>
      <c r="C546" s="26">
        <v>71.31</v>
      </c>
      <c r="D546" s="20">
        <v>-0.31</v>
      </c>
      <c r="E546" s="20">
        <v>0.02</v>
      </c>
      <c r="F546" s="26">
        <v>1979.14</v>
      </c>
      <c r="Q546" s="20">
        <v>54.5</v>
      </c>
      <c r="R546" s="20">
        <v>71.47</v>
      </c>
      <c r="S546" s="26">
        <v>71</v>
      </c>
      <c r="T546" s="26">
        <v>-0.47</v>
      </c>
      <c r="U546" s="26">
        <v>0.01</v>
      </c>
      <c r="V546" s="26">
        <v>1568.18</v>
      </c>
    </row>
    <row r="547" spans="1:22" ht="16.8" x14ac:dyDescent="0.3">
      <c r="A547" s="20">
        <v>54.6</v>
      </c>
      <c r="B547" s="20">
        <v>71</v>
      </c>
      <c r="C547" s="20">
        <v>71.319999999999993</v>
      </c>
      <c r="D547" s="20">
        <v>-0.32</v>
      </c>
      <c r="E547" s="20">
        <v>-0.02</v>
      </c>
      <c r="F547" s="20">
        <v>1962.08</v>
      </c>
      <c r="Q547" s="20">
        <v>54.6</v>
      </c>
      <c r="R547" s="20">
        <v>71.44</v>
      </c>
      <c r="S547" s="20">
        <v>71</v>
      </c>
      <c r="T547" s="26">
        <v>-0.44</v>
      </c>
      <c r="U547" s="26">
        <v>0.02</v>
      </c>
      <c r="V547" s="20">
        <v>1584.2</v>
      </c>
    </row>
    <row r="548" spans="1:22" ht="16.8" x14ac:dyDescent="0.3">
      <c r="A548" s="20">
        <v>54.7</v>
      </c>
      <c r="B548" s="20">
        <v>71</v>
      </c>
      <c r="C548" s="26">
        <v>71.31</v>
      </c>
      <c r="D548" s="20">
        <v>-0.31</v>
      </c>
      <c r="E548" s="20">
        <v>0.01</v>
      </c>
      <c r="F548" s="26">
        <v>1970.63</v>
      </c>
      <c r="Q548" s="20">
        <v>54.7</v>
      </c>
      <c r="R548" s="20">
        <v>71.400000000000006</v>
      </c>
      <c r="S548" s="26">
        <v>71</v>
      </c>
      <c r="T548" s="26">
        <v>-0.4</v>
      </c>
      <c r="U548" s="26">
        <v>0.04</v>
      </c>
      <c r="V548" s="26">
        <v>1603.05</v>
      </c>
    </row>
    <row r="549" spans="1:22" ht="16.8" x14ac:dyDescent="0.3">
      <c r="A549" s="20">
        <v>54.8</v>
      </c>
      <c r="B549" s="20">
        <v>71</v>
      </c>
      <c r="C549" s="20">
        <v>71.28</v>
      </c>
      <c r="D549" s="20">
        <v>-0.28000000000000003</v>
      </c>
      <c r="E549" s="20">
        <v>0.04</v>
      </c>
      <c r="F549" s="26">
        <v>2001.73</v>
      </c>
      <c r="Q549" s="20">
        <v>54.8</v>
      </c>
      <c r="R549" s="20">
        <v>71.44</v>
      </c>
      <c r="S549" s="26">
        <v>71</v>
      </c>
      <c r="T549" s="26">
        <v>-0.44</v>
      </c>
      <c r="U549" s="26">
        <v>-0.04</v>
      </c>
      <c r="V549" s="20">
        <v>1530.13</v>
      </c>
    </row>
    <row r="550" spans="1:22" ht="16.8" x14ac:dyDescent="0.3">
      <c r="A550" s="20">
        <v>54.9</v>
      </c>
      <c r="B550" s="20">
        <v>71</v>
      </c>
      <c r="C550" s="26">
        <v>71.25</v>
      </c>
      <c r="D550" s="20">
        <v>-0.25</v>
      </c>
      <c r="E550" s="20">
        <v>0.02</v>
      </c>
      <c r="F550" s="20">
        <v>2019.98</v>
      </c>
      <c r="Q550" s="20">
        <v>54.9</v>
      </c>
      <c r="R550" s="20">
        <v>71.36</v>
      </c>
      <c r="S550" s="26">
        <v>71</v>
      </c>
      <c r="T550" s="26">
        <v>-0.36</v>
      </c>
      <c r="U550" s="20">
        <v>0.08</v>
      </c>
      <c r="V550" s="26">
        <v>1640.41</v>
      </c>
    </row>
    <row r="551" spans="1:22" ht="16.8" x14ac:dyDescent="0.3">
      <c r="A551" s="20">
        <v>55</v>
      </c>
      <c r="B551" s="20">
        <v>71</v>
      </c>
      <c r="C551" s="26">
        <v>71.33</v>
      </c>
      <c r="D551" s="20">
        <v>-0.33</v>
      </c>
      <c r="E551" s="20">
        <v>-0.08</v>
      </c>
      <c r="F551" s="26">
        <v>1949.06</v>
      </c>
      <c r="Q551" s="20">
        <v>55</v>
      </c>
      <c r="R551" s="20">
        <v>71.400000000000006</v>
      </c>
      <c r="S551" s="26">
        <v>71</v>
      </c>
      <c r="T551" s="26">
        <v>-0.4</v>
      </c>
      <c r="U551" s="26">
        <v>-0.04</v>
      </c>
      <c r="V551" s="20">
        <v>1535.1</v>
      </c>
    </row>
    <row r="552" spans="1:22" ht="16.8" x14ac:dyDescent="0.3">
      <c r="A552" s="20">
        <v>55.1</v>
      </c>
      <c r="B552" s="20">
        <v>71</v>
      </c>
      <c r="C552" s="20">
        <v>71.27</v>
      </c>
      <c r="D552" s="20">
        <v>-0.27</v>
      </c>
      <c r="E552" s="20">
        <v>0.06</v>
      </c>
      <c r="F552" s="26">
        <v>2007.73</v>
      </c>
      <c r="Q552" s="20">
        <v>55.1</v>
      </c>
      <c r="R552" s="20">
        <v>71.34</v>
      </c>
      <c r="S552" s="26">
        <v>71</v>
      </c>
      <c r="T552" s="26">
        <v>-0.34</v>
      </c>
      <c r="U552" s="26">
        <v>0.06</v>
      </c>
      <c r="V552" s="26">
        <v>1629.7</v>
      </c>
    </row>
    <row r="553" spans="1:22" ht="16.8" x14ac:dyDescent="0.3">
      <c r="A553" s="20">
        <v>55.2</v>
      </c>
      <c r="B553" s="20">
        <v>71</v>
      </c>
      <c r="C553" s="26">
        <v>71.319999999999993</v>
      </c>
      <c r="D553" s="20">
        <v>-0.32</v>
      </c>
      <c r="E553" s="20">
        <v>-0.05</v>
      </c>
      <c r="F553" s="20">
        <v>1962.08</v>
      </c>
      <c r="Q553" s="20">
        <v>55.2</v>
      </c>
      <c r="R553" s="20">
        <v>71.36</v>
      </c>
      <c r="S553" s="26">
        <v>71</v>
      </c>
      <c r="T553" s="26">
        <v>-0.36</v>
      </c>
      <c r="U553" s="26">
        <v>-0.02</v>
      </c>
      <c r="V553" s="20">
        <v>1553.23</v>
      </c>
    </row>
    <row r="554" spans="1:22" ht="16.8" x14ac:dyDescent="0.3">
      <c r="A554" s="20">
        <v>55.3</v>
      </c>
      <c r="B554" s="20">
        <v>71</v>
      </c>
      <c r="C554" s="26">
        <v>71.27</v>
      </c>
      <c r="D554" s="20">
        <v>-0.27</v>
      </c>
      <c r="E554" s="20">
        <v>0.05</v>
      </c>
      <c r="F554" s="26">
        <v>2007.73</v>
      </c>
      <c r="Q554" s="20">
        <v>55.3</v>
      </c>
      <c r="R554" s="20">
        <v>71.36</v>
      </c>
      <c r="S554" s="26">
        <v>71</v>
      </c>
      <c r="T554" s="26">
        <v>-0.36</v>
      </c>
      <c r="U554" s="26">
        <v>0</v>
      </c>
      <c r="V554" s="26">
        <v>1571.81</v>
      </c>
    </row>
    <row r="555" spans="1:22" ht="16.8" x14ac:dyDescent="0.3">
      <c r="A555" s="20">
        <v>55.4</v>
      </c>
      <c r="B555" s="20">
        <v>71</v>
      </c>
      <c r="C555" s="20">
        <v>71.34</v>
      </c>
      <c r="D555" s="20">
        <v>-0.34</v>
      </c>
      <c r="E555" s="20">
        <v>-7.0000000000000007E-2</v>
      </c>
      <c r="F555" s="20">
        <v>1940.29</v>
      </c>
      <c r="Q555" s="20">
        <v>55.4</v>
      </c>
      <c r="R555" s="20">
        <v>71.349999999999994</v>
      </c>
      <c r="S555" s="26">
        <v>71</v>
      </c>
      <c r="T555" s="26">
        <v>-0.35</v>
      </c>
      <c r="U555" s="26">
        <v>0.02</v>
      </c>
      <c r="V555" s="20">
        <v>1586.69</v>
      </c>
    </row>
    <row r="556" spans="1:22" ht="16.8" x14ac:dyDescent="0.3">
      <c r="A556" s="20">
        <v>55.5</v>
      </c>
      <c r="B556" s="20">
        <v>71</v>
      </c>
      <c r="C556" s="26">
        <v>71.3</v>
      </c>
      <c r="D556" s="20">
        <v>-0.3</v>
      </c>
      <c r="E556" s="20">
        <v>0.04</v>
      </c>
      <c r="F556" s="26">
        <v>1986.99</v>
      </c>
      <c r="Q556" s="20">
        <v>55.5</v>
      </c>
      <c r="R556" s="20">
        <v>71.34</v>
      </c>
      <c r="S556" s="26">
        <v>71</v>
      </c>
      <c r="T556" s="26">
        <v>-0.34</v>
      </c>
      <c r="U556" s="26">
        <v>0.01</v>
      </c>
      <c r="V556" s="26">
        <v>1580.74</v>
      </c>
    </row>
    <row r="557" spans="1:22" ht="16.8" x14ac:dyDescent="0.3">
      <c r="A557" s="20">
        <v>55.6</v>
      </c>
      <c r="B557" s="20">
        <v>71</v>
      </c>
      <c r="C557" s="20">
        <v>71.34</v>
      </c>
      <c r="D557" s="20">
        <v>-0.34</v>
      </c>
      <c r="E557" s="20">
        <v>-0.04</v>
      </c>
      <c r="F557" s="26">
        <v>1940.29</v>
      </c>
      <c r="Q557" s="20">
        <v>55.6</v>
      </c>
      <c r="R557" s="20">
        <v>71.319999999999993</v>
      </c>
      <c r="S557" s="26">
        <v>71</v>
      </c>
      <c r="T557" s="26">
        <v>-0.32</v>
      </c>
      <c r="U557" s="26">
        <v>0.02</v>
      </c>
      <c r="V557" s="20">
        <v>1589.17</v>
      </c>
    </row>
    <row r="558" spans="1:22" ht="16.8" x14ac:dyDescent="0.3">
      <c r="A558" s="20">
        <v>55.7</v>
      </c>
      <c r="B558" s="20">
        <v>71</v>
      </c>
      <c r="C558" s="26">
        <v>71.31</v>
      </c>
      <c r="D558" s="20">
        <v>-0.31</v>
      </c>
      <c r="E558" s="20">
        <v>0.04</v>
      </c>
      <c r="F558" s="20">
        <v>1979.14</v>
      </c>
      <c r="Q558" s="20">
        <v>55.7</v>
      </c>
      <c r="R558" s="20">
        <v>71.319999999999993</v>
      </c>
      <c r="S558" s="26">
        <v>71</v>
      </c>
      <c r="T558" s="26">
        <v>-0.32</v>
      </c>
      <c r="U558" s="26">
        <v>0</v>
      </c>
      <c r="V558" s="26">
        <v>1575.39</v>
      </c>
    </row>
    <row r="559" spans="1:22" ht="16.8" x14ac:dyDescent="0.3">
      <c r="A559" s="20">
        <v>55.8</v>
      </c>
      <c r="B559" s="20">
        <v>71</v>
      </c>
      <c r="C559" s="26">
        <v>71.37</v>
      </c>
      <c r="D559" s="20">
        <v>-0.37</v>
      </c>
      <c r="E559" s="20">
        <v>-7.0000000000000007E-2</v>
      </c>
      <c r="F559" s="26">
        <v>1904.52</v>
      </c>
      <c r="Q559" s="20">
        <v>55.8</v>
      </c>
      <c r="R559" s="20">
        <v>71.31</v>
      </c>
      <c r="S559" s="26">
        <v>71</v>
      </c>
      <c r="T559" s="26">
        <v>-0.31</v>
      </c>
      <c r="U559" s="26">
        <v>0.02</v>
      </c>
      <c r="V559" s="20">
        <v>1590.36</v>
      </c>
    </row>
    <row r="560" spans="1:22" ht="16.8" x14ac:dyDescent="0.3">
      <c r="A560" s="20">
        <v>55.9</v>
      </c>
      <c r="B560" s="20">
        <v>71</v>
      </c>
      <c r="C560" s="20">
        <v>71.36</v>
      </c>
      <c r="D560" s="20">
        <v>-0.36</v>
      </c>
      <c r="E560" s="20">
        <v>0.02</v>
      </c>
      <c r="F560" s="26">
        <v>1922.57</v>
      </c>
      <c r="Q560" s="20">
        <v>55.9</v>
      </c>
      <c r="R560" s="20">
        <v>71.31</v>
      </c>
      <c r="S560" s="26">
        <v>71</v>
      </c>
      <c r="T560" s="26">
        <v>-0.31</v>
      </c>
      <c r="U560" s="26">
        <v>0</v>
      </c>
      <c r="V560" s="26">
        <v>1576.62</v>
      </c>
    </row>
    <row r="561" spans="1:22" ht="16.8" x14ac:dyDescent="0.3">
      <c r="A561" s="20">
        <v>56</v>
      </c>
      <c r="B561" s="20">
        <v>71</v>
      </c>
      <c r="C561" s="26">
        <v>71.34</v>
      </c>
      <c r="D561" s="20">
        <v>-0.34</v>
      </c>
      <c r="E561" s="20">
        <v>0.02</v>
      </c>
      <c r="F561" s="20">
        <v>1944.68</v>
      </c>
      <c r="Q561" s="20">
        <v>56</v>
      </c>
      <c r="R561" s="20">
        <v>71.27</v>
      </c>
      <c r="S561" s="26">
        <v>71</v>
      </c>
      <c r="T561" s="26">
        <v>-0.27</v>
      </c>
      <c r="U561" s="26">
        <v>0.03</v>
      </c>
      <c r="V561" s="20">
        <v>1607.41</v>
      </c>
    </row>
    <row r="562" spans="1:22" ht="16.8" x14ac:dyDescent="0.3">
      <c r="A562" s="20">
        <v>56.1</v>
      </c>
      <c r="B562" s="20">
        <v>71</v>
      </c>
      <c r="C562" s="26">
        <v>71.319999999999993</v>
      </c>
      <c r="D562" s="20">
        <v>-0.32</v>
      </c>
      <c r="E562" s="20">
        <v>0.02</v>
      </c>
      <c r="F562" s="26">
        <v>1962.08</v>
      </c>
      <c r="Q562" s="20">
        <v>56.1</v>
      </c>
      <c r="R562" s="20">
        <v>71.260000000000005</v>
      </c>
      <c r="S562" s="26">
        <v>71</v>
      </c>
      <c r="T562" s="26">
        <v>-0.26</v>
      </c>
      <c r="U562" s="26">
        <v>0.02</v>
      </c>
      <c r="V562" s="20">
        <v>1596.54</v>
      </c>
    </row>
    <row r="563" spans="1:22" ht="16.8" x14ac:dyDescent="0.3">
      <c r="A563" s="20">
        <v>56.2</v>
      </c>
      <c r="B563" s="20">
        <v>71</v>
      </c>
      <c r="C563" s="20">
        <v>71.39</v>
      </c>
      <c r="D563" s="20">
        <v>-0.39</v>
      </c>
      <c r="E563" s="20">
        <v>-0.06</v>
      </c>
      <c r="F563" s="20">
        <v>1890.69</v>
      </c>
      <c r="Q563" s="20">
        <v>56.2</v>
      </c>
      <c r="R563" s="20">
        <v>71.31</v>
      </c>
      <c r="S563" s="26">
        <v>71</v>
      </c>
      <c r="T563" s="26">
        <v>-0.31</v>
      </c>
      <c r="U563" s="26">
        <v>-0.05</v>
      </c>
      <c r="V563" s="26">
        <v>1535.56</v>
      </c>
    </row>
    <row r="564" spans="1:22" ht="16.8" x14ac:dyDescent="0.3">
      <c r="A564" s="20">
        <v>56.3</v>
      </c>
      <c r="B564" s="20">
        <v>71</v>
      </c>
      <c r="C564" s="26">
        <v>71.37</v>
      </c>
      <c r="D564" s="20">
        <v>-0.37</v>
      </c>
      <c r="E564" s="20">
        <v>0.02</v>
      </c>
      <c r="F564" s="26">
        <v>1909.09</v>
      </c>
      <c r="Q564" s="20">
        <v>56.3</v>
      </c>
      <c r="R564" s="20">
        <v>71.22</v>
      </c>
      <c r="S564" s="26">
        <v>71</v>
      </c>
      <c r="T564" s="26">
        <v>-0.22</v>
      </c>
      <c r="U564" s="26">
        <v>0.09</v>
      </c>
      <c r="V564" s="20">
        <v>1660.57</v>
      </c>
    </row>
    <row r="565" spans="1:22" ht="16.8" x14ac:dyDescent="0.3">
      <c r="A565" s="20">
        <v>56.4</v>
      </c>
      <c r="B565" s="20">
        <v>71</v>
      </c>
      <c r="C565" s="20">
        <v>71.31</v>
      </c>
      <c r="D565" s="20">
        <v>-0.31</v>
      </c>
      <c r="E565" s="20">
        <v>0.06</v>
      </c>
      <c r="F565" s="26">
        <v>1970.63</v>
      </c>
      <c r="Q565" s="20">
        <v>56.4</v>
      </c>
      <c r="R565" s="20">
        <v>71.27</v>
      </c>
      <c r="S565" s="26">
        <v>71</v>
      </c>
      <c r="T565" s="26">
        <v>-0.27</v>
      </c>
      <c r="U565" s="26">
        <v>-0.05</v>
      </c>
      <c r="V565" s="26">
        <v>1541.22</v>
      </c>
    </row>
    <row r="566" spans="1:22" ht="16.8" x14ac:dyDescent="0.3">
      <c r="A566" s="20">
        <v>56.5</v>
      </c>
      <c r="B566" s="20">
        <v>71</v>
      </c>
      <c r="C566" s="26">
        <v>71.31</v>
      </c>
      <c r="D566" s="20">
        <v>-0.31</v>
      </c>
      <c r="E566" s="20">
        <v>0</v>
      </c>
      <c r="F566" s="20">
        <v>1974.89</v>
      </c>
      <c r="Q566" s="20">
        <v>56.5</v>
      </c>
      <c r="R566" s="20">
        <v>71.2</v>
      </c>
      <c r="S566" s="26">
        <v>71</v>
      </c>
      <c r="T566" s="26">
        <v>-0.2</v>
      </c>
      <c r="U566" s="26">
        <v>0.06</v>
      </c>
      <c r="V566" s="20">
        <v>1642.68</v>
      </c>
    </row>
    <row r="567" spans="1:22" ht="16.8" x14ac:dyDescent="0.3">
      <c r="A567" s="20">
        <v>56.6</v>
      </c>
      <c r="B567" s="20">
        <v>71</v>
      </c>
      <c r="C567" s="26">
        <v>71.36</v>
      </c>
      <c r="D567" s="20">
        <v>-0.36</v>
      </c>
      <c r="E567" s="20">
        <v>-0.05</v>
      </c>
      <c r="F567" s="26">
        <v>1918.1</v>
      </c>
      <c r="Q567" s="20">
        <v>56.6</v>
      </c>
      <c r="R567" s="20">
        <v>71.22</v>
      </c>
      <c r="S567" s="26">
        <v>71</v>
      </c>
      <c r="T567" s="26">
        <v>-0.22</v>
      </c>
      <c r="U567" s="26">
        <v>-0.02</v>
      </c>
      <c r="V567" s="26">
        <v>1574.43</v>
      </c>
    </row>
    <row r="568" spans="1:22" ht="16.8" x14ac:dyDescent="0.3">
      <c r="A568" s="20">
        <v>56.7</v>
      </c>
      <c r="B568" s="20">
        <v>71</v>
      </c>
      <c r="C568" s="20">
        <v>71.31</v>
      </c>
      <c r="D568" s="20">
        <v>-0.31</v>
      </c>
      <c r="E568" s="20">
        <v>0.05</v>
      </c>
      <c r="F568" s="26">
        <v>1970.63</v>
      </c>
      <c r="Q568" s="20">
        <v>56.7</v>
      </c>
      <c r="R568" s="20">
        <v>71.17</v>
      </c>
      <c r="S568" s="20">
        <v>71</v>
      </c>
      <c r="T568" s="26">
        <v>-0.17</v>
      </c>
      <c r="U568" s="26">
        <v>0.05</v>
      </c>
      <c r="V568" s="20">
        <v>1634.21</v>
      </c>
    </row>
    <row r="569" spans="1:22" ht="16.8" x14ac:dyDescent="0.3">
      <c r="A569" s="20">
        <v>56.8</v>
      </c>
      <c r="B569" s="20">
        <v>71</v>
      </c>
      <c r="C569" s="26">
        <v>71.31</v>
      </c>
      <c r="D569" s="20">
        <v>-0.31</v>
      </c>
      <c r="E569" s="20">
        <v>0</v>
      </c>
      <c r="F569" s="20">
        <v>1974.89</v>
      </c>
      <c r="Q569" s="20">
        <v>56.8</v>
      </c>
      <c r="R569" s="20">
        <v>71.23</v>
      </c>
      <c r="S569" s="26">
        <v>71</v>
      </c>
      <c r="T569" s="26">
        <v>-0.23</v>
      </c>
      <c r="U569" s="26">
        <v>-0.06</v>
      </c>
      <c r="V569" s="20">
        <v>1539.59</v>
      </c>
    </row>
    <row r="570" spans="1:22" ht="16.8" x14ac:dyDescent="0.3">
      <c r="A570" s="20">
        <v>56.9</v>
      </c>
      <c r="B570" s="20">
        <v>71</v>
      </c>
      <c r="C570" s="20">
        <v>71.31</v>
      </c>
      <c r="D570" s="20">
        <v>-0.31</v>
      </c>
      <c r="E570" s="20">
        <v>0</v>
      </c>
      <c r="F570" s="26">
        <v>1974.89</v>
      </c>
      <c r="Q570" s="20">
        <v>56.9</v>
      </c>
      <c r="R570" s="20">
        <v>71.14</v>
      </c>
      <c r="S570" s="26">
        <v>71</v>
      </c>
      <c r="T570" s="26">
        <v>-0.14000000000000001</v>
      </c>
      <c r="U570" s="26">
        <v>0.09</v>
      </c>
      <c r="V570" s="26">
        <v>1671.3</v>
      </c>
    </row>
    <row r="571" spans="1:22" ht="16.8" x14ac:dyDescent="0.3">
      <c r="A571" s="20">
        <v>57</v>
      </c>
      <c r="B571" s="20">
        <v>71</v>
      </c>
      <c r="C571" s="26">
        <v>71.349999999999994</v>
      </c>
      <c r="D571" s="20">
        <v>-0.35</v>
      </c>
      <c r="E571" s="20">
        <v>-0.04</v>
      </c>
      <c r="F571" s="26">
        <v>1927.02</v>
      </c>
      <c r="Q571" s="20">
        <v>57</v>
      </c>
      <c r="R571" s="20">
        <v>71.17</v>
      </c>
      <c r="S571" s="26">
        <v>71</v>
      </c>
      <c r="T571" s="26">
        <v>-0.17</v>
      </c>
      <c r="U571" s="26">
        <v>-0.03</v>
      </c>
      <c r="V571" s="20">
        <v>1567.93</v>
      </c>
    </row>
    <row r="572" spans="1:22" ht="16.8" x14ac:dyDescent="0.3">
      <c r="A572" s="20">
        <v>57.1</v>
      </c>
      <c r="B572" s="20">
        <v>71</v>
      </c>
      <c r="C572" s="26">
        <v>71.36</v>
      </c>
      <c r="D572" s="20">
        <v>-0.36</v>
      </c>
      <c r="E572" s="20">
        <v>0</v>
      </c>
      <c r="F572" s="20">
        <v>1922.57</v>
      </c>
      <c r="Q572" s="20">
        <v>57.1</v>
      </c>
      <c r="R572" s="20">
        <v>71.13</v>
      </c>
      <c r="S572" s="26">
        <v>71</v>
      </c>
      <c r="T572" s="26">
        <v>-0.13</v>
      </c>
      <c r="U572" s="26">
        <v>0.04</v>
      </c>
      <c r="V572" s="26">
        <v>1632.95</v>
      </c>
    </row>
    <row r="573" spans="1:22" ht="16.8" x14ac:dyDescent="0.3">
      <c r="A573" s="20">
        <v>57.2</v>
      </c>
      <c r="B573" s="20">
        <v>71</v>
      </c>
      <c r="C573" s="26">
        <v>71.31</v>
      </c>
      <c r="D573" s="20">
        <v>-0.31</v>
      </c>
      <c r="E573" s="20">
        <v>0.05</v>
      </c>
      <c r="F573" s="26">
        <v>1979.14</v>
      </c>
      <c r="Q573" s="20">
        <v>57.2</v>
      </c>
      <c r="R573" s="20">
        <v>71.150000000000006</v>
      </c>
      <c r="S573" s="26">
        <v>71</v>
      </c>
      <c r="T573" s="26">
        <v>-0.15</v>
      </c>
      <c r="U573" s="26">
        <v>-0.02</v>
      </c>
      <c r="V573" s="20">
        <v>1576.48</v>
      </c>
    </row>
    <row r="574" spans="1:22" ht="16.8" x14ac:dyDescent="0.3">
      <c r="A574" s="20">
        <v>57.3</v>
      </c>
      <c r="B574" s="20">
        <v>71</v>
      </c>
      <c r="C574" s="20">
        <v>71.3</v>
      </c>
      <c r="D574" s="20">
        <v>-0.3</v>
      </c>
      <c r="E574" s="20">
        <v>0.01</v>
      </c>
      <c r="F574" s="20">
        <v>1986.99</v>
      </c>
      <c r="Q574" s="20">
        <v>57.3</v>
      </c>
      <c r="R574" s="20">
        <v>71.13</v>
      </c>
      <c r="S574" s="26">
        <v>71</v>
      </c>
      <c r="T574" s="26">
        <v>-0.13</v>
      </c>
      <c r="U574" s="26">
        <v>0.02</v>
      </c>
      <c r="V574" s="26">
        <v>1619.27</v>
      </c>
    </row>
    <row r="575" spans="1:22" ht="16.8" x14ac:dyDescent="0.3">
      <c r="A575" s="20">
        <v>57.4</v>
      </c>
      <c r="B575" s="20">
        <v>71</v>
      </c>
      <c r="C575" s="26">
        <v>71.33</v>
      </c>
      <c r="D575" s="20">
        <v>-0.33</v>
      </c>
      <c r="E575" s="20">
        <v>-0.04</v>
      </c>
      <c r="F575" s="26">
        <v>1949.06</v>
      </c>
      <c r="Q575" s="20">
        <v>57.4</v>
      </c>
      <c r="R575" s="20">
        <v>71.09</v>
      </c>
      <c r="S575" s="26">
        <v>71</v>
      </c>
      <c r="T575" s="26">
        <v>-0.09</v>
      </c>
      <c r="U575" s="26">
        <v>0.04</v>
      </c>
      <c r="V575" s="20">
        <v>1638.89</v>
      </c>
    </row>
    <row r="576" spans="1:22" ht="16.8" x14ac:dyDescent="0.3">
      <c r="A576" s="20">
        <v>57.5</v>
      </c>
      <c r="B576" s="20">
        <v>71</v>
      </c>
      <c r="C576" s="26">
        <v>71.28</v>
      </c>
      <c r="D576" s="20">
        <v>-0.28000000000000003</v>
      </c>
      <c r="E576" s="20">
        <v>0.06</v>
      </c>
      <c r="F576" s="26">
        <v>2001.73</v>
      </c>
      <c r="Q576" s="20">
        <v>57.5</v>
      </c>
      <c r="R576" s="20">
        <v>71.13</v>
      </c>
      <c r="S576" s="26">
        <v>71</v>
      </c>
      <c r="T576" s="26">
        <v>-0.13</v>
      </c>
      <c r="U576" s="26">
        <v>-0.04</v>
      </c>
      <c r="V576" s="26">
        <v>1566.77</v>
      </c>
    </row>
    <row r="577" spans="1:22" ht="16.8" x14ac:dyDescent="0.3">
      <c r="A577" s="20">
        <v>57.6</v>
      </c>
      <c r="B577" s="20">
        <v>71</v>
      </c>
      <c r="C577" s="20">
        <v>71.36</v>
      </c>
      <c r="D577" s="20">
        <v>-0.36</v>
      </c>
      <c r="E577" s="20">
        <v>-0.08</v>
      </c>
      <c r="F577" s="20">
        <v>1922.57</v>
      </c>
      <c r="Q577" s="20">
        <v>57.6</v>
      </c>
      <c r="R577" s="20">
        <v>71.12</v>
      </c>
      <c r="S577" s="26">
        <v>71</v>
      </c>
      <c r="T577" s="26">
        <v>-0.12</v>
      </c>
      <c r="U577" s="26">
        <v>0.01</v>
      </c>
      <c r="V577" s="20">
        <v>1606.8</v>
      </c>
    </row>
    <row r="578" spans="1:22" ht="16.8" x14ac:dyDescent="0.3">
      <c r="A578" s="20">
        <v>57.7</v>
      </c>
      <c r="B578" s="20">
        <v>71</v>
      </c>
      <c r="C578" s="26">
        <v>71.33</v>
      </c>
      <c r="D578" s="20">
        <v>-0.33</v>
      </c>
      <c r="E578" s="20">
        <v>0.02</v>
      </c>
      <c r="F578" s="26">
        <v>1949.06</v>
      </c>
      <c r="Q578" s="20">
        <v>57.7</v>
      </c>
      <c r="R578" s="20">
        <v>71.150000000000006</v>
      </c>
      <c r="S578" s="26">
        <v>71</v>
      </c>
      <c r="T578" s="26">
        <v>-0.15</v>
      </c>
      <c r="U578" s="26">
        <v>-0.02</v>
      </c>
      <c r="V578" s="26">
        <v>1576.33</v>
      </c>
    </row>
    <row r="579" spans="1:22" ht="16.8" x14ac:dyDescent="0.3">
      <c r="A579" s="20">
        <v>57.8</v>
      </c>
      <c r="B579" s="20">
        <v>71</v>
      </c>
      <c r="C579" s="20">
        <v>71.34</v>
      </c>
      <c r="D579" s="20">
        <v>-0.34</v>
      </c>
      <c r="E579" s="20">
        <v>-0.01</v>
      </c>
      <c r="F579" s="26">
        <v>1940.29</v>
      </c>
      <c r="Q579" s="20">
        <v>57.8</v>
      </c>
      <c r="R579" s="20">
        <v>71.099999999999994</v>
      </c>
      <c r="S579" s="20">
        <v>71</v>
      </c>
      <c r="T579" s="26">
        <v>-0.1</v>
      </c>
      <c r="U579" s="26">
        <v>0.04</v>
      </c>
      <c r="V579" s="20">
        <v>1634.92</v>
      </c>
    </row>
    <row r="580" spans="1:22" ht="16.8" x14ac:dyDescent="0.3">
      <c r="A580" s="20">
        <v>57.9</v>
      </c>
      <c r="B580" s="20">
        <v>71</v>
      </c>
      <c r="C580" s="26">
        <v>71.349999999999994</v>
      </c>
      <c r="D580" s="20">
        <v>-0.35</v>
      </c>
      <c r="E580" s="20">
        <v>0</v>
      </c>
      <c r="F580" s="20">
        <v>1935.88</v>
      </c>
      <c r="Q580" s="20">
        <v>57.9</v>
      </c>
      <c r="R580" s="20">
        <v>71.12</v>
      </c>
      <c r="S580" s="26">
        <v>71</v>
      </c>
      <c r="T580" s="26">
        <v>-0.12</v>
      </c>
      <c r="U580" s="26">
        <v>-0.02</v>
      </c>
      <c r="V580" s="20">
        <v>1586.4</v>
      </c>
    </row>
    <row r="581" spans="1:22" ht="16.8" x14ac:dyDescent="0.3">
      <c r="A581" s="20">
        <v>58</v>
      </c>
      <c r="B581" s="20">
        <v>71</v>
      </c>
      <c r="C581" s="26">
        <v>71.349999999999994</v>
      </c>
      <c r="D581" s="20">
        <v>-0.35</v>
      </c>
      <c r="E581" s="20">
        <v>0</v>
      </c>
      <c r="F581" s="26">
        <v>1935.88</v>
      </c>
      <c r="Q581" s="20">
        <v>58</v>
      </c>
      <c r="R581" s="20">
        <v>71.12</v>
      </c>
      <c r="S581" s="26">
        <v>71</v>
      </c>
      <c r="T581" s="26">
        <v>-0.12</v>
      </c>
      <c r="U581" s="26">
        <v>0</v>
      </c>
      <c r="V581" s="26">
        <v>1599.09</v>
      </c>
    </row>
    <row r="582" spans="1:22" ht="16.8" x14ac:dyDescent="0.3">
      <c r="A582" s="20">
        <v>58.1</v>
      </c>
      <c r="B582" s="20">
        <v>71</v>
      </c>
      <c r="C582" s="20">
        <v>71.349999999999994</v>
      </c>
      <c r="D582" s="20">
        <v>-0.35</v>
      </c>
      <c r="E582" s="20">
        <v>0</v>
      </c>
      <c r="F582" s="26">
        <v>1935.88</v>
      </c>
      <c r="Q582" s="20">
        <v>58.1</v>
      </c>
      <c r="R582" s="20">
        <v>71.099999999999994</v>
      </c>
      <c r="S582" s="26">
        <v>71</v>
      </c>
      <c r="T582" s="26">
        <v>-0.1</v>
      </c>
      <c r="U582" s="26">
        <v>0.02</v>
      </c>
      <c r="V582" s="20">
        <v>1614.57</v>
      </c>
    </row>
    <row r="583" spans="1:22" ht="16.8" x14ac:dyDescent="0.3">
      <c r="A583" s="20">
        <v>58.2</v>
      </c>
      <c r="B583" s="20">
        <v>71</v>
      </c>
      <c r="C583" s="26">
        <v>71.319999999999993</v>
      </c>
      <c r="D583" s="20">
        <v>-0.32</v>
      </c>
      <c r="E583" s="20">
        <v>0.03</v>
      </c>
      <c r="F583" s="20">
        <v>1966.37</v>
      </c>
      <c r="Q583" s="20">
        <v>58.2</v>
      </c>
      <c r="R583" s="20">
        <v>71.13</v>
      </c>
      <c r="S583" s="26">
        <v>71</v>
      </c>
      <c r="T583" s="26">
        <v>-0.13</v>
      </c>
      <c r="U583" s="26">
        <v>-0.02</v>
      </c>
      <c r="V583" s="26">
        <v>1577.66</v>
      </c>
    </row>
    <row r="584" spans="1:22" ht="16.8" x14ac:dyDescent="0.3">
      <c r="A584" s="20">
        <v>58.3</v>
      </c>
      <c r="B584" s="20">
        <v>71</v>
      </c>
      <c r="C584" s="26">
        <v>71.31</v>
      </c>
      <c r="D584" s="20">
        <v>-0.31</v>
      </c>
      <c r="E584" s="20">
        <v>0.01</v>
      </c>
      <c r="F584" s="26">
        <v>1974.89</v>
      </c>
      <c r="Q584" s="20">
        <v>58.3</v>
      </c>
      <c r="R584" s="20">
        <v>71.06</v>
      </c>
      <c r="S584" s="26">
        <v>71</v>
      </c>
      <c r="T584" s="26">
        <v>-0.06</v>
      </c>
      <c r="U584" s="26">
        <v>0.06</v>
      </c>
      <c r="V584" s="20">
        <v>1659.92</v>
      </c>
    </row>
    <row r="585" spans="1:22" ht="16.8" x14ac:dyDescent="0.3">
      <c r="A585" s="20">
        <v>58.4</v>
      </c>
      <c r="B585" s="20">
        <v>71</v>
      </c>
      <c r="C585" s="20">
        <v>71.37</v>
      </c>
      <c r="D585" s="20">
        <v>-0.37</v>
      </c>
      <c r="E585" s="20">
        <v>-0.06</v>
      </c>
      <c r="F585" s="20">
        <v>1904.52</v>
      </c>
      <c r="Q585" s="20">
        <v>58.4</v>
      </c>
      <c r="R585" s="20">
        <v>71.08</v>
      </c>
      <c r="S585" s="26">
        <v>71</v>
      </c>
      <c r="T585" s="26">
        <v>-0.08</v>
      </c>
      <c r="U585" s="26">
        <v>-0.02</v>
      </c>
      <c r="V585" s="26">
        <v>1592.03</v>
      </c>
    </row>
    <row r="586" spans="1:22" ht="16.8" x14ac:dyDescent="0.3">
      <c r="A586" s="20">
        <v>58.5</v>
      </c>
      <c r="B586" s="20">
        <v>71</v>
      </c>
      <c r="C586" s="26">
        <v>71.38</v>
      </c>
      <c r="D586" s="20">
        <v>-0.38</v>
      </c>
      <c r="E586" s="20">
        <v>0</v>
      </c>
      <c r="F586" s="26">
        <v>1899.95</v>
      </c>
      <c r="Q586" s="20">
        <v>58.5</v>
      </c>
      <c r="R586" s="20">
        <v>71.06</v>
      </c>
      <c r="S586" s="26">
        <v>71</v>
      </c>
      <c r="T586" s="26">
        <v>-0.06</v>
      </c>
      <c r="U586" s="26">
        <v>0.02</v>
      </c>
      <c r="V586" s="20">
        <v>1628.49</v>
      </c>
    </row>
    <row r="587" spans="1:22" ht="16.8" x14ac:dyDescent="0.3">
      <c r="A587" s="20">
        <v>58.6</v>
      </c>
      <c r="B587" s="20">
        <v>71</v>
      </c>
      <c r="C587" s="20">
        <v>71.37</v>
      </c>
      <c r="D587" s="20">
        <v>-0.37</v>
      </c>
      <c r="E587" s="20">
        <v>0.01</v>
      </c>
      <c r="F587" s="26">
        <v>1913.58</v>
      </c>
      <c r="Q587" s="20">
        <v>58.6</v>
      </c>
      <c r="R587" s="20">
        <v>71.099999999999994</v>
      </c>
      <c r="S587" s="26">
        <v>71</v>
      </c>
      <c r="T587" s="26">
        <v>-0.1</v>
      </c>
      <c r="U587" s="26">
        <v>-0.04</v>
      </c>
      <c r="V587" s="26">
        <v>1569.42</v>
      </c>
    </row>
    <row r="588" spans="1:22" ht="16.8" x14ac:dyDescent="0.3">
      <c r="A588" s="20">
        <v>58.7</v>
      </c>
      <c r="B588" s="20">
        <v>71</v>
      </c>
      <c r="C588" s="26">
        <v>71.31</v>
      </c>
      <c r="D588" s="20">
        <v>-0.31</v>
      </c>
      <c r="E588" s="20">
        <v>0.05</v>
      </c>
      <c r="F588" s="20">
        <v>1970.63</v>
      </c>
      <c r="Q588" s="20">
        <v>58.7</v>
      </c>
      <c r="R588" s="20">
        <v>71.06</v>
      </c>
      <c r="S588" s="26">
        <v>71</v>
      </c>
      <c r="T588" s="26">
        <v>-0.06</v>
      </c>
      <c r="U588" s="26">
        <v>0.03</v>
      </c>
      <c r="V588" s="20">
        <v>1633.2</v>
      </c>
    </row>
    <row r="589" spans="1:22" ht="16.8" x14ac:dyDescent="0.3">
      <c r="A589" s="20">
        <v>58.8</v>
      </c>
      <c r="B589" s="20">
        <v>71</v>
      </c>
      <c r="C589" s="26">
        <v>71.36</v>
      </c>
      <c r="D589" s="20">
        <v>-0.36</v>
      </c>
      <c r="E589" s="20">
        <v>-0.04</v>
      </c>
      <c r="F589" s="26">
        <v>1922.57</v>
      </c>
      <c r="Q589" s="20">
        <v>58.8</v>
      </c>
      <c r="R589" s="20">
        <v>71.06</v>
      </c>
      <c r="S589" s="26">
        <v>71</v>
      </c>
      <c r="T589" s="26">
        <v>-0.06</v>
      </c>
      <c r="U589" s="26">
        <v>0.01</v>
      </c>
      <c r="V589" s="20">
        <v>1614.96</v>
      </c>
    </row>
    <row r="590" spans="1:22" ht="16.8" x14ac:dyDescent="0.3">
      <c r="A590" s="20">
        <v>58.9</v>
      </c>
      <c r="B590" s="20">
        <v>71</v>
      </c>
      <c r="C590" s="20">
        <v>71.290000000000006</v>
      </c>
      <c r="D590" s="20">
        <v>-0.28999999999999998</v>
      </c>
      <c r="E590" s="20">
        <v>7.0000000000000007E-2</v>
      </c>
      <c r="F590" s="26">
        <v>1995.76</v>
      </c>
      <c r="Q590" s="20">
        <v>58.9</v>
      </c>
      <c r="R590" s="20">
        <v>71.08</v>
      </c>
      <c r="S590" s="26">
        <v>71</v>
      </c>
      <c r="T590" s="26">
        <v>-0.08</v>
      </c>
      <c r="U590" s="26">
        <v>-0.02</v>
      </c>
      <c r="V590" s="26">
        <v>1584.65</v>
      </c>
    </row>
    <row r="591" spans="1:22" ht="16.8" x14ac:dyDescent="0.3">
      <c r="A591" s="20">
        <v>59</v>
      </c>
      <c r="B591" s="20">
        <v>71</v>
      </c>
      <c r="C591" s="26">
        <v>71.31</v>
      </c>
      <c r="D591" s="20">
        <v>-0.31</v>
      </c>
      <c r="E591" s="20">
        <v>-0.02</v>
      </c>
      <c r="F591" s="20">
        <v>1974.89</v>
      </c>
      <c r="Q591" s="20">
        <v>59</v>
      </c>
      <c r="R591" s="20">
        <v>71.06</v>
      </c>
      <c r="S591" s="26">
        <v>71</v>
      </c>
      <c r="T591" s="26">
        <v>-0.06</v>
      </c>
      <c r="U591" s="26">
        <v>0.02</v>
      </c>
      <c r="V591" s="20">
        <v>1619.72</v>
      </c>
    </row>
    <row r="592" spans="1:22" ht="16.8" x14ac:dyDescent="0.3">
      <c r="A592" s="20">
        <v>59.1</v>
      </c>
      <c r="B592" s="20">
        <v>71</v>
      </c>
      <c r="C592" s="20">
        <v>71.33</v>
      </c>
      <c r="D592" s="20">
        <v>-0.33</v>
      </c>
      <c r="E592" s="20">
        <v>-0.02</v>
      </c>
      <c r="F592" s="26">
        <v>1949.06</v>
      </c>
      <c r="Q592" s="20">
        <v>59.1</v>
      </c>
      <c r="R592" s="20">
        <v>71.08</v>
      </c>
      <c r="S592" s="26">
        <v>71</v>
      </c>
      <c r="T592" s="20">
        <v>-0.08</v>
      </c>
      <c r="U592" s="26">
        <v>-0.02</v>
      </c>
      <c r="V592" s="26">
        <v>1590.79</v>
      </c>
    </row>
    <row r="593" spans="1:22" ht="16.8" x14ac:dyDescent="0.3">
      <c r="A593" s="20">
        <v>59.2</v>
      </c>
      <c r="B593" s="20">
        <v>71</v>
      </c>
      <c r="C593" s="26">
        <v>71.349999999999994</v>
      </c>
      <c r="D593" s="20">
        <v>-0.35</v>
      </c>
      <c r="E593" s="20">
        <v>-0.02</v>
      </c>
      <c r="F593" s="20">
        <v>1927.02</v>
      </c>
      <c r="Q593" s="20">
        <v>59.2</v>
      </c>
      <c r="R593" s="20">
        <v>71.05</v>
      </c>
      <c r="S593" s="26">
        <v>71</v>
      </c>
      <c r="T593" s="26">
        <v>-0.05</v>
      </c>
      <c r="U593" s="26">
        <v>0.03</v>
      </c>
      <c r="V593" s="20">
        <v>1635.14</v>
      </c>
    </row>
    <row r="594" spans="1:22" ht="16.8" x14ac:dyDescent="0.3">
      <c r="A594" s="20">
        <v>59.3</v>
      </c>
      <c r="B594" s="20">
        <v>71</v>
      </c>
      <c r="C594" s="26">
        <v>71.319999999999993</v>
      </c>
      <c r="D594" s="20">
        <v>-0.32</v>
      </c>
      <c r="E594" s="20">
        <v>0.04</v>
      </c>
      <c r="F594" s="26">
        <v>1966.37</v>
      </c>
      <c r="Q594" s="20">
        <v>59.3</v>
      </c>
      <c r="R594" s="20">
        <v>71.06</v>
      </c>
      <c r="S594" s="26">
        <v>71</v>
      </c>
      <c r="T594" s="20">
        <v>-0.06</v>
      </c>
      <c r="U594" s="26">
        <v>-0.02</v>
      </c>
      <c r="V594" s="26">
        <v>1593.26</v>
      </c>
    </row>
    <row r="595" spans="1:22" ht="16.8" x14ac:dyDescent="0.3">
      <c r="A595" s="20">
        <v>59.4</v>
      </c>
      <c r="B595" s="20">
        <v>71</v>
      </c>
      <c r="C595" s="20">
        <v>71.290000000000006</v>
      </c>
      <c r="D595" s="20">
        <v>-0.28999999999999998</v>
      </c>
      <c r="E595" s="20">
        <v>0.03</v>
      </c>
      <c r="F595" s="26">
        <v>1992.81</v>
      </c>
      <c r="Q595" s="20">
        <v>59.4</v>
      </c>
      <c r="R595" s="20">
        <v>71.040000000000006</v>
      </c>
      <c r="S595" s="26">
        <v>71</v>
      </c>
      <c r="T595" s="26">
        <v>-0.04</v>
      </c>
      <c r="U595" s="26">
        <v>0.02</v>
      </c>
      <c r="V595" s="20">
        <v>1629.76</v>
      </c>
    </row>
    <row r="596" spans="1:22" ht="16.8" x14ac:dyDescent="0.3">
      <c r="A596" s="20">
        <v>59.5</v>
      </c>
      <c r="B596" s="20">
        <v>71</v>
      </c>
      <c r="C596" s="26">
        <v>71.290000000000006</v>
      </c>
      <c r="D596" s="20">
        <v>-0.28999999999999998</v>
      </c>
      <c r="E596" s="20">
        <v>0</v>
      </c>
      <c r="F596" s="20">
        <v>1992.81</v>
      </c>
      <c r="Q596" s="20">
        <v>59.5</v>
      </c>
      <c r="R596" s="20">
        <v>71.03</v>
      </c>
      <c r="S596" s="26">
        <v>71</v>
      </c>
      <c r="T596" s="20">
        <v>-0.03</v>
      </c>
      <c r="U596" s="26">
        <v>0.01</v>
      </c>
      <c r="V596" s="26">
        <v>1618.06</v>
      </c>
    </row>
    <row r="597" spans="1:22" ht="16.8" x14ac:dyDescent="0.3">
      <c r="A597" s="20">
        <v>59.6</v>
      </c>
      <c r="B597" s="20">
        <v>71</v>
      </c>
      <c r="C597" s="26">
        <v>71.27</v>
      </c>
      <c r="D597" s="20">
        <v>-0.27</v>
      </c>
      <c r="E597" s="20">
        <v>0.02</v>
      </c>
      <c r="F597" s="26">
        <v>2007.73</v>
      </c>
      <c r="Q597" s="20">
        <v>59.6</v>
      </c>
      <c r="R597" s="20">
        <v>71.08</v>
      </c>
      <c r="S597" s="26">
        <v>71</v>
      </c>
      <c r="T597" s="26">
        <v>-0.08</v>
      </c>
      <c r="U597" s="26">
        <v>-0.05</v>
      </c>
      <c r="V597" s="20">
        <v>1564.15</v>
      </c>
    </row>
    <row r="598" spans="1:22" ht="16.8" x14ac:dyDescent="0.3">
      <c r="A598" s="20">
        <v>59.7</v>
      </c>
      <c r="B598" s="20">
        <v>71</v>
      </c>
      <c r="C598" s="20">
        <v>71.319999999999993</v>
      </c>
      <c r="D598" s="20">
        <v>-0.32</v>
      </c>
      <c r="E598" s="20">
        <v>-0.05</v>
      </c>
      <c r="F598" s="26">
        <v>1966.37</v>
      </c>
      <c r="Q598" s="20">
        <v>59.7</v>
      </c>
      <c r="R598" s="20">
        <v>71.06</v>
      </c>
      <c r="S598" s="26">
        <v>71</v>
      </c>
      <c r="T598" s="26">
        <v>-0.06</v>
      </c>
      <c r="U598" s="26">
        <v>0.02</v>
      </c>
      <c r="V598" s="26">
        <v>1626.59</v>
      </c>
    </row>
    <row r="599" spans="1:22" ht="16.8" x14ac:dyDescent="0.3">
      <c r="A599" s="20">
        <v>59.8</v>
      </c>
      <c r="B599" s="20">
        <v>71</v>
      </c>
      <c r="C599" s="26">
        <v>71.31</v>
      </c>
      <c r="D599" s="20">
        <v>-0.31</v>
      </c>
      <c r="E599" s="20">
        <v>0.01</v>
      </c>
      <c r="F599" s="20">
        <v>1974.89</v>
      </c>
      <c r="Q599" s="20">
        <v>59.8</v>
      </c>
      <c r="R599" s="20">
        <v>71.06</v>
      </c>
      <c r="S599" s="26">
        <v>71</v>
      </c>
      <c r="T599" s="26">
        <v>-0.06</v>
      </c>
      <c r="U599" s="26">
        <v>0</v>
      </c>
      <c r="V599" s="20">
        <v>1606.96</v>
      </c>
    </row>
    <row r="600" spans="1:22" ht="16.8" x14ac:dyDescent="0.3">
      <c r="A600" s="20">
        <v>59.9</v>
      </c>
      <c r="B600" s="20">
        <v>71</v>
      </c>
      <c r="C600" s="26">
        <v>71.290000000000006</v>
      </c>
      <c r="D600" s="20">
        <v>-0.28999999999999998</v>
      </c>
      <c r="E600" s="20">
        <v>0.02</v>
      </c>
      <c r="F600" s="26">
        <v>1992.81</v>
      </c>
      <c r="Q600" s="20">
        <v>59.9</v>
      </c>
      <c r="R600" s="20">
        <v>71.02</v>
      </c>
      <c r="S600" s="26">
        <v>71</v>
      </c>
      <c r="T600" s="26">
        <v>-0.02</v>
      </c>
      <c r="U600" s="26">
        <v>0.04</v>
      </c>
      <c r="V600" s="20">
        <v>1646.28</v>
      </c>
    </row>
    <row r="601" spans="1:22" ht="16.8" x14ac:dyDescent="0.3">
      <c r="A601" s="20">
        <v>60</v>
      </c>
      <c r="B601" s="20">
        <v>71</v>
      </c>
      <c r="C601" s="20">
        <v>71.33</v>
      </c>
      <c r="D601" s="20">
        <v>-0.33</v>
      </c>
      <c r="E601" s="20">
        <v>-0.04</v>
      </c>
      <c r="F601" s="20">
        <v>1953.42</v>
      </c>
      <c r="Q601" s="20">
        <v>60</v>
      </c>
      <c r="R601" s="20">
        <v>71.040000000000006</v>
      </c>
      <c r="S601" s="26">
        <v>71</v>
      </c>
      <c r="T601" s="26">
        <v>-0.04</v>
      </c>
      <c r="U601" s="20">
        <v>-0.02</v>
      </c>
      <c r="V601" s="26">
        <v>1590.08</v>
      </c>
    </row>
    <row r="602" spans="1:22" ht="16.8" x14ac:dyDescent="0.3">
      <c r="A602" s="24">
        <v>60.1</v>
      </c>
      <c r="B602" s="24">
        <v>71</v>
      </c>
      <c r="C602" s="25">
        <v>71.31</v>
      </c>
      <c r="D602" s="24">
        <v>-0.31</v>
      </c>
      <c r="E602" s="24">
        <v>0.02</v>
      </c>
      <c r="F602" s="25">
        <v>1974.89</v>
      </c>
      <c r="Q602" s="24">
        <v>60.1</v>
      </c>
      <c r="R602" s="24">
        <v>71.03</v>
      </c>
      <c r="S602" s="25">
        <v>71</v>
      </c>
      <c r="T602" s="25">
        <v>-0.03</v>
      </c>
      <c r="U602" s="25">
        <v>0.01</v>
      </c>
      <c r="V602" s="24">
        <v>1617.36</v>
      </c>
    </row>
  </sheetData>
  <mergeCells count="22">
    <mergeCell ref="H28:I28"/>
    <mergeCell ref="H18:K18"/>
    <mergeCell ref="J19:K19"/>
    <mergeCell ref="J20:K20"/>
    <mergeCell ref="H22:J22"/>
    <mergeCell ref="H23:J23"/>
    <mergeCell ref="X19:AA19"/>
    <mergeCell ref="Z20:AA20"/>
    <mergeCell ref="Z21:AA21"/>
    <mergeCell ref="X23:Z23"/>
    <mergeCell ref="X24:Z24"/>
    <mergeCell ref="X36:Z36"/>
    <mergeCell ref="H29:I29"/>
    <mergeCell ref="H31:I31"/>
    <mergeCell ref="H32:I32"/>
    <mergeCell ref="H34:J34"/>
    <mergeCell ref="H35:J35"/>
    <mergeCell ref="X29:Y29"/>
    <mergeCell ref="X30:Y30"/>
    <mergeCell ref="X32:Y32"/>
    <mergeCell ref="X33:Y33"/>
    <mergeCell ref="X35:Z35"/>
  </mergeCells>
  <dataValidations count="6">
    <dataValidation allowBlank="1" showInputMessage="1" showErrorMessage="1" prompt="TBL_HST[CH6]" sqref="V2:V602 F2:F602" xr:uid="{30341998-9E30-42B2-AD13-0E63949117EC}"/>
    <dataValidation allowBlank="1" showInputMessage="1" showErrorMessage="1" prompt="TBL_HST[CH5]" sqref="U2:U602 E2:E602" xr:uid="{70884EE8-D07A-4D6A-8A6B-EC05E76B53E3}"/>
    <dataValidation allowBlank="1" showInputMessage="1" showErrorMessage="1" prompt="TBL_HST[CH4]" sqref="T2:T602 D2:D411 D413:D602 F412" xr:uid="{24B74152-68CF-45B8-999E-7394F1502C2D}"/>
    <dataValidation allowBlank="1" showInputMessage="1" showErrorMessage="1" prompt="TBL_HST[CH3]" sqref="S2:S602 C2:C602" xr:uid="{E77DC2CF-32FA-4287-ABE7-D06EBB2E4DD5}"/>
    <dataValidation allowBlank="1" showInputMessage="1" showErrorMessage="1" prompt="TBL_HST[CH2]" sqref="R2:R602 B2:B602" xr:uid="{C2B01EDE-5D3A-4C99-9AC2-8CAECB039AD1}"/>
    <dataValidation allowBlank="1" showInputMessage="1" showErrorMessage="1" prompt="TBL_HST[CH1]" sqref="Q2:Q602 A2:A602" xr:uid="{02C7851B-5C6B-4DF5-B2C0-930536ACFD3A}"/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B2F15-8511-436A-94B0-76AA0B67D8AF}">
  <dimension ref="A1:AA602"/>
  <sheetViews>
    <sheetView topLeftCell="C1" zoomScale="106" workbookViewId="0">
      <selection activeCell="H24" sqref="H24"/>
    </sheetView>
  </sheetViews>
  <sheetFormatPr defaultRowHeight="14.4" x14ac:dyDescent="0.3"/>
  <cols>
    <col min="1" max="3" width="9" bestFit="1" customWidth="1"/>
    <col min="4" max="4" width="10.21875" bestFit="1" customWidth="1"/>
    <col min="5" max="5" width="9" bestFit="1" customWidth="1"/>
    <col min="6" max="6" width="10.21875" bestFit="1" customWidth="1"/>
    <col min="8" max="8" width="14.21875" customWidth="1"/>
    <col min="9" max="9" width="12" customWidth="1"/>
    <col min="17" max="19" width="9" bestFit="1" customWidth="1"/>
    <col min="20" max="21" width="9.109375" bestFit="1" customWidth="1"/>
    <col min="22" max="22" width="10.5546875" bestFit="1" customWidth="1"/>
    <col min="24" max="25" width="9" bestFit="1" customWidth="1"/>
  </cols>
  <sheetData>
    <row r="1" spans="1:22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2" ht="16.8" x14ac:dyDescent="0.3">
      <c r="A2" s="20">
        <v>0.1</v>
      </c>
      <c r="B2" s="20">
        <v>74</v>
      </c>
      <c r="C2" s="26">
        <v>28.8</v>
      </c>
      <c r="D2" s="20">
        <v>45.2</v>
      </c>
      <c r="E2" s="20">
        <v>6</v>
      </c>
      <c r="F2" s="20">
        <v>2048</v>
      </c>
      <c r="Q2" s="20">
        <v>0.1</v>
      </c>
      <c r="R2" s="20">
        <v>33.58</v>
      </c>
      <c r="S2" s="26">
        <v>74</v>
      </c>
      <c r="T2" s="26">
        <v>40.42</v>
      </c>
      <c r="U2" s="26">
        <v>40.42</v>
      </c>
      <c r="V2" s="20">
        <v>4095</v>
      </c>
    </row>
    <row r="3" spans="1:22" ht="16.8" x14ac:dyDescent="0.3">
      <c r="A3" s="20">
        <v>0.2</v>
      </c>
      <c r="B3" s="20">
        <v>74</v>
      </c>
      <c r="C3" s="26">
        <v>28.95</v>
      </c>
      <c r="D3" s="20">
        <v>45.05</v>
      </c>
      <c r="E3" s="20">
        <v>-0.15</v>
      </c>
      <c r="F3" s="26">
        <v>3307.8</v>
      </c>
      <c r="Q3" s="20">
        <v>0.2</v>
      </c>
      <c r="R3" s="20">
        <v>34.299999999999997</v>
      </c>
      <c r="S3" s="26">
        <v>74</v>
      </c>
      <c r="T3" s="26">
        <v>39.700000000000003</v>
      </c>
      <c r="U3" s="26">
        <v>-0.72</v>
      </c>
      <c r="V3" s="26">
        <v>4095</v>
      </c>
    </row>
    <row r="4" spans="1:22" ht="16.8" x14ac:dyDescent="0.3">
      <c r="A4" s="20">
        <v>0.3</v>
      </c>
      <c r="B4" s="20">
        <v>74</v>
      </c>
      <c r="C4" s="20">
        <v>28.95</v>
      </c>
      <c r="D4" s="20">
        <v>45.05</v>
      </c>
      <c r="E4" s="20">
        <v>0</v>
      </c>
      <c r="F4" s="20">
        <v>3446.07</v>
      </c>
      <c r="Q4" s="20">
        <v>0.3</v>
      </c>
      <c r="R4" s="20">
        <v>34.39</v>
      </c>
      <c r="S4" s="26">
        <v>74</v>
      </c>
      <c r="T4" s="26">
        <v>39.61</v>
      </c>
      <c r="U4" s="26">
        <v>-0.09</v>
      </c>
      <c r="V4" s="20">
        <v>4095</v>
      </c>
    </row>
    <row r="5" spans="1:22" ht="16.8" x14ac:dyDescent="0.3">
      <c r="A5" s="20">
        <v>0.4</v>
      </c>
      <c r="B5" s="20">
        <v>74</v>
      </c>
      <c r="C5" s="26">
        <v>28.97</v>
      </c>
      <c r="D5" s="20">
        <v>45.03</v>
      </c>
      <c r="E5" s="20">
        <v>-0.02</v>
      </c>
      <c r="F5" s="26">
        <v>3431.92</v>
      </c>
      <c r="Q5" s="20">
        <v>0.4</v>
      </c>
      <c r="R5" s="20">
        <v>34.53</v>
      </c>
      <c r="S5" s="26">
        <v>74</v>
      </c>
      <c r="T5" s="26">
        <v>39.47</v>
      </c>
      <c r="U5" s="26">
        <v>-0.14000000000000001</v>
      </c>
      <c r="V5" s="20">
        <v>4095</v>
      </c>
    </row>
    <row r="6" spans="1:22" ht="16.8" x14ac:dyDescent="0.3">
      <c r="A6" s="20">
        <v>0.5</v>
      </c>
      <c r="B6" s="20">
        <v>74</v>
      </c>
      <c r="C6" s="20">
        <v>29.02</v>
      </c>
      <c r="D6" s="20">
        <v>44.98</v>
      </c>
      <c r="E6" s="20">
        <v>-0.05</v>
      </c>
      <c r="F6" s="26">
        <v>3406.6</v>
      </c>
      <c r="Q6" s="20">
        <v>0.5</v>
      </c>
      <c r="R6" s="20">
        <v>34.64</v>
      </c>
      <c r="S6" s="26">
        <v>74</v>
      </c>
      <c r="T6" s="26">
        <v>39.36</v>
      </c>
      <c r="U6" s="26">
        <v>-0.11</v>
      </c>
      <c r="V6" s="26">
        <v>4095</v>
      </c>
    </row>
    <row r="7" spans="1:22" ht="16.8" x14ac:dyDescent="0.3">
      <c r="A7" s="20">
        <v>0.6</v>
      </c>
      <c r="B7" s="20">
        <v>74</v>
      </c>
      <c r="C7" s="26">
        <v>29.08</v>
      </c>
      <c r="D7" s="20">
        <v>44.92</v>
      </c>
      <c r="E7" s="20">
        <v>-0.06</v>
      </c>
      <c r="F7" s="20">
        <v>3399.23</v>
      </c>
      <c r="Q7" s="20">
        <v>0.6</v>
      </c>
      <c r="R7" s="20">
        <v>34.869999999999997</v>
      </c>
      <c r="S7" s="26">
        <v>74</v>
      </c>
      <c r="T7" s="26">
        <v>39.130000000000003</v>
      </c>
      <c r="U7" s="26">
        <v>-0.23</v>
      </c>
      <c r="V7" s="20">
        <v>4095</v>
      </c>
    </row>
    <row r="8" spans="1:22" ht="16.8" x14ac:dyDescent="0.3">
      <c r="A8" s="20">
        <v>0.7</v>
      </c>
      <c r="B8" s="20">
        <v>74</v>
      </c>
      <c r="C8" s="26">
        <v>29.3</v>
      </c>
      <c r="D8" s="20">
        <v>44.7</v>
      </c>
      <c r="E8" s="20">
        <v>-0.22</v>
      </c>
      <c r="F8" s="26">
        <v>3229.08</v>
      </c>
      <c r="Q8" s="20">
        <v>0.7</v>
      </c>
      <c r="R8" s="20">
        <v>35.17</v>
      </c>
      <c r="S8" s="26">
        <v>74</v>
      </c>
      <c r="T8" s="26">
        <v>38.83</v>
      </c>
      <c r="U8" s="26">
        <v>-0.3</v>
      </c>
      <c r="V8" s="26">
        <v>4095</v>
      </c>
    </row>
    <row r="9" spans="1:22" ht="16.8" x14ac:dyDescent="0.3">
      <c r="A9" s="20">
        <v>0.8</v>
      </c>
      <c r="B9" s="20">
        <v>74</v>
      </c>
      <c r="C9" s="20">
        <v>29.47</v>
      </c>
      <c r="D9" s="20">
        <v>44.53</v>
      </c>
      <c r="E9" s="20">
        <v>-0.17</v>
      </c>
      <c r="F9" s="20">
        <v>3285.9</v>
      </c>
      <c r="Q9" s="20">
        <v>0.8</v>
      </c>
      <c r="R9" s="20">
        <v>35.53</v>
      </c>
      <c r="S9" s="26">
        <v>74</v>
      </c>
      <c r="T9" s="26">
        <v>38.47</v>
      </c>
      <c r="U9" s="26">
        <v>-0.36</v>
      </c>
      <c r="V9" s="20">
        <v>4095</v>
      </c>
    </row>
    <row r="10" spans="1:22" ht="16.8" x14ac:dyDescent="0.3">
      <c r="A10" s="20">
        <v>0.9</v>
      </c>
      <c r="B10" s="20">
        <v>74</v>
      </c>
      <c r="C10" s="26">
        <v>29.76</v>
      </c>
      <c r="D10" s="20">
        <v>44.24</v>
      </c>
      <c r="E10" s="20">
        <v>-0.28999999999999998</v>
      </c>
      <c r="F10" s="26">
        <v>3121.33</v>
      </c>
      <c r="Q10" s="20">
        <v>0.9</v>
      </c>
      <c r="R10" s="20">
        <v>35.99</v>
      </c>
      <c r="S10" s="26">
        <v>74</v>
      </c>
      <c r="T10" s="26">
        <v>38.01</v>
      </c>
      <c r="U10" s="26">
        <v>-0.46</v>
      </c>
      <c r="V10" s="26">
        <v>4095</v>
      </c>
    </row>
    <row r="11" spans="1:22" ht="16.8" x14ac:dyDescent="0.3">
      <c r="A11" s="20">
        <v>1</v>
      </c>
      <c r="B11" s="20">
        <v>74</v>
      </c>
      <c r="C11" s="26">
        <v>30.13</v>
      </c>
      <c r="D11" s="20">
        <v>43.87</v>
      </c>
      <c r="E11" s="20">
        <v>-0.37</v>
      </c>
      <c r="F11" s="26">
        <v>2957.71</v>
      </c>
      <c r="Q11" s="20">
        <v>1</v>
      </c>
      <c r="R11" s="20">
        <v>36.479999999999997</v>
      </c>
      <c r="S11" s="26">
        <v>74</v>
      </c>
      <c r="T11" s="26">
        <v>37.520000000000003</v>
      </c>
      <c r="U11" s="26">
        <v>-0.49</v>
      </c>
      <c r="V11" s="20">
        <v>4095</v>
      </c>
    </row>
    <row r="12" spans="1:22" ht="16.8" x14ac:dyDescent="0.3">
      <c r="A12" s="20">
        <v>1.1000000000000001</v>
      </c>
      <c r="B12" s="20">
        <v>74</v>
      </c>
      <c r="C12" s="20">
        <v>30.52</v>
      </c>
      <c r="D12" s="20">
        <v>43.48</v>
      </c>
      <c r="E12" s="20">
        <v>-0.38</v>
      </c>
      <c r="F12" s="20">
        <v>2938.01</v>
      </c>
      <c r="Q12" s="20">
        <v>1.1000000000000001</v>
      </c>
      <c r="R12" s="20">
        <v>37.04</v>
      </c>
      <c r="S12" s="26">
        <v>74</v>
      </c>
      <c r="T12" s="20">
        <v>36.96</v>
      </c>
      <c r="U12" s="26">
        <v>-0.56000000000000005</v>
      </c>
      <c r="V12" s="26">
        <v>4095</v>
      </c>
    </row>
    <row r="13" spans="1:22" ht="16.8" x14ac:dyDescent="0.3">
      <c r="A13" s="20">
        <v>1.2</v>
      </c>
      <c r="B13" s="20">
        <v>74</v>
      </c>
      <c r="C13" s="26">
        <v>30.94</v>
      </c>
      <c r="D13" s="20">
        <v>43.06</v>
      </c>
      <c r="E13" s="20">
        <v>-0.43</v>
      </c>
      <c r="F13" s="26">
        <v>2816.31</v>
      </c>
      <c r="Q13" s="32">
        <v>1.2</v>
      </c>
      <c r="R13" s="32">
        <v>37.659999999999997</v>
      </c>
      <c r="S13" s="34">
        <v>74</v>
      </c>
      <c r="T13" s="34">
        <v>36.340000000000003</v>
      </c>
      <c r="U13" s="34">
        <v>-0.62</v>
      </c>
      <c r="V13" s="32">
        <v>4095</v>
      </c>
    </row>
    <row r="14" spans="1:22" ht="16.8" x14ac:dyDescent="0.3">
      <c r="A14" s="20">
        <v>1.3</v>
      </c>
      <c r="B14" s="20">
        <v>74</v>
      </c>
      <c r="C14" s="20">
        <v>31.39</v>
      </c>
      <c r="D14" s="20">
        <v>42.61</v>
      </c>
      <c r="E14" s="20">
        <v>-0.44</v>
      </c>
      <c r="F14" s="20">
        <v>2765.51</v>
      </c>
      <c r="Q14" s="32">
        <v>1.3</v>
      </c>
      <c r="R14" s="32">
        <v>38.270000000000003</v>
      </c>
      <c r="S14" s="34">
        <v>74</v>
      </c>
      <c r="T14" s="32">
        <v>35.729999999999997</v>
      </c>
      <c r="U14" s="34">
        <v>-0.61</v>
      </c>
      <c r="V14" s="34">
        <v>4095</v>
      </c>
    </row>
    <row r="15" spans="1:22" ht="16.8" x14ac:dyDescent="0.3">
      <c r="A15" s="20">
        <v>1.4</v>
      </c>
      <c r="B15" s="20">
        <v>74</v>
      </c>
      <c r="C15" s="26">
        <v>31.79</v>
      </c>
      <c r="D15" s="20">
        <v>42.21</v>
      </c>
      <c r="E15" s="20">
        <v>-0.4</v>
      </c>
      <c r="F15" s="26">
        <v>2885.64</v>
      </c>
      <c r="Q15" s="32">
        <v>1.4</v>
      </c>
      <c r="R15" s="32">
        <v>39.020000000000003</v>
      </c>
      <c r="S15" s="34">
        <v>74</v>
      </c>
      <c r="T15" s="34">
        <v>34.979999999999997</v>
      </c>
      <c r="U15" s="34">
        <v>-0.74</v>
      </c>
      <c r="V15" s="32">
        <v>4095</v>
      </c>
    </row>
    <row r="16" spans="1:22" ht="16.8" x14ac:dyDescent="0.3">
      <c r="A16" s="20">
        <v>1.5</v>
      </c>
      <c r="B16" s="20">
        <v>74</v>
      </c>
      <c r="C16" s="26">
        <v>32.32</v>
      </c>
      <c r="D16" s="20">
        <v>41.68</v>
      </c>
      <c r="E16" s="20">
        <v>-0.53</v>
      </c>
      <c r="F16" s="26">
        <v>2550</v>
      </c>
      <c r="Q16" s="32">
        <v>1.5</v>
      </c>
      <c r="R16" s="32">
        <v>39.71</v>
      </c>
      <c r="S16" s="34">
        <v>74</v>
      </c>
      <c r="T16" s="34">
        <v>34.29</v>
      </c>
      <c r="U16" s="34">
        <v>-0.69</v>
      </c>
      <c r="V16" s="32">
        <v>4095</v>
      </c>
    </row>
    <row r="17" spans="1:27" ht="16.8" x14ac:dyDescent="0.3">
      <c r="A17" s="20">
        <v>1.6</v>
      </c>
      <c r="B17" s="20">
        <v>74</v>
      </c>
      <c r="C17" s="20">
        <v>32.840000000000003</v>
      </c>
      <c r="D17" s="20">
        <v>41.16</v>
      </c>
      <c r="E17" s="20">
        <v>-0.52</v>
      </c>
      <c r="F17" s="20">
        <v>2550</v>
      </c>
      <c r="Q17" s="32">
        <v>1.6</v>
      </c>
      <c r="R17" s="32">
        <v>40.43</v>
      </c>
      <c r="S17" s="34">
        <v>74</v>
      </c>
      <c r="T17" s="34">
        <v>33.57</v>
      </c>
      <c r="U17" s="34">
        <v>-0.72</v>
      </c>
      <c r="V17" s="34">
        <v>4095</v>
      </c>
    </row>
    <row r="18" spans="1:27" ht="16.8" x14ac:dyDescent="0.3">
      <c r="A18" s="20">
        <v>1.7</v>
      </c>
      <c r="B18" s="20">
        <v>74</v>
      </c>
      <c r="C18" s="26">
        <v>33.270000000000003</v>
      </c>
      <c r="D18" s="20">
        <v>40.729999999999997</v>
      </c>
      <c r="E18" s="20">
        <v>-0.43</v>
      </c>
      <c r="F18" s="26">
        <v>2816.28</v>
      </c>
      <c r="H18" s="55" t="s">
        <v>46</v>
      </c>
      <c r="I18" s="56"/>
      <c r="J18" s="56"/>
      <c r="K18" s="57"/>
      <c r="Q18" s="32">
        <v>1.7</v>
      </c>
      <c r="R18" s="32">
        <v>41.22</v>
      </c>
      <c r="S18" s="34">
        <v>74</v>
      </c>
      <c r="T18" s="34">
        <v>32.78</v>
      </c>
      <c r="U18" s="34">
        <v>-0.8</v>
      </c>
      <c r="V18" s="32">
        <v>4095</v>
      </c>
      <c r="X18" s="55" t="s">
        <v>46</v>
      </c>
      <c r="Y18" s="56"/>
      <c r="Z18" s="56"/>
      <c r="AA18" s="57"/>
    </row>
    <row r="19" spans="1:27" ht="16.8" x14ac:dyDescent="0.3">
      <c r="A19" s="20">
        <v>1.8</v>
      </c>
      <c r="B19" s="20">
        <v>74</v>
      </c>
      <c r="C19" s="26">
        <v>33.81</v>
      </c>
      <c r="D19" s="20">
        <v>40.19</v>
      </c>
      <c r="E19" s="20">
        <v>-0.54</v>
      </c>
      <c r="F19" s="20">
        <v>2550</v>
      </c>
      <c r="H19" s="30" t="s">
        <v>47</v>
      </c>
      <c r="I19" s="30" t="s">
        <v>48</v>
      </c>
      <c r="J19" s="55" t="s">
        <v>49</v>
      </c>
      <c r="K19" s="57"/>
      <c r="Q19" s="32">
        <v>1.8</v>
      </c>
      <c r="R19" s="32">
        <v>41.9</v>
      </c>
      <c r="S19" s="34">
        <v>74</v>
      </c>
      <c r="T19" s="32">
        <v>32.1</v>
      </c>
      <c r="U19" s="34">
        <v>-0.68</v>
      </c>
      <c r="V19" s="34">
        <v>4095</v>
      </c>
      <c r="X19" s="30" t="s">
        <v>47</v>
      </c>
      <c r="Y19" s="30" t="s">
        <v>48</v>
      </c>
      <c r="Z19" s="55" t="s">
        <v>49</v>
      </c>
      <c r="AA19" s="57"/>
    </row>
    <row r="20" spans="1:27" ht="16.8" x14ac:dyDescent="0.3">
      <c r="A20" s="20">
        <v>1.9</v>
      </c>
      <c r="B20" s="20">
        <v>74</v>
      </c>
      <c r="C20" s="20">
        <v>34.28</v>
      </c>
      <c r="D20" s="20">
        <v>39.72</v>
      </c>
      <c r="E20" s="20">
        <v>-0.47</v>
      </c>
      <c r="F20" s="26">
        <v>2681.45</v>
      </c>
      <c r="H20" s="30">
        <f>C2+0.1*(B2-C2)</f>
        <v>33.32</v>
      </c>
      <c r="I20" s="30">
        <f>C2+0.9*(B5-C2)</f>
        <v>69.48</v>
      </c>
      <c r="J20" s="55">
        <f>A143-A27</f>
        <v>11.6</v>
      </c>
      <c r="K20" s="57"/>
      <c r="Q20" s="32">
        <v>1.9</v>
      </c>
      <c r="R20" s="32">
        <v>42.59</v>
      </c>
      <c r="S20" s="34">
        <v>74</v>
      </c>
      <c r="T20" s="34">
        <v>31.41</v>
      </c>
      <c r="U20" s="34">
        <v>-0.69</v>
      </c>
      <c r="V20" s="32">
        <v>4095</v>
      </c>
      <c r="X20" s="30">
        <f>R2+0.1*(S2-R2)</f>
        <v>37.622</v>
      </c>
      <c r="Y20" s="30">
        <f>R2+0.9*(S2-R2)</f>
        <v>69.957999999999998</v>
      </c>
      <c r="Z20" s="55">
        <f>Q82-Q13</f>
        <v>6.8999999999999995</v>
      </c>
      <c r="AA20" s="57"/>
    </row>
    <row r="21" spans="1:27" ht="16.8" x14ac:dyDescent="0.3">
      <c r="A21" s="20">
        <v>2</v>
      </c>
      <c r="B21" s="20">
        <v>74</v>
      </c>
      <c r="C21" s="26">
        <v>34.78</v>
      </c>
      <c r="D21" s="20">
        <v>39.22</v>
      </c>
      <c r="E21" s="20">
        <v>-0.5</v>
      </c>
      <c r="F21" s="26">
        <v>2551.63</v>
      </c>
      <c r="Q21" s="32">
        <v>2</v>
      </c>
      <c r="R21" s="32">
        <v>43.31</v>
      </c>
      <c r="S21" s="34">
        <v>74</v>
      </c>
      <c r="T21" s="32">
        <v>30.69</v>
      </c>
      <c r="U21" s="34">
        <v>-0.72</v>
      </c>
      <c r="V21" s="34">
        <v>4095</v>
      </c>
    </row>
    <row r="22" spans="1:27" ht="16.8" x14ac:dyDescent="0.3">
      <c r="A22" s="20">
        <v>2.1</v>
      </c>
      <c r="B22" s="20">
        <v>74</v>
      </c>
      <c r="C22" s="26">
        <v>35.25</v>
      </c>
      <c r="D22" s="20">
        <v>38.75</v>
      </c>
      <c r="E22" s="20">
        <v>-0.47</v>
      </c>
      <c r="F22" s="20">
        <v>2666.43</v>
      </c>
      <c r="H22" s="55" t="s">
        <v>50</v>
      </c>
      <c r="I22" s="56"/>
      <c r="J22" s="57"/>
      <c r="Q22" s="32">
        <v>2.1</v>
      </c>
      <c r="R22" s="32">
        <v>44.05</v>
      </c>
      <c r="S22" s="32">
        <v>74</v>
      </c>
      <c r="T22" s="34">
        <v>29.95</v>
      </c>
      <c r="U22" s="34">
        <v>-0.74</v>
      </c>
      <c r="V22" s="32">
        <v>4095</v>
      </c>
      <c r="X22" s="55" t="s">
        <v>50</v>
      </c>
      <c r="Y22" s="56"/>
      <c r="Z22" s="57"/>
    </row>
    <row r="23" spans="1:27" ht="16.8" x14ac:dyDescent="0.3">
      <c r="A23" s="20">
        <v>2.2000000000000002</v>
      </c>
      <c r="B23" s="20">
        <v>74</v>
      </c>
      <c r="C23" s="20">
        <v>35.72</v>
      </c>
      <c r="D23" s="20">
        <v>38.28</v>
      </c>
      <c r="E23" s="20">
        <v>-0.48</v>
      </c>
      <c r="F23" s="26">
        <v>2651.08</v>
      </c>
      <c r="H23" s="58">
        <f>((MAX(C2:C256)-74)/74)*100</f>
        <v>1.1081081081080988</v>
      </c>
      <c r="I23" s="58"/>
      <c r="J23" s="58"/>
      <c r="Q23" s="32">
        <v>2.2000000000000002</v>
      </c>
      <c r="R23" s="32">
        <v>44.79</v>
      </c>
      <c r="S23" s="34">
        <v>74</v>
      </c>
      <c r="T23" s="34">
        <v>29.21</v>
      </c>
      <c r="U23" s="34">
        <v>-0.73</v>
      </c>
      <c r="V23" s="34">
        <v>4095</v>
      </c>
      <c r="X23" s="58">
        <f>((MAX(R2:R281)-74)/74)*100</f>
        <v>0.31081081081081618</v>
      </c>
      <c r="Y23" s="58"/>
      <c r="Z23" s="58"/>
    </row>
    <row r="24" spans="1:27" ht="16.8" x14ac:dyDescent="0.3">
      <c r="A24" s="20">
        <v>2.2999999999999998</v>
      </c>
      <c r="B24" s="20">
        <v>74</v>
      </c>
      <c r="C24" s="26">
        <v>36.17</v>
      </c>
      <c r="D24" s="20">
        <v>37.83</v>
      </c>
      <c r="E24" s="20">
        <v>-0.45</v>
      </c>
      <c r="F24" s="20">
        <v>2752.19</v>
      </c>
      <c r="Q24" s="32">
        <v>2.2999999999999998</v>
      </c>
      <c r="R24" s="32">
        <v>45.51</v>
      </c>
      <c r="S24" s="34">
        <v>74</v>
      </c>
      <c r="T24" s="34">
        <v>28.49</v>
      </c>
      <c r="U24" s="34">
        <v>-0.73</v>
      </c>
      <c r="V24" s="32">
        <v>4095</v>
      </c>
    </row>
    <row r="25" spans="1:27" ht="16.8" x14ac:dyDescent="0.3">
      <c r="A25" s="20">
        <v>2.4</v>
      </c>
      <c r="B25" s="20">
        <v>74</v>
      </c>
      <c r="C25" s="20">
        <v>36.61</v>
      </c>
      <c r="D25" s="20">
        <v>37.39</v>
      </c>
      <c r="E25" s="20">
        <v>-0.44</v>
      </c>
      <c r="F25" s="26">
        <v>2791.42</v>
      </c>
      <c r="H25" s="29" t="s">
        <v>51</v>
      </c>
      <c r="I25" s="29">
        <f>ABS(AVERAGE(C301:C602))</f>
        <v>74.402880794701915</v>
      </c>
      <c r="Q25" s="32">
        <v>2.4</v>
      </c>
      <c r="R25" s="32">
        <v>46.24</v>
      </c>
      <c r="S25" s="34">
        <v>74</v>
      </c>
      <c r="T25" s="34">
        <v>27.76</v>
      </c>
      <c r="U25" s="34">
        <v>-0.73</v>
      </c>
      <c r="V25" s="32">
        <v>4095</v>
      </c>
      <c r="X25" s="29" t="s">
        <v>51</v>
      </c>
      <c r="Y25" s="29">
        <f>ABS(AVERAGE(R301:R602))</f>
        <v>74.085298013244966</v>
      </c>
    </row>
    <row r="26" spans="1:27" ht="16.8" x14ac:dyDescent="0.3">
      <c r="A26" s="20">
        <v>2.5</v>
      </c>
      <c r="B26" s="20">
        <v>74</v>
      </c>
      <c r="C26" s="26">
        <v>37.04</v>
      </c>
      <c r="D26" s="20">
        <v>36.96</v>
      </c>
      <c r="E26" s="20">
        <v>-0.43</v>
      </c>
      <c r="F26" s="26">
        <v>2803.93</v>
      </c>
      <c r="H26" s="29" t="s">
        <v>52</v>
      </c>
      <c r="I26" s="29">
        <f>((I25-74)/74)*100</f>
        <v>0.54443350635393872</v>
      </c>
      <c r="Q26" s="32">
        <v>2.5</v>
      </c>
      <c r="R26" s="32">
        <v>46.96</v>
      </c>
      <c r="S26" s="34">
        <v>74</v>
      </c>
      <c r="T26" s="34">
        <v>27.04</v>
      </c>
      <c r="U26" s="34">
        <v>-0.72</v>
      </c>
      <c r="V26" s="34">
        <v>4095</v>
      </c>
      <c r="X26" s="29" t="s">
        <v>52</v>
      </c>
      <c r="Y26" s="29">
        <f>((Y25-74)/74)*100</f>
        <v>0.11526758546617011</v>
      </c>
    </row>
    <row r="27" spans="1:27" ht="16.8" x14ac:dyDescent="0.3">
      <c r="A27" s="45">
        <v>2.6</v>
      </c>
      <c r="B27" s="20">
        <v>74</v>
      </c>
      <c r="C27" s="26">
        <v>37.49</v>
      </c>
      <c r="D27" s="20">
        <v>36.51</v>
      </c>
      <c r="E27" s="20">
        <v>-0.46</v>
      </c>
      <c r="F27" s="20">
        <v>2724.81</v>
      </c>
      <c r="Q27" s="32">
        <v>2.6</v>
      </c>
      <c r="R27" s="32">
        <v>47.72</v>
      </c>
      <c r="S27" s="34">
        <v>74</v>
      </c>
      <c r="T27" s="34">
        <v>26.28</v>
      </c>
      <c r="U27" s="34">
        <v>-0.76</v>
      </c>
      <c r="V27" s="32">
        <v>4067.52</v>
      </c>
    </row>
    <row r="28" spans="1:27" ht="16.8" x14ac:dyDescent="0.3">
      <c r="A28" s="20">
        <v>2.7</v>
      </c>
      <c r="B28" s="20">
        <v>74</v>
      </c>
      <c r="C28" s="20">
        <v>37.94</v>
      </c>
      <c r="D28" s="20">
        <v>36.06</v>
      </c>
      <c r="E28" s="20">
        <v>-0.45</v>
      </c>
      <c r="F28" s="26">
        <v>2738.62</v>
      </c>
      <c r="H28" s="58" t="s">
        <v>53</v>
      </c>
      <c r="I28" s="58"/>
      <c r="Q28" s="32">
        <v>2.7</v>
      </c>
      <c r="R28" s="32">
        <v>48.37</v>
      </c>
      <c r="S28" s="34">
        <v>74</v>
      </c>
      <c r="T28" s="34">
        <v>25.63</v>
      </c>
      <c r="U28" s="34">
        <v>-0.65</v>
      </c>
      <c r="V28" s="34">
        <v>4095</v>
      </c>
      <c r="X28" s="58" t="s">
        <v>53</v>
      </c>
      <c r="Y28" s="58"/>
    </row>
    <row r="29" spans="1:27" ht="16.8" x14ac:dyDescent="0.3">
      <c r="A29" s="20">
        <v>2.8</v>
      </c>
      <c r="B29" s="20">
        <v>74</v>
      </c>
      <c r="C29" s="26">
        <v>38.36</v>
      </c>
      <c r="D29" s="20">
        <v>35.64</v>
      </c>
      <c r="E29" s="20">
        <v>-0.42</v>
      </c>
      <c r="F29" s="26">
        <v>2851.92</v>
      </c>
      <c r="H29" s="58" cm="1">
        <f t="array" ref="H29">SUMPRODUCT(ABS(D2:D603)*0.1)</f>
        <v>327.09999999999968</v>
      </c>
      <c r="I29" s="58"/>
      <c r="Q29" s="32">
        <v>2.8</v>
      </c>
      <c r="R29" s="32">
        <v>49.13</v>
      </c>
      <c r="S29" s="34">
        <v>74</v>
      </c>
      <c r="T29" s="34">
        <v>24.87</v>
      </c>
      <c r="U29" s="34">
        <v>-0.76</v>
      </c>
      <c r="V29" s="32">
        <v>3882.14</v>
      </c>
      <c r="X29" s="58" cm="1">
        <f t="array" ref="X29">SUMPRODUCT(ABS(T2:T603)*0.1)</f>
        <v>174.78599999999977</v>
      </c>
      <c r="Y29" s="58"/>
    </row>
    <row r="30" spans="1:27" ht="16.8" x14ac:dyDescent="0.3">
      <c r="A30" s="20">
        <v>2.9</v>
      </c>
      <c r="B30" s="20">
        <v>74</v>
      </c>
      <c r="C30" s="26">
        <v>38.75</v>
      </c>
      <c r="D30" s="20">
        <v>35.25</v>
      </c>
      <c r="E30" s="20">
        <v>-0.39</v>
      </c>
      <c r="F30" s="20">
        <v>2907.14</v>
      </c>
      <c r="Q30" s="32">
        <v>2.9</v>
      </c>
      <c r="R30" s="32">
        <v>49.88</v>
      </c>
      <c r="S30" s="34">
        <v>74</v>
      </c>
      <c r="T30" s="34">
        <v>24.12</v>
      </c>
      <c r="U30" s="34">
        <v>-0.75</v>
      </c>
      <c r="V30" s="34">
        <v>3817.37</v>
      </c>
    </row>
    <row r="31" spans="1:27" ht="16.8" x14ac:dyDescent="0.3">
      <c r="A31" s="20">
        <v>3</v>
      </c>
      <c r="B31" s="20">
        <v>74</v>
      </c>
      <c r="C31" s="20">
        <v>39.17</v>
      </c>
      <c r="D31" s="20">
        <v>34.83</v>
      </c>
      <c r="E31" s="20">
        <v>-0.42</v>
      </c>
      <c r="F31" s="26">
        <v>2851.93</v>
      </c>
      <c r="H31" s="58" t="s">
        <v>54</v>
      </c>
      <c r="I31" s="58"/>
      <c r="Q31" s="32">
        <v>3</v>
      </c>
      <c r="R31" s="32">
        <v>50.51</v>
      </c>
      <c r="S31" s="32">
        <v>74</v>
      </c>
      <c r="T31" s="34">
        <v>23.49</v>
      </c>
      <c r="U31" s="34">
        <v>-0.63</v>
      </c>
      <c r="V31" s="32">
        <v>3863.17</v>
      </c>
      <c r="X31" s="58" t="s">
        <v>54</v>
      </c>
      <c r="Y31" s="58"/>
    </row>
    <row r="32" spans="1:27" ht="16.8" x14ac:dyDescent="0.3">
      <c r="A32" s="20">
        <v>3.1</v>
      </c>
      <c r="B32" s="20">
        <v>74</v>
      </c>
      <c r="C32" s="26">
        <v>39.64</v>
      </c>
      <c r="D32" s="20">
        <v>34.36</v>
      </c>
      <c r="E32" s="20">
        <v>-0.47</v>
      </c>
      <c r="F32" s="26">
        <v>2681.46</v>
      </c>
      <c r="H32" s="58" cm="1">
        <f t="array" ref="H32">SUMPRODUCT(((D2:D603)^2)*0.1)</f>
        <v>8941.6916799999872</v>
      </c>
      <c r="I32" s="58"/>
      <c r="Q32" s="32">
        <v>3.1</v>
      </c>
      <c r="R32" s="32">
        <v>51.17</v>
      </c>
      <c r="S32" s="34">
        <v>74</v>
      </c>
      <c r="T32" s="32">
        <v>22.83</v>
      </c>
      <c r="U32" s="32">
        <v>-0.66</v>
      </c>
      <c r="V32" s="34">
        <v>3778.25</v>
      </c>
      <c r="X32" s="58" cm="1">
        <f t="array" ref="X32">SUMPRODUCT(((T2:T603)^2)*0.1)</f>
        <v>4205.9338799999714</v>
      </c>
      <c r="Y32" s="58"/>
    </row>
    <row r="33" spans="1:26" ht="16.8" x14ac:dyDescent="0.3">
      <c r="A33" s="20">
        <v>3.2</v>
      </c>
      <c r="B33" s="20">
        <v>74</v>
      </c>
      <c r="C33" s="26">
        <v>40.03</v>
      </c>
      <c r="D33" s="20">
        <v>33.97</v>
      </c>
      <c r="E33" s="20">
        <v>-0.39</v>
      </c>
      <c r="F33" s="20">
        <v>2907.15</v>
      </c>
      <c r="Q33" s="32">
        <v>3.2</v>
      </c>
      <c r="R33" s="32">
        <v>51.79</v>
      </c>
      <c r="S33" s="34">
        <v>74</v>
      </c>
      <c r="T33" s="34">
        <v>22.21</v>
      </c>
      <c r="U33" s="34">
        <v>-0.62</v>
      </c>
      <c r="V33" s="34">
        <v>3757.31</v>
      </c>
    </row>
    <row r="34" spans="1:26" ht="16.8" x14ac:dyDescent="0.3">
      <c r="A34" s="20">
        <v>3.3</v>
      </c>
      <c r="B34" s="20">
        <v>74</v>
      </c>
      <c r="C34" s="20">
        <v>40.47</v>
      </c>
      <c r="D34" s="20">
        <v>33.53</v>
      </c>
      <c r="E34" s="20">
        <v>-0.44</v>
      </c>
      <c r="F34" s="26">
        <v>2791.42</v>
      </c>
      <c r="H34" s="58" t="s">
        <v>55</v>
      </c>
      <c r="I34" s="58"/>
      <c r="J34" s="58"/>
      <c r="Q34" s="32">
        <v>3.3</v>
      </c>
      <c r="R34" s="32">
        <v>52.58</v>
      </c>
      <c r="S34" s="34">
        <v>74</v>
      </c>
      <c r="T34" s="32">
        <v>21.42</v>
      </c>
      <c r="U34" s="34">
        <v>-0.79</v>
      </c>
      <c r="V34" s="34">
        <v>3535.81</v>
      </c>
      <c r="X34" s="58" t="s">
        <v>55</v>
      </c>
      <c r="Y34" s="58"/>
      <c r="Z34" s="58"/>
    </row>
    <row r="35" spans="1:26" ht="16.8" x14ac:dyDescent="0.3">
      <c r="A35" s="20">
        <v>3.4</v>
      </c>
      <c r="B35" s="20">
        <v>74</v>
      </c>
      <c r="C35" s="26">
        <v>40.86</v>
      </c>
      <c r="D35" s="20">
        <v>33.14</v>
      </c>
      <c r="E35" s="20">
        <v>-0.4</v>
      </c>
      <c r="F35" s="20">
        <v>2896.49</v>
      </c>
      <c r="H35" s="58" cm="1">
        <f t="array" ref="H35">SUMPRODUCT(A2:A603 * ABS(D2:D603) * 0.1)</f>
        <v>2187.3201000000004</v>
      </c>
      <c r="I35" s="58"/>
      <c r="J35" s="58"/>
      <c r="Q35" s="32">
        <v>3.4</v>
      </c>
      <c r="R35" s="32">
        <v>53.23</v>
      </c>
      <c r="S35" s="34">
        <v>74</v>
      </c>
      <c r="T35" s="34">
        <v>20.77</v>
      </c>
      <c r="U35" s="34">
        <v>-0.65</v>
      </c>
      <c r="V35" s="32">
        <v>3583.56</v>
      </c>
      <c r="X35" s="58" cm="1">
        <f t="array" ref="X35">SUMPRODUCT(Q2:Q603 * ABS(T2:T603) * 0.1)</f>
        <v>840.65120000000036</v>
      </c>
      <c r="Y35" s="58"/>
      <c r="Z35" s="58"/>
    </row>
    <row r="36" spans="1:26" ht="16.8" x14ac:dyDescent="0.3">
      <c r="A36" s="20">
        <v>3.5</v>
      </c>
      <c r="B36" s="20">
        <v>74</v>
      </c>
      <c r="C36" s="26">
        <v>41.27</v>
      </c>
      <c r="D36" s="20">
        <v>32.729999999999997</v>
      </c>
      <c r="E36" s="20">
        <v>-0.4</v>
      </c>
      <c r="F36" s="26">
        <v>2885.65</v>
      </c>
      <c r="Q36" s="32">
        <v>3.5</v>
      </c>
      <c r="R36" s="32">
        <v>53.87</v>
      </c>
      <c r="S36" s="34">
        <v>74</v>
      </c>
      <c r="T36" s="32">
        <v>20.13</v>
      </c>
      <c r="U36" s="34">
        <v>-0.64</v>
      </c>
      <c r="V36" s="34">
        <v>3535.11</v>
      </c>
    </row>
    <row r="37" spans="1:26" ht="16.8" x14ac:dyDescent="0.3">
      <c r="A37" s="20">
        <v>3.6</v>
      </c>
      <c r="B37" s="20">
        <v>74</v>
      </c>
      <c r="C37" s="20">
        <v>41.69</v>
      </c>
      <c r="D37" s="20">
        <v>32.31</v>
      </c>
      <c r="E37" s="20">
        <v>-0.42</v>
      </c>
      <c r="F37" s="26">
        <v>2840.26</v>
      </c>
      <c r="Q37" s="32">
        <v>3.6</v>
      </c>
      <c r="R37" s="32">
        <v>54.47</v>
      </c>
      <c r="S37" s="34">
        <v>74</v>
      </c>
      <c r="T37" s="34">
        <v>19.53</v>
      </c>
      <c r="U37" s="34">
        <v>-0.6</v>
      </c>
      <c r="V37" s="32">
        <v>3503.8</v>
      </c>
    </row>
    <row r="38" spans="1:26" ht="16.8" x14ac:dyDescent="0.3">
      <c r="A38" s="20">
        <v>3.7</v>
      </c>
      <c r="B38" s="20">
        <v>74</v>
      </c>
      <c r="C38" s="26">
        <v>42.05</v>
      </c>
      <c r="D38" s="20">
        <v>31.95</v>
      </c>
      <c r="E38" s="20">
        <v>-0.37</v>
      </c>
      <c r="F38" s="20">
        <v>2976.75</v>
      </c>
      <c r="Q38" s="32">
        <v>3.7</v>
      </c>
      <c r="R38" s="32">
        <v>55.08</v>
      </c>
      <c r="S38" s="34">
        <v>74</v>
      </c>
      <c r="T38" s="34">
        <v>18.920000000000002</v>
      </c>
      <c r="U38" s="34">
        <v>-0.61</v>
      </c>
      <c r="V38" s="34">
        <v>3437.08</v>
      </c>
    </row>
    <row r="39" spans="1:26" ht="16.8" x14ac:dyDescent="0.3">
      <c r="A39" s="20">
        <v>3.8</v>
      </c>
      <c r="B39" s="20">
        <v>74</v>
      </c>
      <c r="C39" s="26">
        <v>42.5</v>
      </c>
      <c r="D39" s="20">
        <v>31.5</v>
      </c>
      <c r="E39" s="20">
        <v>-0.45</v>
      </c>
      <c r="F39" s="26">
        <v>2752.24</v>
      </c>
      <c r="Q39" s="32">
        <v>3.8</v>
      </c>
      <c r="R39" s="32">
        <v>55.7</v>
      </c>
      <c r="S39" s="34">
        <v>74</v>
      </c>
      <c r="T39" s="34">
        <v>18.3</v>
      </c>
      <c r="U39" s="32">
        <v>-0.61</v>
      </c>
      <c r="V39" s="32">
        <v>3375.31</v>
      </c>
    </row>
    <row r="40" spans="1:26" ht="16.8" x14ac:dyDescent="0.3">
      <c r="A40" s="20">
        <v>3.9</v>
      </c>
      <c r="B40" s="20">
        <v>74</v>
      </c>
      <c r="C40" s="20">
        <v>42.91</v>
      </c>
      <c r="D40" s="20">
        <v>31.09</v>
      </c>
      <c r="E40" s="20">
        <v>-0.41</v>
      </c>
      <c r="F40" s="26">
        <v>2874.61</v>
      </c>
      <c r="Q40" s="32">
        <v>3.9</v>
      </c>
      <c r="R40" s="32">
        <v>56.32</v>
      </c>
      <c r="S40" s="34">
        <v>74</v>
      </c>
      <c r="T40" s="34">
        <v>17.68</v>
      </c>
      <c r="U40" s="34">
        <v>-0.62</v>
      </c>
      <c r="V40" s="32">
        <v>3304.08</v>
      </c>
    </row>
    <row r="41" spans="1:26" ht="16.8" x14ac:dyDescent="0.3">
      <c r="A41" s="20">
        <v>4</v>
      </c>
      <c r="B41" s="20">
        <v>74</v>
      </c>
      <c r="C41" s="26">
        <v>43.3</v>
      </c>
      <c r="D41" s="20">
        <v>30.7</v>
      </c>
      <c r="E41" s="20">
        <v>-0.39</v>
      </c>
      <c r="F41" s="20">
        <v>2907.14</v>
      </c>
      <c r="Q41" s="32">
        <v>4</v>
      </c>
      <c r="R41" s="32">
        <v>56.87</v>
      </c>
      <c r="S41" s="34">
        <v>74</v>
      </c>
      <c r="T41" s="34">
        <v>17.13</v>
      </c>
      <c r="U41" s="34">
        <v>-0.55000000000000004</v>
      </c>
      <c r="V41" s="34">
        <v>3309.18</v>
      </c>
    </row>
    <row r="42" spans="1:26" ht="16.8" x14ac:dyDescent="0.3">
      <c r="A42" s="20">
        <v>4.0999999999999996</v>
      </c>
      <c r="B42" s="20">
        <v>74</v>
      </c>
      <c r="C42" s="20">
        <v>43.63</v>
      </c>
      <c r="D42" s="20">
        <v>30.37</v>
      </c>
      <c r="E42" s="20">
        <v>-0.33</v>
      </c>
      <c r="F42" s="26">
        <v>3055.19</v>
      </c>
      <c r="Q42" s="32">
        <v>4.0999999999999996</v>
      </c>
      <c r="R42" s="32">
        <v>57.47</v>
      </c>
      <c r="S42" s="34">
        <v>74</v>
      </c>
      <c r="T42" s="34">
        <v>16.53</v>
      </c>
      <c r="U42" s="34">
        <v>-0.6</v>
      </c>
      <c r="V42" s="32">
        <v>3198.92</v>
      </c>
    </row>
    <row r="43" spans="1:26" ht="16.8" x14ac:dyDescent="0.3">
      <c r="A43" s="20">
        <v>4.2</v>
      </c>
      <c r="B43" s="20">
        <v>74</v>
      </c>
      <c r="C43" s="26">
        <v>44.06</v>
      </c>
      <c r="D43" s="20">
        <v>29.94</v>
      </c>
      <c r="E43" s="20">
        <v>-0.43</v>
      </c>
      <c r="F43" s="20">
        <v>2803.98</v>
      </c>
      <c r="Q43" s="32">
        <v>4.2</v>
      </c>
      <c r="R43" s="32">
        <v>57.92</v>
      </c>
      <c r="S43" s="34">
        <v>74</v>
      </c>
      <c r="T43" s="34">
        <v>16.079999999999998</v>
      </c>
      <c r="U43" s="34">
        <v>-0.45</v>
      </c>
      <c r="V43" s="34">
        <v>3283.3</v>
      </c>
    </row>
    <row r="44" spans="1:26" ht="16.8" x14ac:dyDescent="0.3">
      <c r="A44" s="20">
        <v>4.3</v>
      </c>
      <c r="B44" s="20">
        <v>74</v>
      </c>
      <c r="C44" s="26">
        <v>44.47</v>
      </c>
      <c r="D44" s="20">
        <v>29.53</v>
      </c>
      <c r="E44" s="20">
        <v>-0.41</v>
      </c>
      <c r="F44" s="26">
        <v>2874.6</v>
      </c>
      <c r="Q44" s="32">
        <v>4.3</v>
      </c>
      <c r="R44" s="32">
        <v>58.49</v>
      </c>
      <c r="S44" s="34">
        <v>74</v>
      </c>
      <c r="T44" s="34">
        <v>15.51</v>
      </c>
      <c r="U44" s="34">
        <v>-0.56999999999999995</v>
      </c>
      <c r="V44" s="32">
        <v>3124.18</v>
      </c>
    </row>
    <row r="45" spans="1:26" ht="16.8" x14ac:dyDescent="0.3">
      <c r="A45" s="20">
        <v>4.4000000000000004</v>
      </c>
      <c r="B45" s="20">
        <v>74</v>
      </c>
      <c r="C45" s="20">
        <v>44.81</v>
      </c>
      <c r="D45" s="20">
        <v>29.19</v>
      </c>
      <c r="E45" s="20">
        <v>-0.34</v>
      </c>
      <c r="F45" s="26">
        <v>3038.73</v>
      </c>
      <c r="Q45" s="32">
        <v>4.4000000000000004</v>
      </c>
      <c r="R45" s="32">
        <v>59.02</v>
      </c>
      <c r="S45" s="34">
        <v>74</v>
      </c>
      <c r="T45" s="34">
        <v>14.98</v>
      </c>
      <c r="U45" s="34">
        <v>-0.53</v>
      </c>
      <c r="V45" s="34">
        <v>3100.73</v>
      </c>
    </row>
    <row r="46" spans="1:26" ht="16.8" x14ac:dyDescent="0.3">
      <c r="A46" s="20">
        <v>4.5</v>
      </c>
      <c r="B46" s="20">
        <v>74</v>
      </c>
      <c r="C46" s="26">
        <v>45.24</v>
      </c>
      <c r="D46" s="20">
        <v>28.76</v>
      </c>
      <c r="E46" s="20">
        <v>-0.43</v>
      </c>
      <c r="F46" s="20">
        <v>2803.98</v>
      </c>
      <c r="Q46" s="32">
        <v>4.5</v>
      </c>
      <c r="R46" s="32">
        <v>59.49</v>
      </c>
      <c r="S46" s="34">
        <v>74</v>
      </c>
      <c r="T46" s="34">
        <v>14.51</v>
      </c>
      <c r="U46" s="34">
        <v>-0.47</v>
      </c>
      <c r="V46" s="32">
        <v>3106.9</v>
      </c>
    </row>
    <row r="47" spans="1:26" ht="16.8" x14ac:dyDescent="0.3">
      <c r="A47" s="20">
        <v>4.5999999999999996</v>
      </c>
      <c r="B47" s="20">
        <v>74</v>
      </c>
      <c r="C47" s="20">
        <v>45.61</v>
      </c>
      <c r="D47" s="20">
        <v>28.39</v>
      </c>
      <c r="E47" s="20">
        <v>-0.37</v>
      </c>
      <c r="F47" s="26">
        <v>2976.75</v>
      </c>
      <c r="Q47" s="32">
        <v>4.5999999999999996</v>
      </c>
      <c r="R47" s="32">
        <v>59.95</v>
      </c>
      <c r="S47" s="34">
        <v>74</v>
      </c>
      <c r="T47" s="34">
        <v>14.05</v>
      </c>
      <c r="U47" s="34">
        <v>-0.46</v>
      </c>
      <c r="V47" s="34">
        <v>3067.88</v>
      </c>
    </row>
    <row r="48" spans="1:26" ht="16.8" x14ac:dyDescent="0.3">
      <c r="A48" s="20">
        <v>4.7</v>
      </c>
      <c r="B48" s="20">
        <v>74</v>
      </c>
      <c r="C48" s="26">
        <v>45.99</v>
      </c>
      <c r="D48" s="20">
        <v>28.01</v>
      </c>
      <c r="E48" s="20">
        <v>-0.39</v>
      </c>
      <c r="F48" s="26">
        <v>2927.92</v>
      </c>
      <c r="Q48" s="32">
        <v>4.7</v>
      </c>
      <c r="R48" s="32">
        <v>60.43</v>
      </c>
      <c r="S48" s="34">
        <v>74</v>
      </c>
      <c r="T48" s="34">
        <v>13.57</v>
      </c>
      <c r="U48" s="32">
        <v>-0.48</v>
      </c>
      <c r="V48" s="32">
        <v>3005.34</v>
      </c>
    </row>
    <row r="49" spans="1:22" ht="16.8" x14ac:dyDescent="0.3">
      <c r="A49" s="20">
        <v>4.8</v>
      </c>
      <c r="B49" s="20">
        <v>74</v>
      </c>
      <c r="C49" s="26">
        <v>46.38</v>
      </c>
      <c r="D49" s="20">
        <v>27.62</v>
      </c>
      <c r="E49" s="20">
        <v>-0.39</v>
      </c>
      <c r="F49" s="20">
        <v>2917.58</v>
      </c>
      <c r="Q49" s="32">
        <v>4.8</v>
      </c>
      <c r="R49" s="32">
        <v>60.9</v>
      </c>
      <c r="S49" s="34">
        <v>74</v>
      </c>
      <c r="T49" s="34">
        <v>13.1</v>
      </c>
      <c r="U49" s="34">
        <v>-0.48</v>
      </c>
      <c r="V49" s="32">
        <v>2954.62</v>
      </c>
    </row>
    <row r="50" spans="1:22" ht="16.8" x14ac:dyDescent="0.3">
      <c r="A50" s="20">
        <v>4.9000000000000004</v>
      </c>
      <c r="B50" s="20">
        <v>74</v>
      </c>
      <c r="C50" s="20">
        <v>46.77</v>
      </c>
      <c r="D50" s="20">
        <v>27.23</v>
      </c>
      <c r="E50" s="20">
        <v>-0.38</v>
      </c>
      <c r="F50" s="26">
        <v>2938.01</v>
      </c>
      <c r="Q50" s="32">
        <v>4.9000000000000004</v>
      </c>
      <c r="R50" s="32">
        <v>61.34</v>
      </c>
      <c r="S50" s="34">
        <v>74</v>
      </c>
      <c r="T50" s="34">
        <v>12.66</v>
      </c>
      <c r="U50" s="34">
        <v>-0.44</v>
      </c>
      <c r="V50" s="34">
        <v>2942.35</v>
      </c>
    </row>
    <row r="51" spans="1:22" ht="16.8" x14ac:dyDescent="0.3">
      <c r="A51" s="20">
        <v>5</v>
      </c>
      <c r="B51" s="20">
        <v>74</v>
      </c>
      <c r="C51" s="26">
        <v>47.12</v>
      </c>
      <c r="D51" s="20">
        <v>26.88</v>
      </c>
      <c r="E51" s="20">
        <v>-0.35</v>
      </c>
      <c r="F51" s="20">
        <v>3013.04</v>
      </c>
      <c r="Q51" s="32">
        <v>5</v>
      </c>
      <c r="R51" s="32">
        <v>61.72</v>
      </c>
      <c r="S51" s="34">
        <v>74</v>
      </c>
      <c r="T51" s="34">
        <v>12.28</v>
      </c>
      <c r="U51" s="34">
        <v>-0.38</v>
      </c>
      <c r="V51" s="32">
        <v>2952.03</v>
      </c>
    </row>
    <row r="52" spans="1:22" ht="16.8" x14ac:dyDescent="0.3">
      <c r="A52" s="20">
        <v>5.0999999999999996</v>
      </c>
      <c r="B52" s="20">
        <v>74</v>
      </c>
      <c r="C52" s="20">
        <v>47.49</v>
      </c>
      <c r="D52" s="20">
        <v>26.51</v>
      </c>
      <c r="E52" s="20">
        <v>-0.37</v>
      </c>
      <c r="F52" s="26">
        <v>2957.72</v>
      </c>
      <c r="Q52" s="32">
        <v>5.0999999999999996</v>
      </c>
      <c r="R52" s="32">
        <v>62.15</v>
      </c>
      <c r="S52" s="34">
        <v>74</v>
      </c>
      <c r="T52" s="34">
        <v>11.85</v>
      </c>
      <c r="U52" s="34">
        <v>-0.44</v>
      </c>
      <c r="V52" s="34">
        <v>2859.8</v>
      </c>
    </row>
    <row r="53" spans="1:22" ht="16.8" x14ac:dyDescent="0.3">
      <c r="A53" s="20">
        <v>5.2</v>
      </c>
      <c r="B53" s="20">
        <v>74</v>
      </c>
      <c r="C53" s="26">
        <v>47.94</v>
      </c>
      <c r="D53" s="20">
        <v>26.06</v>
      </c>
      <c r="E53" s="20">
        <v>-0.45</v>
      </c>
      <c r="F53" s="26">
        <v>2738.62</v>
      </c>
      <c r="Q53" s="32">
        <v>5.2</v>
      </c>
      <c r="R53" s="32">
        <v>62.55</v>
      </c>
      <c r="S53" s="34">
        <v>74</v>
      </c>
      <c r="T53" s="34">
        <v>11.45</v>
      </c>
      <c r="U53" s="34">
        <v>-0.39</v>
      </c>
      <c r="V53" s="32">
        <v>2851.58</v>
      </c>
    </row>
    <row r="54" spans="1:22" ht="16.8" x14ac:dyDescent="0.3">
      <c r="A54" s="20">
        <v>5.3</v>
      </c>
      <c r="B54" s="20">
        <v>74</v>
      </c>
      <c r="C54" s="26">
        <v>48.26</v>
      </c>
      <c r="D54" s="20">
        <v>25.74</v>
      </c>
      <c r="E54" s="20">
        <v>-0.31</v>
      </c>
      <c r="F54" s="20">
        <v>3086.61</v>
      </c>
      <c r="Q54" s="32">
        <v>5.3</v>
      </c>
      <c r="R54" s="32">
        <v>62.94</v>
      </c>
      <c r="S54" s="34">
        <v>74</v>
      </c>
      <c r="T54" s="34">
        <v>11.06</v>
      </c>
      <c r="U54" s="34">
        <v>-0.39</v>
      </c>
      <c r="V54" s="34">
        <v>2809.9</v>
      </c>
    </row>
    <row r="55" spans="1:22" ht="16.8" x14ac:dyDescent="0.3">
      <c r="A55" s="20">
        <v>5.4</v>
      </c>
      <c r="B55" s="20">
        <v>74</v>
      </c>
      <c r="C55" s="20">
        <v>48.67</v>
      </c>
      <c r="D55" s="20">
        <v>25.33</v>
      </c>
      <c r="E55" s="20">
        <v>-0.42</v>
      </c>
      <c r="F55" s="26">
        <v>2851.95</v>
      </c>
      <c r="Q55" s="32">
        <v>5.4</v>
      </c>
      <c r="R55" s="32">
        <v>63.3</v>
      </c>
      <c r="S55" s="34">
        <v>74</v>
      </c>
      <c r="T55" s="34">
        <v>10.7</v>
      </c>
      <c r="U55" s="34">
        <v>-0.35</v>
      </c>
      <c r="V55" s="32">
        <v>2806.89</v>
      </c>
    </row>
    <row r="56" spans="1:22" ht="16.8" x14ac:dyDescent="0.3">
      <c r="A56" s="20">
        <v>5.5</v>
      </c>
      <c r="B56" s="20">
        <v>74</v>
      </c>
      <c r="C56" s="26">
        <v>49.04</v>
      </c>
      <c r="D56" s="20">
        <v>24.96</v>
      </c>
      <c r="E56" s="20">
        <v>-0.37</v>
      </c>
      <c r="F56" s="26">
        <v>2967.3</v>
      </c>
      <c r="Q56" s="32">
        <v>5.5</v>
      </c>
      <c r="R56" s="32">
        <v>63.7</v>
      </c>
      <c r="S56" s="34">
        <v>74</v>
      </c>
      <c r="T56" s="34">
        <v>10.3</v>
      </c>
      <c r="U56" s="34">
        <v>-0.4</v>
      </c>
      <c r="V56" s="34">
        <v>2722.93</v>
      </c>
    </row>
    <row r="57" spans="1:22" ht="16.8" x14ac:dyDescent="0.3">
      <c r="A57" s="20">
        <v>5.6</v>
      </c>
      <c r="B57" s="20">
        <v>74</v>
      </c>
      <c r="C57" s="20">
        <v>49.37</v>
      </c>
      <c r="D57" s="20">
        <v>24.63</v>
      </c>
      <c r="E57" s="20">
        <v>-0.32</v>
      </c>
      <c r="F57" s="20">
        <v>3071.15</v>
      </c>
      <c r="Q57" s="32">
        <v>5.6</v>
      </c>
      <c r="R57" s="32">
        <v>64.099999999999994</v>
      </c>
      <c r="S57" s="34">
        <v>74</v>
      </c>
      <c r="T57" s="34">
        <v>9.9</v>
      </c>
      <c r="U57" s="34">
        <v>-0.4</v>
      </c>
      <c r="V57" s="32">
        <v>2676.94</v>
      </c>
    </row>
    <row r="58" spans="1:22" ht="16.8" x14ac:dyDescent="0.3">
      <c r="A58" s="20">
        <v>5.7</v>
      </c>
      <c r="B58" s="20">
        <v>74</v>
      </c>
      <c r="C58" s="26">
        <v>49.75</v>
      </c>
      <c r="D58" s="20">
        <v>24.25</v>
      </c>
      <c r="E58" s="20">
        <v>-0.38</v>
      </c>
      <c r="F58" s="26">
        <v>2947.95</v>
      </c>
      <c r="Q58" s="32">
        <v>5.7</v>
      </c>
      <c r="R58" s="32">
        <v>64.349999999999994</v>
      </c>
      <c r="S58" s="34">
        <v>74</v>
      </c>
      <c r="T58" s="34">
        <v>9.65</v>
      </c>
      <c r="U58" s="34">
        <v>-0.25</v>
      </c>
      <c r="V58" s="32">
        <v>2780.61</v>
      </c>
    </row>
    <row r="59" spans="1:22" ht="16.8" x14ac:dyDescent="0.3">
      <c r="A59" s="20">
        <v>5.8</v>
      </c>
      <c r="B59" s="20">
        <v>74</v>
      </c>
      <c r="C59" s="26">
        <v>50.1</v>
      </c>
      <c r="D59" s="20">
        <v>23.9</v>
      </c>
      <c r="E59" s="20">
        <v>-0.35</v>
      </c>
      <c r="F59" s="26">
        <v>3004.2</v>
      </c>
      <c r="Q59" s="32">
        <v>5.8</v>
      </c>
      <c r="R59" s="32">
        <v>64.64</v>
      </c>
      <c r="S59" s="34">
        <v>74</v>
      </c>
      <c r="T59" s="32">
        <v>9.36</v>
      </c>
      <c r="U59" s="32">
        <v>-0.28999999999999998</v>
      </c>
      <c r="V59" s="34">
        <v>2720.59</v>
      </c>
    </row>
    <row r="60" spans="1:22" ht="16.8" x14ac:dyDescent="0.3">
      <c r="A60" s="20">
        <v>5.9</v>
      </c>
      <c r="B60" s="20">
        <v>74</v>
      </c>
      <c r="C60" s="20">
        <v>50.46</v>
      </c>
      <c r="D60" s="20">
        <v>23.54</v>
      </c>
      <c r="E60" s="20">
        <v>-0.36</v>
      </c>
      <c r="F60" s="20">
        <v>2986.06</v>
      </c>
      <c r="Q60" s="32">
        <v>5.9</v>
      </c>
      <c r="R60" s="32">
        <v>65.069999999999993</v>
      </c>
      <c r="S60" s="34">
        <v>74</v>
      </c>
      <c r="T60" s="34">
        <v>8.93</v>
      </c>
      <c r="U60" s="34">
        <v>-0.43</v>
      </c>
      <c r="V60" s="32">
        <v>2557.52</v>
      </c>
    </row>
    <row r="61" spans="1:22" ht="16.8" x14ac:dyDescent="0.3">
      <c r="A61" s="20">
        <v>6</v>
      </c>
      <c r="B61" s="20">
        <v>74</v>
      </c>
      <c r="C61" s="26">
        <v>50.75</v>
      </c>
      <c r="D61" s="20">
        <v>23.25</v>
      </c>
      <c r="E61" s="20">
        <v>-0.28999999999999998</v>
      </c>
      <c r="F61" s="26">
        <v>3134.05</v>
      </c>
      <c r="Q61" s="32">
        <v>6</v>
      </c>
      <c r="R61" s="32">
        <v>65.3</v>
      </c>
      <c r="S61" s="34">
        <v>74</v>
      </c>
      <c r="T61" s="32">
        <v>8.6999999999999993</v>
      </c>
      <c r="U61" s="32">
        <v>-0.23</v>
      </c>
      <c r="V61" s="34">
        <v>2694.13</v>
      </c>
    </row>
    <row r="62" spans="1:22" ht="16.8" x14ac:dyDescent="0.3">
      <c r="A62" s="20">
        <v>6.1</v>
      </c>
      <c r="B62" s="20">
        <v>74</v>
      </c>
      <c r="C62" s="20">
        <v>51.15</v>
      </c>
      <c r="D62" s="20">
        <v>22.85</v>
      </c>
      <c r="E62" s="20">
        <v>-0.4</v>
      </c>
      <c r="F62" s="20">
        <v>2896.46</v>
      </c>
      <c r="Q62" s="32">
        <v>6.1</v>
      </c>
      <c r="R62" s="32">
        <v>65.58</v>
      </c>
      <c r="S62" s="34">
        <v>74</v>
      </c>
      <c r="T62" s="34">
        <v>8.42</v>
      </c>
      <c r="U62" s="34">
        <v>-0.27</v>
      </c>
      <c r="V62" s="32">
        <v>2634.61</v>
      </c>
    </row>
    <row r="63" spans="1:22" ht="16.8" x14ac:dyDescent="0.3">
      <c r="A63" s="20">
        <v>6.2</v>
      </c>
      <c r="B63" s="20">
        <v>74</v>
      </c>
      <c r="C63" s="26">
        <v>51.45</v>
      </c>
      <c r="D63" s="20">
        <v>22.55</v>
      </c>
      <c r="E63" s="20">
        <v>-0.3</v>
      </c>
      <c r="F63" s="26">
        <v>3114.81</v>
      </c>
      <c r="Q63" s="32">
        <v>6.2</v>
      </c>
      <c r="R63" s="32">
        <v>65.92</v>
      </c>
      <c r="S63" s="34">
        <v>74</v>
      </c>
      <c r="T63" s="34">
        <v>8.08</v>
      </c>
      <c r="U63" s="34">
        <v>-0.35</v>
      </c>
      <c r="V63" s="34">
        <v>2535.5100000000002</v>
      </c>
    </row>
    <row r="64" spans="1:22" ht="16.8" x14ac:dyDescent="0.3">
      <c r="A64" s="20">
        <v>6.3</v>
      </c>
      <c r="B64" s="20">
        <v>74</v>
      </c>
      <c r="C64" s="26">
        <v>51.87</v>
      </c>
      <c r="D64" s="20">
        <v>22.13</v>
      </c>
      <c r="E64" s="20">
        <v>-0.43</v>
      </c>
      <c r="F64" s="26">
        <v>2816.31</v>
      </c>
      <c r="Q64" s="32">
        <v>6.3</v>
      </c>
      <c r="R64" s="32">
        <v>66.23</v>
      </c>
      <c r="S64" s="34">
        <v>74</v>
      </c>
      <c r="T64" s="34">
        <v>7.77</v>
      </c>
      <c r="U64" s="34">
        <v>-0.31</v>
      </c>
      <c r="V64" s="32">
        <v>2533.64</v>
      </c>
    </row>
    <row r="65" spans="1:22" ht="16.8" x14ac:dyDescent="0.3">
      <c r="A65" s="20">
        <v>6.4</v>
      </c>
      <c r="B65" s="20">
        <v>74</v>
      </c>
      <c r="C65" s="20">
        <v>52.18</v>
      </c>
      <c r="D65" s="20">
        <v>21.82</v>
      </c>
      <c r="E65" s="20">
        <v>-0.3</v>
      </c>
      <c r="F65" s="20">
        <v>3108.18</v>
      </c>
      <c r="Q65" s="32">
        <v>6.4</v>
      </c>
      <c r="R65" s="32">
        <v>66.5</v>
      </c>
      <c r="S65" s="34">
        <v>74</v>
      </c>
      <c r="T65" s="34">
        <v>7.5</v>
      </c>
      <c r="U65" s="34">
        <v>-0.27</v>
      </c>
      <c r="V65" s="34">
        <v>2538.21</v>
      </c>
    </row>
    <row r="66" spans="1:22" ht="16.8" x14ac:dyDescent="0.3">
      <c r="A66" s="20">
        <v>6.5</v>
      </c>
      <c r="B66" s="20">
        <v>74</v>
      </c>
      <c r="C66" s="26">
        <v>52.54</v>
      </c>
      <c r="D66" s="20">
        <v>21.46</v>
      </c>
      <c r="E66" s="20">
        <v>-0.36</v>
      </c>
      <c r="F66" s="26">
        <v>2986.06</v>
      </c>
      <c r="Q66" s="32">
        <v>6.5</v>
      </c>
      <c r="R66" s="32">
        <v>66.84</v>
      </c>
      <c r="S66" s="34">
        <v>74</v>
      </c>
      <c r="T66" s="32">
        <v>7.16</v>
      </c>
      <c r="U66" s="34">
        <v>-0.35</v>
      </c>
      <c r="V66" s="32">
        <v>2430.3200000000002</v>
      </c>
    </row>
    <row r="67" spans="1:22" ht="16.8" x14ac:dyDescent="0.3">
      <c r="A67" s="20">
        <v>6.6</v>
      </c>
      <c r="B67" s="20">
        <v>74</v>
      </c>
      <c r="C67" s="26">
        <v>52.86</v>
      </c>
      <c r="D67" s="20">
        <v>21.14</v>
      </c>
      <c r="E67" s="20">
        <v>-0.32</v>
      </c>
      <c r="F67" s="26">
        <v>3078.99</v>
      </c>
      <c r="Q67" s="32">
        <v>6.6</v>
      </c>
      <c r="R67" s="32">
        <v>66.92</v>
      </c>
      <c r="S67" s="34">
        <v>74</v>
      </c>
      <c r="T67" s="34">
        <v>7.08</v>
      </c>
      <c r="U67" s="34">
        <v>-0.08</v>
      </c>
      <c r="V67" s="34">
        <v>2648.19</v>
      </c>
    </row>
    <row r="68" spans="1:22" ht="16.8" x14ac:dyDescent="0.3">
      <c r="A68" s="20">
        <v>6.7</v>
      </c>
      <c r="B68" s="20">
        <v>74</v>
      </c>
      <c r="C68" s="20">
        <v>53.23</v>
      </c>
      <c r="D68" s="20">
        <v>20.77</v>
      </c>
      <c r="E68" s="20">
        <v>-0.37</v>
      </c>
      <c r="F68" s="20">
        <v>2967.35</v>
      </c>
      <c r="Q68" s="32">
        <v>6.7</v>
      </c>
      <c r="R68" s="32">
        <v>67.239999999999995</v>
      </c>
      <c r="S68" s="34">
        <v>74</v>
      </c>
      <c r="T68" s="32">
        <v>6.76</v>
      </c>
      <c r="U68" s="34">
        <v>-0.32</v>
      </c>
      <c r="V68" s="32">
        <v>2413.64</v>
      </c>
    </row>
    <row r="69" spans="1:22" ht="16.8" x14ac:dyDescent="0.3">
      <c r="A69" s="20">
        <v>6.8</v>
      </c>
      <c r="B69" s="20">
        <v>74</v>
      </c>
      <c r="C69" s="26">
        <v>53.54</v>
      </c>
      <c r="D69" s="20">
        <v>20.46</v>
      </c>
      <c r="E69" s="20">
        <v>-0.31</v>
      </c>
      <c r="F69" s="26">
        <v>3094.18</v>
      </c>
      <c r="Q69" s="32">
        <v>6.8</v>
      </c>
      <c r="R69" s="32">
        <v>67.489999999999995</v>
      </c>
      <c r="S69" s="34">
        <v>74</v>
      </c>
      <c r="T69" s="34">
        <v>6.51</v>
      </c>
      <c r="U69" s="34">
        <v>-0.24</v>
      </c>
      <c r="V69" s="34">
        <v>2452.4299999999998</v>
      </c>
    </row>
    <row r="70" spans="1:22" ht="16.8" x14ac:dyDescent="0.3">
      <c r="A70" s="20">
        <v>6.9</v>
      </c>
      <c r="B70" s="20">
        <v>74</v>
      </c>
      <c r="C70" s="26">
        <v>53.92</v>
      </c>
      <c r="D70" s="20">
        <v>20.079999999999998</v>
      </c>
      <c r="E70" s="20">
        <v>-0.38</v>
      </c>
      <c r="F70" s="26">
        <v>2947.98</v>
      </c>
      <c r="Q70" s="32">
        <v>6.9</v>
      </c>
      <c r="R70" s="32">
        <v>67.739999999999995</v>
      </c>
      <c r="S70" s="34">
        <v>74</v>
      </c>
      <c r="T70" s="34">
        <v>6.26</v>
      </c>
      <c r="U70" s="34">
        <v>-0.25</v>
      </c>
      <c r="V70" s="32">
        <v>2417.7399999999998</v>
      </c>
    </row>
    <row r="71" spans="1:22" ht="16.8" x14ac:dyDescent="0.3">
      <c r="A71" s="20">
        <v>7</v>
      </c>
      <c r="B71" s="20">
        <v>74</v>
      </c>
      <c r="C71" s="20">
        <v>54.23</v>
      </c>
      <c r="D71" s="20">
        <v>19.77</v>
      </c>
      <c r="E71" s="20">
        <v>-0.31</v>
      </c>
      <c r="F71" s="20">
        <v>3086.62</v>
      </c>
      <c r="Q71" s="32">
        <v>7</v>
      </c>
      <c r="R71" s="32">
        <v>67.91</v>
      </c>
      <c r="S71" s="34">
        <v>74</v>
      </c>
      <c r="T71" s="34">
        <v>6.09</v>
      </c>
      <c r="U71" s="34">
        <v>-0.17</v>
      </c>
      <c r="V71" s="32">
        <v>2468.2199999999998</v>
      </c>
    </row>
    <row r="72" spans="1:22" ht="16.8" x14ac:dyDescent="0.3">
      <c r="A72" s="20">
        <v>7.1</v>
      </c>
      <c r="B72" s="20">
        <v>74</v>
      </c>
      <c r="C72" s="26">
        <v>54.56</v>
      </c>
      <c r="D72" s="20">
        <v>19.440000000000001</v>
      </c>
      <c r="E72" s="20">
        <v>-0.33</v>
      </c>
      <c r="F72" s="26">
        <v>3047.03</v>
      </c>
      <c r="Q72" s="32">
        <v>7.1</v>
      </c>
      <c r="R72" s="32">
        <v>68.180000000000007</v>
      </c>
      <c r="S72" s="34">
        <v>74</v>
      </c>
      <c r="T72" s="34">
        <v>5.82</v>
      </c>
      <c r="U72" s="34">
        <v>-0.27</v>
      </c>
      <c r="V72" s="34">
        <v>2350.23</v>
      </c>
    </row>
    <row r="73" spans="1:22" ht="16.8" x14ac:dyDescent="0.3">
      <c r="A73" s="20">
        <v>7.2</v>
      </c>
      <c r="B73" s="20">
        <v>74</v>
      </c>
      <c r="C73" s="26">
        <v>54.56</v>
      </c>
      <c r="D73" s="20">
        <v>19.440000000000001</v>
      </c>
      <c r="E73" s="20">
        <v>-0.36</v>
      </c>
      <c r="F73" s="20">
        <v>2995.24</v>
      </c>
      <c r="Q73" s="32">
        <v>7.2</v>
      </c>
      <c r="R73" s="32">
        <v>68.400000000000006</v>
      </c>
      <c r="S73" s="34">
        <v>74</v>
      </c>
      <c r="T73" s="34">
        <v>5.6</v>
      </c>
      <c r="U73" s="34">
        <v>-0.22</v>
      </c>
      <c r="V73" s="32">
        <v>2371.5100000000002</v>
      </c>
    </row>
    <row r="74" spans="1:22" ht="16.8" x14ac:dyDescent="0.3">
      <c r="A74" s="20">
        <v>7.3</v>
      </c>
      <c r="B74" s="20">
        <v>74</v>
      </c>
      <c r="C74" s="26">
        <v>55.23</v>
      </c>
      <c r="D74" s="20">
        <v>18.77</v>
      </c>
      <c r="E74" s="20">
        <v>-0.3</v>
      </c>
      <c r="F74" s="26">
        <v>3108.14</v>
      </c>
      <c r="Q74" s="32">
        <v>7.3</v>
      </c>
      <c r="R74" s="32">
        <v>68.59</v>
      </c>
      <c r="S74" s="34">
        <v>74</v>
      </c>
      <c r="T74" s="34">
        <v>5.41</v>
      </c>
      <c r="U74" s="34">
        <v>-0.19</v>
      </c>
      <c r="V74" s="34">
        <v>2370.5700000000002</v>
      </c>
    </row>
    <row r="75" spans="1:22" ht="16.8" x14ac:dyDescent="0.3">
      <c r="A75" s="20">
        <v>7.4</v>
      </c>
      <c r="B75" s="20">
        <v>74</v>
      </c>
      <c r="C75" s="26">
        <v>55.62</v>
      </c>
      <c r="D75" s="20">
        <v>18.38</v>
      </c>
      <c r="E75" s="20">
        <v>-0.4</v>
      </c>
      <c r="F75" s="26">
        <v>2896.52</v>
      </c>
      <c r="Q75" s="32">
        <v>7.4</v>
      </c>
      <c r="R75" s="32">
        <v>68.78</v>
      </c>
      <c r="S75" s="34">
        <v>74</v>
      </c>
      <c r="T75" s="32">
        <v>5.22</v>
      </c>
      <c r="U75" s="34">
        <v>-0.19</v>
      </c>
      <c r="V75" s="32">
        <v>2357.58</v>
      </c>
    </row>
    <row r="76" spans="1:22" ht="16.8" x14ac:dyDescent="0.3">
      <c r="A76" s="20">
        <v>7.5</v>
      </c>
      <c r="B76" s="20">
        <v>74</v>
      </c>
      <c r="C76" s="20">
        <v>55.92</v>
      </c>
      <c r="D76" s="20">
        <v>18.079999999999998</v>
      </c>
      <c r="E76" s="20">
        <v>-0.28999999999999998</v>
      </c>
      <c r="F76" s="20">
        <v>3121.3</v>
      </c>
      <c r="Q76" s="32">
        <v>7.5</v>
      </c>
      <c r="R76" s="32">
        <v>68.97</v>
      </c>
      <c r="S76" s="34">
        <v>74</v>
      </c>
      <c r="T76" s="34">
        <v>5.03</v>
      </c>
      <c r="U76" s="34">
        <v>-0.19</v>
      </c>
      <c r="V76" s="34">
        <v>2329.71</v>
      </c>
    </row>
    <row r="77" spans="1:22" ht="16.8" x14ac:dyDescent="0.3">
      <c r="A77" s="20">
        <v>7.6</v>
      </c>
      <c r="B77" s="20">
        <v>74</v>
      </c>
      <c r="C77" s="26">
        <v>56.22</v>
      </c>
      <c r="D77" s="20">
        <v>17.78</v>
      </c>
      <c r="E77" s="20">
        <v>-0.3</v>
      </c>
      <c r="F77" s="26">
        <v>3114.77</v>
      </c>
      <c r="Q77" s="32">
        <v>7.6</v>
      </c>
      <c r="R77" s="32">
        <v>69.150000000000006</v>
      </c>
      <c r="S77" s="34">
        <v>74</v>
      </c>
      <c r="T77" s="34">
        <v>4.8499999999999996</v>
      </c>
      <c r="U77" s="34">
        <v>-0.19</v>
      </c>
      <c r="V77" s="32">
        <v>2315.79</v>
      </c>
    </row>
    <row r="78" spans="1:22" ht="16.8" x14ac:dyDescent="0.3">
      <c r="A78" s="20">
        <v>7.7</v>
      </c>
      <c r="B78" s="20">
        <v>74</v>
      </c>
      <c r="C78" s="20">
        <v>56.56</v>
      </c>
      <c r="D78" s="20">
        <v>17.440000000000001</v>
      </c>
      <c r="E78" s="20">
        <v>-0.35</v>
      </c>
      <c r="F78" s="26">
        <v>3021.79</v>
      </c>
      <c r="Q78" s="32">
        <v>7.7</v>
      </c>
      <c r="R78" s="32">
        <v>69.349999999999994</v>
      </c>
      <c r="S78" s="34">
        <v>74</v>
      </c>
      <c r="T78" s="34">
        <v>4.6500000000000004</v>
      </c>
      <c r="U78" s="34">
        <v>-0.19</v>
      </c>
      <c r="V78" s="34">
        <v>2286.9699999999998</v>
      </c>
    </row>
    <row r="79" spans="1:22" ht="16.8" x14ac:dyDescent="0.3">
      <c r="A79" s="20">
        <v>7.8</v>
      </c>
      <c r="B79" s="20">
        <v>74</v>
      </c>
      <c r="C79" s="26">
        <v>56.89</v>
      </c>
      <c r="D79" s="20">
        <v>17.11</v>
      </c>
      <c r="E79" s="20">
        <v>-0.33</v>
      </c>
      <c r="F79" s="20">
        <v>3055.21</v>
      </c>
      <c r="Q79" s="32">
        <v>7.8</v>
      </c>
      <c r="R79" s="32">
        <v>69.55</v>
      </c>
      <c r="S79" s="34">
        <v>74</v>
      </c>
      <c r="T79" s="32">
        <v>4.45</v>
      </c>
      <c r="U79" s="34">
        <v>-0.2</v>
      </c>
      <c r="V79" s="32">
        <v>2256.23</v>
      </c>
    </row>
    <row r="80" spans="1:22" ht="16.8" x14ac:dyDescent="0.3">
      <c r="A80" s="20">
        <v>7.9</v>
      </c>
      <c r="B80" s="20">
        <v>74</v>
      </c>
      <c r="C80" s="26">
        <v>57.15</v>
      </c>
      <c r="D80" s="20">
        <v>16.850000000000001</v>
      </c>
      <c r="E80" s="20">
        <v>-0.25</v>
      </c>
      <c r="F80" s="26">
        <v>3181.39</v>
      </c>
      <c r="Q80" s="32">
        <v>7.9</v>
      </c>
      <c r="R80" s="32">
        <v>69.7</v>
      </c>
      <c r="S80" s="34">
        <v>74</v>
      </c>
      <c r="T80" s="34">
        <v>4.3</v>
      </c>
      <c r="U80" s="34">
        <v>-0.15</v>
      </c>
      <c r="V80" s="34">
        <v>2279.0700000000002</v>
      </c>
    </row>
    <row r="81" spans="1:22" ht="16.8" x14ac:dyDescent="0.3">
      <c r="A81" s="20">
        <v>8</v>
      </c>
      <c r="B81" s="20">
        <v>74</v>
      </c>
      <c r="C81" s="20">
        <v>57.51</v>
      </c>
      <c r="D81" s="20">
        <v>16.489999999999998</v>
      </c>
      <c r="E81" s="20">
        <v>-0.36</v>
      </c>
      <c r="F81" s="20">
        <v>2995.21</v>
      </c>
      <c r="Q81" s="32">
        <v>8</v>
      </c>
      <c r="R81" s="32">
        <v>69.84</v>
      </c>
      <c r="S81" s="34">
        <v>74</v>
      </c>
      <c r="T81" s="32">
        <v>4.16</v>
      </c>
      <c r="U81" s="34">
        <v>-0.14000000000000001</v>
      </c>
      <c r="V81" s="32">
        <v>2278.4</v>
      </c>
    </row>
    <row r="82" spans="1:22" ht="16.8" x14ac:dyDescent="0.3">
      <c r="A82" s="20">
        <v>8.1</v>
      </c>
      <c r="B82" s="20">
        <v>74</v>
      </c>
      <c r="C82" s="26">
        <v>57.82</v>
      </c>
      <c r="D82" s="20">
        <v>16.18</v>
      </c>
      <c r="E82" s="20">
        <v>-0.31</v>
      </c>
      <c r="F82" s="26">
        <v>3086.66</v>
      </c>
      <c r="Q82" s="32">
        <v>8.1</v>
      </c>
      <c r="R82" s="32">
        <v>70.010000000000005</v>
      </c>
      <c r="S82" s="34">
        <v>74</v>
      </c>
      <c r="T82" s="34">
        <v>3.99</v>
      </c>
      <c r="U82" s="34">
        <v>-0.17</v>
      </c>
      <c r="V82" s="34">
        <v>2232.6999999999998</v>
      </c>
    </row>
    <row r="83" spans="1:22" ht="16.8" x14ac:dyDescent="0.3">
      <c r="A83" s="20">
        <v>8.1999999999999993</v>
      </c>
      <c r="B83" s="20">
        <v>74</v>
      </c>
      <c r="C83" s="26">
        <v>58.13</v>
      </c>
      <c r="D83" s="20">
        <v>15.87</v>
      </c>
      <c r="E83" s="20">
        <v>-0.31</v>
      </c>
      <c r="F83" s="26">
        <v>3086.63</v>
      </c>
      <c r="Q83" s="20">
        <v>8.1999999999999993</v>
      </c>
      <c r="R83" s="20">
        <v>70.150000000000006</v>
      </c>
      <c r="S83" s="26">
        <v>74</v>
      </c>
      <c r="T83" s="20">
        <v>3.85</v>
      </c>
      <c r="U83" s="26">
        <v>-0.15</v>
      </c>
      <c r="V83" s="20">
        <v>2236.33</v>
      </c>
    </row>
    <row r="84" spans="1:22" ht="16.8" x14ac:dyDescent="0.3">
      <c r="A84" s="20">
        <v>8.3000000000000007</v>
      </c>
      <c r="B84" s="20">
        <v>74</v>
      </c>
      <c r="C84" s="20">
        <v>58.4</v>
      </c>
      <c r="D84" s="20">
        <v>15.6</v>
      </c>
      <c r="E84" s="20">
        <v>-0.27</v>
      </c>
      <c r="F84" s="20">
        <v>3158.39</v>
      </c>
      <c r="Q84" s="20">
        <v>8.3000000000000007</v>
      </c>
      <c r="R84" s="20">
        <v>70.34</v>
      </c>
      <c r="S84" s="26">
        <v>74</v>
      </c>
      <c r="T84" s="26">
        <v>3.66</v>
      </c>
      <c r="U84" s="26">
        <v>-0.19</v>
      </c>
      <c r="V84" s="20">
        <v>2180.4699999999998</v>
      </c>
    </row>
    <row r="85" spans="1:22" ht="16.8" x14ac:dyDescent="0.3">
      <c r="A85" s="20">
        <v>8.4</v>
      </c>
      <c r="B85" s="20">
        <v>74</v>
      </c>
      <c r="C85" s="26">
        <v>58.75</v>
      </c>
      <c r="D85" s="20">
        <v>15.25</v>
      </c>
      <c r="E85" s="20">
        <v>-0.35</v>
      </c>
      <c r="F85" s="26">
        <v>3021.75</v>
      </c>
      <c r="Q85" s="20">
        <v>8.4</v>
      </c>
      <c r="R85" s="20">
        <v>70.44</v>
      </c>
      <c r="S85" s="26">
        <v>74</v>
      </c>
      <c r="T85" s="26">
        <v>3.56</v>
      </c>
      <c r="U85" s="26">
        <v>-0.1</v>
      </c>
      <c r="V85" s="26">
        <v>2235.92</v>
      </c>
    </row>
    <row r="86" spans="1:22" ht="16.8" x14ac:dyDescent="0.3">
      <c r="A86" s="20">
        <v>8.5</v>
      </c>
      <c r="B86" s="20">
        <v>74</v>
      </c>
      <c r="C86" s="20">
        <v>59.05</v>
      </c>
      <c r="D86" s="20">
        <v>14.95</v>
      </c>
      <c r="E86" s="20">
        <v>-0.28999999999999998</v>
      </c>
      <c r="F86" s="26">
        <v>3115.61</v>
      </c>
      <c r="Q86" s="20">
        <v>8.5</v>
      </c>
      <c r="R86" s="20">
        <v>70.62</v>
      </c>
      <c r="S86" s="26">
        <v>74</v>
      </c>
      <c r="T86" s="26">
        <v>3.38</v>
      </c>
      <c r="U86" s="26">
        <v>-0.18</v>
      </c>
      <c r="V86" s="20">
        <v>2154.7800000000002</v>
      </c>
    </row>
    <row r="87" spans="1:22" ht="16.8" x14ac:dyDescent="0.3">
      <c r="A87" s="20">
        <v>8.6</v>
      </c>
      <c r="B87" s="20">
        <v>74</v>
      </c>
      <c r="C87" s="26">
        <v>59.33</v>
      </c>
      <c r="D87" s="20">
        <v>14.67</v>
      </c>
      <c r="E87" s="20">
        <v>-0.28000000000000003</v>
      </c>
      <c r="F87" s="20">
        <v>3113.47</v>
      </c>
      <c r="Q87" s="20">
        <v>8.6</v>
      </c>
      <c r="R87" s="20">
        <v>70.77</v>
      </c>
      <c r="S87" s="26">
        <v>74</v>
      </c>
      <c r="T87" s="26">
        <v>3.23</v>
      </c>
      <c r="U87" s="26">
        <v>-0.15</v>
      </c>
      <c r="V87" s="26">
        <v>2163.4</v>
      </c>
    </row>
    <row r="88" spans="1:22" ht="16.8" x14ac:dyDescent="0.3">
      <c r="A88" s="20">
        <v>8.6999999999999993</v>
      </c>
      <c r="B88" s="20">
        <v>74</v>
      </c>
      <c r="C88" s="26">
        <v>59.65</v>
      </c>
      <c r="D88" s="20">
        <v>14.35</v>
      </c>
      <c r="E88" s="20">
        <v>-0.32</v>
      </c>
      <c r="F88" s="26">
        <v>3071.17</v>
      </c>
      <c r="Q88" s="20">
        <v>8.6999999999999993</v>
      </c>
      <c r="R88" s="20">
        <v>70.900000000000006</v>
      </c>
      <c r="S88" s="26">
        <v>74</v>
      </c>
      <c r="T88" s="26">
        <v>3.1</v>
      </c>
      <c r="U88" s="26">
        <v>-0.13</v>
      </c>
      <c r="V88" s="20">
        <v>2161.5</v>
      </c>
    </row>
    <row r="89" spans="1:22" ht="16.8" x14ac:dyDescent="0.3">
      <c r="A89" s="20">
        <v>8.8000000000000007</v>
      </c>
      <c r="B89" s="20">
        <v>74</v>
      </c>
      <c r="C89" s="20">
        <v>59.9</v>
      </c>
      <c r="D89" s="20">
        <v>14.1</v>
      </c>
      <c r="E89" s="20">
        <v>-0.25</v>
      </c>
      <c r="F89" s="26">
        <v>3122.07</v>
      </c>
      <c r="Q89" s="20">
        <v>8.8000000000000007</v>
      </c>
      <c r="R89" s="20">
        <v>71.010000000000005</v>
      </c>
      <c r="S89" s="26">
        <v>74</v>
      </c>
      <c r="T89" s="26">
        <v>2.99</v>
      </c>
      <c r="U89" s="26">
        <v>-0.11</v>
      </c>
      <c r="V89" s="26">
        <v>2162.17</v>
      </c>
    </row>
    <row r="90" spans="1:22" ht="16.8" x14ac:dyDescent="0.3">
      <c r="A90" s="20">
        <v>8.9</v>
      </c>
      <c r="B90" s="20">
        <v>74</v>
      </c>
      <c r="C90" s="26">
        <v>60.21</v>
      </c>
      <c r="D90" s="20">
        <v>13.79</v>
      </c>
      <c r="E90" s="20">
        <v>-0.31</v>
      </c>
      <c r="F90" s="20">
        <v>3094.22</v>
      </c>
      <c r="Q90" s="20">
        <v>8.9</v>
      </c>
      <c r="R90" s="20">
        <v>71.099999999999994</v>
      </c>
      <c r="S90" s="26">
        <v>74</v>
      </c>
      <c r="T90" s="26">
        <v>2.9</v>
      </c>
      <c r="U90" s="26">
        <v>-0.09</v>
      </c>
      <c r="V90" s="20">
        <v>2173.35</v>
      </c>
    </row>
    <row r="91" spans="1:22" ht="16.8" x14ac:dyDescent="0.3">
      <c r="A91" s="20">
        <v>9</v>
      </c>
      <c r="B91" s="20">
        <v>74</v>
      </c>
      <c r="C91" s="26">
        <v>60.57</v>
      </c>
      <c r="D91" s="20">
        <v>13.43</v>
      </c>
      <c r="E91" s="20">
        <v>-0.37</v>
      </c>
      <c r="F91" s="26">
        <v>2976.78</v>
      </c>
      <c r="Q91" s="20">
        <v>9</v>
      </c>
      <c r="R91" s="20">
        <v>71.290000000000006</v>
      </c>
      <c r="S91" s="26">
        <v>74</v>
      </c>
      <c r="T91" s="26">
        <v>2.71</v>
      </c>
      <c r="U91" s="26">
        <v>-0.19</v>
      </c>
      <c r="V91" s="26">
        <v>2061.73</v>
      </c>
    </row>
    <row r="92" spans="1:22" ht="16.8" x14ac:dyDescent="0.3">
      <c r="A92" s="20">
        <v>9.1</v>
      </c>
      <c r="B92" s="20">
        <v>74</v>
      </c>
      <c r="C92" s="20">
        <v>60.84</v>
      </c>
      <c r="D92" s="20">
        <v>13.16</v>
      </c>
      <c r="E92" s="20">
        <v>-0.27</v>
      </c>
      <c r="F92" s="20">
        <v>3070.17</v>
      </c>
      <c r="Q92" s="20">
        <v>9.1</v>
      </c>
      <c r="R92" s="20">
        <v>71.36</v>
      </c>
      <c r="S92" s="26">
        <v>74</v>
      </c>
      <c r="T92" s="26">
        <v>2.64</v>
      </c>
      <c r="U92" s="26">
        <v>-7.0000000000000007E-2</v>
      </c>
      <c r="V92" s="20">
        <v>2153.04</v>
      </c>
    </row>
    <row r="93" spans="1:22" ht="16.8" x14ac:dyDescent="0.3">
      <c r="A93" s="20">
        <v>9.1999999999999993</v>
      </c>
      <c r="B93" s="20">
        <v>74</v>
      </c>
      <c r="C93" s="26">
        <v>61.18</v>
      </c>
      <c r="D93" s="20">
        <v>12.82</v>
      </c>
      <c r="E93" s="20">
        <v>-0.34</v>
      </c>
      <c r="F93" s="26">
        <v>3038.76</v>
      </c>
      <c r="Q93" s="20">
        <v>9.1999999999999993</v>
      </c>
      <c r="R93" s="20">
        <v>71.44</v>
      </c>
      <c r="S93" s="26">
        <v>74</v>
      </c>
      <c r="T93" s="26">
        <v>2.56</v>
      </c>
      <c r="U93" s="20">
        <v>-7.0000000000000007E-2</v>
      </c>
      <c r="V93" s="26">
        <v>2146.6999999999998</v>
      </c>
    </row>
    <row r="94" spans="1:22" ht="16.8" x14ac:dyDescent="0.3">
      <c r="A94" s="20">
        <v>9.3000000000000007</v>
      </c>
      <c r="B94" s="20">
        <v>74</v>
      </c>
      <c r="C94" s="20">
        <v>61.45</v>
      </c>
      <c r="D94" s="20">
        <v>12.55</v>
      </c>
      <c r="E94" s="20">
        <v>-0.27</v>
      </c>
      <c r="F94" s="26">
        <v>3020.73</v>
      </c>
      <c r="Q94" s="20">
        <v>9.3000000000000007</v>
      </c>
      <c r="R94" s="20">
        <v>71.510000000000005</v>
      </c>
      <c r="S94" s="26">
        <v>74</v>
      </c>
      <c r="T94" s="26">
        <v>2.4900000000000002</v>
      </c>
      <c r="U94" s="26">
        <v>-7.0000000000000007E-2</v>
      </c>
      <c r="V94" s="20">
        <v>2140.1999999999998</v>
      </c>
    </row>
    <row r="95" spans="1:22" ht="16.8" x14ac:dyDescent="0.3">
      <c r="A95" s="20">
        <v>9.4</v>
      </c>
      <c r="B95" s="20">
        <v>74</v>
      </c>
      <c r="C95" s="26">
        <v>61.74</v>
      </c>
      <c r="D95" s="20">
        <v>12.26</v>
      </c>
      <c r="E95" s="20">
        <v>-0.3</v>
      </c>
      <c r="F95" s="20">
        <v>3013.49</v>
      </c>
      <c r="Q95" s="20">
        <v>9.4</v>
      </c>
      <c r="R95" s="20">
        <v>71.64</v>
      </c>
      <c r="S95" s="26">
        <v>74</v>
      </c>
      <c r="T95" s="26">
        <v>2.36</v>
      </c>
      <c r="U95" s="26">
        <v>-0.14000000000000001</v>
      </c>
      <c r="V95" s="26">
        <v>2070.08</v>
      </c>
    </row>
    <row r="96" spans="1:22" ht="16.8" x14ac:dyDescent="0.3">
      <c r="A96" s="20">
        <v>9.5</v>
      </c>
      <c r="B96" s="20">
        <v>74</v>
      </c>
      <c r="C96" s="26">
        <v>61.98</v>
      </c>
      <c r="D96" s="20">
        <v>12.02</v>
      </c>
      <c r="E96" s="20">
        <v>-0.23</v>
      </c>
      <c r="F96" s="26">
        <v>2939.13</v>
      </c>
      <c r="Q96" s="20">
        <v>9.5</v>
      </c>
      <c r="R96" s="20">
        <v>71.73</v>
      </c>
      <c r="S96" s="26">
        <v>74</v>
      </c>
      <c r="T96" s="26">
        <v>2.27</v>
      </c>
      <c r="U96" s="26">
        <v>-0.08</v>
      </c>
      <c r="V96" s="20">
        <v>2107.08</v>
      </c>
    </row>
    <row r="97" spans="1:22" ht="16.8" x14ac:dyDescent="0.3">
      <c r="A97" s="20">
        <v>9.6</v>
      </c>
      <c r="B97" s="20">
        <v>74</v>
      </c>
      <c r="C97" s="20">
        <v>62.29</v>
      </c>
      <c r="D97" s="20">
        <v>11.71</v>
      </c>
      <c r="E97" s="20">
        <v>-0.31</v>
      </c>
      <c r="F97" s="26">
        <v>2949.54</v>
      </c>
      <c r="Q97" s="20">
        <v>9.6</v>
      </c>
      <c r="R97" s="20">
        <v>71.8</v>
      </c>
      <c r="S97" s="26">
        <v>74</v>
      </c>
      <c r="T97" s="26">
        <v>2.2000000000000002</v>
      </c>
      <c r="U97" s="26">
        <v>-7.0000000000000007E-2</v>
      </c>
      <c r="V97" s="26">
        <v>2106.36</v>
      </c>
    </row>
    <row r="98" spans="1:22" ht="16.8" x14ac:dyDescent="0.3">
      <c r="A98" s="20">
        <v>9.6999999999999993</v>
      </c>
      <c r="B98" s="20">
        <v>74</v>
      </c>
      <c r="C98" s="26">
        <v>62.59</v>
      </c>
      <c r="D98" s="20">
        <v>11.41</v>
      </c>
      <c r="E98" s="20">
        <v>-0.3</v>
      </c>
      <c r="F98" s="20">
        <v>2898.92</v>
      </c>
      <c r="Q98" s="20">
        <v>9.6999999999999993</v>
      </c>
      <c r="R98" s="20">
        <v>71.81</v>
      </c>
      <c r="S98" s="26">
        <v>74</v>
      </c>
      <c r="T98" s="26">
        <v>2.19</v>
      </c>
      <c r="U98" s="26">
        <v>-0.02</v>
      </c>
      <c r="V98" s="20">
        <v>2154.46</v>
      </c>
    </row>
    <row r="99" spans="1:22" ht="16.8" x14ac:dyDescent="0.3">
      <c r="A99" s="20">
        <v>9.8000000000000007</v>
      </c>
      <c r="B99" s="20">
        <v>74</v>
      </c>
      <c r="C99" s="20">
        <v>62.85</v>
      </c>
      <c r="D99" s="20">
        <v>11.15</v>
      </c>
      <c r="E99" s="20">
        <v>-0.26</v>
      </c>
      <c r="F99" s="26">
        <v>2826.5</v>
      </c>
      <c r="Q99" s="20">
        <v>9.8000000000000007</v>
      </c>
      <c r="R99" s="20">
        <v>71.97</v>
      </c>
      <c r="S99" s="26">
        <v>74</v>
      </c>
      <c r="T99" s="20">
        <v>2.0299999999999998</v>
      </c>
      <c r="U99" s="26">
        <v>-0.15</v>
      </c>
      <c r="V99" s="26">
        <v>2022.25</v>
      </c>
    </row>
    <row r="100" spans="1:22" ht="16.8" x14ac:dyDescent="0.3">
      <c r="A100" s="20">
        <v>9.9</v>
      </c>
      <c r="B100" s="20">
        <v>74</v>
      </c>
      <c r="C100" s="26">
        <v>63.07</v>
      </c>
      <c r="D100" s="20">
        <v>10.93</v>
      </c>
      <c r="E100" s="20">
        <v>-0.23</v>
      </c>
      <c r="F100" s="20">
        <v>2769.8</v>
      </c>
      <c r="Q100" s="20">
        <v>9.9</v>
      </c>
      <c r="R100" s="20">
        <v>72.06</v>
      </c>
      <c r="S100" s="26">
        <v>74</v>
      </c>
      <c r="T100" s="26">
        <v>1.94</v>
      </c>
      <c r="U100" s="26">
        <v>-0.1</v>
      </c>
      <c r="V100" s="20">
        <v>2055.5700000000002</v>
      </c>
    </row>
    <row r="101" spans="1:22" ht="16.8" x14ac:dyDescent="0.3">
      <c r="A101" s="20">
        <v>10</v>
      </c>
      <c r="B101" s="20">
        <v>74</v>
      </c>
      <c r="C101" s="26">
        <v>63.36</v>
      </c>
      <c r="D101" s="20">
        <v>10.64</v>
      </c>
      <c r="E101" s="20">
        <v>-0.28999999999999998</v>
      </c>
      <c r="F101" s="26">
        <v>2736.47</v>
      </c>
      <c r="Q101" s="20">
        <v>10</v>
      </c>
      <c r="R101" s="20">
        <v>72.11</v>
      </c>
      <c r="S101" s="26">
        <v>74</v>
      </c>
      <c r="T101" s="20">
        <v>1.89</v>
      </c>
      <c r="U101" s="26">
        <v>-0.05</v>
      </c>
      <c r="V101" s="26">
        <v>2090.7600000000002</v>
      </c>
    </row>
    <row r="102" spans="1:22" ht="16.8" x14ac:dyDescent="0.3">
      <c r="A102" s="20">
        <v>10.1</v>
      </c>
      <c r="B102" s="20">
        <v>74</v>
      </c>
      <c r="C102" s="20">
        <v>63.57</v>
      </c>
      <c r="D102" s="20">
        <v>10.43</v>
      </c>
      <c r="E102" s="20">
        <v>-0.21</v>
      </c>
      <c r="F102" s="26">
        <v>2661.17</v>
      </c>
      <c r="Q102" s="20">
        <v>10.1</v>
      </c>
      <c r="R102" s="20">
        <v>72.150000000000006</v>
      </c>
      <c r="S102" s="26">
        <v>74</v>
      </c>
      <c r="T102" s="26">
        <v>1.85</v>
      </c>
      <c r="U102" s="26">
        <v>-0.04</v>
      </c>
      <c r="V102" s="20">
        <v>2094.8200000000002</v>
      </c>
    </row>
    <row r="103" spans="1:22" ht="16.8" x14ac:dyDescent="0.3">
      <c r="A103" s="20">
        <v>10.199999999999999</v>
      </c>
      <c r="B103" s="20">
        <v>74</v>
      </c>
      <c r="C103" s="26">
        <v>63.8</v>
      </c>
      <c r="D103" s="20">
        <v>10.199999999999999</v>
      </c>
      <c r="E103" s="20">
        <v>-0.23</v>
      </c>
      <c r="F103" s="20">
        <v>2607.5</v>
      </c>
      <c r="Q103" s="20">
        <v>10.199999999999999</v>
      </c>
      <c r="R103" s="20">
        <v>72.290000000000006</v>
      </c>
      <c r="S103" s="26">
        <v>74</v>
      </c>
      <c r="T103" s="20">
        <v>1.71</v>
      </c>
      <c r="U103" s="26">
        <v>-0.14000000000000001</v>
      </c>
      <c r="V103" s="20">
        <v>1997.1</v>
      </c>
    </row>
    <row r="104" spans="1:22" ht="16.8" x14ac:dyDescent="0.3">
      <c r="A104" s="20">
        <v>10.3</v>
      </c>
      <c r="B104" s="20">
        <v>74</v>
      </c>
      <c r="C104" s="20">
        <v>64.09</v>
      </c>
      <c r="D104" s="20">
        <v>9.91</v>
      </c>
      <c r="E104" s="20">
        <v>-0.28999999999999998</v>
      </c>
      <c r="F104" s="26">
        <v>2550</v>
      </c>
      <c r="Q104" s="20">
        <v>10.3</v>
      </c>
      <c r="R104" s="20">
        <v>72.33</v>
      </c>
      <c r="S104" s="26">
        <v>74</v>
      </c>
      <c r="T104" s="26">
        <v>1.67</v>
      </c>
      <c r="U104" s="20">
        <v>-0.04</v>
      </c>
      <c r="V104" s="26">
        <v>2072.15</v>
      </c>
    </row>
    <row r="105" spans="1:22" ht="16.8" x14ac:dyDescent="0.3">
      <c r="A105" s="20">
        <v>10.4</v>
      </c>
      <c r="B105" s="20">
        <v>74</v>
      </c>
      <c r="C105" s="26">
        <v>64.34</v>
      </c>
      <c r="D105" s="20">
        <v>9.66</v>
      </c>
      <c r="E105" s="20">
        <v>-0.25</v>
      </c>
      <c r="F105" s="26">
        <v>2550</v>
      </c>
      <c r="Q105" s="20">
        <v>10.4</v>
      </c>
      <c r="R105" s="20">
        <v>72.39</v>
      </c>
      <c r="S105" s="26">
        <v>74</v>
      </c>
      <c r="T105" s="26">
        <v>1.61</v>
      </c>
      <c r="U105" s="26">
        <v>-0.06</v>
      </c>
      <c r="V105" s="20">
        <v>2045.36</v>
      </c>
    </row>
    <row r="106" spans="1:22" ht="16.8" x14ac:dyDescent="0.3">
      <c r="A106" s="20">
        <v>10.5</v>
      </c>
      <c r="B106" s="20">
        <v>74</v>
      </c>
      <c r="C106" s="26">
        <v>64.540000000000006</v>
      </c>
      <c r="D106" s="20">
        <v>9.4600000000000009</v>
      </c>
      <c r="E106" s="20">
        <v>-0.21</v>
      </c>
      <c r="F106" s="20">
        <v>2550</v>
      </c>
      <c r="Q106" s="20">
        <v>10.5</v>
      </c>
      <c r="R106" s="20">
        <v>72.47</v>
      </c>
      <c r="S106" s="26">
        <v>74</v>
      </c>
      <c r="T106" s="26">
        <v>1.53</v>
      </c>
      <c r="U106" s="26">
        <v>-7.0000000000000007E-2</v>
      </c>
      <c r="V106" s="26">
        <v>2029.97</v>
      </c>
    </row>
    <row r="107" spans="1:22" ht="16.8" x14ac:dyDescent="0.3">
      <c r="A107" s="20">
        <v>10.6</v>
      </c>
      <c r="B107" s="20">
        <v>74</v>
      </c>
      <c r="C107" s="20">
        <v>64.790000000000006</v>
      </c>
      <c r="D107" s="20">
        <v>9.2100000000000009</v>
      </c>
      <c r="E107" s="20">
        <v>-0.25</v>
      </c>
      <c r="F107" s="26">
        <v>2550</v>
      </c>
      <c r="Q107" s="20">
        <v>10.6</v>
      </c>
      <c r="R107" s="20">
        <v>72.52</v>
      </c>
      <c r="S107" s="26">
        <v>74</v>
      </c>
      <c r="T107" s="26">
        <v>1.48</v>
      </c>
      <c r="U107" s="26">
        <v>-0.06</v>
      </c>
      <c r="V107" s="20">
        <v>2036.73</v>
      </c>
    </row>
    <row r="108" spans="1:22" ht="16.8" x14ac:dyDescent="0.3">
      <c r="A108" s="20">
        <v>10.7</v>
      </c>
      <c r="B108" s="20">
        <v>74</v>
      </c>
      <c r="C108" s="26">
        <v>64.959999999999994</v>
      </c>
      <c r="D108" s="20">
        <v>9.0399999999999991</v>
      </c>
      <c r="E108" s="20">
        <v>-0.17</v>
      </c>
      <c r="F108" s="20">
        <v>2550</v>
      </c>
      <c r="Q108" s="20">
        <v>10.7</v>
      </c>
      <c r="R108" s="20">
        <v>72.569999999999993</v>
      </c>
      <c r="S108" s="26">
        <v>74</v>
      </c>
      <c r="T108" s="20">
        <v>1.43</v>
      </c>
      <c r="U108" s="26">
        <v>-0.05</v>
      </c>
      <c r="V108" s="26">
        <v>2038.33</v>
      </c>
    </row>
    <row r="109" spans="1:22" ht="16.8" x14ac:dyDescent="0.3">
      <c r="A109" s="20">
        <v>10.8</v>
      </c>
      <c r="B109" s="20">
        <v>74</v>
      </c>
      <c r="C109" s="20">
        <v>65.16</v>
      </c>
      <c r="D109" s="20">
        <v>8.84</v>
      </c>
      <c r="E109" s="20">
        <v>-0.2</v>
      </c>
      <c r="F109" s="26">
        <v>2550</v>
      </c>
      <c r="Q109" s="20">
        <v>10.8</v>
      </c>
      <c r="R109" s="20">
        <v>72.63</v>
      </c>
      <c r="S109" s="26">
        <v>74</v>
      </c>
      <c r="T109" s="26">
        <v>1.37</v>
      </c>
      <c r="U109" s="26">
        <v>-0.06</v>
      </c>
      <c r="V109" s="20">
        <v>2025.36</v>
      </c>
    </row>
    <row r="110" spans="1:22" ht="16.8" x14ac:dyDescent="0.3">
      <c r="A110" s="20">
        <v>10.9</v>
      </c>
      <c r="B110" s="20">
        <v>74</v>
      </c>
      <c r="C110" s="26">
        <v>65.39</v>
      </c>
      <c r="D110" s="20">
        <v>8.61</v>
      </c>
      <c r="E110" s="20">
        <v>-0.23</v>
      </c>
      <c r="F110" s="26">
        <v>2550</v>
      </c>
      <c r="Q110" s="20">
        <v>10.9</v>
      </c>
      <c r="R110" s="20">
        <v>72.67</v>
      </c>
      <c r="S110" s="26">
        <v>74</v>
      </c>
      <c r="T110" s="20">
        <v>1.33</v>
      </c>
      <c r="U110" s="26">
        <v>-0.04</v>
      </c>
      <c r="V110" s="26">
        <v>2034.59</v>
      </c>
    </row>
    <row r="111" spans="1:22" ht="16.8" x14ac:dyDescent="0.3">
      <c r="A111" s="20">
        <v>11</v>
      </c>
      <c r="B111" s="20">
        <v>74</v>
      </c>
      <c r="C111" s="26">
        <v>65.56</v>
      </c>
      <c r="D111" s="20">
        <v>8.44</v>
      </c>
      <c r="E111" s="20">
        <v>-0.17</v>
      </c>
      <c r="F111" s="20">
        <v>2550</v>
      </c>
      <c r="Q111" s="20">
        <v>11</v>
      </c>
      <c r="R111" s="20">
        <v>72.69</v>
      </c>
      <c r="S111" s="26">
        <v>74</v>
      </c>
      <c r="T111" s="26">
        <v>1.31</v>
      </c>
      <c r="U111" s="26">
        <v>-0.02</v>
      </c>
      <c r="V111" s="20">
        <v>2046.61</v>
      </c>
    </row>
    <row r="112" spans="1:22" ht="16.8" x14ac:dyDescent="0.3">
      <c r="A112" s="20">
        <v>11.1</v>
      </c>
      <c r="B112" s="20">
        <v>74</v>
      </c>
      <c r="C112" s="20">
        <v>65.78</v>
      </c>
      <c r="D112" s="20">
        <v>8.2200000000000006</v>
      </c>
      <c r="E112" s="20">
        <v>-0.22</v>
      </c>
      <c r="F112" s="26">
        <v>2550</v>
      </c>
      <c r="Q112" s="20">
        <v>11.1</v>
      </c>
      <c r="R112" s="20">
        <v>72.84</v>
      </c>
      <c r="S112" s="26">
        <v>74</v>
      </c>
      <c r="T112" s="26">
        <v>1.1599999999999999</v>
      </c>
      <c r="U112" s="26">
        <v>-0.15</v>
      </c>
      <c r="V112" s="26">
        <v>1926.63</v>
      </c>
    </row>
    <row r="113" spans="1:22" ht="16.8" x14ac:dyDescent="0.3">
      <c r="A113" s="20">
        <v>11.2</v>
      </c>
      <c r="B113" s="20">
        <v>74</v>
      </c>
      <c r="C113" s="26">
        <v>65.989999999999995</v>
      </c>
      <c r="D113" s="20">
        <v>8.01</v>
      </c>
      <c r="E113" s="20">
        <v>-0.21</v>
      </c>
      <c r="F113" s="20">
        <v>2550</v>
      </c>
      <c r="Q113" s="20">
        <v>11.2</v>
      </c>
      <c r="R113" s="20">
        <v>72.849999999999994</v>
      </c>
      <c r="S113" s="26">
        <v>74</v>
      </c>
      <c r="T113" s="26">
        <v>1.1499999999999999</v>
      </c>
      <c r="U113" s="26">
        <v>-0.02</v>
      </c>
      <c r="V113" s="20">
        <v>2030.59</v>
      </c>
    </row>
    <row r="114" spans="1:22" ht="16.8" x14ac:dyDescent="0.3">
      <c r="A114" s="20">
        <v>11.3</v>
      </c>
      <c r="B114" s="20">
        <v>74</v>
      </c>
      <c r="C114" s="26">
        <v>66.11</v>
      </c>
      <c r="D114" s="20">
        <v>7.89</v>
      </c>
      <c r="E114" s="20">
        <v>-0.12</v>
      </c>
      <c r="F114" s="26">
        <v>2550</v>
      </c>
      <c r="Q114" s="20">
        <v>11.3</v>
      </c>
      <c r="R114" s="20">
        <v>72.84</v>
      </c>
      <c r="S114" s="20">
        <v>74</v>
      </c>
      <c r="T114" s="26">
        <v>1.1599999999999999</v>
      </c>
      <c r="U114" s="26">
        <v>0.02</v>
      </c>
      <c r="V114" s="20">
        <v>2062.3000000000002</v>
      </c>
    </row>
    <row r="115" spans="1:22" ht="16.8" x14ac:dyDescent="0.3">
      <c r="A115" s="20">
        <v>11.4</v>
      </c>
      <c r="B115" s="20">
        <v>74</v>
      </c>
      <c r="C115" s="20">
        <v>66.319999999999993</v>
      </c>
      <c r="D115" s="20">
        <v>7.68</v>
      </c>
      <c r="E115" s="20">
        <v>-0.21</v>
      </c>
      <c r="F115" s="26">
        <v>2550</v>
      </c>
      <c r="Q115" s="20">
        <v>11.4</v>
      </c>
      <c r="R115" s="20">
        <v>72.89</v>
      </c>
      <c r="S115" s="26">
        <v>74</v>
      </c>
      <c r="T115" s="26">
        <v>1.1100000000000001</v>
      </c>
      <c r="U115" s="26">
        <v>-0.06</v>
      </c>
      <c r="V115" s="26">
        <v>1996.71</v>
      </c>
    </row>
    <row r="116" spans="1:22" ht="16.8" x14ac:dyDescent="0.3">
      <c r="A116" s="20">
        <v>11.5</v>
      </c>
      <c r="B116" s="20">
        <v>74</v>
      </c>
      <c r="C116" s="26">
        <v>66.44</v>
      </c>
      <c r="D116" s="20">
        <v>7.56</v>
      </c>
      <c r="E116" s="20">
        <v>-0.12</v>
      </c>
      <c r="F116" s="20">
        <v>2550</v>
      </c>
      <c r="Q116" s="20">
        <v>11.5</v>
      </c>
      <c r="R116" s="20">
        <v>72.930000000000007</v>
      </c>
      <c r="S116" s="20">
        <v>74</v>
      </c>
      <c r="T116" s="26">
        <v>1.07</v>
      </c>
      <c r="U116" s="26">
        <v>-0.04</v>
      </c>
      <c r="V116" s="20">
        <v>2005.29</v>
      </c>
    </row>
    <row r="117" spans="1:22" ht="16.8" x14ac:dyDescent="0.3">
      <c r="A117" s="20">
        <v>11.6</v>
      </c>
      <c r="B117" s="20">
        <v>74</v>
      </c>
      <c r="C117" s="20">
        <v>66.64</v>
      </c>
      <c r="D117" s="20">
        <v>7.36</v>
      </c>
      <c r="E117" s="20">
        <v>-0.19</v>
      </c>
      <c r="F117" s="26">
        <v>2550</v>
      </c>
      <c r="Q117" s="20">
        <v>11.6</v>
      </c>
      <c r="R117" s="20">
        <v>72.989999999999995</v>
      </c>
      <c r="S117" s="26">
        <v>74</v>
      </c>
      <c r="T117" s="26">
        <v>1.01</v>
      </c>
      <c r="U117" s="26">
        <v>-0.06</v>
      </c>
      <c r="V117" s="26">
        <v>1984.94</v>
      </c>
    </row>
    <row r="118" spans="1:22" ht="16.8" x14ac:dyDescent="0.3">
      <c r="A118" s="20">
        <v>11.7</v>
      </c>
      <c r="B118" s="20">
        <v>74</v>
      </c>
      <c r="C118" s="26">
        <v>66.83</v>
      </c>
      <c r="D118" s="20">
        <v>7.17</v>
      </c>
      <c r="E118" s="20">
        <v>-0.2</v>
      </c>
      <c r="F118" s="26">
        <v>2550</v>
      </c>
      <c r="Q118" s="20">
        <v>11.7</v>
      </c>
      <c r="R118" s="20">
        <v>73.03</v>
      </c>
      <c r="S118" s="26">
        <v>74</v>
      </c>
      <c r="T118" s="26">
        <v>0.97</v>
      </c>
      <c r="U118" s="26">
        <v>-0.04</v>
      </c>
      <c r="V118" s="20">
        <v>1993.26</v>
      </c>
    </row>
    <row r="119" spans="1:22" ht="16.8" x14ac:dyDescent="0.3">
      <c r="A119" s="20">
        <v>11.8</v>
      </c>
      <c r="B119" s="20">
        <v>74</v>
      </c>
      <c r="C119" s="26">
        <v>66.97</v>
      </c>
      <c r="D119" s="20">
        <v>7.03</v>
      </c>
      <c r="E119" s="20">
        <v>-0.14000000000000001</v>
      </c>
      <c r="F119" s="20">
        <v>2550</v>
      </c>
      <c r="Q119" s="20">
        <v>11.8</v>
      </c>
      <c r="R119" s="20">
        <v>73.02</v>
      </c>
      <c r="S119" s="26">
        <v>74</v>
      </c>
      <c r="T119" s="26">
        <v>0.98</v>
      </c>
      <c r="U119" s="26">
        <v>0.01</v>
      </c>
      <c r="V119" s="26">
        <v>2036.09</v>
      </c>
    </row>
    <row r="120" spans="1:22" ht="16.8" x14ac:dyDescent="0.3">
      <c r="A120" s="20">
        <v>11.9</v>
      </c>
      <c r="B120" s="20">
        <v>74</v>
      </c>
      <c r="C120" s="20">
        <v>67.12</v>
      </c>
      <c r="D120" s="20">
        <v>6.88</v>
      </c>
      <c r="E120" s="20">
        <v>-0.15</v>
      </c>
      <c r="F120" s="26">
        <v>2550</v>
      </c>
      <c r="Q120" s="20">
        <v>11.9</v>
      </c>
      <c r="R120" s="20">
        <v>73.05</v>
      </c>
      <c r="S120" s="26">
        <v>74</v>
      </c>
      <c r="T120" s="26">
        <v>0.95</v>
      </c>
      <c r="U120" s="26">
        <v>-0.03</v>
      </c>
      <c r="V120" s="20">
        <v>2000.31</v>
      </c>
    </row>
    <row r="121" spans="1:22" ht="16.8" x14ac:dyDescent="0.3">
      <c r="A121" s="20">
        <v>12</v>
      </c>
      <c r="B121" s="20">
        <v>74</v>
      </c>
      <c r="C121" s="26">
        <v>67.239999999999995</v>
      </c>
      <c r="D121" s="20">
        <v>6.76</v>
      </c>
      <c r="E121" s="20">
        <v>-0.11</v>
      </c>
      <c r="F121" s="20">
        <v>2550</v>
      </c>
      <c r="Q121" s="20">
        <v>12</v>
      </c>
      <c r="R121" s="20">
        <v>73.12</v>
      </c>
      <c r="S121" s="26">
        <v>74</v>
      </c>
      <c r="T121" s="26">
        <v>0.88</v>
      </c>
      <c r="U121" s="26">
        <v>-0.06</v>
      </c>
      <c r="V121" s="26">
        <v>1965.21</v>
      </c>
    </row>
    <row r="122" spans="1:22" ht="16.8" x14ac:dyDescent="0.3">
      <c r="A122" s="20">
        <v>12.1</v>
      </c>
      <c r="B122" s="20">
        <v>74</v>
      </c>
      <c r="C122" s="20">
        <v>67.37</v>
      </c>
      <c r="D122" s="20">
        <v>6.63</v>
      </c>
      <c r="E122" s="20">
        <v>-0.13</v>
      </c>
      <c r="F122" s="26">
        <v>2550</v>
      </c>
      <c r="Q122" s="20">
        <v>12.1</v>
      </c>
      <c r="R122" s="20">
        <v>73.180000000000007</v>
      </c>
      <c r="S122" s="26">
        <v>74</v>
      </c>
      <c r="T122" s="26">
        <v>0.82</v>
      </c>
      <c r="U122" s="26">
        <v>-0.06</v>
      </c>
      <c r="V122" s="20">
        <v>1963.88</v>
      </c>
    </row>
    <row r="123" spans="1:22" ht="16.8" x14ac:dyDescent="0.3">
      <c r="A123" s="20">
        <v>12.2</v>
      </c>
      <c r="B123" s="20">
        <v>74</v>
      </c>
      <c r="C123" s="26">
        <v>67.47</v>
      </c>
      <c r="D123" s="20">
        <v>6.53</v>
      </c>
      <c r="E123" s="20">
        <v>-0.11</v>
      </c>
      <c r="F123" s="26">
        <v>2550</v>
      </c>
      <c r="Q123" s="20">
        <v>12.2</v>
      </c>
      <c r="R123" s="20">
        <v>73.150000000000006</v>
      </c>
      <c r="S123" s="26">
        <v>74</v>
      </c>
      <c r="T123" s="26">
        <v>0.85</v>
      </c>
      <c r="U123" s="26">
        <v>0.02</v>
      </c>
      <c r="V123" s="26">
        <v>2035.19</v>
      </c>
    </row>
    <row r="124" spans="1:22" ht="16.8" x14ac:dyDescent="0.3">
      <c r="A124" s="20">
        <v>12.3</v>
      </c>
      <c r="B124" s="20">
        <v>74</v>
      </c>
      <c r="C124" s="26">
        <v>67.64</v>
      </c>
      <c r="D124" s="20">
        <v>6.36</v>
      </c>
      <c r="E124" s="20">
        <v>-0.16</v>
      </c>
      <c r="F124" s="20">
        <v>2550</v>
      </c>
      <c r="Q124" s="20">
        <v>12.3</v>
      </c>
      <c r="R124" s="20">
        <v>73.22</v>
      </c>
      <c r="S124" s="26">
        <v>74</v>
      </c>
      <c r="T124" s="26">
        <v>0.78</v>
      </c>
      <c r="U124" s="26">
        <v>-7.0000000000000007E-2</v>
      </c>
      <c r="V124" s="20">
        <v>1946.47</v>
      </c>
    </row>
    <row r="125" spans="1:22" ht="16.8" x14ac:dyDescent="0.3">
      <c r="A125" s="20">
        <v>12.4</v>
      </c>
      <c r="B125" s="20">
        <v>74</v>
      </c>
      <c r="C125" s="20">
        <v>67.760000000000005</v>
      </c>
      <c r="D125" s="20">
        <v>6.24</v>
      </c>
      <c r="E125" s="20">
        <v>-0.12</v>
      </c>
      <c r="F125" s="26">
        <v>2550</v>
      </c>
      <c r="Q125" s="20">
        <v>12.4</v>
      </c>
      <c r="R125" s="20">
        <v>73.260000000000005</v>
      </c>
      <c r="S125" s="26">
        <v>74</v>
      </c>
      <c r="T125" s="26">
        <v>0.74</v>
      </c>
      <c r="U125" s="26">
        <v>-0.04</v>
      </c>
      <c r="V125" s="26">
        <v>1967.2</v>
      </c>
    </row>
    <row r="126" spans="1:22" ht="16.8" x14ac:dyDescent="0.3">
      <c r="A126" s="20">
        <v>12.5</v>
      </c>
      <c r="B126" s="20">
        <v>74</v>
      </c>
      <c r="C126" s="26">
        <v>67.900000000000006</v>
      </c>
      <c r="D126" s="20">
        <v>6.1</v>
      </c>
      <c r="E126" s="20">
        <v>-0.15</v>
      </c>
      <c r="F126" s="26">
        <v>2550</v>
      </c>
      <c r="Q126" s="20">
        <v>12.5</v>
      </c>
      <c r="R126" s="20">
        <v>73.28</v>
      </c>
      <c r="S126" s="26">
        <v>74</v>
      </c>
      <c r="T126" s="26">
        <v>0.72</v>
      </c>
      <c r="U126" s="26">
        <v>-0.02</v>
      </c>
      <c r="V126" s="20">
        <v>1985.65</v>
      </c>
    </row>
    <row r="127" spans="1:22" ht="16.8" x14ac:dyDescent="0.3">
      <c r="A127" s="20">
        <v>12.6</v>
      </c>
      <c r="B127" s="20">
        <v>74</v>
      </c>
      <c r="C127" s="20">
        <v>68.03</v>
      </c>
      <c r="D127" s="20">
        <v>5.97</v>
      </c>
      <c r="E127" s="20">
        <v>-0.13</v>
      </c>
      <c r="F127" s="20">
        <v>2550</v>
      </c>
      <c r="Q127" s="20">
        <v>12.6</v>
      </c>
      <c r="R127" s="20">
        <v>73.31</v>
      </c>
      <c r="S127" s="26">
        <v>74</v>
      </c>
      <c r="T127" s="26">
        <v>0.69</v>
      </c>
      <c r="U127" s="26">
        <v>-0.03</v>
      </c>
      <c r="V127" s="20">
        <v>1968.73</v>
      </c>
    </row>
    <row r="128" spans="1:22" ht="16.8" x14ac:dyDescent="0.3">
      <c r="A128" s="20">
        <v>12.7</v>
      </c>
      <c r="B128" s="20">
        <v>74</v>
      </c>
      <c r="C128" s="26">
        <v>68.11</v>
      </c>
      <c r="D128" s="20">
        <v>5.89</v>
      </c>
      <c r="E128" s="20">
        <v>-0.08</v>
      </c>
      <c r="F128" s="26">
        <v>2550</v>
      </c>
      <c r="Q128" s="20">
        <v>12.7</v>
      </c>
      <c r="R128" s="20">
        <v>73.349999999999994</v>
      </c>
      <c r="S128" s="26">
        <v>74</v>
      </c>
      <c r="T128" s="20">
        <v>0.65</v>
      </c>
      <c r="U128" s="20">
        <v>-0.04</v>
      </c>
      <c r="V128" s="26">
        <v>1956.78</v>
      </c>
    </row>
    <row r="129" spans="1:22" ht="16.8" x14ac:dyDescent="0.3">
      <c r="A129" s="20">
        <v>12.8</v>
      </c>
      <c r="B129" s="20">
        <v>74</v>
      </c>
      <c r="C129" s="26">
        <v>68.22</v>
      </c>
      <c r="D129" s="20">
        <v>5.78</v>
      </c>
      <c r="E129" s="20">
        <v>-0.11</v>
      </c>
      <c r="F129" s="20">
        <v>2550</v>
      </c>
      <c r="Q129" s="20">
        <v>12.8</v>
      </c>
      <c r="R129" s="20">
        <v>73.38</v>
      </c>
      <c r="S129" s="26">
        <v>74</v>
      </c>
      <c r="T129" s="26">
        <v>0.62</v>
      </c>
      <c r="U129" s="26">
        <v>-0.02</v>
      </c>
      <c r="V129" s="20">
        <v>1967.07</v>
      </c>
    </row>
    <row r="130" spans="1:22" ht="16.8" x14ac:dyDescent="0.3">
      <c r="A130" s="20">
        <v>12.9</v>
      </c>
      <c r="B130" s="20">
        <v>74</v>
      </c>
      <c r="C130" s="20">
        <v>68.400000000000006</v>
      </c>
      <c r="D130" s="20">
        <v>5.6</v>
      </c>
      <c r="E130" s="20">
        <v>-0.18</v>
      </c>
      <c r="F130" s="26">
        <v>2550</v>
      </c>
      <c r="Q130" s="20">
        <v>12.9</v>
      </c>
      <c r="R130" s="20">
        <v>73.430000000000007</v>
      </c>
      <c r="S130" s="26">
        <v>74</v>
      </c>
      <c r="T130" s="20">
        <v>0.56999999999999995</v>
      </c>
      <c r="U130" s="26">
        <v>-0.05</v>
      </c>
      <c r="V130" s="26">
        <v>1940.55</v>
      </c>
    </row>
    <row r="131" spans="1:22" ht="16.8" x14ac:dyDescent="0.3">
      <c r="A131" s="20">
        <v>13</v>
      </c>
      <c r="B131" s="20">
        <v>74</v>
      </c>
      <c r="C131" s="26">
        <v>68.53</v>
      </c>
      <c r="D131" s="20">
        <v>5.47</v>
      </c>
      <c r="E131" s="20">
        <v>-0.12</v>
      </c>
      <c r="F131" s="26">
        <v>2550</v>
      </c>
      <c r="Q131" s="20">
        <v>13</v>
      </c>
      <c r="R131" s="20">
        <v>73.47</v>
      </c>
      <c r="S131" s="26">
        <v>74</v>
      </c>
      <c r="T131" s="26">
        <v>0.53</v>
      </c>
      <c r="U131" s="26">
        <v>-0.05</v>
      </c>
      <c r="V131" s="20">
        <v>1933.37</v>
      </c>
    </row>
    <row r="132" spans="1:22" ht="16.8" x14ac:dyDescent="0.3">
      <c r="A132" s="20">
        <v>13.1</v>
      </c>
      <c r="B132" s="20">
        <v>74</v>
      </c>
      <c r="C132" s="26">
        <v>68.63</v>
      </c>
      <c r="D132" s="20">
        <v>5.37</v>
      </c>
      <c r="E132" s="20">
        <v>-0.1</v>
      </c>
      <c r="F132" s="20">
        <v>2550</v>
      </c>
      <c r="Q132" s="20">
        <v>13.1</v>
      </c>
      <c r="R132" s="20">
        <v>73.48</v>
      </c>
      <c r="S132" s="26">
        <v>74</v>
      </c>
      <c r="T132" s="26">
        <v>0.52</v>
      </c>
      <c r="U132" s="26">
        <v>-0.01</v>
      </c>
      <c r="V132" s="26">
        <v>1965.71</v>
      </c>
    </row>
    <row r="133" spans="1:22" ht="16.8" x14ac:dyDescent="0.3">
      <c r="A133" s="20">
        <v>13.2</v>
      </c>
      <c r="B133" s="20">
        <v>74</v>
      </c>
      <c r="C133" s="20">
        <v>68.7</v>
      </c>
      <c r="D133" s="20">
        <v>5.3</v>
      </c>
      <c r="E133" s="20">
        <v>-0.06</v>
      </c>
      <c r="F133" s="26">
        <v>2550</v>
      </c>
      <c r="Q133" s="20">
        <v>13.2</v>
      </c>
      <c r="R133" s="20">
        <v>73.45</v>
      </c>
      <c r="S133" s="26">
        <v>74</v>
      </c>
      <c r="T133" s="26">
        <v>0.55000000000000004</v>
      </c>
      <c r="U133" s="26">
        <v>0.03</v>
      </c>
      <c r="V133" s="20">
        <v>2005.24</v>
      </c>
    </row>
    <row r="134" spans="1:22" ht="16.8" x14ac:dyDescent="0.3">
      <c r="A134" s="20">
        <v>13.3</v>
      </c>
      <c r="B134" s="20">
        <v>74</v>
      </c>
      <c r="C134" s="26">
        <v>68.88</v>
      </c>
      <c r="D134" s="20">
        <v>5.12</v>
      </c>
      <c r="E134" s="20">
        <v>-0.19</v>
      </c>
      <c r="F134" s="26">
        <v>2550</v>
      </c>
      <c r="Q134" s="20">
        <v>13.3</v>
      </c>
      <c r="R134" s="20">
        <v>73.5</v>
      </c>
      <c r="S134" s="26">
        <v>74</v>
      </c>
      <c r="T134" s="26">
        <v>0.5</v>
      </c>
      <c r="U134" s="26">
        <v>-0.05</v>
      </c>
      <c r="V134" s="26">
        <v>1933.05</v>
      </c>
    </row>
    <row r="135" spans="1:22" ht="16.8" x14ac:dyDescent="0.3">
      <c r="A135" s="20">
        <v>13.4</v>
      </c>
      <c r="B135" s="20">
        <v>74</v>
      </c>
      <c r="C135" s="20">
        <v>69.02</v>
      </c>
      <c r="D135" s="20">
        <v>4.9800000000000004</v>
      </c>
      <c r="E135" s="20">
        <v>-0.14000000000000001</v>
      </c>
      <c r="F135" s="20">
        <v>2550</v>
      </c>
      <c r="Q135" s="20">
        <v>13.4</v>
      </c>
      <c r="R135" s="20">
        <v>73.53</v>
      </c>
      <c r="S135" s="26">
        <v>74</v>
      </c>
      <c r="T135" s="26">
        <v>0.47</v>
      </c>
      <c r="U135" s="26">
        <v>-0.03</v>
      </c>
      <c r="V135" s="20">
        <v>1941.55</v>
      </c>
    </row>
    <row r="136" spans="1:22" ht="16.8" x14ac:dyDescent="0.3">
      <c r="A136" s="20">
        <v>13.5</v>
      </c>
      <c r="B136" s="20">
        <v>74</v>
      </c>
      <c r="C136" s="26">
        <v>69.13</v>
      </c>
      <c r="D136" s="20">
        <v>4.87</v>
      </c>
      <c r="E136" s="20">
        <v>-0.11</v>
      </c>
      <c r="F136" s="26">
        <v>2550</v>
      </c>
      <c r="Q136" s="20">
        <v>13.5</v>
      </c>
      <c r="R136" s="20">
        <v>73.55</v>
      </c>
      <c r="S136" s="26">
        <v>74</v>
      </c>
      <c r="T136" s="26">
        <v>0.45</v>
      </c>
      <c r="U136" s="26">
        <v>-0.02</v>
      </c>
      <c r="V136" s="26">
        <v>1952.85</v>
      </c>
    </row>
    <row r="137" spans="1:22" ht="16.8" x14ac:dyDescent="0.3">
      <c r="A137" s="20">
        <v>13.6</v>
      </c>
      <c r="B137" s="20">
        <v>74</v>
      </c>
      <c r="C137" s="26">
        <v>69.28</v>
      </c>
      <c r="D137" s="20">
        <v>4.72</v>
      </c>
      <c r="E137" s="20">
        <v>-0.15</v>
      </c>
      <c r="F137" s="20">
        <v>2550</v>
      </c>
      <c r="Q137" s="20">
        <v>13.6</v>
      </c>
      <c r="R137" s="20">
        <v>73.55</v>
      </c>
      <c r="S137" s="26">
        <v>74</v>
      </c>
      <c r="T137" s="26">
        <v>0.45</v>
      </c>
      <c r="U137" s="26">
        <v>-0.01</v>
      </c>
      <c r="V137" s="20">
        <v>1959.04</v>
      </c>
    </row>
    <row r="138" spans="1:22" ht="16.8" x14ac:dyDescent="0.3">
      <c r="A138" s="20">
        <v>13.7</v>
      </c>
      <c r="B138" s="20">
        <v>74</v>
      </c>
      <c r="C138" s="20">
        <v>69.38</v>
      </c>
      <c r="D138" s="20">
        <v>4.62</v>
      </c>
      <c r="E138" s="20">
        <v>-0.1</v>
      </c>
      <c r="F138" s="26">
        <v>2550</v>
      </c>
      <c r="Q138" s="20">
        <v>13.7</v>
      </c>
      <c r="R138" s="20">
        <v>73.510000000000005</v>
      </c>
      <c r="S138" s="26">
        <v>74</v>
      </c>
      <c r="T138" s="26">
        <v>0.49</v>
      </c>
      <c r="U138" s="26">
        <v>0.04</v>
      </c>
      <c r="V138" s="26">
        <v>2006.3</v>
      </c>
    </row>
    <row r="139" spans="1:22" ht="16.8" x14ac:dyDescent="0.3">
      <c r="A139" s="20">
        <v>13.8</v>
      </c>
      <c r="B139" s="20">
        <v>74</v>
      </c>
      <c r="C139" s="26">
        <v>69.489999999999995</v>
      </c>
      <c r="D139" s="20">
        <v>4.51</v>
      </c>
      <c r="E139" s="20">
        <v>-0.11</v>
      </c>
      <c r="F139" s="26">
        <v>2550</v>
      </c>
      <c r="Q139" s="20">
        <v>13.8</v>
      </c>
      <c r="R139" s="20">
        <v>73.569999999999993</v>
      </c>
      <c r="S139" s="26">
        <v>74</v>
      </c>
      <c r="T139" s="26">
        <v>0.43</v>
      </c>
      <c r="U139" s="26">
        <v>-0.06</v>
      </c>
      <c r="V139" s="20">
        <v>1919.52</v>
      </c>
    </row>
    <row r="140" spans="1:22" ht="16.8" x14ac:dyDescent="0.3">
      <c r="A140" s="20">
        <v>13.9</v>
      </c>
      <c r="B140" s="20">
        <v>74</v>
      </c>
      <c r="C140" s="20">
        <v>69.53</v>
      </c>
      <c r="D140" s="20">
        <v>4.47</v>
      </c>
      <c r="E140" s="20">
        <v>-0.04</v>
      </c>
      <c r="F140" s="20">
        <v>2550</v>
      </c>
      <c r="Q140" s="20">
        <v>13.9</v>
      </c>
      <c r="R140" s="20">
        <v>73.599999999999994</v>
      </c>
      <c r="S140" s="26">
        <v>74</v>
      </c>
      <c r="T140" s="26">
        <v>0.4</v>
      </c>
      <c r="U140" s="26">
        <v>-0.03</v>
      </c>
      <c r="V140" s="20">
        <v>1934.36</v>
      </c>
    </row>
    <row r="141" spans="1:22" ht="16.8" x14ac:dyDescent="0.3">
      <c r="A141" s="20">
        <v>14</v>
      </c>
      <c r="B141" s="20">
        <v>74</v>
      </c>
      <c r="C141" s="26">
        <v>69.67</v>
      </c>
      <c r="D141" s="20">
        <v>4.33</v>
      </c>
      <c r="E141" s="20">
        <v>-0.14000000000000001</v>
      </c>
      <c r="F141" s="26">
        <v>2550</v>
      </c>
      <c r="Q141" s="20">
        <v>14</v>
      </c>
      <c r="R141" s="20">
        <v>73.64</v>
      </c>
      <c r="S141" s="26">
        <v>74</v>
      </c>
      <c r="T141" s="26">
        <v>0.36</v>
      </c>
      <c r="U141" s="26">
        <v>-0.04</v>
      </c>
      <c r="V141" s="26">
        <v>1921.67</v>
      </c>
    </row>
    <row r="142" spans="1:22" ht="16.8" x14ac:dyDescent="0.3">
      <c r="A142" s="20">
        <v>14.1</v>
      </c>
      <c r="B142" s="20">
        <v>74</v>
      </c>
      <c r="C142" s="26">
        <v>69.849999999999994</v>
      </c>
      <c r="D142" s="20">
        <v>4.1500000000000004</v>
      </c>
      <c r="E142" s="20">
        <v>-0.19</v>
      </c>
      <c r="F142" s="26">
        <v>2550</v>
      </c>
      <c r="Q142" s="20">
        <v>14.1</v>
      </c>
      <c r="R142" s="20">
        <v>73.64</v>
      </c>
      <c r="S142" s="26">
        <v>74</v>
      </c>
      <c r="T142" s="20">
        <v>0.36</v>
      </c>
      <c r="U142" s="20">
        <v>0.01</v>
      </c>
      <c r="V142" s="20">
        <v>1962.98</v>
      </c>
    </row>
    <row r="143" spans="1:22" ht="16.8" x14ac:dyDescent="0.3">
      <c r="A143" s="45">
        <v>14.2</v>
      </c>
      <c r="B143" s="20">
        <v>74</v>
      </c>
      <c r="C143" s="20">
        <v>69.91</v>
      </c>
      <c r="D143" s="20">
        <v>4.09</v>
      </c>
      <c r="E143" s="20">
        <v>-0.06</v>
      </c>
      <c r="F143" s="20">
        <v>2550</v>
      </c>
      <c r="Q143" s="20">
        <v>14.2</v>
      </c>
      <c r="R143" s="20">
        <v>73.61</v>
      </c>
      <c r="S143" s="26">
        <v>74</v>
      </c>
      <c r="T143" s="26">
        <v>0.39</v>
      </c>
      <c r="U143" s="26">
        <v>0.02</v>
      </c>
      <c r="V143" s="26">
        <v>1981.17</v>
      </c>
    </row>
    <row r="144" spans="1:22" ht="16.8" x14ac:dyDescent="0.3">
      <c r="A144" s="20">
        <v>14.3</v>
      </c>
      <c r="B144" s="20">
        <v>74</v>
      </c>
      <c r="C144" s="26">
        <v>70.069999999999993</v>
      </c>
      <c r="D144" s="20">
        <v>3.93</v>
      </c>
      <c r="E144" s="20">
        <v>-0.16</v>
      </c>
      <c r="F144" s="26">
        <v>2550</v>
      </c>
      <c r="Q144" s="20">
        <v>14.3</v>
      </c>
      <c r="R144" s="20">
        <v>73.680000000000007</v>
      </c>
      <c r="S144" s="26">
        <v>74</v>
      </c>
      <c r="T144" s="26">
        <v>0.32</v>
      </c>
      <c r="U144" s="26">
        <v>-7.0000000000000007E-2</v>
      </c>
      <c r="V144" s="20">
        <v>1891.29</v>
      </c>
    </row>
    <row r="145" spans="1:22" ht="16.8" x14ac:dyDescent="0.3">
      <c r="A145" s="20">
        <v>14.4</v>
      </c>
      <c r="B145" s="20">
        <v>74</v>
      </c>
      <c r="C145" s="26">
        <v>70.150000000000006</v>
      </c>
      <c r="D145" s="20">
        <v>3.85</v>
      </c>
      <c r="E145" s="20">
        <v>-0.08</v>
      </c>
      <c r="F145" s="20">
        <v>2550</v>
      </c>
      <c r="Q145" s="20">
        <v>14.4</v>
      </c>
      <c r="R145" s="20">
        <v>73.709999999999994</v>
      </c>
      <c r="S145" s="26">
        <v>74</v>
      </c>
      <c r="T145" s="26">
        <v>0.28999999999999998</v>
      </c>
      <c r="U145" s="26">
        <v>-0.02</v>
      </c>
      <c r="V145" s="26">
        <v>1926.76</v>
      </c>
    </row>
    <row r="146" spans="1:22" ht="16.8" x14ac:dyDescent="0.3">
      <c r="A146" s="20">
        <v>14.5</v>
      </c>
      <c r="B146" s="20">
        <v>74</v>
      </c>
      <c r="C146" s="20">
        <v>70.25</v>
      </c>
      <c r="D146" s="20">
        <v>3.75</v>
      </c>
      <c r="E146" s="20">
        <v>-0.1</v>
      </c>
      <c r="F146" s="26">
        <v>2550</v>
      </c>
      <c r="Q146" s="20">
        <v>14.5</v>
      </c>
      <c r="R146" s="20">
        <v>73.739999999999995</v>
      </c>
      <c r="S146" s="26">
        <v>74</v>
      </c>
      <c r="T146" s="26">
        <v>0.26</v>
      </c>
      <c r="U146" s="26">
        <v>-0.03</v>
      </c>
      <c r="V146" s="20">
        <v>1915.24</v>
      </c>
    </row>
    <row r="147" spans="1:22" ht="16.8" x14ac:dyDescent="0.3">
      <c r="A147" s="20">
        <v>14.6</v>
      </c>
      <c r="B147" s="20">
        <v>74</v>
      </c>
      <c r="C147" s="26">
        <v>70.400000000000006</v>
      </c>
      <c r="D147" s="20">
        <v>3.6</v>
      </c>
      <c r="E147" s="20">
        <v>-0.16</v>
      </c>
      <c r="F147" s="26">
        <v>2550</v>
      </c>
      <c r="Q147" s="20">
        <v>14.6</v>
      </c>
      <c r="R147" s="20">
        <v>73.64</v>
      </c>
      <c r="S147" s="26">
        <v>74</v>
      </c>
      <c r="T147" s="26">
        <v>0.36</v>
      </c>
      <c r="U147" s="26">
        <v>0.1</v>
      </c>
      <c r="V147" s="20">
        <v>2037.04</v>
      </c>
    </row>
    <row r="148" spans="1:22" ht="16.8" x14ac:dyDescent="0.3">
      <c r="A148" s="20">
        <v>14.7</v>
      </c>
      <c r="B148" s="20">
        <v>74</v>
      </c>
      <c r="C148" s="26">
        <v>70.53</v>
      </c>
      <c r="D148" s="20">
        <v>3.47</v>
      </c>
      <c r="E148" s="20">
        <v>-0.12</v>
      </c>
      <c r="F148" s="20">
        <v>2550</v>
      </c>
      <c r="Q148" s="20">
        <v>14.7</v>
      </c>
      <c r="R148" s="20">
        <v>73.73</v>
      </c>
      <c r="S148" s="26">
        <v>74</v>
      </c>
      <c r="T148" s="26">
        <v>0.27</v>
      </c>
      <c r="U148" s="26">
        <v>-0.09</v>
      </c>
      <c r="V148" s="26">
        <v>1872.76</v>
      </c>
    </row>
    <row r="149" spans="1:22" ht="16.8" x14ac:dyDescent="0.3">
      <c r="A149" s="20">
        <v>14.8</v>
      </c>
      <c r="B149" s="20">
        <v>74</v>
      </c>
      <c r="C149" s="20">
        <v>70.59</v>
      </c>
      <c r="D149" s="20">
        <v>3.41</v>
      </c>
      <c r="E149" s="20">
        <v>-0.06</v>
      </c>
      <c r="F149" s="26">
        <v>2550</v>
      </c>
      <c r="Q149" s="20">
        <v>14.8</v>
      </c>
      <c r="R149" s="20">
        <v>73.72</v>
      </c>
      <c r="S149" s="26">
        <v>74</v>
      </c>
      <c r="T149" s="26">
        <v>0.28000000000000003</v>
      </c>
      <c r="U149" s="26">
        <v>0.01</v>
      </c>
      <c r="V149" s="20">
        <v>1952.8</v>
      </c>
    </row>
    <row r="150" spans="1:22" ht="16.8" x14ac:dyDescent="0.3">
      <c r="A150" s="20">
        <v>14.9</v>
      </c>
      <c r="B150" s="20">
        <v>74</v>
      </c>
      <c r="C150" s="26">
        <v>70.73</v>
      </c>
      <c r="D150" s="20">
        <v>3.27</v>
      </c>
      <c r="E150" s="20">
        <v>-0.14000000000000001</v>
      </c>
      <c r="F150" s="26">
        <v>2550</v>
      </c>
      <c r="Q150" s="20">
        <v>14.9</v>
      </c>
      <c r="R150" s="20">
        <v>73.73</v>
      </c>
      <c r="S150" s="26">
        <v>74</v>
      </c>
      <c r="T150" s="26">
        <v>0.27</v>
      </c>
      <c r="U150" s="26">
        <v>-0.01</v>
      </c>
      <c r="V150" s="26">
        <v>1939.07</v>
      </c>
    </row>
    <row r="151" spans="1:22" ht="16.8" x14ac:dyDescent="0.3">
      <c r="A151" s="20">
        <v>15</v>
      </c>
      <c r="B151" s="20">
        <v>74</v>
      </c>
      <c r="C151" s="20">
        <v>70.86</v>
      </c>
      <c r="D151" s="20">
        <v>3.14</v>
      </c>
      <c r="E151" s="20">
        <v>-0.13</v>
      </c>
      <c r="F151" s="20">
        <v>2550</v>
      </c>
      <c r="Q151" s="20">
        <v>15</v>
      </c>
      <c r="R151" s="20">
        <v>73.77</v>
      </c>
      <c r="S151" s="26">
        <v>74</v>
      </c>
      <c r="T151" s="26">
        <v>0.23</v>
      </c>
      <c r="U151" s="26">
        <v>-0.04</v>
      </c>
      <c r="V151" s="20">
        <v>1906.58</v>
      </c>
    </row>
    <row r="152" spans="1:22" ht="16.8" x14ac:dyDescent="0.3">
      <c r="A152" s="20">
        <v>15.1</v>
      </c>
      <c r="B152" s="20">
        <v>74</v>
      </c>
      <c r="C152" s="26">
        <v>70.930000000000007</v>
      </c>
      <c r="D152" s="20">
        <v>3.07</v>
      </c>
      <c r="E152" s="20">
        <v>-7.0000000000000007E-2</v>
      </c>
      <c r="F152" s="26">
        <v>2550</v>
      </c>
      <c r="Q152" s="20">
        <v>15.1</v>
      </c>
      <c r="R152" s="20">
        <v>73.75</v>
      </c>
      <c r="S152" s="26">
        <v>74</v>
      </c>
      <c r="T152" s="26">
        <v>0.25</v>
      </c>
      <c r="U152" s="26">
        <v>0.02</v>
      </c>
      <c r="V152" s="26">
        <v>1963.43</v>
      </c>
    </row>
    <row r="153" spans="1:22" ht="16.8" x14ac:dyDescent="0.3">
      <c r="A153" s="20">
        <v>15.2</v>
      </c>
      <c r="B153" s="20">
        <v>74</v>
      </c>
      <c r="C153" s="26">
        <v>71.08</v>
      </c>
      <c r="D153" s="20">
        <v>2.92</v>
      </c>
      <c r="E153" s="20">
        <v>-0.15</v>
      </c>
      <c r="F153" s="26">
        <v>2651.96</v>
      </c>
      <c r="Q153" s="20">
        <v>15.2</v>
      </c>
      <c r="R153" s="20">
        <v>73.709999999999994</v>
      </c>
      <c r="S153" s="26">
        <v>74</v>
      </c>
      <c r="T153" s="26">
        <v>0.28999999999999998</v>
      </c>
      <c r="U153" s="26">
        <v>0.04</v>
      </c>
      <c r="V153" s="20">
        <v>1984.22</v>
      </c>
    </row>
    <row r="154" spans="1:22" ht="16.8" x14ac:dyDescent="0.3">
      <c r="A154" s="20">
        <v>15.3</v>
      </c>
      <c r="B154" s="20">
        <v>74</v>
      </c>
      <c r="C154" s="20">
        <v>71.150000000000006</v>
      </c>
      <c r="D154" s="20">
        <v>2.85</v>
      </c>
      <c r="E154" s="20">
        <v>-0.06</v>
      </c>
      <c r="F154" s="20">
        <v>2686.23</v>
      </c>
      <c r="Q154" s="20">
        <v>15.3</v>
      </c>
      <c r="R154" s="20">
        <v>73.86</v>
      </c>
      <c r="S154" s="26">
        <v>74</v>
      </c>
      <c r="T154" s="26">
        <v>0.14000000000000001</v>
      </c>
      <c r="U154" s="26">
        <v>-0.15</v>
      </c>
      <c r="V154" s="26">
        <v>1801.8</v>
      </c>
    </row>
    <row r="155" spans="1:22" ht="16.8" x14ac:dyDescent="0.3">
      <c r="A155" s="20">
        <v>15.4</v>
      </c>
      <c r="B155" s="20">
        <v>74</v>
      </c>
      <c r="C155" s="26">
        <v>71.25</v>
      </c>
      <c r="D155" s="20">
        <v>2.75</v>
      </c>
      <c r="E155" s="20">
        <v>-0.1</v>
      </c>
      <c r="F155" s="26">
        <v>2760</v>
      </c>
      <c r="Q155" s="20">
        <v>15.4</v>
      </c>
      <c r="R155" s="20">
        <v>73.790000000000006</v>
      </c>
      <c r="S155" s="26">
        <v>74</v>
      </c>
      <c r="T155" s="20">
        <v>0.21</v>
      </c>
      <c r="U155" s="26">
        <v>7.0000000000000007E-2</v>
      </c>
      <c r="V155" s="20">
        <v>1996.92</v>
      </c>
    </row>
    <row r="156" spans="1:22" ht="16.8" x14ac:dyDescent="0.3">
      <c r="A156" s="20">
        <v>15.5</v>
      </c>
      <c r="B156" s="20">
        <v>74</v>
      </c>
      <c r="C156" s="26">
        <v>71.349999999999994</v>
      </c>
      <c r="D156" s="20">
        <v>2.65</v>
      </c>
      <c r="E156" s="20">
        <v>-0.1</v>
      </c>
      <c r="F156" s="26">
        <v>2762.12</v>
      </c>
      <c r="Q156" s="20">
        <v>15.5</v>
      </c>
      <c r="R156" s="20">
        <v>73.8</v>
      </c>
      <c r="S156" s="26">
        <v>74</v>
      </c>
      <c r="T156" s="26">
        <v>0.2</v>
      </c>
      <c r="U156" s="26">
        <v>-0.01</v>
      </c>
      <c r="V156" s="26">
        <v>1931.07</v>
      </c>
    </row>
    <row r="157" spans="1:22" ht="16.8" x14ac:dyDescent="0.3">
      <c r="A157" s="20">
        <v>15.6</v>
      </c>
      <c r="B157" s="20">
        <v>74</v>
      </c>
      <c r="C157" s="20">
        <v>71.489999999999995</v>
      </c>
      <c r="D157" s="20">
        <v>2.5099999999999998</v>
      </c>
      <c r="E157" s="20">
        <v>-0.14000000000000001</v>
      </c>
      <c r="F157" s="20">
        <v>2822.58</v>
      </c>
      <c r="Q157" s="20">
        <v>15.6</v>
      </c>
      <c r="R157" s="20">
        <v>73.8</v>
      </c>
      <c r="S157" s="26">
        <v>74</v>
      </c>
      <c r="T157" s="20">
        <v>0.2</v>
      </c>
      <c r="U157" s="26">
        <v>-0.01</v>
      </c>
      <c r="V157" s="20">
        <v>1930.15</v>
      </c>
    </row>
    <row r="158" spans="1:22" ht="16.8" x14ac:dyDescent="0.3">
      <c r="A158" s="20">
        <v>15.7</v>
      </c>
      <c r="B158" s="20">
        <v>74</v>
      </c>
      <c r="C158" s="26">
        <v>71.61</v>
      </c>
      <c r="D158" s="20">
        <v>2.39</v>
      </c>
      <c r="E158" s="20">
        <v>-0.12</v>
      </c>
      <c r="F158" s="26">
        <v>2803.98</v>
      </c>
      <c r="Q158" s="20">
        <v>15.7</v>
      </c>
      <c r="R158" s="20">
        <v>73.87</v>
      </c>
      <c r="S158" s="26">
        <v>74</v>
      </c>
      <c r="T158" s="26">
        <v>0.13</v>
      </c>
      <c r="U158" s="26">
        <v>-0.06</v>
      </c>
      <c r="V158" s="20">
        <v>1873.7</v>
      </c>
    </row>
    <row r="159" spans="1:22" ht="16.8" x14ac:dyDescent="0.3">
      <c r="A159" s="20">
        <v>15.8</v>
      </c>
      <c r="B159" s="20">
        <v>74</v>
      </c>
      <c r="C159" s="26">
        <v>71.67</v>
      </c>
      <c r="D159" s="20">
        <v>2.33</v>
      </c>
      <c r="E159" s="20">
        <v>-0.06</v>
      </c>
      <c r="F159" s="26">
        <v>2712.77</v>
      </c>
      <c r="Q159" s="20">
        <v>15.8</v>
      </c>
      <c r="R159" s="20">
        <v>73.88</v>
      </c>
      <c r="S159" s="26">
        <v>74</v>
      </c>
      <c r="T159" s="26">
        <v>0.12</v>
      </c>
      <c r="U159" s="26">
        <v>-0.02</v>
      </c>
      <c r="V159" s="26">
        <v>1910.11</v>
      </c>
    </row>
    <row r="160" spans="1:22" ht="16.8" x14ac:dyDescent="0.3">
      <c r="A160" s="20">
        <v>15.9</v>
      </c>
      <c r="B160" s="20">
        <v>74</v>
      </c>
      <c r="C160" s="20">
        <v>71.819999999999993</v>
      </c>
      <c r="D160" s="20">
        <v>2.1800000000000002</v>
      </c>
      <c r="E160" s="20">
        <v>-0.15</v>
      </c>
      <c r="F160" s="20">
        <v>2859.12</v>
      </c>
      <c r="Q160" s="20">
        <v>15.9</v>
      </c>
      <c r="R160" s="20">
        <v>73.84</v>
      </c>
      <c r="S160" s="26">
        <v>74</v>
      </c>
      <c r="T160" s="26">
        <v>0.16</v>
      </c>
      <c r="U160" s="26">
        <v>0.05</v>
      </c>
      <c r="V160" s="20">
        <v>1970.99</v>
      </c>
    </row>
    <row r="161" spans="1:22" ht="16.8" x14ac:dyDescent="0.3">
      <c r="A161" s="20">
        <v>16</v>
      </c>
      <c r="B161" s="20">
        <v>74</v>
      </c>
      <c r="C161" s="26">
        <v>71.89</v>
      </c>
      <c r="D161" s="20">
        <v>2.11</v>
      </c>
      <c r="E161" s="20">
        <v>-0.08</v>
      </c>
      <c r="F161" s="26">
        <v>2730.89</v>
      </c>
      <c r="Q161" s="20">
        <v>16</v>
      </c>
      <c r="R161" s="20">
        <v>73.87</v>
      </c>
      <c r="S161" s="26">
        <v>74</v>
      </c>
      <c r="T161" s="26">
        <v>0.13</v>
      </c>
      <c r="U161" s="26">
        <v>-0.03</v>
      </c>
      <c r="V161" s="26">
        <v>1900.7</v>
      </c>
    </row>
    <row r="162" spans="1:22" ht="16.8" x14ac:dyDescent="0.3">
      <c r="A162" s="20">
        <v>16.100000000000001</v>
      </c>
      <c r="B162" s="20">
        <v>74</v>
      </c>
      <c r="C162" s="20">
        <v>72.05</v>
      </c>
      <c r="D162" s="20">
        <v>1.95</v>
      </c>
      <c r="E162" s="20">
        <v>-0.16</v>
      </c>
      <c r="F162" s="20">
        <v>2849.18</v>
      </c>
      <c r="Q162" s="20">
        <v>16.100000000000001</v>
      </c>
      <c r="R162" s="20">
        <v>73.81</v>
      </c>
      <c r="S162" s="26">
        <v>74</v>
      </c>
      <c r="T162" s="20">
        <v>0.19</v>
      </c>
      <c r="U162" s="20">
        <v>0.06</v>
      </c>
      <c r="V162" s="20">
        <v>1982.51</v>
      </c>
    </row>
    <row r="163" spans="1:22" ht="16.8" x14ac:dyDescent="0.3">
      <c r="A163" s="20">
        <v>16.2</v>
      </c>
      <c r="B163" s="20">
        <v>74</v>
      </c>
      <c r="C163" s="26">
        <v>72.12</v>
      </c>
      <c r="D163" s="20">
        <v>1.88</v>
      </c>
      <c r="E163" s="20">
        <v>-7.0000000000000007E-2</v>
      </c>
      <c r="F163" s="26">
        <v>2707.16</v>
      </c>
      <c r="Q163" s="20">
        <v>16.2</v>
      </c>
      <c r="R163" s="20">
        <v>73.88</v>
      </c>
      <c r="S163" s="26">
        <v>74</v>
      </c>
      <c r="T163" s="26">
        <v>0.12</v>
      </c>
      <c r="U163" s="26">
        <v>-0.06</v>
      </c>
      <c r="V163" s="26">
        <v>1874.08</v>
      </c>
    </row>
    <row r="164" spans="1:22" ht="16.8" x14ac:dyDescent="0.3">
      <c r="A164" s="20">
        <v>16.3</v>
      </c>
      <c r="B164" s="20">
        <v>74</v>
      </c>
      <c r="C164" s="26">
        <v>72.27</v>
      </c>
      <c r="D164" s="20">
        <v>1.73</v>
      </c>
      <c r="E164" s="20">
        <v>-0.15</v>
      </c>
      <c r="F164" s="26">
        <v>2835.83</v>
      </c>
      <c r="Q164" s="20">
        <v>16.3</v>
      </c>
      <c r="R164" s="20">
        <v>73.900000000000006</v>
      </c>
      <c r="S164" s="26">
        <v>74</v>
      </c>
      <c r="T164" s="20">
        <v>0.1</v>
      </c>
      <c r="U164" s="20">
        <v>-0.02</v>
      </c>
      <c r="V164" s="20">
        <v>1902.55</v>
      </c>
    </row>
    <row r="165" spans="1:22" ht="16.8" x14ac:dyDescent="0.3">
      <c r="A165" s="20">
        <v>16.399999999999999</v>
      </c>
      <c r="B165" s="20">
        <v>74</v>
      </c>
      <c r="C165" s="20">
        <v>72.36</v>
      </c>
      <c r="D165" s="20">
        <v>1.64</v>
      </c>
      <c r="E165" s="20">
        <v>-0.09</v>
      </c>
      <c r="F165" s="20">
        <v>2731.17</v>
      </c>
      <c r="Q165" s="20">
        <v>16.399999999999999</v>
      </c>
      <c r="R165" s="20">
        <v>73.88</v>
      </c>
      <c r="S165" s="26">
        <v>74</v>
      </c>
      <c r="T165" s="26">
        <v>0.12</v>
      </c>
      <c r="U165" s="26">
        <v>0.02</v>
      </c>
      <c r="V165" s="26">
        <v>1946.09</v>
      </c>
    </row>
    <row r="166" spans="1:22" ht="16.8" x14ac:dyDescent="0.3">
      <c r="A166" s="20">
        <v>16.5</v>
      </c>
      <c r="B166" s="20">
        <v>74</v>
      </c>
      <c r="C166" s="26">
        <v>72.5</v>
      </c>
      <c r="D166" s="20">
        <v>1.5</v>
      </c>
      <c r="E166" s="20">
        <v>-0.14000000000000001</v>
      </c>
      <c r="F166" s="26">
        <v>2822.31</v>
      </c>
      <c r="Q166" s="20">
        <v>16.5</v>
      </c>
      <c r="R166" s="20">
        <v>73.87</v>
      </c>
      <c r="S166" s="26">
        <v>74</v>
      </c>
      <c r="T166" s="26">
        <v>0.13</v>
      </c>
      <c r="U166" s="26">
        <v>0.01</v>
      </c>
      <c r="V166" s="20">
        <v>1934.83</v>
      </c>
    </row>
    <row r="167" spans="1:22" ht="16.8" x14ac:dyDescent="0.3">
      <c r="A167" s="20">
        <v>16.600000000000001</v>
      </c>
      <c r="B167" s="20">
        <v>74</v>
      </c>
      <c r="C167" s="20">
        <v>72.62</v>
      </c>
      <c r="D167" s="20">
        <v>1.38</v>
      </c>
      <c r="E167" s="20">
        <v>-0.11</v>
      </c>
      <c r="F167" s="26">
        <v>2774.15</v>
      </c>
      <c r="Q167" s="20">
        <v>16.600000000000001</v>
      </c>
      <c r="R167" s="20">
        <v>73.92</v>
      </c>
      <c r="S167" s="26">
        <v>74</v>
      </c>
      <c r="T167" s="26">
        <v>0.08</v>
      </c>
      <c r="U167" s="26">
        <v>-0.05</v>
      </c>
      <c r="V167" s="20">
        <v>1881.08</v>
      </c>
    </row>
    <row r="168" spans="1:22" ht="16.8" x14ac:dyDescent="0.3">
      <c r="A168" s="20">
        <v>16.7</v>
      </c>
      <c r="B168" s="20">
        <v>74</v>
      </c>
      <c r="C168" s="26">
        <v>72.760000000000005</v>
      </c>
      <c r="D168" s="20">
        <v>1.24</v>
      </c>
      <c r="E168" s="20">
        <v>-0.14000000000000001</v>
      </c>
      <c r="F168" s="20">
        <v>2822.26</v>
      </c>
      <c r="Q168" s="20">
        <v>16.7</v>
      </c>
      <c r="R168" s="20">
        <v>73.900000000000006</v>
      </c>
      <c r="S168" s="26">
        <v>74</v>
      </c>
      <c r="T168" s="26">
        <v>0.1</v>
      </c>
      <c r="U168" s="26">
        <v>0.02</v>
      </c>
      <c r="V168" s="26">
        <v>1936.12</v>
      </c>
    </row>
    <row r="169" spans="1:22" ht="16.8" x14ac:dyDescent="0.3">
      <c r="A169" s="20">
        <v>16.8</v>
      </c>
      <c r="B169" s="20">
        <v>74</v>
      </c>
      <c r="C169" s="26">
        <v>72.91</v>
      </c>
      <c r="D169" s="20">
        <v>1.0900000000000001</v>
      </c>
      <c r="E169" s="20">
        <v>-0.15</v>
      </c>
      <c r="F169" s="26">
        <v>2842.5</v>
      </c>
      <c r="Q169" s="20">
        <v>16.8</v>
      </c>
      <c r="R169" s="20">
        <v>73.88</v>
      </c>
      <c r="S169" s="26">
        <v>74</v>
      </c>
      <c r="T169" s="26">
        <v>0.12</v>
      </c>
      <c r="U169" s="26">
        <v>0.02</v>
      </c>
      <c r="V169" s="20">
        <v>1939.23</v>
      </c>
    </row>
    <row r="170" spans="1:22" ht="16.8" x14ac:dyDescent="0.3">
      <c r="A170" s="20">
        <v>16.899999999999999</v>
      </c>
      <c r="B170" s="20">
        <v>74</v>
      </c>
      <c r="C170" s="20">
        <v>72.989999999999995</v>
      </c>
      <c r="D170" s="20">
        <v>1.01</v>
      </c>
      <c r="E170" s="20">
        <v>-0.08</v>
      </c>
      <c r="F170" s="20">
        <v>2721.14</v>
      </c>
      <c r="Q170" s="20">
        <v>16.899999999999999</v>
      </c>
      <c r="R170" s="20">
        <v>73.900000000000006</v>
      </c>
      <c r="S170" s="26">
        <v>74</v>
      </c>
      <c r="T170" s="26">
        <v>0.1</v>
      </c>
      <c r="U170" s="26">
        <v>-0.02</v>
      </c>
      <c r="V170" s="26">
        <v>1910.68</v>
      </c>
    </row>
    <row r="171" spans="1:22" ht="16.8" x14ac:dyDescent="0.3">
      <c r="A171" s="20">
        <v>17</v>
      </c>
      <c r="B171" s="20">
        <v>74</v>
      </c>
      <c r="C171" s="26">
        <v>73.14</v>
      </c>
      <c r="D171" s="20">
        <v>0.86</v>
      </c>
      <c r="E171" s="20">
        <v>-0.15</v>
      </c>
      <c r="F171" s="26">
        <v>2857.84</v>
      </c>
      <c r="Q171" s="20">
        <v>17</v>
      </c>
      <c r="R171" s="20">
        <v>73.88</v>
      </c>
      <c r="S171" s="26">
        <v>74</v>
      </c>
      <c r="T171" s="26">
        <v>0.12</v>
      </c>
      <c r="U171" s="26">
        <v>0.02</v>
      </c>
      <c r="V171" s="20">
        <v>1947.71</v>
      </c>
    </row>
    <row r="172" spans="1:22" ht="16.8" x14ac:dyDescent="0.3">
      <c r="A172" s="20">
        <v>17.100000000000001</v>
      </c>
      <c r="B172" s="20">
        <v>74</v>
      </c>
      <c r="C172" s="26">
        <v>73.3</v>
      </c>
      <c r="D172" s="20">
        <v>0.7</v>
      </c>
      <c r="E172" s="20">
        <v>-0.16</v>
      </c>
      <c r="F172" s="26">
        <v>2905.3</v>
      </c>
      <c r="Q172" s="20">
        <v>17.100000000000001</v>
      </c>
      <c r="R172" s="20">
        <v>73.88</v>
      </c>
      <c r="S172" s="26">
        <v>74</v>
      </c>
      <c r="T172" s="26">
        <v>0.12</v>
      </c>
      <c r="U172" s="26">
        <v>0</v>
      </c>
      <c r="V172" s="26">
        <v>1928.53</v>
      </c>
    </row>
    <row r="173" spans="1:22" ht="16.8" x14ac:dyDescent="0.3">
      <c r="A173" s="20">
        <v>17.2</v>
      </c>
      <c r="B173" s="20">
        <v>74</v>
      </c>
      <c r="C173" s="20">
        <v>73.430000000000007</v>
      </c>
      <c r="D173" s="20">
        <v>0.56999999999999995</v>
      </c>
      <c r="E173" s="20">
        <v>-0.13</v>
      </c>
      <c r="F173" s="20">
        <v>2895.87</v>
      </c>
      <c r="Q173" s="20">
        <v>17.2</v>
      </c>
      <c r="R173" s="20">
        <v>73.91</v>
      </c>
      <c r="S173" s="26">
        <v>74</v>
      </c>
      <c r="T173" s="26">
        <v>0.09</v>
      </c>
      <c r="U173" s="26">
        <v>-0.03</v>
      </c>
      <c r="V173" s="20">
        <v>1897.11</v>
      </c>
    </row>
    <row r="174" spans="1:22" ht="16.8" x14ac:dyDescent="0.3">
      <c r="A174" s="20">
        <v>17.3</v>
      </c>
      <c r="B174" s="20">
        <v>74</v>
      </c>
      <c r="C174" s="26">
        <v>73.489999999999995</v>
      </c>
      <c r="D174" s="20">
        <v>0.51</v>
      </c>
      <c r="E174" s="20">
        <v>-0.06</v>
      </c>
      <c r="F174" s="26">
        <v>2737.92</v>
      </c>
      <c r="Q174" s="20">
        <v>17.3</v>
      </c>
      <c r="R174" s="20">
        <v>73.91</v>
      </c>
      <c r="S174" s="26">
        <v>74</v>
      </c>
      <c r="T174" s="26">
        <v>0.09</v>
      </c>
      <c r="U174" s="26">
        <v>0</v>
      </c>
      <c r="V174" s="26">
        <v>1923.32</v>
      </c>
    </row>
    <row r="175" spans="1:22" ht="16.8" x14ac:dyDescent="0.3">
      <c r="A175" s="20">
        <v>17.399999999999999</v>
      </c>
      <c r="B175" s="20">
        <v>74</v>
      </c>
      <c r="C175" s="20">
        <v>73.680000000000007</v>
      </c>
      <c r="D175" s="20">
        <v>0.32</v>
      </c>
      <c r="E175" s="20">
        <v>-0.2</v>
      </c>
      <c r="F175" s="26">
        <v>2879.28</v>
      </c>
      <c r="Q175" s="20">
        <v>17.399999999999999</v>
      </c>
      <c r="R175" s="20">
        <v>73.92</v>
      </c>
      <c r="S175" s="26">
        <v>74</v>
      </c>
      <c r="T175" s="26">
        <v>0.08</v>
      </c>
      <c r="U175" s="26">
        <v>-0.01</v>
      </c>
      <c r="V175" s="20">
        <v>1915.62</v>
      </c>
    </row>
    <row r="176" spans="1:22" ht="16.8" x14ac:dyDescent="0.3">
      <c r="A176" s="20">
        <v>17.5</v>
      </c>
      <c r="B176" s="20">
        <v>74</v>
      </c>
      <c r="C176" s="26">
        <v>73.819999999999993</v>
      </c>
      <c r="D176" s="20">
        <v>0.18</v>
      </c>
      <c r="E176" s="20">
        <v>-0.14000000000000001</v>
      </c>
      <c r="F176" s="20">
        <v>2747.53</v>
      </c>
      <c r="Q176" s="20">
        <v>17.5</v>
      </c>
      <c r="R176" s="20">
        <v>73.95</v>
      </c>
      <c r="S176" s="26">
        <v>74</v>
      </c>
      <c r="T176" s="26">
        <v>0.05</v>
      </c>
      <c r="U176" s="26">
        <v>-0.03</v>
      </c>
      <c r="V176" s="26">
        <v>1890.6</v>
      </c>
    </row>
    <row r="177" spans="1:22" ht="16.8" x14ac:dyDescent="0.3">
      <c r="A177" s="20">
        <v>17.600000000000001</v>
      </c>
      <c r="B177" s="20">
        <v>74</v>
      </c>
      <c r="C177" s="26">
        <v>73.91</v>
      </c>
      <c r="D177" s="20">
        <v>0.09</v>
      </c>
      <c r="E177" s="20">
        <v>-0.09</v>
      </c>
      <c r="F177" s="26">
        <v>2652.73</v>
      </c>
      <c r="Q177" s="20">
        <v>17.600000000000001</v>
      </c>
      <c r="R177" s="20">
        <v>73.930000000000007</v>
      </c>
      <c r="S177" s="26">
        <v>74</v>
      </c>
      <c r="T177" s="20">
        <v>7.0000000000000007E-2</v>
      </c>
      <c r="U177" s="26">
        <v>0.02</v>
      </c>
      <c r="V177" s="20">
        <v>1932.56</v>
      </c>
    </row>
    <row r="178" spans="1:22" ht="16.8" x14ac:dyDescent="0.3">
      <c r="A178" s="20">
        <v>17.7</v>
      </c>
      <c r="B178" s="20">
        <v>74</v>
      </c>
      <c r="C178" s="20">
        <v>74.09</v>
      </c>
      <c r="D178" s="20">
        <v>-0.09</v>
      </c>
      <c r="E178" s="20">
        <v>-0.17</v>
      </c>
      <c r="F178" s="20">
        <v>2390.62</v>
      </c>
      <c r="Q178" s="20">
        <v>17.7</v>
      </c>
      <c r="R178" s="20">
        <v>73.94</v>
      </c>
      <c r="S178" s="26">
        <v>74</v>
      </c>
      <c r="T178" s="26">
        <v>0.06</v>
      </c>
      <c r="U178" s="26">
        <v>-0.01</v>
      </c>
      <c r="V178" s="20">
        <v>1911.82</v>
      </c>
    </row>
    <row r="179" spans="1:22" ht="16.8" x14ac:dyDescent="0.3">
      <c r="A179" s="20">
        <v>17.8</v>
      </c>
      <c r="B179" s="20">
        <v>74</v>
      </c>
      <c r="C179" s="26">
        <v>74.180000000000007</v>
      </c>
      <c r="D179" s="20">
        <v>-0.18</v>
      </c>
      <c r="E179" s="20">
        <v>-0.09</v>
      </c>
      <c r="F179" s="26">
        <v>2270.44</v>
      </c>
      <c r="Q179" s="20">
        <v>17.8</v>
      </c>
      <c r="R179" s="20">
        <v>73.930000000000007</v>
      </c>
      <c r="S179" s="26">
        <v>74</v>
      </c>
      <c r="T179" s="20">
        <v>7.0000000000000007E-2</v>
      </c>
      <c r="U179" s="26">
        <v>0.01</v>
      </c>
      <c r="V179" s="26">
        <v>1926.38</v>
      </c>
    </row>
    <row r="180" spans="1:22" ht="16.8" x14ac:dyDescent="0.3">
      <c r="A180" s="20">
        <v>17.899999999999999</v>
      </c>
      <c r="B180" s="20">
        <v>74</v>
      </c>
      <c r="C180" s="20">
        <v>74.36</v>
      </c>
      <c r="D180" s="20">
        <v>-0.36</v>
      </c>
      <c r="E180" s="20">
        <v>-0.19</v>
      </c>
      <c r="F180" s="26">
        <v>1999.2</v>
      </c>
      <c r="Q180" s="20">
        <v>17.899999999999999</v>
      </c>
      <c r="R180" s="20">
        <v>73.88</v>
      </c>
      <c r="S180" s="26">
        <v>74</v>
      </c>
      <c r="T180" s="26">
        <v>0.12</v>
      </c>
      <c r="U180" s="26">
        <v>0.06</v>
      </c>
      <c r="V180" s="20">
        <v>1975.57</v>
      </c>
    </row>
    <row r="181" spans="1:22" ht="16.8" x14ac:dyDescent="0.3">
      <c r="A181" s="20">
        <v>18</v>
      </c>
      <c r="B181" s="20">
        <v>74</v>
      </c>
      <c r="C181" s="26">
        <v>74.47</v>
      </c>
      <c r="D181" s="20">
        <v>-0.47</v>
      </c>
      <c r="E181" s="20">
        <v>-0.1</v>
      </c>
      <c r="F181" s="20">
        <v>1919.82</v>
      </c>
      <c r="Q181" s="20">
        <v>18</v>
      </c>
      <c r="R181" s="20">
        <v>73.94</v>
      </c>
      <c r="S181" s="26">
        <v>74</v>
      </c>
      <c r="T181" s="26">
        <v>0.06</v>
      </c>
      <c r="U181" s="26">
        <v>-0.06</v>
      </c>
      <c r="V181" s="26">
        <v>1866.96</v>
      </c>
    </row>
    <row r="182" spans="1:22" ht="16.8" x14ac:dyDescent="0.3">
      <c r="A182" s="20">
        <v>18.100000000000001</v>
      </c>
      <c r="B182" s="20">
        <v>74</v>
      </c>
      <c r="C182" s="26">
        <v>74.48</v>
      </c>
      <c r="D182" s="20">
        <v>-0.48</v>
      </c>
      <c r="E182" s="20">
        <v>-0.01</v>
      </c>
      <c r="F182" s="26">
        <v>1984.19</v>
      </c>
      <c r="Q182" s="20">
        <v>18.100000000000001</v>
      </c>
      <c r="R182" s="20">
        <v>73.95</v>
      </c>
      <c r="S182" s="26">
        <v>74</v>
      </c>
      <c r="T182" s="26">
        <v>0.05</v>
      </c>
      <c r="U182" s="26">
        <v>-0.01</v>
      </c>
      <c r="V182" s="20">
        <v>1911.15</v>
      </c>
    </row>
    <row r="183" spans="1:22" ht="16.8" x14ac:dyDescent="0.3">
      <c r="A183" s="20">
        <v>18.2</v>
      </c>
      <c r="B183" s="20">
        <v>74</v>
      </c>
      <c r="C183" s="20">
        <v>74.69</v>
      </c>
      <c r="D183" s="20">
        <v>-0.69</v>
      </c>
      <c r="E183" s="20">
        <v>-0.21</v>
      </c>
      <c r="F183" s="20">
        <v>1276.95</v>
      </c>
      <c r="Q183" s="20">
        <v>18.2</v>
      </c>
      <c r="R183" s="20">
        <v>73.900000000000006</v>
      </c>
      <c r="S183" s="26">
        <v>74</v>
      </c>
      <c r="T183" s="26">
        <v>0.1</v>
      </c>
      <c r="U183" s="26">
        <v>0.05</v>
      </c>
      <c r="V183" s="26">
        <v>1965.34</v>
      </c>
    </row>
    <row r="184" spans="1:22" ht="16.8" x14ac:dyDescent="0.3">
      <c r="A184" s="20">
        <v>18.3</v>
      </c>
      <c r="B184" s="20">
        <v>74</v>
      </c>
      <c r="C184" s="26">
        <v>74.5</v>
      </c>
      <c r="D184" s="20">
        <v>-0.5</v>
      </c>
      <c r="E184" s="20">
        <v>0.19</v>
      </c>
      <c r="F184" s="26">
        <v>1968.47</v>
      </c>
      <c r="Q184" s="20">
        <v>18.3</v>
      </c>
      <c r="R184" s="20">
        <v>73.92</v>
      </c>
      <c r="S184" s="26">
        <v>74</v>
      </c>
      <c r="T184" s="20">
        <v>0.08</v>
      </c>
      <c r="U184" s="26">
        <v>-0.02</v>
      </c>
      <c r="V184" s="20">
        <v>1910.77</v>
      </c>
    </row>
    <row r="185" spans="1:22" ht="16.8" x14ac:dyDescent="0.3">
      <c r="A185" s="20">
        <v>18.399999999999999</v>
      </c>
      <c r="B185" s="20">
        <v>74</v>
      </c>
      <c r="C185" s="26">
        <v>74.819999999999993</v>
      </c>
      <c r="D185" s="20">
        <v>-0.82</v>
      </c>
      <c r="E185" s="20">
        <v>-0.32</v>
      </c>
      <c r="F185" s="26">
        <v>435.84</v>
      </c>
      <c r="Q185" s="20">
        <v>18.399999999999999</v>
      </c>
      <c r="R185" s="20">
        <v>73.930000000000007</v>
      </c>
      <c r="S185" s="26">
        <v>74</v>
      </c>
      <c r="T185" s="26">
        <v>7.0000000000000007E-2</v>
      </c>
      <c r="U185" s="26">
        <v>-0.02</v>
      </c>
      <c r="V185" s="26">
        <v>1908.1</v>
      </c>
    </row>
    <row r="186" spans="1:22" ht="16.8" x14ac:dyDescent="0.3">
      <c r="A186" s="20">
        <v>18.5</v>
      </c>
      <c r="B186" s="20">
        <v>74</v>
      </c>
      <c r="C186" s="20">
        <v>74.63</v>
      </c>
      <c r="D186" s="20">
        <v>-0.63</v>
      </c>
      <c r="E186" s="20">
        <v>0.19</v>
      </c>
      <c r="F186" s="20">
        <v>1675.98</v>
      </c>
      <c r="Q186" s="20">
        <v>18.5</v>
      </c>
      <c r="R186" s="20">
        <v>73.900000000000006</v>
      </c>
      <c r="S186" s="26">
        <v>74</v>
      </c>
      <c r="T186" s="20">
        <v>0.1</v>
      </c>
      <c r="U186" s="26">
        <v>0.03</v>
      </c>
      <c r="V186" s="20">
        <v>1952.97</v>
      </c>
    </row>
    <row r="187" spans="1:22" ht="16.8" x14ac:dyDescent="0.3">
      <c r="A187" s="20">
        <v>18.600000000000001</v>
      </c>
      <c r="B187" s="20">
        <v>74</v>
      </c>
      <c r="C187" s="26">
        <v>74.680000000000007</v>
      </c>
      <c r="D187" s="20">
        <v>-0.68</v>
      </c>
      <c r="E187" s="20">
        <v>-0.06</v>
      </c>
      <c r="F187" s="26">
        <v>1415.16</v>
      </c>
      <c r="Q187" s="20">
        <v>18.600000000000001</v>
      </c>
      <c r="R187" s="20">
        <v>73.900000000000006</v>
      </c>
      <c r="S187" s="26">
        <v>74</v>
      </c>
      <c r="T187" s="26">
        <v>0.1</v>
      </c>
      <c r="U187" s="26">
        <v>0</v>
      </c>
      <c r="V187" s="20">
        <v>1927.24</v>
      </c>
    </row>
    <row r="188" spans="1:22" ht="16.8" x14ac:dyDescent="0.3">
      <c r="A188" s="20">
        <v>18.7</v>
      </c>
      <c r="B188" s="20">
        <v>74</v>
      </c>
      <c r="C188" s="20">
        <v>74.650000000000006</v>
      </c>
      <c r="D188" s="20">
        <v>-0.65</v>
      </c>
      <c r="E188" s="20">
        <v>0.03</v>
      </c>
      <c r="F188" s="26">
        <v>1596.25</v>
      </c>
      <c r="Q188" s="20">
        <v>18.7</v>
      </c>
      <c r="R188" s="20">
        <v>73.87</v>
      </c>
      <c r="S188" s="26">
        <v>74</v>
      </c>
      <c r="T188" s="26">
        <v>0.13</v>
      </c>
      <c r="U188" s="26">
        <v>0.03</v>
      </c>
      <c r="V188" s="26">
        <v>1959.21</v>
      </c>
    </row>
    <row r="189" spans="1:22" ht="16.8" x14ac:dyDescent="0.3">
      <c r="A189" s="20">
        <v>18.8</v>
      </c>
      <c r="B189" s="20">
        <v>74</v>
      </c>
      <c r="C189" s="26">
        <v>74.650000000000006</v>
      </c>
      <c r="D189" s="20">
        <v>-0.65</v>
      </c>
      <c r="E189" s="20">
        <v>0</v>
      </c>
      <c r="F189" s="20">
        <v>1596.25</v>
      </c>
      <c r="Q189" s="20">
        <v>18.8</v>
      </c>
      <c r="R189" s="20">
        <v>73.900000000000006</v>
      </c>
      <c r="S189" s="26">
        <v>74</v>
      </c>
      <c r="T189" s="26">
        <v>0.1</v>
      </c>
      <c r="U189" s="26">
        <v>-0.03</v>
      </c>
      <c r="V189" s="20">
        <v>1901.83</v>
      </c>
    </row>
    <row r="190" spans="1:22" ht="16.8" x14ac:dyDescent="0.3">
      <c r="A190" s="20">
        <v>18.899999999999999</v>
      </c>
      <c r="B190" s="20">
        <v>74</v>
      </c>
      <c r="C190" s="26">
        <v>74.61</v>
      </c>
      <c r="D190" s="20">
        <v>-0.61</v>
      </c>
      <c r="E190" s="20">
        <v>0.04</v>
      </c>
      <c r="F190" s="26">
        <v>1734.47</v>
      </c>
      <c r="Q190" s="20">
        <v>18.899999999999999</v>
      </c>
      <c r="R190" s="20">
        <v>73.900000000000006</v>
      </c>
      <c r="S190" s="26">
        <v>74</v>
      </c>
      <c r="T190" s="26">
        <v>0.1</v>
      </c>
      <c r="U190" s="26">
        <v>0</v>
      </c>
      <c r="V190" s="26">
        <v>1928.06</v>
      </c>
    </row>
    <row r="191" spans="1:22" ht="16.8" x14ac:dyDescent="0.3">
      <c r="A191" s="20">
        <v>19</v>
      </c>
      <c r="B191" s="20">
        <v>74</v>
      </c>
      <c r="C191" s="20">
        <v>74.599999999999994</v>
      </c>
      <c r="D191" s="20">
        <v>-0.6</v>
      </c>
      <c r="E191" s="20">
        <v>0.01</v>
      </c>
      <c r="F191" s="20">
        <v>1756.1</v>
      </c>
      <c r="Q191" s="20">
        <v>19</v>
      </c>
      <c r="R191" s="20">
        <v>73.86</v>
      </c>
      <c r="S191" s="26">
        <v>74</v>
      </c>
      <c r="T191" s="26">
        <v>0.14000000000000001</v>
      </c>
      <c r="U191" s="26">
        <v>0.04</v>
      </c>
      <c r="V191" s="20">
        <v>1967.96</v>
      </c>
    </row>
    <row r="192" spans="1:22" ht="16.8" x14ac:dyDescent="0.3">
      <c r="A192" s="20">
        <v>19.100000000000001</v>
      </c>
      <c r="B192" s="20">
        <v>74</v>
      </c>
      <c r="C192" s="26">
        <v>74.52</v>
      </c>
      <c r="D192" s="20">
        <v>-0.52</v>
      </c>
      <c r="E192" s="20">
        <v>0.08</v>
      </c>
      <c r="F192" s="26">
        <v>1925.28</v>
      </c>
      <c r="Q192" s="20">
        <v>19.100000000000001</v>
      </c>
      <c r="R192" s="20">
        <v>73.88</v>
      </c>
      <c r="S192" s="26">
        <v>74</v>
      </c>
      <c r="T192" s="20">
        <v>0.12</v>
      </c>
      <c r="U192" s="20">
        <v>-0.02</v>
      </c>
      <c r="V192" s="26">
        <v>1919.98</v>
      </c>
    </row>
    <row r="193" spans="1:22" ht="16.8" x14ac:dyDescent="0.3">
      <c r="A193" s="20">
        <v>19.2</v>
      </c>
      <c r="B193" s="20">
        <v>74</v>
      </c>
      <c r="C193" s="20">
        <v>74.459999999999994</v>
      </c>
      <c r="D193" s="20">
        <v>-0.46</v>
      </c>
      <c r="E193" s="20">
        <v>0.06</v>
      </c>
      <c r="F193" s="26">
        <v>2032.93</v>
      </c>
      <c r="Q193" s="20">
        <v>19.2</v>
      </c>
      <c r="R193" s="20">
        <v>73.91</v>
      </c>
      <c r="S193" s="26">
        <v>74</v>
      </c>
      <c r="T193" s="26">
        <v>0.09</v>
      </c>
      <c r="U193" s="26">
        <v>-0.03</v>
      </c>
      <c r="V193" s="20">
        <v>1901.54</v>
      </c>
    </row>
    <row r="194" spans="1:22" ht="16.8" x14ac:dyDescent="0.3">
      <c r="A194" s="20">
        <v>19.3</v>
      </c>
      <c r="B194" s="20">
        <v>74</v>
      </c>
      <c r="C194" s="26">
        <v>74.489999999999995</v>
      </c>
      <c r="D194" s="20">
        <v>-0.49</v>
      </c>
      <c r="E194" s="20">
        <v>-0.03</v>
      </c>
      <c r="F194" s="20">
        <v>1952.36</v>
      </c>
      <c r="Q194" s="20">
        <v>19.3</v>
      </c>
      <c r="R194" s="20">
        <v>73.88</v>
      </c>
      <c r="S194" s="26">
        <v>74</v>
      </c>
      <c r="T194" s="26">
        <v>0.12</v>
      </c>
      <c r="U194" s="26">
        <v>0.03</v>
      </c>
      <c r="V194" s="26">
        <v>1959.48</v>
      </c>
    </row>
    <row r="195" spans="1:22" ht="16.8" x14ac:dyDescent="0.3">
      <c r="A195" s="20">
        <v>19.399999999999999</v>
      </c>
      <c r="B195" s="20">
        <v>74</v>
      </c>
      <c r="C195" s="26">
        <v>74.3</v>
      </c>
      <c r="D195" s="20">
        <v>-0.3</v>
      </c>
      <c r="E195" s="20">
        <v>0.19</v>
      </c>
      <c r="F195" s="26">
        <v>2229.2399999999998</v>
      </c>
      <c r="Q195" s="20">
        <v>19.399999999999999</v>
      </c>
      <c r="R195" s="20">
        <v>73.86</v>
      </c>
      <c r="S195" s="26">
        <v>74</v>
      </c>
      <c r="T195" s="26">
        <v>0.14000000000000001</v>
      </c>
      <c r="U195" s="26">
        <v>0.02</v>
      </c>
      <c r="V195" s="20">
        <v>1949.66</v>
      </c>
    </row>
    <row r="196" spans="1:22" ht="16.8" x14ac:dyDescent="0.3">
      <c r="A196" s="20">
        <v>19.5</v>
      </c>
      <c r="B196" s="20">
        <v>74</v>
      </c>
      <c r="C196" s="20">
        <v>74.39</v>
      </c>
      <c r="D196" s="20">
        <v>-0.39</v>
      </c>
      <c r="E196" s="20">
        <v>-0.09</v>
      </c>
      <c r="F196" s="20">
        <v>2047.74</v>
      </c>
      <c r="Q196" s="20">
        <v>19.5</v>
      </c>
      <c r="R196" s="20">
        <v>73.87</v>
      </c>
      <c r="S196" s="26">
        <v>74</v>
      </c>
      <c r="T196" s="26">
        <v>0.13</v>
      </c>
      <c r="U196" s="26">
        <v>-0.01</v>
      </c>
      <c r="V196" s="26">
        <v>1929.09</v>
      </c>
    </row>
    <row r="197" spans="1:22" ht="16.8" x14ac:dyDescent="0.3">
      <c r="A197" s="20">
        <v>19.600000000000001</v>
      </c>
      <c r="B197" s="20">
        <v>74</v>
      </c>
      <c r="C197" s="26">
        <v>74.28</v>
      </c>
      <c r="D197" s="20">
        <v>-0.28000000000000003</v>
      </c>
      <c r="E197" s="20">
        <v>0.11</v>
      </c>
      <c r="F197" s="26">
        <v>2251.84</v>
      </c>
      <c r="Q197" s="20">
        <v>19.600000000000001</v>
      </c>
      <c r="R197" s="20">
        <v>73.88</v>
      </c>
      <c r="S197" s="26">
        <v>74</v>
      </c>
      <c r="T197" s="20">
        <v>0.12</v>
      </c>
      <c r="U197" s="26">
        <v>-0.02</v>
      </c>
      <c r="V197" s="20">
        <v>1920.04</v>
      </c>
    </row>
    <row r="198" spans="1:22" ht="16.8" x14ac:dyDescent="0.3">
      <c r="A198" s="20">
        <v>19.7</v>
      </c>
      <c r="B198" s="20">
        <v>74</v>
      </c>
      <c r="C198" s="26">
        <v>74.3</v>
      </c>
      <c r="D198" s="20">
        <v>-0.3</v>
      </c>
      <c r="E198" s="20">
        <v>-0.02</v>
      </c>
      <c r="F198" s="26">
        <v>2212</v>
      </c>
      <c r="Q198" s="20">
        <v>19.7</v>
      </c>
      <c r="R198" s="20">
        <v>73.88</v>
      </c>
      <c r="S198" s="26">
        <v>74</v>
      </c>
      <c r="T198" s="26">
        <v>0.12</v>
      </c>
      <c r="U198" s="26">
        <v>0.01</v>
      </c>
      <c r="V198" s="26">
        <v>1941.27</v>
      </c>
    </row>
    <row r="199" spans="1:22" ht="16.8" x14ac:dyDescent="0.3">
      <c r="A199" s="20">
        <v>19.8</v>
      </c>
      <c r="B199" s="20">
        <v>74</v>
      </c>
      <c r="C199" s="20">
        <v>74.23</v>
      </c>
      <c r="D199" s="20">
        <v>-0.23</v>
      </c>
      <c r="E199" s="20">
        <v>7.0000000000000007E-2</v>
      </c>
      <c r="F199" s="20">
        <v>2302.4299999999998</v>
      </c>
      <c r="Q199" s="20">
        <v>19.8</v>
      </c>
      <c r="R199" s="20">
        <v>73.86</v>
      </c>
      <c r="S199" s="26">
        <v>74</v>
      </c>
      <c r="T199" s="20">
        <v>0.14000000000000001</v>
      </c>
      <c r="U199" s="26">
        <v>0.02</v>
      </c>
      <c r="V199" s="20">
        <v>1950.93</v>
      </c>
    </row>
    <row r="200" spans="1:22" ht="16.8" x14ac:dyDescent="0.3">
      <c r="A200" s="20">
        <v>19.899999999999999</v>
      </c>
      <c r="B200" s="20">
        <v>74</v>
      </c>
      <c r="C200" s="26">
        <v>74.180000000000007</v>
      </c>
      <c r="D200" s="20">
        <v>-0.18</v>
      </c>
      <c r="E200" s="20">
        <v>0.05</v>
      </c>
      <c r="F200" s="26">
        <v>2351.87</v>
      </c>
      <c r="Q200" s="20">
        <v>19.899999999999999</v>
      </c>
      <c r="R200" s="20">
        <v>73.88</v>
      </c>
      <c r="S200" s="26">
        <v>74</v>
      </c>
      <c r="T200" s="26">
        <v>0.12</v>
      </c>
      <c r="U200" s="26">
        <v>-0.02</v>
      </c>
      <c r="V200" s="20">
        <v>1914.49</v>
      </c>
    </row>
    <row r="201" spans="1:22" ht="16.8" x14ac:dyDescent="0.3">
      <c r="A201" s="20">
        <v>20</v>
      </c>
      <c r="B201" s="20">
        <v>74</v>
      </c>
      <c r="C201" s="20">
        <v>74.13</v>
      </c>
      <c r="D201" s="20">
        <v>-0.13</v>
      </c>
      <c r="E201" s="20">
        <v>0.05</v>
      </c>
      <c r="F201" s="20">
        <v>2405.5500000000002</v>
      </c>
      <c r="Q201" s="20">
        <v>20</v>
      </c>
      <c r="R201" s="20">
        <v>73.91</v>
      </c>
      <c r="S201" s="26">
        <v>74</v>
      </c>
      <c r="T201" s="26">
        <v>0.09</v>
      </c>
      <c r="U201" s="26">
        <v>-0.02</v>
      </c>
      <c r="V201" s="26">
        <v>1910.49</v>
      </c>
    </row>
    <row r="202" spans="1:22" ht="16.8" x14ac:dyDescent="0.3">
      <c r="A202" s="20">
        <v>20.100000000000001</v>
      </c>
      <c r="B202" s="20">
        <v>74</v>
      </c>
      <c r="C202" s="26">
        <v>74.14</v>
      </c>
      <c r="D202" s="20">
        <v>-0.14000000000000001</v>
      </c>
      <c r="E202" s="20">
        <v>-0.01</v>
      </c>
      <c r="F202" s="26">
        <v>2381.62</v>
      </c>
      <c r="Q202" s="20">
        <v>20.100000000000001</v>
      </c>
      <c r="R202" s="20">
        <v>73.91</v>
      </c>
      <c r="S202" s="26">
        <v>74</v>
      </c>
      <c r="T202" s="26">
        <v>0.09</v>
      </c>
      <c r="U202" s="26">
        <v>0</v>
      </c>
      <c r="V202" s="20">
        <v>1930.2</v>
      </c>
    </row>
    <row r="203" spans="1:22" ht="16.8" x14ac:dyDescent="0.3">
      <c r="A203" s="20">
        <v>20.2</v>
      </c>
      <c r="B203" s="20">
        <v>74</v>
      </c>
      <c r="C203" s="26">
        <v>74.099999999999994</v>
      </c>
      <c r="D203" s="20">
        <v>-0.1</v>
      </c>
      <c r="E203" s="20">
        <v>0.04</v>
      </c>
      <c r="F203" s="26">
        <v>2434.9899999999998</v>
      </c>
      <c r="Q203" s="20">
        <v>20.2</v>
      </c>
      <c r="R203" s="20">
        <v>73.89</v>
      </c>
      <c r="S203" s="26">
        <v>74</v>
      </c>
      <c r="T203" s="26">
        <v>0.11</v>
      </c>
      <c r="U203" s="26">
        <v>0.02</v>
      </c>
      <c r="V203" s="26">
        <v>1946.28</v>
      </c>
    </row>
    <row r="204" spans="1:22" ht="16.8" x14ac:dyDescent="0.3">
      <c r="A204" s="20">
        <v>20.3</v>
      </c>
      <c r="B204" s="20">
        <v>74</v>
      </c>
      <c r="C204" s="20">
        <v>74.03</v>
      </c>
      <c r="D204" s="20">
        <v>-0.03</v>
      </c>
      <c r="E204" s="20">
        <v>7.0000000000000007E-2</v>
      </c>
      <c r="F204" s="20">
        <v>2509.29</v>
      </c>
      <c r="Q204" s="20">
        <v>20.3</v>
      </c>
      <c r="R204" s="20">
        <v>73.92</v>
      </c>
      <c r="S204" s="26">
        <v>74</v>
      </c>
      <c r="T204" s="20">
        <v>0.08</v>
      </c>
      <c r="U204" s="26">
        <v>-0.02</v>
      </c>
      <c r="V204" s="20">
        <v>1909.78</v>
      </c>
    </row>
    <row r="205" spans="1:22" ht="16.8" x14ac:dyDescent="0.3">
      <c r="A205" s="20">
        <v>20.399999999999999</v>
      </c>
      <c r="B205" s="20">
        <v>74</v>
      </c>
      <c r="C205" s="26">
        <v>74.05</v>
      </c>
      <c r="D205" s="20">
        <v>-0.05</v>
      </c>
      <c r="E205" s="20">
        <v>-0.01</v>
      </c>
      <c r="F205" s="26">
        <v>2483.9899999999998</v>
      </c>
      <c r="Q205" s="20">
        <v>20.399999999999999</v>
      </c>
      <c r="R205" s="20">
        <v>73.89</v>
      </c>
      <c r="S205" s="26">
        <v>74</v>
      </c>
      <c r="T205" s="26">
        <v>0.11</v>
      </c>
      <c r="U205" s="26">
        <v>0.02</v>
      </c>
      <c r="V205" s="26">
        <v>1953.25</v>
      </c>
    </row>
    <row r="206" spans="1:22" ht="16.8" x14ac:dyDescent="0.3">
      <c r="A206" s="20">
        <v>20.5</v>
      </c>
      <c r="B206" s="20">
        <v>74</v>
      </c>
      <c r="C206" s="20">
        <v>74.040000000000006</v>
      </c>
      <c r="D206" s="20">
        <v>-0.04</v>
      </c>
      <c r="E206" s="20">
        <v>0</v>
      </c>
      <c r="F206" s="20">
        <v>2500.79</v>
      </c>
      <c r="Q206" s="20">
        <v>20.5</v>
      </c>
      <c r="R206" s="20">
        <v>73.88</v>
      </c>
      <c r="S206" s="26">
        <v>74</v>
      </c>
      <c r="T206" s="20">
        <v>0.12</v>
      </c>
      <c r="U206" s="26">
        <v>0.02</v>
      </c>
      <c r="V206" s="20">
        <v>1949.9</v>
      </c>
    </row>
    <row r="207" spans="1:22" ht="16.8" x14ac:dyDescent="0.3">
      <c r="A207" s="20">
        <v>20.6</v>
      </c>
      <c r="B207" s="20">
        <v>74</v>
      </c>
      <c r="C207" s="26">
        <v>74.05</v>
      </c>
      <c r="D207" s="20">
        <v>-0.05</v>
      </c>
      <c r="E207" s="20">
        <v>-0.01</v>
      </c>
      <c r="F207" s="26">
        <v>2475.1</v>
      </c>
      <c r="Q207" s="20">
        <v>20.6</v>
      </c>
      <c r="R207" s="20">
        <v>73.87</v>
      </c>
      <c r="S207" s="26">
        <v>74</v>
      </c>
      <c r="T207" s="26">
        <v>0.13</v>
      </c>
      <c r="U207" s="26">
        <v>0.01</v>
      </c>
      <c r="V207" s="20">
        <v>1945.14</v>
      </c>
    </row>
    <row r="208" spans="1:22" ht="16.8" x14ac:dyDescent="0.3">
      <c r="A208" s="20">
        <v>20.7</v>
      </c>
      <c r="B208" s="20">
        <v>74</v>
      </c>
      <c r="C208" s="26">
        <v>74.08</v>
      </c>
      <c r="D208" s="20">
        <v>-0.08</v>
      </c>
      <c r="E208" s="20">
        <v>-0.02</v>
      </c>
      <c r="F208" s="26">
        <v>2436.89</v>
      </c>
      <c r="Q208" s="20">
        <v>20.7</v>
      </c>
      <c r="R208" s="20">
        <v>73.88</v>
      </c>
      <c r="S208" s="26">
        <v>74</v>
      </c>
      <c r="T208" s="20">
        <v>0.12</v>
      </c>
      <c r="U208" s="26">
        <v>-0.02</v>
      </c>
      <c r="V208" s="26">
        <v>1923.1</v>
      </c>
    </row>
    <row r="209" spans="1:22" ht="16.8" x14ac:dyDescent="0.3">
      <c r="A209" s="20">
        <v>20.8</v>
      </c>
      <c r="B209" s="20">
        <v>74</v>
      </c>
      <c r="C209" s="20">
        <v>74.11</v>
      </c>
      <c r="D209" s="20">
        <v>-0.11</v>
      </c>
      <c r="E209" s="20">
        <v>-0.03</v>
      </c>
      <c r="F209" s="20">
        <v>2403.44</v>
      </c>
      <c r="Q209" s="20">
        <v>20.8</v>
      </c>
      <c r="R209" s="20">
        <v>73.930000000000007</v>
      </c>
      <c r="S209" s="26">
        <v>74</v>
      </c>
      <c r="T209" s="26">
        <v>7.0000000000000007E-2</v>
      </c>
      <c r="U209" s="26">
        <v>-0.04</v>
      </c>
      <c r="V209" s="20">
        <v>1896.74</v>
      </c>
    </row>
    <row r="210" spans="1:22" ht="16.8" x14ac:dyDescent="0.3">
      <c r="A210" s="20">
        <v>20.9</v>
      </c>
      <c r="B210" s="20">
        <v>74</v>
      </c>
      <c r="C210" s="26">
        <v>74.11</v>
      </c>
      <c r="D210" s="20">
        <v>-0.11</v>
      </c>
      <c r="E210" s="20">
        <v>-0.01</v>
      </c>
      <c r="F210" s="26">
        <v>2414.5500000000002</v>
      </c>
      <c r="Q210" s="20">
        <v>20.9</v>
      </c>
      <c r="R210" s="20">
        <v>73.89</v>
      </c>
      <c r="S210" s="26">
        <v>74</v>
      </c>
      <c r="T210" s="20">
        <v>0.11</v>
      </c>
      <c r="U210" s="26">
        <v>0.03</v>
      </c>
      <c r="V210" s="26">
        <v>1961.12</v>
      </c>
    </row>
    <row r="211" spans="1:22" ht="16.8" x14ac:dyDescent="0.3">
      <c r="A211" s="20">
        <v>21</v>
      </c>
      <c r="B211" s="20">
        <v>74</v>
      </c>
      <c r="C211" s="26">
        <v>74.2</v>
      </c>
      <c r="D211" s="20">
        <v>-0.2</v>
      </c>
      <c r="E211" s="20">
        <v>-0.08</v>
      </c>
      <c r="F211" s="20">
        <v>2265.5</v>
      </c>
      <c r="Q211" s="20">
        <v>21</v>
      </c>
      <c r="R211" s="20">
        <v>73.86</v>
      </c>
      <c r="S211" s="26">
        <v>74</v>
      </c>
      <c r="T211" s="26">
        <v>0.14000000000000001</v>
      </c>
      <c r="U211" s="26">
        <v>0.03</v>
      </c>
      <c r="V211" s="20">
        <v>1967.14</v>
      </c>
    </row>
    <row r="212" spans="1:22" ht="16.8" x14ac:dyDescent="0.3">
      <c r="A212" s="20">
        <v>21.1</v>
      </c>
      <c r="B212" s="20">
        <v>74</v>
      </c>
      <c r="C212" s="20">
        <v>74.23</v>
      </c>
      <c r="D212" s="20">
        <v>-0.23</v>
      </c>
      <c r="E212" s="20">
        <v>-0.04</v>
      </c>
      <c r="F212" s="26">
        <v>2269.44</v>
      </c>
      <c r="Q212" s="20">
        <v>21.1</v>
      </c>
      <c r="R212" s="20">
        <v>73.8</v>
      </c>
      <c r="S212" s="26">
        <v>74</v>
      </c>
      <c r="T212" s="20">
        <v>0.2</v>
      </c>
      <c r="U212" s="26">
        <v>0.06</v>
      </c>
      <c r="V212" s="26">
        <v>1997</v>
      </c>
    </row>
    <row r="213" spans="1:22" ht="16.8" x14ac:dyDescent="0.3">
      <c r="A213" s="20">
        <v>21.2</v>
      </c>
      <c r="B213" s="20">
        <v>74</v>
      </c>
      <c r="C213" s="26">
        <v>74.25</v>
      </c>
      <c r="D213" s="20">
        <v>-0.25</v>
      </c>
      <c r="E213" s="20">
        <v>-0.02</v>
      </c>
      <c r="F213" s="26">
        <v>2263.2800000000002</v>
      </c>
      <c r="Q213" s="20">
        <v>21.2</v>
      </c>
      <c r="R213" s="20">
        <v>73.87</v>
      </c>
      <c r="S213" s="26">
        <v>74</v>
      </c>
      <c r="T213" s="20">
        <v>0.13</v>
      </c>
      <c r="U213" s="26">
        <v>-0.06</v>
      </c>
      <c r="V213" s="20">
        <v>1888.6</v>
      </c>
    </row>
    <row r="214" spans="1:22" ht="16.8" x14ac:dyDescent="0.3">
      <c r="A214" s="20">
        <v>21.3</v>
      </c>
      <c r="B214" s="20">
        <v>74</v>
      </c>
      <c r="C214" s="20">
        <v>74.28</v>
      </c>
      <c r="D214" s="20">
        <v>-0.28000000000000003</v>
      </c>
      <c r="E214" s="20">
        <v>-0.03</v>
      </c>
      <c r="F214" s="20">
        <v>2226.41</v>
      </c>
      <c r="Q214" s="20">
        <v>21.3</v>
      </c>
      <c r="R214" s="20">
        <v>73.84</v>
      </c>
      <c r="S214" s="26">
        <v>74</v>
      </c>
      <c r="T214" s="26">
        <v>0.16</v>
      </c>
      <c r="U214" s="26">
        <v>0.02</v>
      </c>
      <c r="V214" s="26">
        <v>1964.66</v>
      </c>
    </row>
    <row r="215" spans="1:22" ht="16.8" x14ac:dyDescent="0.3">
      <c r="A215" s="20">
        <v>21.4</v>
      </c>
      <c r="B215" s="20">
        <v>74</v>
      </c>
      <c r="C215" s="26">
        <v>74.38</v>
      </c>
      <c r="D215" s="20">
        <v>-0.38</v>
      </c>
      <c r="E215" s="20">
        <v>-0.1</v>
      </c>
      <c r="F215" s="26">
        <v>2038.59</v>
      </c>
      <c r="Q215" s="20">
        <v>21.4</v>
      </c>
      <c r="R215" s="20">
        <v>73.88</v>
      </c>
      <c r="S215" s="26">
        <v>74</v>
      </c>
      <c r="T215" s="20">
        <v>0.12</v>
      </c>
      <c r="U215" s="26">
        <v>-0.03</v>
      </c>
      <c r="V215" s="20">
        <v>1913.86</v>
      </c>
    </row>
    <row r="216" spans="1:22" ht="16.8" x14ac:dyDescent="0.3">
      <c r="A216" s="20">
        <v>21.5</v>
      </c>
      <c r="B216" s="20">
        <v>74</v>
      </c>
      <c r="C216" s="26">
        <v>74.209999999999994</v>
      </c>
      <c r="D216" s="20">
        <v>-0.21</v>
      </c>
      <c r="E216" s="20">
        <v>0.18</v>
      </c>
      <c r="F216" s="20">
        <v>2314.04</v>
      </c>
      <c r="Q216" s="20">
        <v>21.5</v>
      </c>
      <c r="R216" s="20">
        <v>73.89</v>
      </c>
      <c r="S216" s="26">
        <v>74</v>
      </c>
      <c r="T216" s="26">
        <v>0.11</v>
      </c>
      <c r="U216" s="26">
        <v>-0.02</v>
      </c>
      <c r="V216" s="26">
        <v>1924.27</v>
      </c>
    </row>
    <row r="217" spans="1:22" ht="16.8" x14ac:dyDescent="0.3">
      <c r="A217" s="20">
        <v>21.6</v>
      </c>
      <c r="B217" s="20">
        <v>74</v>
      </c>
      <c r="C217" s="20">
        <v>74.42</v>
      </c>
      <c r="D217" s="20">
        <v>-0.42</v>
      </c>
      <c r="E217" s="20">
        <v>-0.22</v>
      </c>
      <c r="F217" s="26">
        <v>1898.74</v>
      </c>
      <c r="Q217" s="20">
        <v>21.6</v>
      </c>
      <c r="R217" s="20">
        <v>73.930000000000007</v>
      </c>
      <c r="S217" s="26">
        <v>74</v>
      </c>
      <c r="T217" s="20">
        <v>7.0000000000000007E-2</v>
      </c>
      <c r="U217" s="26">
        <v>-0.04</v>
      </c>
      <c r="V217" s="20">
        <v>1897.89</v>
      </c>
    </row>
    <row r="218" spans="1:22" ht="16.8" x14ac:dyDescent="0.3">
      <c r="A218" s="20">
        <v>21.7</v>
      </c>
      <c r="B218" s="20">
        <v>74</v>
      </c>
      <c r="C218" s="26">
        <v>74.33</v>
      </c>
      <c r="D218" s="20">
        <v>-0.33</v>
      </c>
      <c r="E218" s="20">
        <v>0.1</v>
      </c>
      <c r="F218" s="26">
        <v>2198.84</v>
      </c>
      <c r="Q218" s="20">
        <v>21.7</v>
      </c>
      <c r="R218" s="20">
        <v>73.930000000000007</v>
      </c>
      <c r="S218" s="26">
        <v>74</v>
      </c>
      <c r="T218" s="26">
        <v>7.0000000000000007E-2</v>
      </c>
      <c r="U218" s="26">
        <v>0.01</v>
      </c>
      <c r="V218" s="26">
        <v>1938.46</v>
      </c>
    </row>
    <row r="219" spans="1:22" ht="16.8" x14ac:dyDescent="0.3">
      <c r="A219" s="20">
        <v>21.8</v>
      </c>
      <c r="B219" s="20">
        <v>74</v>
      </c>
      <c r="C219" s="20">
        <v>74.44</v>
      </c>
      <c r="D219" s="20">
        <v>-0.44</v>
      </c>
      <c r="E219" s="20">
        <v>-0.11</v>
      </c>
      <c r="F219" s="20">
        <v>1955.54</v>
      </c>
      <c r="Q219" s="20">
        <v>21.8</v>
      </c>
      <c r="R219" s="20">
        <v>73.88</v>
      </c>
      <c r="S219" s="26">
        <v>74</v>
      </c>
      <c r="T219" s="26">
        <v>0.12</v>
      </c>
      <c r="U219" s="26">
        <v>0.04</v>
      </c>
      <c r="V219" s="20">
        <v>1971.8</v>
      </c>
    </row>
    <row r="220" spans="1:22" ht="16.8" x14ac:dyDescent="0.3">
      <c r="A220" s="20">
        <v>21.9</v>
      </c>
      <c r="B220" s="20">
        <v>74</v>
      </c>
      <c r="C220" s="26">
        <v>74.36</v>
      </c>
      <c r="D220" s="20">
        <v>-0.36</v>
      </c>
      <c r="E220" s="20">
        <v>0.08</v>
      </c>
      <c r="F220" s="26">
        <v>2161.41</v>
      </c>
      <c r="Q220" s="20">
        <v>21.9</v>
      </c>
      <c r="R220" s="20">
        <v>73.88</v>
      </c>
      <c r="S220" s="26">
        <v>74</v>
      </c>
      <c r="T220" s="26">
        <v>0.12</v>
      </c>
      <c r="U220" s="26">
        <v>0.01</v>
      </c>
      <c r="V220" s="20">
        <v>1947.55</v>
      </c>
    </row>
    <row r="221" spans="1:22" ht="16.8" x14ac:dyDescent="0.3">
      <c r="A221" s="20">
        <v>22</v>
      </c>
      <c r="B221" s="20">
        <v>74</v>
      </c>
      <c r="C221" s="26">
        <v>74.459999999999994</v>
      </c>
      <c r="D221" s="20">
        <v>-0.46</v>
      </c>
      <c r="E221" s="20">
        <v>-0.1</v>
      </c>
      <c r="F221" s="20">
        <v>1936.01</v>
      </c>
      <c r="Q221" s="20">
        <v>22</v>
      </c>
      <c r="R221" s="20">
        <v>73.86</v>
      </c>
      <c r="S221" s="26">
        <v>74</v>
      </c>
      <c r="T221" s="26">
        <v>0.14000000000000001</v>
      </c>
      <c r="U221" s="26">
        <v>0.02</v>
      </c>
      <c r="V221" s="26">
        <v>1957.21</v>
      </c>
    </row>
    <row r="222" spans="1:22" ht="16.8" x14ac:dyDescent="0.3">
      <c r="A222" s="20">
        <v>22.1</v>
      </c>
      <c r="B222" s="20">
        <v>74</v>
      </c>
      <c r="C222" s="20">
        <v>74.45</v>
      </c>
      <c r="D222" s="20">
        <v>-0.45</v>
      </c>
      <c r="E222" s="20">
        <v>0.01</v>
      </c>
      <c r="F222" s="26">
        <v>2044.91</v>
      </c>
      <c r="Q222" s="20">
        <v>22.1</v>
      </c>
      <c r="R222" s="20">
        <v>73.88</v>
      </c>
      <c r="S222" s="26">
        <v>74</v>
      </c>
      <c r="T222" s="26">
        <v>0.12</v>
      </c>
      <c r="U222" s="26">
        <v>-0.02</v>
      </c>
      <c r="V222" s="20">
        <v>1928.72</v>
      </c>
    </row>
    <row r="223" spans="1:22" ht="16.8" x14ac:dyDescent="0.3">
      <c r="A223" s="20">
        <v>22.2</v>
      </c>
      <c r="B223" s="20">
        <v>74</v>
      </c>
      <c r="C223" s="26">
        <v>74.41</v>
      </c>
      <c r="D223" s="20">
        <v>-0.41</v>
      </c>
      <c r="E223" s="20">
        <v>0.04</v>
      </c>
      <c r="F223" s="26">
        <v>2095.5300000000002</v>
      </c>
      <c r="Q223" s="20">
        <v>22.2</v>
      </c>
      <c r="R223" s="20">
        <v>73.819999999999993</v>
      </c>
      <c r="S223" s="26">
        <v>74</v>
      </c>
      <c r="T223" s="26">
        <v>0.18</v>
      </c>
      <c r="U223" s="26">
        <v>0.06</v>
      </c>
      <c r="V223" s="26">
        <v>1997.51</v>
      </c>
    </row>
    <row r="224" spans="1:22" ht="16.8" x14ac:dyDescent="0.3">
      <c r="A224" s="20">
        <v>22.3</v>
      </c>
      <c r="B224" s="20">
        <v>74</v>
      </c>
      <c r="C224" s="26">
        <v>74.47</v>
      </c>
      <c r="D224" s="20">
        <v>-0.47</v>
      </c>
      <c r="E224" s="20">
        <v>-0.06</v>
      </c>
      <c r="F224" s="20">
        <v>1963.02</v>
      </c>
      <c r="Q224" s="20">
        <v>22.3</v>
      </c>
      <c r="R224" s="20">
        <v>73.84</v>
      </c>
      <c r="S224" s="26">
        <v>74</v>
      </c>
      <c r="T224" s="20">
        <v>0.16</v>
      </c>
      <c r="U224" s="26">
        <v>-0.02</v>
      </c>
      <c r="V224" s="20">
        <v>1928.71</v>
      </c>
    </row>
    <row r="225" spans="1:22" ht="16.8" x14ac:dyDescent="0.3">
      <c r="A225" s="20">
        <v>22.4</v>
      </c>
      <c r="B225" s="20">
        <v>74</v>
      </c>
      <c r="C225" s="20">
        <v>74.489999999999995</v>
      </c>
      <c r="D225" s="20">
        <v>-0.49</v>
      </c>
      <c r="E225" s="20">
        <v>-0.02</v>
      </c>
      <c r="F225" s="26">
        <v>1952.98</v>
      </c>
      <c r="Q225" s="20">
        <v>22.4</v>
      </c>
      <c r="R225" s="20">
        <v>73.84</v>
      </c>
      <c r="S225" s="26">
        <v>74</v>
      </c>
      <c r="T225" s="26">
        <v>0.16</v>
      </c>
      <c r="U225" s="26">
        <v>0.01</v>
      </c>
      <c r="V225" s="26">
        <v>1956.52</v>
      </c>
    </row>
    <row r="226" spans="1:22" ht="16.8" x14ac:dyDescent="0.3">
      <c r="A226" s="20">
        <v>22.5</v>
      </c>
      <c r="B226" s="20">
        <v>74</v>
      </c>
      <c r="C226" s="26">
        <v>74.47</v>
      </c>
      <c r="D226" s="20">
        <v>-0.47</v>
      </c>
      <c r="E226" s="20">
        <v>0.02</v>
      </c>
      <c r="F226" s="20">
        <v>2008.17</v>
      </c>
      <c r="Q226" s="20">
        <v>22.5</v>
      </c>
      <c r="R226" s="20">
        <v>73.87</v>
      </c>
      <c r="S226" s="20">
        <v>74</v>
      </c>
      <c r="T226" s="26">
        <v>0.13</v>
      </c>
      <c r="U226" s="26">
        <v>-0.03</v>
      </c>
      <c r="V226" s="20">
        <v>1918.71</v>
      </c>
    </row>
    <row r="227" spans="1:22" ht="16.8" x14ac:dyDescent="0.3">
      <c r="A227" s="20">
        <v>22.6</v>
      </c>
      <c r="B227" s="20">
        <v>74</v>
      </c>
      <c r="C227" s="20">
        <v>74.459999999999994</v>
      </c>
      <c r="D227" s="20">
        <v>-0.46</v>
      </c>
      <c r="E227" s="20">
        <v>0.01</v>
      </c>
      <c r="F227" s="26">
        <v>2026.87</v>
      </c>
      <c r="Q227" s="20">
        <v>22.6</v>
      </c>
      <c r="R227" s="20">
        <v>73.84</v>
      </c>
      <c r="S227" s="26">
        <v>74</v>
      </c>
      <c r="T227" s="26">
        <v>0.16</v>
      </c>
      <c r="U227" s="26">
        <v>0.03</v>
      </c>
      <c r="V227" s="26">
        <v>1976.74</v>
      </c>
    </row>
    <row r="228" spans="1:22" ht="16.8" x14ac:dyDescent="0.3">
      <c r="A228" s="20">
        <v>22.7</v>
      </c>
      <c r="B228" s="20">
        <v>74</v>
      </c>
      <c r="C228" s="26">
        <v>74.489999999999995</v>
      </c>
      <c r="D228" s="20">
        <v>-0.49</v>
      </c>
      <c r="E228" s="20">
        <v>-0.03</v>
      </c>
      <c r="F228" s="26">
        <v>1945.58</v>
      </c>
      <c r="Q228" s="20">
        <v>22.7</v>
      </c>
      <c r="R228" s="20">
        <v>73.84</v>
      </c>
      <c r="S228" s="26">
        <v>74</v>
      </c>
      <c r="T228" s="26">
        <v>0.16</v>
      </c>
      <c r="U228" s="26">
        <v>0</v>
      </c>
      <c r="V228" s="20">
        <v>1951.16</v>
      </c>
    </row>
    <row r="229" spans="1:22" ht="16.8" x14ac:dyDescent="0.3">
      <c r="A229" s="20">
        <v>22.8</v>
      </c>
      <c r="B229" s="20">
        <v>74</v>
      </c>
      <c r="C229" s="26">
        <v>74.430000000000007</v>
      </c>
      <c r="D229" s="20">
        <v>-0.43</v>
      </c>
      <c r="E229" s="20">
        <v>0.06</v>
      </c>
      <c r="F229" s="20">
        <v>2067.98</v>
      </c>
      <c r="Q229" s="20">
        <v>22.8</v>
      </c>
      <c r="R229" s="20">
        <v>73.86</v>
      </c>
      <c r="S229" s="26">
        <v>74</v>
      </c>
      <c r="T229" s="26">
        <v>0.14000000000000001</v>
      </c>
      <c r="U229" s="26">
        <v>-0.02</v>
      </c>
      <c r="V229" s="20">
        <v>1927.78</v>
      </c>
    </row>
    <row r="230" spans="1:22" ht="16.8" x14ac:dyDescent="0.3">
      <c r="A230" s="20">
        <v>22.9</v>
      </c>
      <c r="B230" s="20">
        <v>74</v>
      </c>
      <c r="C230" s="20">
        <v>74.47</v>
      </c>
      <c r="D230" s="20">
        <v>-0.47</v>
      </c>
      <c r="E230" s="20">
        <v>-0.04</v>
      </c>
      <c r="F230" s="26">
        <v>1981.31</v>
      </c>
      <c r="Q230" s="20">
        <v>22.9</v>
      </c>
      <c r="R230" s="20">
        <v>73.88</v>
      </c>
      <c r="S230" s="26">
        <v>74</v>
      </c>
      <c r="T230" s="26">
        <v>0.12</v>
      </c>
      <c r="U230" s="26">
        <v>-0.02</v>
      </c>
      <c r="V230" s="26">
        <v>1923.82</v>
      </c>
    </row>
    <row r="231" spans="1:22" ht="16.8" x14ac:dyDescent="0.3">
      <c r="A231" s="20">
        <v>23</v>
      </c>
      <c r="B231" s="20">
        <v>74</v>
      </c>
      <c r="C231" s="26">
        <v>74.459999999999994</v>
      </c>
      <c r="D231" s="20">
        <v>-0.46</v>
      </c>
      <c r="E231" s="20">
        <v>0.01</v>
      </c>
      <c r="F231" s="26">
        <v>2032.93</v>
      </c>
      <c r="Q231" s="20">
        <v>23</v>
      </c>
      <c r="R231" s="20">
        <v>73.97</v>
      </c>
      <c r="S231" s="26">
        <v>74</v>
      </c>
      <c r="T231" s="26">
        <v>0.03</v>
      </c>
      <c r="U231" s="26">
        <v>-0.08</v>
      </c>
      <c r="V231" s="20">
        <v>1864.3</v>
      </c>
    </row>
    <row r="232" spans="1:22" ht="16.8" x14ac:dyDescent="0.3">
      <c r="A232" s="20">
        <v>23.1</v>
      </c>
      <c r="B232" s="20">
        <v>74</v>
      </c>
      <c r="C232" s="26">
        <v>74.42</v>
      </c>
      <c r="D232" s="20">
        <v>-0.42</v>
      </c>
      <c r="E232" s="20">
        <v>0.04</v>
      </c>
      <c r="F232" s="20">
        <v>2084.71</v>
      </c>
      <c r="Q232" s="20">
        <v>23.1</v>
      </c>
      <c r="R232" s="20">
        <v>73.87</v>
      </c>
      <c r="S232" s="26">
        <v>74</v>
      </c>
      <c r="T232" s="20">
        <v>0.13</v>
      </c>
      <c r="U232" s="26">
        <v>0.1</v>
      </c>
      <c r="V232" s="26">
        <v>2024.51</v>
      </c>
    </row>
    <row r="233" spans="1:22" ht="16.8" x14ac:dyDescent="0.3">
      <c r="A233" s="20">
        <v>23.2</v>
      </c>
      <c r="B233" s="20">
        <v>74</v>
      </c>
      <c r="C233" s="20">
        <v>74.37</v>
      </c>
      <c r="D233" s="20">
        <v>-0.37</v>
      </c>
      <c r="E233" s="20">
        <v>0.05</v>
      </c>
      <c r="F233" s="26">
        <v>2151.7399999999998</v>
      </c>
      <c r="Q233" s="20">
        <v>23.2</v>
      </c>
      <c r="R233" s="20">
        <v>73.819999999999993</v>
      </c>
      <c r="S233" s="20">
        <v>74</v>
      </c>
      <c r="T233" s="26">
        <v>0.18</v>
      </c>
      <c r="U233" s="26">
        <v>0.05</v>
      </c>
      <c r="V233" s="20">
        <v>1994.46</v>
      </c>
    </row>
    <row r="234" spans="1:22" ht="16.8" x14ac:dyDescent="0.3">
      <c r="A234" s="20">
        <v>23.3</v>
      </c>
      <c r="B234" s="20">
        <v>74</v>
      </c>
      <c r="C234" s="26">
        <v>74.38</v>
      </c>
      <c r="D234" s="20">
        <v>-0.38</v>
      </c>
      <c r="E234" s="20">
        <v>-0.02</v>
      </c>
      <c r="F234" s="20">
        <v>2117.39</v>
      </c>
      <c r="Q234" s="20">
        <v>23.3</v>
      </c>
      <c r="R234" s="20">
        <v>73.87</v>
      </c>
      <c r="S234" s="26">
        <v>74</v>
      </c>
      <c r="T234" s="26">
        <v>0.13</v>
      </c>
      <c r="U234" s="26">
        <v>-0.05</v>
      </c>
      <c r="V234" s="26">
        <v>1908.36</v>
      </c>
    </row>
    <row r="235" spans="1:22" ht="16.8" x14ac:dyDescent="0.3">
      <c r="A235" s="20">
        <v>23.4</v>
      </c>
      <c r="B235" s="20">
        <v>74</v>
      </c>
      <c r="C235" s="26">
        <v>74.33</v>
      </c>
      <c r="D235" s="20">
        <v>-0.33</v>
      </c>
      <c r="E235" s="20">
        <v>0.06</v>
      </c>
      <c r="F235" s="26">
        <v>2198.84</v>
      </c>
      <c r="Q235" s="20">
        <v>23.4</v>
      </c>
      <c r="R235" s="20">
        <v>73.89</v>
      </c>
      <c r="S235" s="20">
        <v>74</v>
      </c>
      <c r="T235" s="26">
        <v>0.11</v>
      </c>
      <c r="U235" s="26">
        <v>-0.02</v>
      </c>
      <c r="V235" s="20">
        <v>1923.86</v>
      </c>
    </row>
    <row r="236" spans="1:22" ht="16.8" x14ac:dyDescent="0.3">
      <c r="A236" s="20">
        <v>23.5</v>
      </c>
      <c r="B236" s="20">
        <v>74</v>
      </c>
      <c r="C236" s="20">
        <v>74.3</v>
      </c>
      <c r="D236" s="20">
        <v>-0.3</v>
      </c>
      <c r="E236" s="20">
        <v>0.03</v>
      </c>
      <c r="F236" s="26">
        <v>2234.5</v>
      </c>
      <c r="Q236" s="20">
        <v>23.5</v>
      </c>
      <c r="R236" s="20">
        <v>73.88</v>
      </c>
      <c r="S236" s="26">
        <v>74</v>
      </c>
      <c r="T236" s="26">
        <v>0.12</v>
      </c>
      <c r="U236" s="26">
        <v>0.01</v>
      </c>
      <c r="V236" s="26">
        <v>1951.55</v>
      </c>
    </row>
    <row r="237" spans="1:22" ht="16.8" x14ac:dyDescent="0.3">
      <c r="A237" s="20">
        <v>23.6</v>
      </c>
      <c r="B237" s="20">
        <v>74</v>
      </c>
      <c r="C237" s="26">
        <v>74.3</v>
      </c>
      <c r="D237" s="20">
        <v>-0.3</v>
      </c>
      <c r="E237" s="20">
        <v>-0.01</v>
      </c>
      <c r="F237" s="20">
        <v>2218.4899999999998</v>
      </c>
      <c r="Q237" s="20">
        <v>23.6</v>
      </c>
      <c r="R237" s="20">
        <v>73.84</v>
      </c>
      <c r="S237" s="26">
        <v>74</v>
      </c>
      <c r="T237" s="26">
        <v>0.16</v>
      </c>
      <c r="U237" s="26">
        <v>0.05</v>
      </c>
      <c r="V237" s="20">
        <v>1992.93</v>
      </c>
    </row>
    <row r="238" spans="1:22" ht="16.8" x14ac:dyDescent="0.3">
      <c r="A238" s="20">
        <v>23.7</v>
      </c>
      <c r="B238" s="20">
        <v>74</v>
      </c>
      <c r="C238" s="26">
        <v>74.3</v>
      </c>
      <c r="D238" s="20">
        <v>-0.3</v>
      </c>
      <c r="E238" s="20">
        <v>0</v>
      </c>
      <c r="F238" s="26">
        <v>2230.12</v>
      </c>
      <c r="Q238" s="20">
        <v>23.7</v>
      </c>
      <c r="R238" s="20">
        <v>73.86</v>
      </c>
      <c r="S238" s="26">
        <v>74</v>
      </c>
      <c r="T238" s="26">
        <v>0.14000000000000001</v>
      </c>
      <c r="U238" s="26">
        <v>-0.02</v>
      </c>
      <c r="V238" s="20">
        <v>1930.57</v>
      </c>
    </row>
    <row r="239" spans="1:22" ht="16.8" x14ac:dyDescent="0.3">
      <c r="A239" s="20">
        <v>23.8</v>
      </c>
      <c r="B239" s="20">
        <v>74</v>
      </c>
      <c r="C239" s="20">
        <v>74.27</v>
      </c>
      <c r="D239" s="20">
        <v>-0.27</v>
      </c>
      <c r="E239" s="20">
        <v>0.03</v>
      </c>
      <c r="F239" s="26">
        <v>2260.4</v>
      </c>
      <c r="Q239" s="20">
        <v>23.8</v>
      </c>
      <c r="R239" s="20">
        <v>73.849999999999994</v>
      </c>
      <c r="S239" s="26">
        <v>74</v>
      </c>
      <c r="T239" s="20">
        <v>0.15</v>
      </c>
      <c r="U239" s="26">
        <v>0.01</v>
      </c>
      <c r="V239" s="26">
        <v>1958.33</v>
      </c>
    </row>
    <row r="240" spans="1:22" ht="16.8" x14ac:dyDescent="0.3">
      <c r="A240" s="20">
        <v>23.9</v>
      </c>
      <c r="B240" s="20">
        <v>74</v>
      </c>
      <c r="C240" s="26">
        <v>74.27</v>
      </c>
      <c r="D240" s="20">
        <v>-0.27</v>
      </c>
      <c r="E240" s="20">
        <v>0</v>
      </c>
      <c r="F240" s="20">
        <v>2264.62</v>
      </c>
      <c r="Q240" s="20">
        <v>23.9</v>
      </c>
      <c r="R240" s="20">
        <v>73.86</v>
      </c>
      <c r="S240" s="26">
        <v>74</v>
      </c>
      <c r="T240" s="26">
        <v>0.14000000000000001</v>
      </c>
      <c r="U240" s="26">
        <v>-0.01</v>
      </c>
      <c r="V240" s="20">
        <v>1944.28</v>
      </c>
    </row>
    <row r="241" spans="1:22" ht="16.8" x14ac:dyDescent="0.3">
      <c r="A241" s="20">
        <v>24</v>
      </c>
      <c r="B241" s="20">
        <v>74</v>
      </c>
      <c r="C241" s="26">
        <v>74.25</v>
      </c>
      <c r="D241" s="20">
        <v>-0.25</v>
      </c>
      <c r="E241" s="20">
        <v>0.02</v>
      </c>
      <c r="F241" s="26">
        <v>2285.7399999999998</v>
      </c>
      <c r="Q241" s="20">
        <v>24</v>
      </c>
      <c r="R241" s="20">
        <v>73.930000000000007</v>
      </c>
      <c r="S241" s="26">
        <v>74</v>
      </c>
      <c r="T241" s="20">
        <v>7.0000000000000007E-2</v>
      </c>
      <c r="U241" s="26">
        <v>-0.06</v>
      </c>
      <c r="V241" s="26">
        <v>1887.67</v>
      </c>
    </row>
    <row r="242" spans="1:22" ht="16.8" x14ac:dyDescent="0.3">
      <c r="A242" s="20">
        <v>24.1</v>
      </c>
      <c r="B242" s="20">
        <v>74</v>
      </c>
      <c r="C242" s="20">
        <v>74.239999999999995</v>
      </c>
      <c r="D242" s="20">
        <v>-0.24</v>
      </c>
      <c r="E242" s="20">
        <v>0.01</v>
      </c>
      <c r="F242" s="20">
        <v>2294.0700000000002</v>
      </c>
      <c r="Q242" s="20">
        <v>24.1</v>
      </c>
      <c r="R242" s="20">
        <v>73.38</v>
      </c>
      <c r="S242" s="26">
        <v>74</v>
      </c>
      <c r="T242" s="26">
        <v>0.62</v>
      </c>
      <c r="U242" s="26">
        <v>0.55000000000000004</v>
      </c>
      <c r="V242" s="20">
        <v>2479.04</v>
      </c>
    </row>
    <row r="243" spans="1:22" ht="16.8" x14ac:dyDescent="0.3">
      <c r="A243" s="20">
        <v>24.2</v>
      </c>
      <c r="B243" s="20">
        <v>74</v>
      </c>
      <c r="C243" s="26">
        <v>74.27</v>
      </c>
      <c r="D243" s="20">
        <v>-0.27</v>
      </c>
      <c r="E243" s="20">
        <v>-0.03</v>
      </c>
      <c r="F243" s="26">
        <v>2239.1</v>
      </c>
      <c r="Q243" s="20">
        <v>24.2</v>
      </c>
      <c r="R243" s="20">
        <v>73.88</v>
      </c>
      <c r="S243" s="26">
        <v>74</v>
      </c>
      <c r="T243" s="26">
        <v>0.12</v>
      </c>
      <c r="U243" s="26">
        <v>-0.51</v>
      </c>
      <c r="V243" s="20">
        <v>1539.36</v>
      </c>
    </row>
    <row r="244" spans="1:22" ht="16.8" x14ac:dyDescent="0.3">
      <c r="A244" s="20">
        <v>24.3</v>
      </c>
      <c r="B244" s="20">
        <v>74</v>
      </c>
      <c r="C244" s="20">
        <v>74.239999999999995</v>
      </c>
      <c r="D244" s="20">
        <v>-0.24</v>
      </c>
      <c r="E244" s="20">
        <v>0.03</v>
      </c>
      <c r="F244" s="20">
        <v>2294.0700000000002</v>
      </c>
      <c r="Q244" s="20">
        <v>24.3</v>
      </c>
      <c r="R244" s="20">
        <v>73.13</v>
      </c>
      <c r="S244" s="26">
        <v>74</v>
      </c>
      <c r="T244" s="20">
        <v>0.87</v>
      </c>
      <c r="U244" s="26">
        <v>0.76</v>
      </c>
      <c r="V244" s="26">
        <v>2694.23</v>
      </c>
    </row>
    <row r="245" spans="1:22" ht="16.8" x14ac:dyDescent="0.3">
      <c r="A245" s="20">
        <v>24.4</v>
      </c>
      <c r="B245" s="20">
        <v>74</v>
      </c>
      <c r="C245" s="26">
        <v>74.28</v>
      </c>
      <c r="D245" s="20">
        <v>-0.28000000000000003</v>
      </c>
      <c r="E245" s="20">
        <v>-0.04</v>
      </c>
      <c r="F245" s="26">
        <v>2207.63</v>
      </c>
      <c r="Q245" s="20">
        <v>24.4</v>
      </c>
      <c r="R245" s="20">
        <v>73.84</v>
      </c>
      <c r="S245" s="26">
        <v>74</v>
      </c>
      <c r="T245" s="26">
        <v>0.16</v>
      </c>
      <c r="U245" s="26">
        <v>-0.72</v>
      </c>
      <c r="V245" s="20">
        <v>1380.12</v>
      </c>
    </row>
    <row r="246" spans="1:22" ht="16.8" x14ac:dyDescent="0.3">
      <c r="A246" s="20">
        <v>24.5</v>
      </c>
      <c r="B246" s="20">
        <v>74</v>
      </c>
      <c r="C246" s="26">
        <v>74.28</v>
      </c>
      <c r="D246" s="20">
        <v>-0.28000000000000003</v>
      </c>
      <c r="E246" s="20">
        <v>0</v>
      </c>
      <c r="F246" s="26">
        <v>2251.84</v>
      </c>
      <c r="Q246" s="20">
        <v>24.5</v>
      </c>
      <c r="R246" s="20">
        <v>73.099999999999994</v>
      </c>
      <c r="S246" s="26">
        <v>74</v>
      </c>
      <c r="T246" s="20">
        <v>0.9</v>
      </c>
      <c r="U246" s="26">
        <v>0.74</v>
      </c>
      <c r="V246" s="26">
        <v>2688.11</v>
      </c>
    </row>
    <row r="247" spans="1:22" ht="16.8" x14ac:dyDescent="0.3">
      <c r="A247" s="20">
        <v>24.6</v>
      </c>
      <c r="B247" s="20">
        <v>74</v>
      </c>
      <c r="C247" s="20">
        <v>74.31</v>
      </c>
      <c r="D247" s="20">
        <v>-0.31</v>
      </c>
      <c r="E247" s="20">
        <v>-0.03</v>
      </c>
      <c r="F247" s="20">
        <v>2195.92</v>
      </c>
      <c r="Q247" s="20">
        <v>24.6</v>
      </c>
      <c r="R247" s="20">
        <v>73.91</v>
      </c>
      <c r="S247" s="26">
        <v>74</v>
      </c>
      <c r="T247" s="26">
        <v>0.09</v>
      </c>
      <c r="U247" s="26">
        <v>-0.81</v>
      </c>
      <c r="V247" s="20">
        <v>1299.82</v>
      </c>
    </row>
    <row r="248" spans="1:22" ht="16.8" x14ac:dyDescent="0.3">
      <c r="A248" s="20">
        <v>24.7</v>
      </c>
      <c r="B248" s="20">
        <v>74</v>
      </c>
      <c r="C248" s="26">
        <v>74.33</v>
      </c>
      <c r="D248" s="20">
        <v>-0.33</v>
      </c>
      <c r="E248" s="20">
        <v>-0.02</v>
      </c>
      <c r="F248" s="26">
        <v>2172.5500000000002</v>
      </c>
      <c r="Q248" s="20">
        <v>24.7</v>
      </c>
      <c r="R248" s="20">
        <v>73.09</v>
      </c>
      <c r="S248" s="26">
        <v>74</v>
      </c>
      <c r="T248" s="20">
        <v>0.91</v>
      </c>
      <c r="U248" s="26">
        <v>0.82</v>
      </c>
      <c r="V248" s="26">
        <v>2758.4</v>
      </c>
    </row>
    <row r="249" spans="1:22" ht="16.8" x14ac:dyDescent="0.3">
      <c r="A249" s="20">
        <v>24.8</v>
      </c>
      <c r="B249" s="20">
        <v>74</v>
      </c>
      <c r="C249" s="20">
        <v>74.349999999999994</v>
      </c>
      <c r="D249" s="20">
        <v>-0.35</v>
      </c>
      <c r="E249" s="20">
        <v>-0.02</v>
      </c>
      <c r="F249" s="20">
        <v>2161.25</v>
      </c>
      <c r="Q249" s="20">
        <v>24.8</v>
      </c>
      <c r="R249" s="20">
        <v>73.94</v>
      </c>
      <c r="S249" s="26">
        <v>74</v>
      </c>
      <c r="T249" s="26">
        <v>0.06</v>
      </c>
      <c r="U249" s="26">
        <v>-0.85</v>
      </c>
      <c r="V249" s="20">
        <v>1257.6199999999999</v>
      </c>
    </row>
    <row r="250" spans="1:22" ht="16.8" x14ac:dyDescent="0.3">
      <c r="A250" s="20">
        <v>24.9</v>
      </c>
      <c r="B250" s="20">
        <v>74</v>
      </c>
      <c r="C250" s="26">
        <v>74.37</v>
      </c>
      <c r="D250" s="20">
        <v>-0.37</v>
      </c>
      <c r="E250" s="20">
        <v>-0.02</v>
      </c>
      <c r="F250" s="26">
        <v>2125.14</v>
      </c>
      <c r="Q250" s="20">
        <v>24.9</v>
      </c>
      <c r="R250" s="20">
        <v>73.14</v>
      </c>
      <c r="S250" s="26">
        <v>74</v>
      </c>
      <c r="T250" s="26">
        <v>0.86</v>
      </c>
      <c r="U250" s="26">
        <v>0.81</v>
      </c>
      <c r="V250" s="26">
        <v>2739.22</v>
      </c>
    </row>
    <row r="251" spans="1:22" ht="16.8" x14ac:dyDescent="0.3">
      <c r="A251" s="20">
        <v>25</v>
      </c>
      <c r="B251" s="20">
        <v>74</v>
      </c>
      <c r="C251" s="26">
        <v>74.400000000000006</v>
      </c>
      <c r="D251" s="20">
        <v>-0.4</v>
      </c>
      <c r="E251" s="20">
        <v>-0.02</v>
      </c>
      <c r="F251" s="26">
        <v>2094.81</v>
      </c>
      <c r="Q251" s="20">
        <v>25</v>
      </c>
      <c r="R251" s="20">
        <v>73.97</v>
      </c>
      <c r="S251" s="26">
        <v>74</v>
      </c>
      <c r="T251" s="26">
        <v>0.03</v>
      </c>
      <c r="U251" s="26">
        <v>-0.84</v>
      </c>
      <c r="V251" s="20">
        <v>1267.18</v>
      </c>
    </row>
    <row r="252" spans="1:22" ht="16.8" x14ac:dyDescent="0.3">
      <c r="A252" s="20">
        <v>25.1</v>
      </c>
      <c r="B252" s="20">
        <v>74</v>
      </c>
      <c r="C252" s="20">
        <v>74.42</v>
      </c>
      <c r="D252" s="20">
        <v>-0.42</v>
      </c>
      <c r="E252" s="20">
        <v>-0.02</v>
      </c>
      <c r="F252" s="20">
        <v>2062.8200000000002</v>
      </c>
      <c r="Q252" s="20">
        <v>25.1</v>
      </c>
      <c r="R252" s="20">
        <v>73.209999999999994</v>
      </c>
      <c r="S252" s="26">
        <v>74</v>
      </c>
      <c r="T252" s="26">
        <v>0.79</v>
      </c>
      <c r="U252" s="26">
        <v>0.77</v>
      </c>
      <c r="V252" s="26">
        <v>2696.08</v>
      </c>
    </row>
    <row r="253" spans="1:22" ht="16.8" x14ac:dyDescent="0.3">
      <c r="A253" s="20">
        <v>25.2</v>
      </c>
      <c r="B253" s="20">
        <v>74</v>
      </c>
      <c r="C253" s="26">
        <v>74.36</v>
      </c>
      <c r="D253" s="20">
        <v>-0.36</v>
      </c>
      <c r="E253" s="20">
        <v>0.06</v>
      </c>
      <c r="F253" s="26">
        <v>2161.41</v>
      </c>
      <c r="Q253" s="20">
        <v>25.2</v>
      </c>
      <c r="R253" s="20">
        <v>73.989999999999995</v>
      </c>
      <c r="S253" s="20">
        <v>74</v>
      </c>
      <c r="T253" s="26">
        <v>0.01</v>
      </c>
      <c r="U253" s="26">
        <v>-0.78</v>
      </c>
      <c r="V253" s="20">
        <v>1311.82</v>
      </c>
    </row>
    <row r="254" spans="1:22" ht="16.8" x14ac:dyDescent="0.3">
      <c r="A254" s="20">
        <v>25.3</v>
      </c>
      <c r="B254" s="20">
        <v>74</v>
      </c>
      <c r="C254" s="20">
        <v>74.39</v>
      </c>
      <c r="D254" s="20">
        <v>-0.39</v>
      </c>
      <c r="E254" s="20">
        <v>-0.03</v>
      </c>
      <c r="F254" s="26" t="s">
        <v>61</v>
      </c>
      <c r="Q254" s="20">
        <v>25.3</v>
      </c>
      <c r="R254" s="20">
        <v>73.260000000000005</v>
      </c>
      <c r="S254" s="26">
        <v>74</v>
      </c>
      <c r="T254" s="26">
        <v>0.74</v>
      </c>
      <c r="U254" s="26">
        <v>0.73</v>
      </c>
      <c r="V254" s="20">
        <v>2663.49</v>
      </c>
    </row>
    <row r="255" spans="1:22" ht="16.8" x14ac:dyDescent="0.3">
      <c r="A255" s="20">
        <v>25.5</v>
      </c>
      <c r="B255" s="20">
        <v>74</v>
      </c>
      <c r="C255" s="26">
        <v>74.45</v>
      </c>
      <c r="D255" s="20">
        <v>-0.45</v>
      </c>
      <c r="E255" s="20">
        <v>-0.04</v>
      </c>
      <c r="F255" s="26">
        <v>2014.24</v>
      </c>
      <c r="Q255" s="20">
        <v>25.4</v>
      </c>
      <c r="R255" s="20">
        <v>74.02</v>
      </c>
      <c r="S255" s="26">
        <v>74</v>
      </c>
      <c r="T255" s="26">
        <v>-0.02</v>
      </c>
      <c r="U255" s="26">
        <v>-0.77</v>
      </c>
      <c r="V255" s="26">
        <v>1320.96</v>
      </c>
    </row>
    <row r="256" spans="1:22" ht="16.8" x14ac:dyDescent="0.3">
      <c r="A256" s="20">
        <v>25.6</v>
      </c>
      <c r="B256" s="20">
        <v>74</v>
      </c>
      <c r="C256" s="26">
        <v>74.42</v>
      </c>
      <c r="D256" s="20">
        <v>-0.42</v>
      </c>
      <c r="E256" s="20">
        <v>0.02</v>
      </c>
      <c r="F256" s="26">
        <v>2084.71</v>
      </c>
      <c r="Q256" s="20">
        <v>25.5</v>
      </c>
      <c r="R256" s="20">
        <v>73.28</v>
      </c>
      <c r="S256" s="26">
        <v>74</v>
      </c>
      <c r="T256" s="26">
        <v>0.72</v>
      </c>
      <c r="U256" s="26">
        <v>0.74</v>
      </c>
      <c r="V256" s="20">
        <v>2667.47</v>
      </c>
    </row>
    <row r="257" spans="1:22" ht="16.8" x14ac:dyDescent="0.3">
      <c r="A257" s="20">
        <v>25.7</v>
      </c>
      <c r="B257" s="20">
        <v>74</v>
      </c>
      <c r="C257" s="20">
        <v>74.41</v>
      </c>
      <c r="D257" s="20">
        <v>-0.41</v>
      </c>
      <c r="E257" s="20">
        <v>0.01</v>
      </c>
      <c r="F257" s="26">
        <v>2095.5300000000002</v>
      </c>
      <c r="Q257" s="20">
        <v>25.6</v>
      </c>
      <c r="R257" s="20">
        <v>74.02</v>
      </c>
      <c r="S257" s="26">
        <v>74</v>
      </c>
      <c r="T257" s="26">
        <v>-0.02</v>
      </c>
      <c r="U257" s="26">
        <v>-0.74</v>
      </c>
      <c r="V257" s="26">
        <v>1342.2</v>
      </c>
    </row>
    <row r="258" spans="1:22" ht="16.8" x14ac:dyDescent="0.3">
      <c r="A258" s="20">
        <v>25.8</v>
      </c>
      <c r="B258" s="20">
        <v>74</v>
      </c>
      <c r="C258" s="26">
        <v>74.39</v>
      </c>
      <c r="D258" s="20">
        <v>-0.39</v>
      </c>
      <c r="E258" s="20">
        <v>0.02</v>
      </c>
      <c r="F258" s="26">
        <v>2121.77</v>
      </c>
      <c r="Q258" s="20">
        <v>25.7</v>
      </c>
      <c r="R258" s="20">
        <v>73.290000000000006</v>
      </c>
      <c r="S258" s="26">
        <v>74</v>
      </c>
      <c r="T258" s="26">
        <v>0.71</v>
      </c>
      <c r="U258" s="26">
        <v>0.73</v>
      </c>
      <c r="V258" s="20">
        <v>2661.28</v>
      </c>
    </row>
    <row r="259" spans="1:22" ht="16.8" x14ac:dyDescent="0.3">
      <c r="A259" s="20">
        <v>25.9</v>
      </c>
      <c r="B259" s="20">
        <v>74</v>
      </c>
      <c r="C259" s="20">
        <v>74.45</v>
      </c>
      <c r="D259" s="20">
        <v>-0.45</v>
      </c>
      <c r="E259" s="20">
        <v>-0.05</v>
      </c>
      <c r="F259" s="26">
        <v>2003.31</v>
      </c>
      <c r="Q259" s="20">
        <v>25.8</v>
      </c>
      <c r="R259" s="20">
        <v>74.09</v>
      </c>
      <c r="S259" s="26">
        <v>74</v>
      </c>
      <c r="T259" s="26">
        <v>-0.09</v>
      </c>
      <c r="U259" s="26">
        <v>-0.8</v>
      </c>
      <c r="V259" s="26">
        <v>1286.97</v>
      </c>
    </row>
    <row r="260" spans="1:22" ht="16.8" x14ac:dyDescent="0.3">
      <c r="A260" s="20">
        <v>26</v>
      </c>
      <c r="B260" s="20">
        <v>74</v>
      </c>
      <c r="C260" s="26">
        <v>74.45</v>
      </c>
      <c r="D260" s="20">
        <v>-0.45</v>
      </c>
      <c r="E260" s="20">
        <v>0</v>
      </c>
      <c r="F260" s="26">
        <v>2050.8000000000002</v>
      </c>
      <c r="Q260" s="20">
        <v>25.9</v>
      </c>
      <c r="R260" s="20">
        <v>73.27</v>
      </c>
      <c r="S260" s="26">
        <v>74</v>
      </c>
      <c r="T260" s="26">
        <v>0.73</v>
      </c>
      <c r="U260" s="26">
        <v>0.81</v>
      </c>
      <c r="V260" s="20">
        <v>2730.68</v>
      </c>
    </row>
    <row r="261" spans="1:22" ht="16.8" x14ac:dyDescent="0.3">
      <c r="A261" s="20">
        <v>26.1</v>
      </c>
      <c r="B261" s="20">
        <v>74</v>
      </c>
      <c r="C261" s="26">
        <v>74.38</v>
      </c>
      <c r="D261" s="20">
        <v>-0.38</v>
      </c>
      <c r="E261" s="20">
        <v>0.06</v>
      </c>
      <c r="F261" s="26">
        <v>2131.88</v>
      </c>
      <c r="Q261" s="20">
        <v>26</v>
      </c>
      <c r="R261" s="20">
        <v>74.08</v>
      </c>
      <c r="S261" s="26">
        <v>74</v>
      </c>
      <c r="T261" s="20">
        <v>-0.08</v>
      </c>
      <c r="U261" s="20">
        <v>-0.81</v>
      </c>
      <c r="V261" s="20">
        <v>1283.51</v>
      </c>
    </row>
    <row r="262" spans="1:22" ht="16.8" x14ac:dyDescent="0.3">
      <c r="A262" s="20">
        <v>26.2</v>
      </c>
      <c r="B262" s="20">
        <v>74</v>
      </c>
      <c r="C262" s="20">
        <v>74.41</v>
      </c>
      <c r="D262" s="20">
        <v>-0.41</v>
      </c>
      <c r="E262" s="20">
        <v>-0.02</v>
      </c>
      <c r="F262" s="26">
        <v>2079.02</v>
      </c>
      <c r="Q262" s="20">
        <v>26.1</v>
      </c>
      <c r="R262" s="20">
        <v>73.319999999999993</v>
      </c>
      <c r="S262" s="26">
        <v>74</v>
      </c>
      <c r="T262" s="26">
        <v>0.68</v>
      </c>
      <c r="U262" s="26">
        <v>0.76</v>
      </c>
      <c r="V262" s="26">
        <v>2678.21</v>
      </c>
    </row>
    <row r="263" spans="1:22" ht="16.8" x14ac:dyDescent="0.3">
      <c r="A263" s="20">
        <v>26.3</v>
      </c>
      <c r="B263" s="20">
        <v>74</v>
      </c>
      <c r="C263" s="26">
        <v>74.38</v>
      </c>
      <c r="D263" s="20">
        <v>-0.38</v>
      </c>
      <c r="E263" s="20">
        <v>0.02</v>
      </c>
      <c r="F263" s="26">
        <v>2131.88</v>
      </c>
      <c r="Q263" s="20">
        <v>26.2</v>
      </c>
      <c r="R263" s="20">
        <v>74.11</v>
      </c>
      <c r="S263" s="26">
        <v>74</v>
      </c>
      <c r="T263" s="20">
        <v>-0.11</v>
      </c>
      <c r="U263" s="26">
        <v>-0.79</v>
      </c>
      <c r="V263" s="20">
        <v>1292.27</v>
      </c>
    </row>
    <row r="264" spans="1:22" ht="16.8" x14ac:dyDescent="0.3">
      <c r="A264" s="20">
        <v>26.4</v>
      </c>
      <c r="B264" s="20">
        <v>74</v>
      </c>
      <c r="C264" s="20">
        <v>74.37</v>
      </c>
      <c r="D264" s="20">
        <v>-0.37</v>
      </c>
      <c r="E264" s="20">
        <v>0.02</v>
      </c>
      <c r="F264" s="26">
        <v>2151.7399999999998</v>
      </c>
      <c r="Q264" s="20">
        <v>26.3</v>
      </c>
      <c r="R264" s="20">
        <v>73.349999999999994</v>
      </c>
      <c r="S264" s="26">
        <v>74</v>
      </c>
      <c r="T264" s="26">
        <v>0.65</v>
      </c>
      <c r="U264" s="26">
        <v>0.77</v>
      </c>
      <c r="V264" s="26">
        <v>2681.83</v>
      </c>
    </row>
    <row r="265" spans="1:22" ht="16.8" x14ac:dyDescent="0.3">
      <c r="A265" s="20">
        <v>26.5</v>
      </c>
      <c r="B265" s="20">
        <v>74</v>
      </c>
      <c r="C265" s="26">
        <v>74.400000000000006</v>
      </c>
      <c r="D265" s="20">
        <v>-0.4</v>
      </c>
      <c r="E265" s="20">
        <v>-0.03</v>
      </c>
      <c r="F265" s="26">
        <v>2082.37</v>
      </c>
      <c r="Q265" s="20">
        <v>26.4</v>
      </c>
      <c r="R265" s="20">
        <v>74.150000000000006</v>
      </c>
      <c r="S265" s="26">
        <v>74</v>
      </c>
      <c r="T265" s="26">
        <v>-0.15</v>
      </c>
      <c r="U265" s="26">
        <v>-0.81</v>
      </c>
      <c r="V265" s="20">
        <v>1273.46</v>
      </c>
    </row>
    <row r="266" spans="1:22" ht="16.8" x14ac:dyDescent="0.3">
      <c r="A266" s="20">
        <v>26.6</v>
      </c>
      <c r="B266" s="20">
        <v>74</v>
      </c>
      <c r="C266" s="26">
        <v>74.400000000000006</v>
      </c>
      <c r="D266" s="20">
        <v>-0.4</v>
      </c>
      <c r="E266" s="20">
        <v>0</v>
      </c>
      <c r="F266" s="26">
        <v>2111.42</v>
      </c>
      <c r="Q266" s="20">
        <v>26.5</v>
      </c>
      <c r="R266" s="20">
        <v>73.33</v>
      </c>
      <c r="S266" s="26">
        <v>74</v>
      </c>
      <c r="T266" s="26">
        <v>0.67</v>
      </c>
      <c r="U266" s="26">
        <v>0.82</v>
      </c>
      <c r="V266" s="26">
        <v>2731.43</v>
      </c>
    </row>
    <row r="267" spans="1:22" ht="16.8" x14ac:dyDescent="0.3">
      <c r="A267" s="20">
        <v>26.7</v>
      </c>
      <c r="B267" s="20">
        <v>74</v>
      </c>
      <c r="C267" s="20">
        <v>74.34</v>
      </c>
      <c r="D267" s="20">
        <v>-0.34</v>
      </c>
      <c r="E267" s="20">
        <v>0.06</v>
      </c>
      <c r="F267" s="26">
        <v>2185.04</v>
      </c>
      <c r="Q267" s="20">
        <v>26.6</v>
      </c>
      <c r="R267" s="20">
        <v>74.13</v>
      </c>
      <c r="S267" s="26">
        <v>74</v>
      </c>
      <c r="T267" s="26">
        <v>-0.13</v>
      </c>
      <c r="U267" s="26">
        <v>-0.81</v>
      </c>
      <c r="V267" s="20">
        <v>1277.6199999999999</v>
      </c>
    </row>
    <row r="268" spans="1:22" ht="16.8" x14ac:dyDescent="0.3">
      <c r="A268" s="20">
        <v>26.8</v>
      </c>
      <c r="B268" s="20">
        <v>74</v>
      </c>
      <c r="C268" s="26">
        <v>74.39</v>
      </c>
      <c r="D268" s="20">
        <v>-0.39</v>
      </c>
      <c r="E268" s="20">
        <v>-0.05</v>
      </c>
      <c r="F268" s="26">
        <v>2083.4299999999998</v>
      </c>
      <c r="Q268" s="20">
        <v>26.7</v>
      </c>
      <c r="R268" s="20">
        <v>73.37</v>
      </c>
      <c r="S268" s="26">
        <v>74</v>
      </c>
      <c r="T268" s="26">
        <v>0.63</v>
      </c>
      <c r="U268" s="26">
        <v>0.77</v>
      </c>
      <c r="V268" s="26">
        <v>2680.13</v>
      </c>
    </row>
    <row r="269" spans="1:22" ht="16.8" x14ac:dyDescent="0.3">
      <c r="A269" s="20">
        <v>26.9</v>
      </c>
      <c r="B269" s="20">
        <v>74</v>
      </c>
      <c r="C269" s="26">
        <v>74.34</v>
      </c>
      <c r="D269" s="20">
        <v>-0.34</v>
      </c>
      <c r="E269" s="20">
        <v>0.04</v>
      </c>
      <c r="F269" s="26">
        <v>2180.39</v>
      </c>
      <c r="Q269" s="20">
        <v>26.8</v>
      </c>
      <c r="R269" s="20">
        <v>74.19</v>
      </c>
      <c r="S269" s="26">
        <v>74</v>
      </c>
      <c r="T269" s="26">
        <v>-0.19</v>
      </c>
      <c r="U269" s="26">
        <v>-0.82</v>
      </c>
      <c r="V269" s="20">
        <v>1255.8399999999999</v>
      </c>
    </row>
    <row r="270" spans="1:22" ht="16.8" x14ac:dyDescent="0.3">
      <c r="A270" s="20">
        <v>27</v>
      </c>
      <c r="B270" s="20">
        <v>74</v>
      </c>
      <c r="C270" s="20">
        <v>74.33</v>
      </c>
      <c r="D270" s="20">
        <v>-0.33</v>
      </c>
      <c r="E270" s="20">
        <v>0.01</v>
      </c>
      <c r="F270" s="20">
        <v>2194.25</v>
      </c>
      <c r="Q270" s="20">
        <v>26.9</v>
      </c>
      <c r="R270" s="20">
        <v>73.38</v>
      </c>
      <c r="S270" s="26">
        <v>74</v>
      </c>
      <c r="T270" s="26">
        <v>0.62</v>
      </c>
      <c r="U270" s="26">
        <v>0.81</v>
      </c>
      <c r="V270" s="20">
        <v>2718.76</v>
      </c>
    </row>
    <row r="271" spans="1:22" ht="16.8" x14ac:dyDescent="0.3">
      <c r="A271" s="20">
        <v>27.1</v>
      </c>
      <c r="B271" s="20">
        <v>74</v>
      </c>
      <c r="C271" s="26">
        <v>74.39</v>
      </c>
      <c r="D271" s="20">
        <v>-0.39</v>
      </c>
      <c r="E271" s="20">
        <v>-0.06</v>
      </c>
      <c r="F271" s="26">
        <v>2076.23</v>
      </c>
      <c r="Q271" s="20">
        <v>27</v>
      </c>
      <c r="R271" s="20">
        <v>74.180000000000007</v>
      </c>
      <c r="S271" s="26">
        <v>74</v>
      </c>
      <c r="T271" s="26">
        <v>-0.18</v>
      </c>
      <c r="U271" s="26">
        <v>-0.8</v>
      </c>
      <c r="V271" s="26">
        <v>1279.27</v>
      </c>
    </row>
    <row r="272" spans="1:22" ht="16.8" x14ac:dyDescent="0.3">
      <c r="A272" s="20">
        <v>27.2</v>
      </c>
      <c r="B272" s="20">
        <v>74</v>
      </c>
      <c r="C272" s="26">
        <v>74.3</v>
      </c>
      <c r="D272" s="20">
        <v>-0.3</v>
      </c>
      <c r="E272" s="20">
        <v>0.08</v>
      </c>
      <c r="F272" s="20">
        <v>2225.7199999999998</v>
      </c>
      <c r="Q272" s="20">
        <v>27.1</v>
      </c>
      <c r="R272" s="20">
        <v>73.42</v>
      </c>
      <c r="S272" s="26">
        <v>74</v>
      </c>
      <c r="T272" s="26">
        <v>0.57999999999999996</v>
      </c>
      <c r="U272" s="26">
        <v>0.76</v>
      </c>
      <c r="V272" s="20">
        <v>2667.25</v>
      </c>
    </row>
    <row r="273" spans="1:22" ht="16.8" x14ac:dyDescent="0.3">
      <c r="A273" s="20">
        <v>27.3</v>
      </c>
      <c r="B273" s="20">
        <v>74</v>
      </c>
      <c r="C273" s="20">
        <v>74.36</v>
      </c>
      <c r="D273" s="20">
        <v>-0.36</v>
      </c>
      <c r="E273" s="20">
        <v>-0.06</v>
      </c>
      <c r="F273" s="26">
        <v>2110.92</v>
      </c>
      <c r="Q273" s="20">
        <v>27.2</v>
      </c>
      <c r="R273" s="20">
        <v>74.22</v>
      </c>
      <c r="S273" s="26">
        <v>74</v>
      </c>
      <c r="T273" s="26">
        <v>-0.22</v>
      </c>
      <c r="U273" s="26">
        <v>-0.81</v>
      </c>
      <c r="V273" s="26">
        <v>1265.19</v>
      </c>
    </row>
    <row r="274" spans="1:22" ht="16.8" x14ac:dyDescent="0.3">
      <c r="A274" s="20">
        <v>27.4</v>
      </c>
      <c r="B274" s="20">
        <v>74</v>
      </c>
      <c r="C274" s="26">
        <v>74.3</v>
      </c>
      <c r="D274" s="20">
        <v>-0.3</v>
      </c>
      <c r="E274" s="20">
        <v>0.06</v>
      </c>
      <c r="F274" s="26">
        <v>2225.7199999999998</v>
      </c>
      <c r="Q274" s="20">
        <v>27.3</v>
      </c>
      <c r="R274" s="20">
        <v>73.39</v>
      </c>
      <c r="S274" s="26">
        <v>74</v>
      </c>
      <c r="T274" s="26">
        <v>0.61</v>
      </c>
      <c r="U274" s="26">
        <v>0.83</v>
      </c>
      <c r="V274" s="20">
        <v>2730.89</v>
      </c>
    </row>
    <row r="275" spans="1:22" ht="16.8" x14ac:dyDescent="0.3">
      <c r="A275" s="20">
        <v>27.5</v>
      </c>
      <c r="B275" s="20">
        <v>74</v>
      </c>
      <c r="C275" s="20">
        <v>74.349999999999994</v>
      </c>
      <c r="D275" s="20">
        <v>-0.35</v>
      </c>
      <c r="E275" s="20">
        <v>-0.04</v>
      </c>
      <c r="F275" s="26">
        <v>2136.02</v>
      </c>
      <c r="Q275" s="20">
        <v>27.4</v>
      </c>
      <c r="R275" s="20">
        <v>74.22</v>
      </c>
      <c r="S275" s="26">
        <v>74</v>
      </c>
      <c r="T275" s="26">
        <v>-0.22</v>
      </c>
      <c r="U275" s="26">
        <v>-0.82</v>
      </c>
      <c r="V275" s="26">
        <v>1254.5899999999999</v>
      </c>
    </row>
    <row r="276" spans="1:22" ht="16.8" x14ac:dyDescent="0.3">
      <c r="A276" s="20">
        <v>27.6</v>
      </c>
      <c r="B276" s="20">
        <v>74</v>
      </c>
      <c r="C276" s="26">
        <v>74.27</v>
      </c>
      <c r="D276" s="20">
        <v>-0.27</v>
      </c>
      <c r="E276" s="20">
        <v>0.08</v>
      </c>
      <c r="F276" s="26">
        <v>2260.4</v>
      </c>
      <c r="Q276" s="20">
        <v>27.5</v>
      </c>
      <c r="R276" s="20">
        <v>73.39</v>
      </c>
      <c r="S276" s="26">
        <v>74</v>
      </c>
      <c r="T276" s="20">
        <v>0.61</v>
      </c>
      <c r="U276" s="26">
        <v>0.83</v>
      </c>
      <c r="V276" s="20">
        <v>2733.3</v>
      </c>
    </row>
    <row r="277" spans="1:22" ht="16.8" x14ac:dyDescent="0.3">
      <c r="A277" s="20">
        <v>27.7</v>
      </c>
      <c r="B277" s="20">
        <v>74</v>
      </c>
      <c r="C277" s="26">
        <v>74.319999999999993</v>
      </c>
      <c r="D277" s="20">
        <v>-0.32</v>
      </c>
      <c r="E277" s="20">
        <v>-0.05</v>
      </c>
      <c r="F277" s="26">
        <v>2164.58</v>
      </c>
      <c r="Q277" s="20">
        <v>27.6</v>
      </c>
      <c r="R277" s="20">
        <v>74.23</v>
      </c>
      <c r="S277" s="26">
        <v>74</v>
      </c>
      <c r="T277" s="26">
        <v>-0.23</v>
      </c>
      <c r="U277" s="26">
        <v>-0.85</v>
      </c>
      <c r="V277" s="26">
        <v>1233.24</v>
      </c>
    </row>
    <row r="278" spans="1:22" ht="16.8" x14ac:dyDescent="0.3">
      <c r="A278" s="20">
        <v>27.8</v>
      </c>
      <c r="B278" s="20">
        <v>74</v>
      </c>
      <c r="C278" s="20">
        <v>74.3</v>
      </c>
      <c r="D278" s="20">
        <v>-0.3</v>
      </c>
      <c r="E278" s="20">
        <v>0.02</v>
      </c>
      <c r="F278" s="26">
        <v>2230.12</v>
      </c>
      <c r="Q278" s="20">
        <v>27.7</v>
      </c>
      <c r="R278" s="20">
        <v>73.510000000000005</v>
      </c>
      <c r="S278" s="26">
        <v>74</v>
      </c>
      <c r="T278" s="26">
        <v>0.49</v>
      </c>
      <c r="U278" s="26">
        <v>0.73</v>
      </c>
      <c r="V278" s="20">
        <v>2628.31</v>
      </c>
    </row>
    <row r="279" spans="1:22" ht="16.8" x14ac:dyDescent="0.3">
      <c r="A279" s="20">
        <v>27.9</v>
      </c>
      <c r="B279" s="20">
        <v>74</v>
      </c>
      <c r="C279" s="26">
        <v>74.28</v>
      </c>
      <c r="D279" s="20">
        <v>-0.28000000000000003</v>
      </c>
      <c r="E279" s="20">
        <v>0.02</v>
      </c>
      <c r="F279" s="26">
        <v>2247.5</v>
      </c>
      <c r="Q279" s="20">
        <v>27.8</v>
      </c>
      <c r="R279" s="20">
        <v>74.209999999999994</v>
      </c>
      <c r="S279" s="20">
        <v>74</v>
      </c>
      <c r="T279" s="26">
        <v>-0.21</v>
      </c>
      <c r="U279" s="26">
        <v>-0.7</v>
      </c>
      <c r="V279" s="20">
        <v>1355.1</v>
      </c>
    </row>
    <row r="280" spans="1:22" ht="16.8" x14ac:dyDescent="0.3">
      <c r="A280" s="20">
        <v>28</v>
      </c>
      <c r="B280" s="20">
        <v>74</v>
      </c>
      <c r="C280" s="26">
        <v>74.34</v>
      </c>
      <c r="D280" s="20">
        <v>-0.34</v>
      </c>
      <c r="E280" s="20">
        <v>-0.05</v>
      </c>
      <c r="F280" s="26">
        <v>2142.75</v>
      </c>
      <c r="Q280" s="20">
        <v>27.9</v>
      </c>
      <c r="R280" s="20">
        <v>73.42</v>
      </c>
      <c r="S280" s="26">
        <v>74</v>
      </c>
      <c r="T280" s="26">
        <v>0.57999999999999996</v>
      </c>
      <c r="U280" s="26">
        <v>0.79</v>
      </c>
      <c r="V280" s="26">
        <v>2696.77</v>
      </c>
    </row>
    <row r="281" spans="1:22" ht="16.8" x14ac:dyDescent="0.3">
      <c r="A281" s="20">
        <v>28.1</v>
      </c>
      <c r="B281" s="20">
        <v>74</v>
      </c>
      <c r="C281" s="20">
        <v>74.28</v>
      </c>
      <c r="D281" s="20">
        <v>-0.28000000000000003</v>
      </c>
      <c r="E281" s="20">
        <v>0.06</v>
      </c>
      <c r="F281" s="26">
        <v>2251.84</v>
      </c>
      <c r="Q281" s="20">
        <v>28</v>
      </c>
      <c r="R281" s="20">
        <v>74.22</v>
      </c>
      <c r="S281" s="26">
        <v>74</v>
      </c>
      <c r="T281" s="20">
        <v>-0.22</v>
      </c>
      <c r="U281" s="26">
        <v>-0.8</v>
      </c>
      <c r="V281" s="20">
        <v>1276.6600000000001</v>
      </c>
    </row>
    <row r="282" spans="1:22" ht="16.8" x14ac:dyDescent="0.3">
      <c r="A282" s="20">
        <v>28.2</v>
      </c>
      <c r="B282" s="20">
        <v>74</v>
      </c>
      <c r="C282" s="26">
        <v>74.36</v>
      </c>
      <c r="D282" s="20">
        <v>-0.36</v>
      </c>
      <c r="E282" s="20">
        <v>-0.08</v>
      </c>
      <c r="F282" s="26">
        <v>2081.16</v>
      </c>
      <c r="Q282" s="20">
        <v>28.1</v>
      </c>
      <c r="R282" s="20">
        <v>73.459999999999994</v>
      </c>
      <c r="S282" s="26">
        <v>74</v>
      </c>
      <c r="T282" s="26">
        <v>0.54</v>
      </c>
      <c r="U282" s="26">
        <v>0.76</v>
      </c>
      <c r="V282" s="26">
        <v>2664.54</v>
      </c>
    </row>
    <row r="283" spans="1:22" ht="16.8" x14ac:dyDescent="0.3">
      <c r="A283" s="20">
        <v>28.3</v>
      </c>
      <c r="B283" s="20">
        <v>74</v>
      </c>
      <c r="C283" s="20">
        <v>74.34</v>
      </c>
      <c r="D283" s="20">
        <v>-0.34</v>
      </c>
      <c r="E283" s="20">
        <v>0.02</v>
      </c>
      <c r="F283" s="20">
        <v>2185.04</v>
      </c>
      <c r="Q283" s="20">
        <v>28.2</v>
      </c>
      <c r="R283" s="20">
        <v>74.260000000000005</v>
      </c>
      <c r="S283" s="26">
        <v>74</v>
      </c>
      <c r="T283" s="20">
        <v>-0.26</v>
      </c>
      <c r="U283" s="26">
        <v>-0.8</v>
      </c>
      <c r="V283" s="20">
        <v>1270.3</v>
      </c>
    </row>
    <row r="284" spans="1:22" ht="16.8" x14ac:dyDescent="0.3">
      <c r="A284" s="20">
        <v>28.4</v>
      </c>
      <c r="B284" s="20">
        <v>74</v>
      </c>
      <c r="C284" s="26">
        <v>74.31</v>
      </c>
      <c r="D284" s="20">
        <v>-0.31</v>
      </c>
      <c r="E284" s="20">
        <v>0.03</v>
      </c>
      <c r="F284" s="26">
        <v>2216.81</v>
      </c>
      <c r="Q284" s="20">
        <v>28.3</v>
      </c>
      <c r="R284" s="20">
        <v>73.47</v>
      </c>
      <c r="S284" s="26">
        <v>74</v>
      </c>
      <c r="T284" s="26">
        <v>0.53</v>
      </c>
      <c r="U284" s="26">
        <v>0.79</v>
      </c>
      <c r="V284" s="26">
        <v>2689.8</v>
      </c>
    </row>
    <row r="285" spans="1:22" ht="16.8" x14ac:dyDescent="0.3">
      <c r="A285" s="20">
        <v>28.5</v>
      </c>
      <c r="B285" s="20">
        <v>74</v>
      </c>
      <c r="C285" s="26">
        <v>74.36</v>
      </c>
      <c r="D285" s="20">
        <v>-0.36</v>
      </c>
      <c r="E285" s="20">
        <v>-0.05</v>
      </c>
      <c r="F285" s="26">
        <v>2109.6999999999998</v>
      </c>
      <c r="Q285" s="20">
        <v>28.4</v>
      </c>
      <c r="R285" s="20">
        <v>74.260000000000005</v>
      </c>
      <c r="S285" s="26">
        <v>74</v>
      </c>
      <c r="T285" s="20">
        <v>-0.26</v>
      </c>
      <c r="U285" s="26">
        <v>-0.79</v>
      </c>
      <c r="V285" s="20">
        <v>1277.49</v>
      </c>
    </row>
    <row r="286" spans="1:22" ht="16.8" x14ac:dyDescent="0.3">
      <c r="A286" s="20">
        <v>28.6</v>
      </c>
      <c r="B286" s="20">
        <v>74</v>
      </c>
      <c r="C286" s="20">
        <v>74.34</v>
      </c>
      <c r="D286" s="20">
        <v>-0.34</v>
      </c>
      <c r="E286" s="20">
        <v>0.03</v>
      </c>
      <c r="F286" s="26">
        <v>2189.63</v>
      </c>
      <c r="Q286" s="20">
        <v>28.5</v>
      </c>
      <c r="R286" s="20">
        <v>73.459999999999994</v>
      </c>
      <c r="S286" s="26">
        <v>74</v>
      </c>
      <c r="T286" s="26">
        <v>0.54</v>
      </c>
      <c r="U286" s="26">
        <v>0.8</v>
      </c>
      <c r="V286" s="26">
        <v>2698.43</v>
      </c>
    </row>
    <row r="287" spans="1:22" ht="16.8" x14ac:dyDescent="0.3">
      <c r="A287" s="20">
        <v>28.7</v>
      </c>
      <c r="B287" s="20">
        <v>74</v>
      </c>
      <c r="C287" s="26">
        <v>74.319999999999993</v>
      </c>
      <c r="D287" s="20">
        <v>-0.32</v>
      </c>
      <c r="E287" s="20">
        <v>0.02</v>
      </c>
      <c r="F287" s="26">
        <v>2212.37</v>
      </c>
      <c r="Q287" s="20">
        <v>28.6</v>
      </c>
      <c r="R287" s="20">
        <v>74.22</v>
      </c>
      <c r="S287" s="26">
        <v>74</v>
      </c>
      <c r="T287" s="20">
        <v>-0.22</v>
      </c>
      <c r="U287" s="26">
        <v>-0.77</v>
      </c>
      <c r="V287" s="20">
        <v>1303.43</v>
      </c>
    </row>
    <row r="288" spans="1:22" ht="16.8" x14ac:dyDescent="0.3">
      <c r="A288" s="20">
        <v>28.8</v>
      </c>
      <c r="B288" s="20">
        <v>74</v>
      </c>
      <c r="C288" s="26">
        <v>74.34</v>
      </c>
      <c r="D288" s="20">
        <v>-0.34</v>
      </c>
      <c r="E288" s="20">
        <v>-0.02</v>
      </c>
      <c r="F288" s="20">
        <v>2171.5500000000002</v>
      </c>
      <c r="Q288" s="20">
        <v>28.7</v>
      </c>
      <c r="R288" s="20">
        <v>73.47</v>
      </c>
      <c r="S288" s="26">
        <v>74</v>
      </c>
      <c r="T288" s="26">
        <v>0.53</v>
      </c>
      <c r="U288" s="26">
        <v>0.75</v>
      </c>
      <c r="V288" s="26">
        <v>2657.38</v>
      </c>
    </row>
    <row r="289" spans="1:22" ht="16.8" x14ac:dyDescent="0.3">
      <c r="A289" s="20">
        <v>28.9</v>
      </c>
      <c r="B289" s="20">
        <v>74</v>
      </c>
      <c r="C289" s="20">
        <v>74.34</v>
      </c>
      <c r="D289" s="20">
        <v>-0.34</v>
      </c>
      <c r="E289" s="20">
        <v>0</v>
      </c>
      <c r="F289" s="26">
        <v>2189.63</v>
      </c>
      <c r="Q289" s="20">
        <v>28.8</v>
      </c>
      <c r="R289" s="20">
        <v>74.260000000000005</v>
      </c>
      <c r="S289" s="26">
        <v>74</v>
      </c>
      <c r="T289" s="26">
        <v>-0.26</v>
      </c>
      <c r="U289" s="26">
        <v>-0.79</v>
      </c>
      <c r="V289" s="20">
        <v>1277.52</v>
      </c>
    </row>
    <row r="290" spans="1:22" ht="16.8" x14ac:dyDescent="0.3">
      <c r="A290" s="20">
        <v>29</v>
      </c>
      <c r="B290" s="20">
        <v>74</v>
      </c>
      <c r="C290" s="26">
        <v>74.34</v>
      </c>
      <c r="D290" s="20">
        <v>-0.34</v>
      </c>
      <c r="E290" s="20">
        <v>0</v>
      </c>
      <c r="F290" s="26">
        <v>2189.63</v>
      </c>
      <c r="Q290" s="20">
        <v>28.9</v>
      </c>
      <c r="R290" s="20">
        <v>73.459999999999994</v>
      </c>
      <c r="S290" s="26">
        <v>74</v>
      </c>
      <c r="T290" s="26">
        <v>0.54</v>
      </c>
      <c r="U290" s="26">
        <v>0.81</v>
      </c>
      <c r="V290" s="26">
        <v>2706.37</v>
      </c>
    </row>
    <row r="291" spans="1:22" ht="16.8" x14ac:dyDescent="0.3">
      <c r="A291" s="20">
        <v>29.1</v>
      </c>
      <c r="B291" s="20">
        <v>74</v>
      </c>
      <c r="C291" s="20">
        <v>74.38</v>
      </c>
      <c r="D291" s="20">
        <v>-0.38</v>
      </c>
      <c r="E291" s="20">
        <v>-0.04</v>
      </c>
      <c r="F291" s="26">
        <v>2105.77</v>
      </c>
      <c r="Q291" s="20">
        <v>29</v>
      </c>
      <c r="R291" s="20">
        <v>74.239999999999995</v>
      </c>
      <c r="S291" s="26">
        <v>74</v>
      </c>
      <c r="T291" s="26">
        <v>-0.24</v>
      </c>
      <c r="U291" s="26">
        <v>-0.78</v>
      </c>
      <c r="V291" s="20">
        <v>1289.03</v>
      </c>
    </row>
    <row r="292" spans="1:22" ht="16.8" x14ac:dyDescent="0.3">
      <c r="A292" s="20">
        <v>29.2</v>
      </c>
      <c r="B292" s="20">
        <v>74</v>
      </c>
      <c r="C292" s="26">
        <v>74.39</v>
      </c>
      <c r="D292" s="20">
        <v>-0.39</v>
      </c>
      <c r="E292" s="20">
        <v>-0.01</v>
      </c>
      <c r="F292" s="26">
        <v>2116</v>
      </c>
      <c r="Q292" s="20">
        <v>29.1</v>
      </c>
      <c r="R292" s="20">
        <v>73.510000000000005</v>
      </c>
      <c r="S292" s="26">
        <v>74</v>
      </c>
      <c r="T292" s="20">
        <v>0.49</v>
      </c>
      <c r="U292" s="26">
        <v>0.73</v>
      </c>
      <c r="V292" s="20">
        <v>2640.05</v>
      </c>
    </row>
    <row r="293" spans="1:22" ht="16.8" x14ac:dyDescent="0.3">
      <c r="A293" s="20">
        <v>29.3</v>
      </c>
      <c r="B293" s="20">
        <v>74</v>
      </c>
      <c r="C293" s="26">
        <v>74.39</v>
      </c>
      <c r="D293" s="20">
        <v>-0.39</v>
      </c>
      <c r="E293" s="20">
        <v>0</v>
      </c>
      <c r="F293" s="26">
        <v>2118.13</v>
      </c>
      <c r="Q293" s="20">
        <v>29.2</v>
      </c>
      <c r="R293" s="20">
        <v>74.3</v>
      </c>
      <c r="S293" s="26">
        <v>74</v>
      </c>
      <c r="T293" s="26">
        <v>-0.3</v>
      </c>
      <c r="U293" s="26">
        <v>-0.79</v>
      </c>
      <c r="V293" s="26">
        <v>1273.1199999999999</v>
      </c>
    </row>
    <row r="294" spans="1:22" ht="16.8" x14ac:dyDescent="0.3">
      <c r="A294" s="20">
        <v>29.4</v>
      </c>
      <c r="B294" s="20">
        <v>74</v>
      </c>
      <c r="C294" s="20">
        <v>74.400000000000006</v>
      </c>
      <c r="D294" s="20">
        <v>-0.4</v>
      </c>
      <c r="E294" s="20">
        <v>-0.01</v>
      </c>
      <c r="F294" s="26">
        <v>2095.2800000000002</v>
      </c>
      <c r="Q294" s="20">
        <v>29.3</v>
      </c>
      <c r="R294" s="20">
        <v>73.510000000000005</v>
      </c>
      <c r="S294" s="26">
        <v>74</v>
      </c>
      <c r="T294" s="26">
        <v>0.49</v>
      </c>
      <c r="U294" s="26">
        <v>0.79</v>
      </c>
      <c r="V294" s="20">
        <v>2686.03</v>
      </c>
    </row>
    <row r="295" spans="1:22" ht="16.8" x14ac:dyDescent="0.3">
      <c r="A295" s="20">
        <v>29.5</v>
      </c>
      <c r="B295" s="20">
        <v>74</v>
      </c>
      <c r="C295" s="26">
        <v>74.400000000000006</v>
      </c>
      <c r="D295" s="20">
        <v>-0.4</v>
      </c>
      <c r="E295" s="20">
        <v>0.01</v>
      </c>
      <c r="F295" s="26">
        <v>2116.62</v>
      </c>
      <c r="Q295" s="20">
        <v>29.4</v>
      </c>
      <c r="R295" s="20">
        <v>74.38</v>
      </c>
      <c r="S295" s="26">
        <v>74</v>
      </c>
      <c r="T295" s="26">
        <v>-0.38</v>
      </c>
      <c r="U295" s="26">
        <v>-0.88</v>
      </c>
      <c r="V295" s="26">
        <v>1186.3800000000001</v>
      </c>
    </row>
    <row r="296" spans="1:22" ht="16.8" x14ac:dyDescent="0.3">
      <c r="A296" s="20">
        <v>29.6</v>
      </c>
      <c r="B296" s="20">
        <v>74</v>
      </c>
      <c r="C296" s="26">
        <v>74.45</v>
      </c>
      <c r="D296" s="20">
        <v>-0.45</v>
      </c>
      <c r="E296" s="20">
        <v>-0.05</v>
      </c>
      <c r="F296" s="26">
        <v>2006.95</v>
      </c>
      <c r="Q296" s="20">
        <v>29.5</v>
      </c>
      <c r="R296" s="20">
        <v>73.55</v>
      </c>
      <c r="S296" s="26">
        <v>74</v>
      </c>
      <c r="T296" s="26">
        <v>0.45</v>
      </c>
      <c r="U296" s="26">
        <v>0.84</v>
      </c>
      <c r="V296" s="20">
        <v>2718.09</v>
      </c>
    </row>
    <row r="297" spans="1:22" ht="16.8" x14ac:dyDescent="0.3">
      <c r="A297" s="20">
        <v>29.7</v>
      </c>
      <c r="B297" s="20">
        <v>74</v>
      </c>
      <c r="C297" s="20">
        <v>74.400000000000006</v>
      </c>
      <c r="D297" s="20">
        <v>-0.4</v>
      </c>
      <c r="E297" s="20">
        <v>0.05</v>
      </c>
      <c r="F297" s="26">
        <v>2116.62</v>
      </c>
      <c r="Q297" s="20">
        <v>29.6</v>
      </c>
      <c r="R297" s="20">
        <v>74.319999999999993</v>
      </c>
      <c r="S297" s="26">
        <v>74</v>
      </c>
      <c r="T297" s="26">
        <v>-0.32</v>
      </c>
      <c r="U297" s="26">
        <v>-0.77</v>
      </c>
      <c r="V297" s="26">
        <v>1282.48</v>
      </c>
    </row>
    <row r="298" spans="1:22" ht="16.8" x14ac:dyDescent="0.3">
      <c r="A298" s="20">
        <v>29.8</v>
      </c>
      <c r="B298" s="20">
        <v>74</v>
      </c>
      <c r="C298" s="26">
        <v>74.45</v>
      </c>
      <c r="D298" s="20">
        <v>-0.45</v>
      </c>
      <c r="E298" s="20">
        <v>-0.05</v>
      </c>
      <c r="F298" s="26">
        <v>1997.38</v>
      </c>
      <c r="Q298" s="20">
        <v>29.7</v>
      </c>
      <c r="R298" s="20">
        <v>73.569999999999993</v>
      </c>
      <c r="S298" s="26">
        <v>74</v>
      </c>
      <c r="T298" s="26">
        <v>0.43</v>
      </c>
      <c r="U298" s="26">
        <v>0.75</v>
      </c>
      <c r="V298" s="20">
        <v>2642.67</v>
      </c>
    </row>
    <row r="299" spans="1:22" ht="16.8" x14ac:dyDescent="0.3">
      <c r="A299" s="20">
        <v>29.9</v>
      </c>
      <c r="B299" s="20">
        <v>74</v>
      </c>
      <c r="C299" s="26">
        <v>74.42</v>
      </c>
      <c r="D299" s="20">
        <v>-0.42</v>
      </c>
      <c r="E299" s="20">
        <v>0.03</v>
      </c>
      <c r="F299" s="26">
        <v>2084.71</v>
      </c>
      <c r="Q299" s="20">
        <v>29.8</v>
      </c>
      <c r="R299" s="20">
        <v>74.36</v>
      </c>
      <c r="S299" s="26">
        <v>74</v>
      </c>
      <c r="T299" s="26">
        <v>-0.36</v>
      </c>
      <c r="U299" s="26">
        <v>-0.79</v>
      </c>
      <c r="V299" s="26">
        <v>1262.5899999999999</v>
      </c>
    </row>
    <row r="300" spans="1:22" ht="16.8" x14ac:dyDescent="0.3">
      <c r="A300" s="20">
        <v>30</v>
      </c>
      <c r="B300" s="20">
        <v>74</v>
      </c>
      <c r="C300" s="20">
        <v>74.430000000000007</v>
      </c>
      <c r="D300" s="20">
        <v>-0.43</v>
      </c>
      <c r="E300" s="20">
        <v>-0.01</v>
      </c>
      <c r="F300" s="26">
        <v>2057.0500000000002</v>
      </c>
      <c r="Q300" s="20">
        <v>29.9</v>
      </c>
      <c r="R300" s="20">
        <v>73.53</v>
      </c>
      <c r="S300" s="26">
        <v>74</v>
      </c>
      <c r="T300" s="26">
        <v>0.47</v>
      </c>
      <c r="U300" s="26">
        <v>0.83</v>
      </c>
      <c r="V300" s="20">
        <v>2714.96</v>
      </c>
    </row>
    <row r="301" spans="1:22" ht="16.8" x14ac:dyDescent="0.3">
      <c r="A301" s="20">
        <v>30.1</v>
      </c>
      <c r="B301" s="20">
        <v>74</v>
      </c>
      <c r="C301" s="26">
        <v>74.45</v>
      </c>
      <c r="D301" s="20">
        <v>-0.45</v>
      </c>
      <c r="E301" s="20">
        <v>-0.02</v>
      </c>
      <c r="F301" s="20">
        <v>2030.23</v>
      </c>
      <c r="Q301" s="20">
        <v>30</v>
      </c>
      <c r="R301" s="20">
        <v>74.33</v>
      </c>
      <c r="S301" s="26">
        <v>74</v>
      </c>
      <c r="T301" s="26">
        <v>-0.33</v>
      </c>
      <c r="U301" s="26">
        <v>-0.8</v>
      </c>
      <c r="V301" s="20">
        <v>1262.0999999999999</v>
      </c>
    </row>
    <row r="302" spans="1:22" ht="16.8" x14ac:dyDescent="0.3">
      <c r="A302" s="20">
        <v>30.2</v>
      </c>
      <c r="B302" s="20">
        <v>74</v>
      </c>
      <c r="C302" s="20">
        <v>74.41</v>
      </c>
      <c r="D302" s="20">
        <v>-0.41</v>
      </c>
      <c r="E302" s="20">
        <v>0.04</v>
      </c>
      <c r="F302" s="26">
        <v>2100.85</v>
      </c>
      <c r="Q302" s="20">
        <v>30.1</v>
      </c>
      <c r="R302" s="20">
        <v>73.55</v>
      </c>
      <c r="S302" s="26">
        <v>74</v>
      </c>
      <c r="T302" s="26">
        <v>0.45</v>
      </c>
      <c r="U302" s="26">
        <v>0.77</v>
      </c>
      <c r="V302" s="26">
        <v>2665.56</v>
      </c>
    </row>
    <row r="303" spans="1:22" ht="16.8" x14ac:dyDescent="0.3">
      <c r="A303" s="20">
        <v>30.3</v>
      </c>
      <c r="B303" s="20">
        <v>74</v>
      </c>
      <c r="C303" s="26">
        <v>74.44</v>
      </c>
      <c r="D303" s="20">
        <v>-0.44</v>
      </c>
      <c r="E303" s="20">
        <v>-0.03</v>
      </c>
      <c r="F303" s="26">
        <v>2027.32</v>
      </c>
      <c r="Q303" s="20">
        <v>30.2</v>
      </c>
      <c r="R303" s="20">
        <v>74.34</v>
      </c>
      <c r="S303" s="26">
        <v>74</v>
      </c>
      <c r="T303" s="26">
        <v>-0.34</v>
      </c>
      <c r="U303" s="26">
        <v>-0.78</v>
      </c>
      <c r="V303" s="20">
        <v>1273.95</v>
      </c>
    </row>
    <row r="304" spans="1:22" ht="16.8" x14ac:dyDescent="0.3">
      <c r="A304" s="20">
        <v>30.4</v>
      </c>
      <c r="B304" s="20">
        <v>74</v>
      </c>
      <c r="C304" s="26">
        <v>74.400000000000006</v>
      </c>
      <c r="D304" s="20">
        <v>-0.4</v>
      </c>
      <c r="E304" s="20">
        <v>0.04</v>
      </c>
      <c r="F304" s="26">
        <v>2116.62</v>
      </c>
      <c r="Q304" s="20">
        <v>30.3</v>
      </c>
      <c r="R304" s="20">
        <v>73.599999999999994</v>
      </c>
      <c r="S304" s="26">
        <v>74</v>
      </c>
      <c r="T304" s="26">
        <v>0.4</v>
      </c>
      <c r="U304" s="26">
        <v>0.73</v>
      </c>
      <c r="V304" s="26">
        <v>2624.75</v>
      </c>
    </row>
    <row r="305" spans="1:22" ht="16.8" x14ac:dyDescent="0.3">
      <c r="A305" s="20">
        <v>30.5</v>
      </c>
      <c r="B305" s="20">
        <v>74</v>
      </c>
      <c r="C305" s="20">
        <v>74.42</v>
      </c>
      <c r="D305" s="20">
        <v>-0.42</v>
      </c>
      <c r="E305" s="20">
        <v>-0.02</v>
      </c>
      <c r="F305" s="26">
        <v>2062.8200000000002</v>
      </c>
      <c r="Q305" s="20">
        <v>30.4</v>
      </c>
      <c r="R305" s="20">
        <v>74.34</v>
      </c>
      <c r="S305" s="26">
        <v>74</v>
      </c>
      <c r="T305" s="26">
        <v>-0.34</v>
      </c>
      <c r="U305" s="26">
        <v>-0.73</v>
      </c>
      <c r="V305" s="20">
        <v>1313.07</v>
      </c>
    </row>
    <row r="306" spans="1:22" ht="16.8" x14ac:dyDescent="0.3">
      <c r="A306" s="20">
        <v>30.6</v>
      </c>
      <c r="B306" s="20">
        <v>74</v>
      </c>
      <c r="C306" s="26">
        <v>74.41</v>
      </c>
      <c r="D306" s="20">
        <v>-0.41</v>
      </c>
      <c r="E306" s="20">
        <v>0.01</v>
      </c>
      <c r="F306" s="20">
        <v>2100.85</v>
      </c>
      <c r="Q306" s="20">
        <v>30.5</v>
      </c>
      <c r="R306" s="20">
        <v>73.48</v>
      </c>
      <c r="S306" s="26">
        <v>74</v>
      </c>
      <c r="T306" s="26">
        <v>0.52</v>
      </c>
      <c r="U306" s="26">
        <v>0.85</v>
      </c>
      <c r="V306" s="26">
        <v>2743.84</v>
      </c>
    </row>
    <row r="307" spans="1:22" ht="16.8" x14ac:dyDescent="0.3">
      <c r="A307" s="20">
        <v>30.7</v>
      </c>
      <c r="B307" s="20">
        <v>74</v>
      </c>
      <c r="C307" s="26">
        <v>74.41</v>
      </c>
      <c r="D307" s="20">
        <v>-0.41</v>
      </c>
      <c r="E307" s="20">
        <v>0</v>
      </c>
      <c r="F307" s="26">
        <v>2100.85</v>
      </c>
      <c r="Q307" s="20">
        <v>30.6</v>
      </c>
      <c r="R307" s="20">
        <v>74.34</v>
      </c>
      <c r="S307" s="26">
        <v>74</v>
      </c>
      <c r="T307" s="20">
        <v>-0.34</v>
      </c>
      <c r="U307" s="26">
        <v>-0.86</v>
      </c>
      <c r="V307" s="20">
        <v>1208.17</v>
      </c>
    </row>
    <row r="308" spans="1:22" ht="16.8" x14ac:dyDescent="0.3">
      <c r="A308" s="20">
        <v>30.8</v>
      </c>
      <c r="B308" s="20">
        <v>74</v>
      </c>
      <c r="C308" s="20">
        <v>74.400000000000006</v>
      </c>
      <c r="D308" s="20">
        <v>-0.4</v>
      </c>
      <c r="E308" s="20">
        <v>0.01</v>
      </c>
      <c r="F308" s="20">
        <v>2116.62</v>
      </c>
      <c r="Q308" s="20">
        <v>30.7</v>
      </c>
      <c r="R308" s="20">
        <v>73.569999999999993</v>
      </c>
      <c r="S308" s="26">
        <v>74</v>
      </c>
      <c r="T308" s="26">
        <v>0.43</v>
      </c>
      <c r="U308" s="26">
        <v>0.77</v>
      </c>
      <c r="V308" s="20">
        <v>2663.54</v>
      </c>
    </row>
    <row r="309" spans="1:22" ht="16.8" x14ac:dyDescent="0.3">
      <c r="A309" s="20">
        <v>30.9</v>
      </c>
      <c r="B309" s="20">
        <v>74</v>
      </c>
      <c r="C309" s="26">
        <v>74.39</v>
      </c>
      <c r="D309" s="20">
        <v>-0.39</v>
      </c>
      <c r="E309" s="20">
        <v>0.01</v>
      </c>
      <c r="F309" s="26">
        <v>2126.85</v>
      </c>
      <c r="Q309" s="20">
        <v>30.8</v>
      </c>
      <c r="R309" s="20">
        <v>74.349999999999994</v>
      </c>
      <c r="S309" s="26">
        <v>74</v>
      </c>
      <c r="T309" s="26">
        <v>-0.35</v>
      </c>
      <c r="U309" s="26">
        <v>-0.78</v>
      </c>
      <c r="V309" s="26">
        <v>1271.9000000000001</v>
      </c>
    </row>
    <row r="310" spans="1:22" ht="16.8" x14ac:dyDescent="0.3">
      <c r="A310" s="20">
        <v>31</v>
      </c>
      <c r="B310" s="20">
        <v>74</v>
      </c>
      <c r="C310" s="26">
        <v>74.39</v>
      </c>
      <c r="D310" s="20">
        <v>-0.39</v>
      </c>
      <c r="E310" s="20">
        <v>0</v>
      </c>
      <c r="F310" s="26">
        <v>2126.85</v>
      </c>
      <c r="Q310" s="20">
        <v>30.9</v>
      </c>
      <c r="R310" s="20">
        <v>73.55</v>
      </c>
      <c r="S310" s="26">
        <v>74</v>
      </c>
      <c r="T310" s="26">
        <v>0.45</v>
      </c>
      <c r="U310" s="26">
        <v>0.81</v>
      </c>
      <c r="V310" s="20">
        <v>2694.02</v>
      </c>
    </row>
    <row r="311" spans="1:22" ht="16.8" x14ac:dyDescent="0.3">
      <c r="A311" s="20">
        <v>31.1</v>
      </c>
      <c r="B311" s="20">
        <v>74</v>
      </c>
      <c r="C311" s="20">
        <v>74.36</v>
      </c>
      <c r="D311" s="20">
        <v>-0.36</v>
      </c>
      <c r="E311" s="20">
        <v>0.03</v>
      </c>
      <c r="F311" s="20">
        <v>2166.2199999999998</v>
      </c>
      <c r="Q311" s="20">
        <v>31</v>
      </c>
      <c r="R311" s="20">
        <v>74.37</v>
      </c>
      <c r="S311" s="26">
        <v>74</v>
      </c>
      <c r="T311" s="26">
        <v>-0.37</v>
      </c>
      <c r="U311" s="26">
        <v>-0.82</v>
      </c>
      <c r="V311" s="26">
        <v>1236.8</v>
      </c>
    </row>
    <row r="312" spans="1:22" ht="16.8" x14ac:dyDescent="0.3">
      <c r="A312" s="20">
        <v>31.2</v>
      </c>
      <c r="B312" s="20">
        <v>74</v>
      </c>
      <c r="C312" s="26">
        <v>74.34</v>
      </c>
      <c r="D312" s="20">
        <v>-0.34</v>
      </c>
      <c r="E312" s="20">
        <v>0.01</v>
      </c>
      <c r="F312" s="26">
        <v>2180.39</v>
      </c>
      <c r="Q312" s="20">
        <v>31.1</v>
      </c>
      <c r="R312" s="20">
        <v>73.58</v>
      </c>
      <c r="S312" s="26">
        <v>74</v>
      </c>
      <c r="T312" s="20">
        <v>0.42</v>
      </c>
      <c r="U312" s="26">
        <v>0.79</v>
      </c>
      <c r="V312" s="20">
        <v>2675.51</v>
      </c>
    </row>
    <row r="313" spans="1:22" ht="16.8" x14ac:dyDescent="0.3">
      <c r="A313" s="20">
        <v>31.3</v>
      </c>
      <c r="B313" s="20">
        <v>74</v>
      </c>
      <c r="C313" s="20">
        <v>74.38</v>
      </c>
      <c r="D313" s="20">
        <v>-0.38</v>
      </c>
      <c r="E313" s="20">
        <v>-0.03</v>
      </c>
      <c r="F313" s="26">
        <v>2112.94</v>
      </c>
      <c r="Q313" s="20">
        <v>31.2</v>
      </c>
      <c r="R313" s="20">
        <v>74.38</v>
      </c>
      <c r="S313" s="26">
        <v>74</v>
      </c>
      <c r="T313" s="26">
        <v>-0.38</v>
      </c>
      <c r="U313" s="26">
        <v>-0.81</v>
      </c>
      <c r="V313" s="26">
        <v>1247.06</v>
      </c>
    </row>
    <row r="314" spans="1:22" ht="16.8" x14ac:dyDescent="0.3">
      <c r="A314" s="20">
        <v>31.4</v>
      </c>
      <c r="B314" s="20">
        <v>74</v>
      </c>
      <c r="C314" s="26">
        <v>74.319999999999993</v>
      </c>
      <c r="D314" s="20">
        <v>-0.32</v>
      </c>
      <c r="E314" s="20">
        <v>0.05</v>
      </c>
      <c r="F314" s="26">
        <v>2203.39</v>
      </c>
      <c r="Q314" s="20">
        <v>31.3</v>
      </c>
      <c r="R314" s="20">
        <v>73.59</v>
      </c>
      <c r="S314" s="26">
        <v>74</v>
      </c>
      <c r="T314" s="20">
        <v>0.41</v>
      </c>
      <c r="U314" s="26">
        <v>0.8</v>
      </c>
      <c r="V314" s="20">
        <v>2680.66</v>
      </c>
    </row>
    <row r="315" spans="1:22" ht="16.8" x14ac:dyDescent="0.3">
      <c r="A315" s="20">
        <v>31.5</v>
      </c>
      <c r="B315" s="20">
        <v>74</v>
      </c>
      <c r="C315" s="26">
        <v>74.34</v>
      </c>
      <c r="D315" s="20">
        <v>-0.34</v>
      </c>
      <c r="E315" s="20">
        <v>-0.01</v>
      </c>
      <c r="F315" s="26">
        <v>2178.81</v>
      </c>
      <c r="Q315" s="20">
        <v>31.4</v>
      </c>
      <c r="R315" s="20">
        <v>74.38</v>
      </c>
      <c r="S315" s="20">
        <v>74</v>
      </c>
      <c r="T315" s="26">
        <v>-0.38</v>
      </c>
      <c r="U315" s="26">
        <v>-0.8</v>
      </c>
      <c r="V315" s="20">
        <v>1253.6199999999999</v>
      </c>
    </row>
    <row r="316" spans="1:22" ht="16.8" x14ac:dyDescent="0.3">
      <c r="A316" s="20">
        <v>31.6</v>
      </c>
      <c r="B316" s="20">
        <v>74</v>
      </c>
      <c r="C316" s="20">
        <v>74.33</v>
      </c>
      <c r="D316" s="20">
        <v>-0.33</v>
      </c>
      <c r="E316" s="20">
        <v>0.01</v>
      </c>
      <c r="F316" s="26">
        <v>2198.84</v>
      </c>
      <c r="Q316" s="20">
        <v>31.5</v>
      </c>
      <c r="R316" s="20">
        <v>73.59</v>
      </c>
      <c r="S316" s="26">
        <v>74</v>
      </c>
      <c r="T316" s="26">
        <v>0.41</v>
      </c>
      <c r="U316" s="26">
        <v>0.8</v>
      </c>
      <c r="V316" s="26">
        <v>2680.73</v>
      </c>
    </row>
    <row r="317" spans="1:22" ht="16.8" x14ac:dyDescent="0.3">
      <c r="A317" s="20">
        <v>31.7</v>
      </c>
      <c r="B317" s="20">
        <v>74</v>
      </c>
      <c r="C317" s="26">
        <v>74.36</v>
      </c>
      <c r="D317" s="20">
        <v>-0.36</v>
      </c>
      <c r="E317" s="20">
        <v>-0.03</v>
      </c>
      <c r="F317" s="26">
        <v>2140.89</v>
      </c>
      <c r="Q317" s="20">
        <v>31.6</v>
      </c>
      <c r="R317" s="20">
        <v>74.349999999999994</v>
      </c>
      <c r="S317" s="20">
        <v>74</v>
      </c>
      <c r="T317" s="26">
        <v>-0.35</v>
      </c>
      <c r="U317" s="26">
        <v>-0.77</v>
      </c>
      <c r="V317" s="20">
        <v>1285.42</v>
      </c>
    </row>
    <row r="318" spans="1:22" ht="16.8" x14ac:dyDescent="0.3">
      <c r="A318" s="20">
        <v>31.8</v>
      </c>
      <c r="B318" s="20">
        <v>74</v>
      </c>
      <c r="C318" s="26">
        <v>74.39</v>
      </c>
      <c r="D318" s="20">
        <v>-0.39</v>
      </c>
      <c r="E318" s="20">
        <v>-0.04</v>
      </c>
      <c r="F318" s="26">
        <v>2089.16</v>
      </c>
      <c r="Q318" s="20">
        <v>31.7</v>
      </c>
      <c r="R318" s="20">
        <v>73.61</v>
      </c>
      <c r="S318" s="26">
        <v>74</v>
      </c>
      <c r="T318" s="26">
        <v>0.39</v>
      </c>
      <c r="U318" s="26">
        <v>0.74</v>
      </c>
      <c r="V318" s="26">
        <v>2631.11</v>
      </c>
    </row>
    <row r="319" spans="1:22" ht="16.8" x14ac:dyDescent="0.3">
      <c r="A319" s="20">
        <v>31.9</v>
      </c>
      <c r="B319" s="20">
        <v>74</v>
      </c>
      <c r="C319" s="20">
        <v>74.38</v>
      </c>
      <c r="D319" s="20">
        <v>-0.38</v>
      </c>
      <c r="E319" s="20">
        <v>0.02</v>
      </c>
      <c r="F319" s="20">
        <v>2141.91</v>
      </c>
      <c r="Q319" s="20">
        <v>31.8</v>
      </c>
      <c r="R319" s="20">
        <v>74.41</v>
      </c>
      <c r="S319" s="26">
        <v>74</v>
      </c>
      <c r="T319" s="26">
        <v>-0.41</v>
      </c>
      <c r="U319" s="26">
        <v>-0.8</v>
      </c>
      <c r="V319" s="20">
        <v>1249.48</v>
      </c>
    </row>
    <row r="320" spans="1:22" ht="16.8" x14ac:dyDescent="0.3">
      <c r="A320" s="20">
        <v>32</v>
      </c>
      <c r="B320" s="20">
        <v>74</v>
      </c>
      <c r="C320" s="26">
        <v>74.38</v>
      </c>
      <c r="D320" s="20">
        <v>-0.38</v>
      </c>
      <c r="E320" s="20">
        <v>-0.01</v>
      </c>
      <c r="F320" s="26">
        <v>2124.64</v>
      </c>
      <c r="Q320" s="20">
        <v>31.9</v>
      </c>
      <c r="R320" s="20">
        <v>73.650000000000006</v>
      </c>
      <c r="S320" s="26">
        <v>74</v>
      </c>
      <c r="T320" s="26">
        <v>0.35</v>
      </c>
      <c r="U320" s="26">
        <v>0.76</v>
      </c>
      <c r="V320" s="26">
        <v>2636.88</v>
      </c>
    </row>
    <row r="321" spans="1:22" ht="16.8" x14ac:dyDescent="0.3">
      <c r="A321" s="20">
        <v>32.1</v>
      </c>
      <c r="B321" s="20">
        <v>74</v>
      </c>
      <c r="C321" s="20">
        <v>74.400000000000006</v>
      </c>
      <c r="D321" s="20">
        <v>-0.4</v>
      </c>
      <c r="E321" s="20">
        <v>-0.01</v>
      </c>
      <c r="F321" s="26">
        <v>2105.75</v>
      </c>
      <c r="Q321" s="20">
        <v>32</v>
      </c>
      <c r="R321" s="20">
        <v>74.37</v>
      </c>
      <c r="S321" s="26">
        <v>74</v>
      </c>
      <c r="T321" s="26">
        <v>-0.37</v>
      </c>
      <c r="U321" s="26">
        <v>-0.72</v>
      </c>
      <c r="V321" s="20">
        <v>1321.45</v>
      </c>
    </row>
    <row r="322" spans="1:22" ht="16.8" x14ac:dyDescent="0.3">
      <c r="A322" s="20">
        <v>32.200000000000003</v>
      </c>
      <c r="B322" s="20">
        <v>74</v>
      </c>
      <c r="C322" s="26">
        <v>74.41</v>
      </c>
      <c r="D322" s="20">
        <v>-0.41</v>
      </c>
      <c r="E322" s="20">
        <v>-0.01</v>
      </c>
      <c r="F322" s="20">
        <v>2089.9699999999998</v>
      </c>
      <c r="Q322" s="20">
        <v>32.1</v>
      </c>
      <c r="R322" s="20">
        <v>73.64</v>
      </c>
      <c r="S322" s="26">
        <v>74</v>
      </c>
      <c r="T322" s="26">
        <v>0.36</v>
      </c>
      <c r="U322" s="26">
        <v>0.73</v>
      </c>
      <c r="V322" s="20">
        <v>2620.23</v>
      </c>
    </row>
    <row r="323" spans="1:22" ht="16.8" x14ac:dyDescent="0.3">
      <c r="A323" s="20">
        <v>32.299999999999997</v>
      </c>
      <c r="B323" s="20">
        <v>74</v>
      </c>
      <c r="C323" s="26">
        <v>74.36</v>
      </c>
      <c r="D323" s="20">
        <v>-0.36</v>
      </c>
      <c r="E323" s="20">
        <v>0.05</v>
      </c>
      <c r="F323" s="26">
        <v>2166.2199999999998</v>
      </c>
      <c r="Q323" s="20">
        <v>32.200000000000003</v>
      </c>
      <c r="R323" s="20">
        <v>74.38</v>
      </c>
      <c r="S323" s="26">
        <v>74</v>
      </c>
      <c r="T323" s="26">
        <v>-0.38</v>
      </c>
      <c r="U323" s="26">
        <v>-0.74</v>
      </c>
      <c r="V323" s="26">
        <v>1300.51</v>
      </c>
    </row>
    <row r="324" spans="1:22" ht="16.8" x14ac:dyDescent="0.3">
      <c r="A324" s="20">
        <v>32.4</v>
      </c>
      <c r="B324" s="20">
        <v>74</v>
      </c>
      <c r="C324" s="20">
        <v>74.37</v>
      </c>
      <c r="D324" s="20">
        <v>-0.37</v>
      </c>
      <c r="E324" s="20">
        <v>-0.01</v>
      </c>
      <c r="F324" s="20">
        <v>2140.9</v>
      </c>
      <c r="Q324" s="20">
        <v>32.299999999999997</v>
      </c>
      <c r="R324" s="20">
        <v>73.599999999999994</v>
      </c>
      <c r="S324" s="26">
        <v>74</v>
      </c>
      <c r="T324" s="26">
        <v>0.4</v>
      </c>
      <c r="U324" s="26">
        <v>0.77</v>
      </c>
      <c r="V324" s="20">
        <v>2658.41</v>
      </c>
    </row>
    <row r="325" spans="1:22" ht="16.8" x14ac:dyDescent="0.3">
      <c r="A325" s="20">
        <v>32.5</v>
      </c>
      <c r="B325" s="20">
        <v>74</v>
      </c>
      <c r="C325" s="26">
        <v>74.36</v>
      </c>
      <c r="D325" s="20">
        <v>-0.36</v>
      </c>
      <c r="E325" s="20">
        <v>0</v>
      </c>
      <c r="F325" s="26">
        <v>2156.61</v>
      </c>
      <c r="Q325" s="20">
        <v>32.4</v>
      </c>
      <c r="R325" s="20">
        <v>74.430000000000007</v>
      </c>
      <c r="S325" s="26">
        <v>74</v>
      </c>
      <c r="T325" s="20">
        <v>-0.43</v>
      </c>
      <c r="U325" s="26">
        <v>-0.83</v>
      </c>
      <c r="V325" s="26">
        <v>1219.0999999999999</v>
      </c>
    </row>
    <row r="326" spans="1:22" ht="16.8" x14ac:dyDescent="0.3">
      <c r="A326" s="20">
        <v>32.6</v>
      </c>
      <c r="B326" s="20">
        <v>74</v>
      </c>
      <c r="C326" s="26">
        <v>74.349999999999994</v>
      </c>
      <c r="D326" s="20">
        <v>-0.35</v>
      </c>
      <c r="E326" s="20">
        <v>0.01</v>
      </c>
      <c r="F326" s="26">
        <v>2170.9899999999998</v>
      </c>
      <c r="Q326" s="20">
        <v>32.5</v>
      </c>
      <c r="R326" s="20">
        <v>73.540000000000006</v>
      </c>
      <c r="S326" s="20">
        <v>74</v>
      </c>
      <c r="T326" s="26">
        <v>0.46</v>
      </c>
      <c r="U326" s="26">
        <v>0.89</v>
      </c>
      <c r="V326" s="20">
        <v>2767.2</v>
      </c>
    </row>
    <row r="327" spans="1:22" ht="16.8" x14ac:dyDescent="0.3">
      <c r="A327" s="20">
        <v>32.700000000000003</v>
      </c>
      <c r="B327" s="20">
        <v>74</v>
      </c>
      <c r="C327" s="20">
        <v>74.400000000000006</v>
      </c>
      <c r="D327" s="20">
        <v>-0.4</v>
      </c>
      <c r="E327" s="20">
        <v>-0.05</v>
      </c>
      <c r="F327" s="26">
        <v>2059.04</v>
      </c>
      <c r="Q327" s="20">
        <v>32.6</v>
      </c>
      <c r="R327" s="20">
        <v>74.42</v>
      </c>
      <c r="S327" s="26">
        <v>74</v>
      </c>
      <c r="T327" s="26">
        <v>-0.42</v>
      </c>
      <c r="U327" s="26">
        <v>-0.89</v>
      </c>
      <c r="V327" s="26">
        <v>1175.1400000000001</v>
      </c>
    </row>
    <row r="328" spans="1:22" ht="16.8" x14ac:dyDescent="0.3">
      <c r="A328" s="20">
        <v>32.799999999999997</v>
      </c>
      <c r="B328" s="20">
        <v>74</v>
      </c>
      <c r="C328" s="26">
        <v>74.38</v>
      </c>
      <c r="D328" s="20">
        <v>-0.38</v>
      </c>
      <c r="E328" s="20">
        <v>0.03</v>
      </c>
      <c r="F328" s="26">
        <v>2141.91</v>
      </c>
      <c r="Q328" s="20">
        <v>32.700000000000003</v>
      </c>
      <c r="R328" s="20">
        <v>73.62</v>
      </c>
      <c r="S328" s="26">
        <v>74</v>
      </c>
      <c r="T328" s="26">
        <v>0.38</v>
      </c>
      <c r="U328" s="26">
        <v>0.81</v>
      </c>
      <c r="V328" s="20">
        <v>2681.52</v>
      </c>
    </row>
    <row r="329" spans="1:22" ht="16.8" x14ac:dyDescent="0.3">
      <c r="A329" s="20">
        <v>32.9</v>
      </c>
      <c r="B329" s="20">
        <v>74</v>
      </c>
      <c r="C329" s="26">
        <v>74.430000000000007</v>
      </c>
      <c r="D329" s="20">
        <v>-0.43</v>
      </c>
      <c r="E329" s="20">
        <v>-0.05</v>
      </c>
      <c r="F329" s="26">
        <v>2026.3</v>
      </c>
      <c r="Q329" s="20">
        <v>32.799999999999997</v>
      </c>
      <c r="R329" s="20">
        <v>74.400000000000006</v>
      </c>
      <c r="S329" s="26">
        <v>74</v>
      </c>
      <c r="T329" s="26">
        <v>-0.4</v>
      </c>
      <c r="U329" s="26">
        <v>-0.78</v>
      </c>
      <c r="V329" s="26">
        <v>1263.76</v>
      </c>
    </row>
    <row r="330" spans="1:22" ht="16.8" x14ac:dyDescent="0.3">
      <c r="A330" s="20">
        <v>33</v>
      </c>
      <c r="B330" s="20">
        <v>74</v>
      </c>
      <c r="C330" s="20">
        <v>74.42</v>
      </c>
      <c r="D330" s="20">
        <v>-0.42</v>
      </c>
      <c r="E330" s="20">
        <v>0</v>
      </c>
      <c r="F330" s="26">
        <v>2079.19</v>
      </c>
      <c r="Q330" s="20">
        <v>32.9</v>
      </c>
      <c r="R330" s="20">
        <v>73.569999999999993</v>
      </c>
      <c r="S330" s="26">
        <v>74</v>
      </c>
      <c r="T330" s="26">
        <v>0.43</v>
      </c>
      <c r="U330" s="26">
        <v>0.83</v>
      </c>
      <c r="V330" s="20">
        <v>2709.55</v>
      </c>
    </row>
    <row r="331" spans="1:22" ht="16.8" x14ac:dyDescent="0.3">
      <c r="A331" s="20">
        <v>33.1</v>
      </c>
      <c r="B331" s="20">
        <v>74</v>
      </c>
      <c r="C331" s="26">
        <v>74.42</v>
      </c>
      <c r="D331" s="20">
        <v>-0.42</v>
      </c>
      <c r="E331" s="20">
        <v>0</v>
      </c>
      <c r="F331" s="26">
        <v>2084.71</v>
      </c>
      <c r="Q331" s="20">
        <v>33</v>
      </c>
      <c r="R331" s="20">
        <v>74.41</v>
      </c>
      <c r="S331" s="26">
        <v>74</v>
      </c>
      <c r="T331" s="26">
        <v>-0.41</v>
      </c>
      <c r="U331" s="26">
        <v>-0.84</v>
      </c>
      <c r="V331" s="26">
        <v>1216.94</v>
      </c>
    </row>
    <row r="332" spans="1:22" ht="16.8" x14ac:dyDescent="0.3">
      <c r="A332" s="20">
        <v>33.200000000000003</v>
      </c>
      <c r="B332" s="20">
        <v>74</v>
      </c>
      <c r="C332" s="20">
        <v>74.41</v>
      </c>
      <c r="D332" s="20">
        <v>-0.41</v>
      </c>
      <c r="E332" s="20">
        <v>0.01</v>
      </c>
      <c r="F332" s="26">
        <v>2100.85</v>
      </c>
      <c r="Q332" s="20">
        <v>33.1</v>
      </c>
      <c r="R332" s="20">
        <v>73.63</v>
      </c>
      <c r="S332" s="26">
        <v>74</v>
      </c>
      <c r="T332" s="26">
        <v>0.37</v>
      </c>
      <c r="U332" s="26">
        <v>0.78</v>
      </c>
      <c r="V332" s="20">
        <v>2660.6</v>
      </c>
    </row>
    <row r="333" spans="1:22" ht="16.8" x14ac:dyDescent="0.3">
      <c r="A333" s="20">
        <v>33.299999999999997</v>
      </c>
      <c r="B333" s="20">
        <v>74</v>
      </c>
      <c r="C333" s="26">
        <v>74.400000000000006</v>
      </c>
      <c r="D333" s="20">
        <v>-0.4</v>
      </c>
      <c r="E333" s="20">
        <v>0</v>
      </c>
      <c r="F333" s="20">
        <v>2106.16</v>
      </c>
      <c r="Q333" s="20">
        <v>33.200000000000003</v>
      </c>
      <c r="R333" s="20">
        <v>74.41</v>
      </c>
      <c r="S333" s="26">
        <v>74</v>
      </c>
      <c r="T333" s="26">
        <v>-0.41</v>
      </c>
      <c r="U333" s="26">
        <v>-0.78</v>
      </c>
      <c r="V333" s="26">
        <v>1262.3</v>
      </c>
    </row>
    <row r="334" spans="1:22" ht="16.8" x14ac:dyDescent="0.3">
      <c r="A334" s="20">
        <v>33.4</v>
      </c>
      <c r="B334" s="20">
        <v>74</v>
      </c>
      <c r="C334" s="26">
        <v>74.430000000000007</v>
      </c>
      <c r="D334" s="20">
        <v>-0.43</v>
      </c>
      <c r="E334" s="20">
        <v>-0.03</v>
      </c>
      <c r="F334" s="26">
        <v>2042.39</v>
      </c>
      <c r="Q334" s="20">
        <v>33.299999999999997</v>
      </c>
      <c r="R334" s="20">
        <v>73.63</v>
      </c>
      <c r="S334" s="26">
        <v>74</v>
      </c>
      <c r="T334" s="20">
        <v>0.37</v>
      </c>
      <c r="U334" s="26">
        <v>0.78</v>
      </c>
      <c r="V334" s="20">
        <v>2660.51</v>
      </c>
    </row>
    <row r="335" spans="1:22" ht="16.8" x14ac:dyDescent="0.3">
      <c r="A335" s="20">
        <v>33.5</v>
      </c>
      <c r="B335" s="20">
        <v>74</v>
      </c>
      <c r="C335" s="20">
        <v>74.39</v>
      </c>
      <c r="D335" s="20">
        <v>-0.39</v>
      </c>
      <c r="E335" s="20">
        <v>0.04</v>
      </c>
      <c r="F335" s="26">
        <v>2121.77</v>
      </c>
      <c r="Q335" s="20">
        <v>33.4</v>
      </c>
      <c r="R335" s="20">
        <v>74.319999999999993</v>
      </c>
      <c r="S335" s="26">
        <v>74</v>
      </c>
      <c r="T335" s="26">
        <v>-0.32</v>
      </c>
      <c r="U335" s="26">
        <v>-0.69</v>
      </c>
      <c r="V335" s="26">
        <v>1349.44</v>
      </c>
    </row>
    <row r="336" spans="1:22" ht="16.8" x14ac:dyDescent="0.3">
      <c r="A336" s="20">
        <v>33.6</v>
      </c>
      <c r="B336" s="20">
        <v>74</v>
      </c>
      <c r="C336" s="26">
        <v>74.38</v>
      </c>
      <c r="D336" s="20">
        <v>-0.38</v>
      </c>
      <c r="E336" s="20">
        <v>0.01</v>
      </c>
      <c r="F336" s="26">
        <v>2136.9499999999998</v>
      </c>
      <c r="Q336" s="20">
        <v>33.5</v>
      </c>
      <c r="R336" s="20">
        <v>73.64</v>
      </c>
      <c r="S336" s="26">
        <v>74</v>
      </c>
      <c r="T336" s="26">
        <v>0.36</v>
      </c>
      <c r="U336" s="26">
        <v>0.68</v>
      </c>
      <c r="V336" s="20">
        <v>2581.27</v>
      </c>
    </row>
    <row r="337" spans="1:22" ht="16.8" x14ac:dyDescent="0.3">
      <c r="A337" s="20">
        <v>33.700000000000003</v>
      </c>
      <c r="B337" s="20">
        <v>74</v>
      </c>
      <c r="C337" s="26">
        <v>74.400000000000006</v>
      </c>
      <c r="D337" s="20">
        <v>-0.4</v>
      </c>
      <c r="E337" s="20">
        <v>-0.02</v>
      </c>
      <c r="F337" s="26">
        <v>2084.33</v>
      </c>
      <c r="Q337" s="20">
        <v>33.6</v>
      </c>
      <c r="R337" s="20">
        <v>73.790000000000006</v>
      </c>
      <c r="S337" s="26">
        <v>74</v>
      </c>
      <c r="T337" s="26">
        <v>0.21</v>
      </c>
      <c r="U337" s="26">
        <v>-0.15</v>
      </c>
      <c r="V337" s="20">
        <v>1879.4</v>
      </c>
    </row>
    <row r="338" spans="1:22" ht="16.8" x14ac:dyDescent="0.3">
      <c r="A338" s="20">
        <v>33.799999999999997</v>
      </c>
      <c r="B338" s="20">
        <v>74</v>
      </c>
      <c r="C338" s="20">
        <v>74.37</v>
      </c>
      <c r="D338" s="20">
        <v>-0.37</v>
      </c>
      <c r="E338" s="20">
        <v>0.03</v>
      </c>
      <c r="F338" s="26">
        <v>2146.88</v>
      </c>
      <c r="Q338" s="20">
        <v>33.700000000000003</v>
      </c>
      <c r="R338" s="20">
        <v>73.680000000000007</v>
      </c>
      <c r="S338" s="26">
        <v>74</v>
      </c>
      <c r="T338" s="26">
        <v>0.32</v>
      </c>
      <c r="U338" s="26">
        <v>0.1</v>
      </c>
      <c r="V338" s="26">
        <v>2106.44</v>
      </c>
    </row>
    <row r="339" spans="1:22" ht="16.8" x14ac:dyDescent="0.3">
      <c r="A339" s="20">
        <v>33.9</v>
      </c>
      <c r="B339" s="20">
        <v>74</v>
      </c>
      <c r="C339" s="26">
        <v>74.400000000000006</v>
      </c>
      <c r="D339" s="20">
        <v>-0.4</v>
      </c>
      <c r="E339" s="20">
        <v>-0.02</v>
      </c>
      <c r="F339" s="26">
        <v>2094.81</v>
      </c>
      <c r="Q339" s="20">
        <v>33.799999999999997</v>
      </c>
      <c r="R339" s="20">
        <v>73.64</v>
      </c>
      <c r="S339" s="26">
        <v>74</v>
      </c>
      <c r="T339" s="26">
        <v>0.36</v>
      </c>
      <c r="U339" s="26">
        <v>0.05</v>
      </c>
      <c r="V339" s="20">
        <v>2070.38</v>
      </c>
    </row>
    <row r="340" spans="1:22" ht="16.8" x14ac:dyDescent="0.3">
      <c r="A340" s="20">
        <v>34</v>
      </c>
      <c r="B340" s="20">
        <v>74</v>
      </c>
      <c r="C340" s="20">
        <v>74.42</v>
      </c>
      <c r="D340" s="20">
        <v>-0.42</v>
      </c>
      <c r="E340" s="20">
        <v>-0.02</v>
      </c>
      <c r="F340" s="26">
        <v>2062.8200000000002</v>
      </c>
      <c r="Q340" s="20">
        <v>33.9</v>
      </c>
      <c r="R340" s="20">
        <v>73.67</v>
      </c>
      <c r="S340" s="26">
        <v>74</v>
      </c>
      <c r="T340" s="26">
        <v>0.33</v>
      </c>
      <c r="U340" s="26">
        <v>-0.03</v>
      </c>
      <c r="V340" s="26">
        <v>2000.58</v>
      </c>
    </row>
    <row r="341" spans="1:22" ht="16.8" x14ac:dyDescent="0.3">
      <c r="A341" s="20">
        <v>34.1</v>
      </c>
      <c r="B341" s="20">
        <v>74</v>
      </c>
      <c r="C341" s="26">
        <v>74.38</v>
      </c>
      <c r="D341" s="20">
        <v>-0.38</v>
      </c>
      <c r="E341" s="20">
        <v>0.04</v>
      </c>
      <c r="F341" s="26">
        <v>2141.91</v>
      </c>
      <c r="Q341" s="20">
        <v>34</v>
      </c>
      <c r="R341" s="20">
        <v>73.7</v>
      </c>
      <c r="S341" s="26">
        <v>74</v>
      </c>
      <c r="T341" s="26">
        <v>0.3</v>
      </c>
      <c r="U341" s="26">
        <v>-0.03</v>
      </c>
      <c r="V341" s="20">
        <v>1995.68</v>
      </c>
    </row>
    <row r="342" spans="1:22" ht="16.8" x14ac:dyDescent="0.3">
      <c r="A342" s="20">
        <v>34.200000000000003</v>
      </c>
      <c r="B342" s="20">
        <v>74</v>
      </c>
      <c r="C342" s="26">
        <v>74.38</v>
      </c>
      <c r="D342" s="20">
        <v>-0.38</v>
      </c>
      <c r="E342" s="20">
        <v>0</v>
      </c>
      <c r="F342" s="26">
        <v>2141.91</v>
      </c>
      <c r="Q342" s="20">
        <v>34.1</v>
      </c>
      <c r="R342" s="20">
        <v>73.680000000000007</v>
      </c>
      <c r="S342" s="26">
        <v>74</v>
      </c>
      <c r="T342" s="26">
        <v>0.32</v>
      </c>
      <c r="U342" s="26">
        <v>0.02</v>
      </c>
      <c r="V342" s="26">
        <v>2046.2</v>
      </c>
    </row>
    <row r="343" spans="1:22" ht="16.8" x14ac:dyDescent="0.3">
      <c r="A343" s="20">
        <v>34.299999999999997</v>
      </c>
      <c r="B343" s="20">
        <v>74</v>
      </c>
      <c r="C343" s="20">
        <v>74.41</v>
      </c>
      <c r="D343" s="20">
        <v>-0.41</v>
      </c>
      <c r="E343" s="20">
        <v>-0.04</v>
      </c>
      <c r="F343" s="26">
        <v>2062.84</v>
      </c>
      <c r="Q343" s="20">
        <v>34.200000000000003</v>
      </c>
      <c r="R343" s="20">
        <v>73.72</v>
      </c>
      <c r="S343" s="26">
        <v>74</v>
      </c>
      <c r="T343" s="26">
        <v>0.28000000000000003</v>
      </c>
      <c r="U343" s="26">
        <v>-0.05</v>
      </c>
      <c r="V343" s="20">
        <v>1979.94</v>
      </c>
    </row>
    <row r="344" spans="1:22" ht="16.8" x14ac:dyDescent="0.3">
      <c r="A344" s="20">
        <v>34.4</v>
      </c>
      <c r="B344" s="20">
        <v>74</v>
      </c>
      <c r="C344" s="26">
        <v>74.34</v>
      </c>
      <c r="D344" s="20">
        <v>-0.34</v>
      </c>
      <c r="E344" s="20">
        <v>7.0000000000000007E-2</v>
      </c>
      <c r="F344" s="20">
        <v>2180.39</v>
      </c>
      <c r="Q344" s="20">
        <v>34.299999999999997</v>
      </c>
      <c r="R344" s="20">
        <v>73.709999999999994</v>
      </c>
      <c r="S344" s="26">
        <v>74</v>
      </c>
      <c r="T344" s="26">
        <v>0.28999999999999998</v>
      </c>
      <c r="U344" s="20">
        <v>0.02</v>
      </c>
      <c r="V344" s="20">
        <v>2035.48</v>
      </c>
    </row>
    <row r="345" spans="1:22" ht="16.8" x14ac:dyDescent="0.3">
      <c r="A345" s="20">
        <v>34.5</v>
      </c>
      <c r="B345" s="20">
        <v>74</v>
      </c>
      <c r="C345" s="26">
        <v>74.36</v>
      </c>
      <c r="D345" s="20">
        <v>-0.36</v>
      </c>
      <c r="E345" s="20">
        <v>-0.02</v>
      </c>
      <c r="F345" s="26">
        <v>2138.52</v>
      </c>
      <c r="Q345" s="20">
        <v>34.4</v>
      </c>
      <c r="R345" s="20">
        <v>73.69</v>
      </c>
      <c r="S345" s="26">
        <v>74</v>
      </c>
      <c r="T345" s="26">
        <v>0.31</v>
      </c>
      <c r="U345" s="26">
        <v>0.02</v>
      </c>
      <c r="V345" s="26">
        <v>2039.07</v>
      </c>
    </row>
    <row r="346" spans="1:22" ht="16.8" x14ac:dyDescent="0.3">
      <c r="A346" s="20">
        <v>34.6</v>
      </c>
      <c r="B346" s="20">
        <v>74</v>
      </c>
      <c r="C346" s="20">
        <v>74.41</v>
      </c>
      <c r="D346" s="20">
        <v>-0.41</v>
      </c>
      <c r="E346" s="20">
        <v>-0.04</v>
      </c>
      <c r="F346" s="20">
        <v>2060.9299999999998</v>
      </c>
      <c r="Q346" s="20">
        <v>34.5</v>
      </c>
      <c r="R346" s="20">
        <v>73.72</v>
      </c>
      <c r="S346" s="26">
        <v>74</v>
      </c>
      <c r="T346" s="26">
        <v>0.28000000000000003</v>
      </c>
      <c r="U346" s="26">
        <v>-0.03</v>
      </c>
      <c r="V346" s="20">
        <v>1995.12</v>
      </c>
    </row>
    <row r="347" spans="1:22" ht="16.8" x14ac:dyDescent="0.3">
      <c r="A347" s="20">
        <v>34.700000000000003</v>
      </c>
      <c r="B347" s="20">
        <v>74</v>
      </c>
      <c r="C347" s="26">
        <v>74.41</v>
      </c>
      <c r="D347" s="20">
        <v>-0.41</v>
      </c>
      <c r="E347" s="20">
        <v>0</v>
      </c>
      <c r="F347" s="26">
        <v>2091.89</v>
      </c>
      <c r="Q347" s="20">
        <v>34.6</v>
      </c>
      <c r="R347" s="20">
        <v>73.7</v>
      </c>
      <c r="S347" s="26">
        <v>74</v>
      </c>
      <c r="T347" s="26">
        <v>0.3</v>
      </c>
      <c r="U347" s="26">
        <v>0.02</v>
      </c>
      <c r="V347" s="26">
        <v>2045.6</v>
      </c>
    </row>
    <row r="348" spans="1:22" ht="16.8" x14ac:dyDescent="0.3">
      <c r="A348" s="20">
        <v>34.799999999999997</v>
      </c>
      <c r="B348" s="20">
        <v>74</v>
      </c>
      <c r="C348" s="20">
        <v>74.400000000000006</v>
      </c>
      <c r="D348" s="20">
        <v>-0.4</v>
      </c>
      <c r="E348" s="20">
        <v>0.01</v>
      </c>
      <c r="F348" s="26">
        <v>2111.42</v>
      </c>
      <c r="Q348" s="20">
        <v>34.700000000000003</v>
      </c>
      <c r="R348" s="20">
        <v>73.760000000000005</v>
      </c>
      <c r="S348" s="26">
        <v>74</v>
      </c>
      <c r="T348" s="26">
        <v>0.24</v>
      </c>
      <c r="U348" s="26">
        <v>-0.06</v>
      </c>
      <c r="V348" s="20">
        <v>1963.4</v>
      </c>
    </row>
    <row r="349" spans="1:22" ht="16.8" x14ac:dyDescent="0.3">
      <c r="A349" s="20">
        <v>34.9</v>
      </c>
      <c r="B349" s="20">
        <v>74</v>
      </c>
      <c r="C349" s="26">
        <v>74.39</v>
      </c>
      <c r="D349" s="20">
        <v>-0.39</v>
      </c>
      <c r="E349" s="20">
        <v>0.01</v>
      </c>
      <c r="F349" s="20">
        <v>2121.77</v>
      </c>
      <c r="Q349" s="20">
        <v>34.799999999999997</v>
      </c>
      <c r="R349" s="20">
        <v>73.760000000000005</v>
      </c>
      <c r="S349" s="26">
        <v>74</v>
      </c>
      <c r="T349" s="26">
        <v>0.24</v>
      </c>
      <c r="U349" s="26">
        <v>0</v>
      </c>
      <c r="V349" s="26">
        <v>2015.97</v>
      </c>
    </row>
    <row r="350" spans="1:22" ht="16.8" x14ac:dyDescent="0.3">
      <c r="A350" s="20">
        <v>35</v>
      </c>
      <c r="B350" s="20">
        <v>74</v>
      </c>
      <c r="C350" s="26">
        <v>74.400000000000006</v>
      </c>
      <c r="D350" s="20">
        <v>-0.4</v>
      </c>
      <c r="E350" s="20">
        <v>0</v>
      </c>
      <c r="F350" s="26">
        <v>2112.98</v>
      </c>
      <c r="Q350" s="20">
        <v>34.9</v>
      </c>
      <c r="R350" s="20">
        <v>73.78</v>
      </c>
      <c r="S350" s="26">
        <v>74</v>
      </c>
      <c r="T350" s="26">
        <v>0.22</v>
      </c>
      <c r="U350" s="26">
        <v>-0.02</v>
      </c>
      <c r="V350" s="20">
        <v>2000.7</v>
      </c>
    </row>
    <row r="351" spans="1:22" ht="16.8" x14ac:dyDescent="0.3">
      <c r="A351" s="20">
        <v>35.1</v>
      </c>
      <c r="B351" s="20">
        <v>74</v>
      </c>
      <c r="C351" s="20">
        <v>74.400000000000006</v>
      </c>
      <c r="D351" s="20">
        <v>-0.4</v>
      </c>
      <c r="E351" s="20">
        <v>0</v>
      </c>
      <c r="F351" s="20">
        <v>2116.62</v>
      </c>
      <c r="Q351" s="20">
        <v>35</v>
      </c>
      <c r="R351" s="20">
        <v>73.84</v>
      </c>
      <c r="S351" s="26">
        <v>74</v>
      </c>
      <c r="T351" s="26">
        <v>0.16</v>
      </c>
      <c r="U351" s="26">
        <v>-0.06</v>
      </c>
      <c r="V351" s="26">
        <v>1958.74</v>
      </c>
    </row>
    <row r="352" spans="1:22" ht="16.8" x14ac:dyDescent="0.3">
      <c r="A352" s="20">
        <v>35.200000000000003</v>
      </c>
      <c r="B352" s="20">
        <v>74</v>
      </c>
      <c r="C352" s="26">
        <v>74.400000000000006</v>
      </c>
      <c r="D352" s="20">
        <v>-0.4</v>
      </c>
      <c r="E352" s="20">
        <v>-0.01</v>
      </c>
      <c r="F352" s="26">
        <v>2098.89</v>
      </c>
      <c r="Q352" s="20">
        <v>35.1</v>
      </c>
      <c r="R352" s="20">
        <v>73.81</v>
      </c>
      <c r="S352" s="26">
        <v>74</v>
      </c>
      <c r="T352" s="20">
        <v>0.19</v>
      </c>
      <c r="U352" s="20">
        <v>0.02</v>
      </c>
      <c r="V352" s="20">
        <v>2028.39</v>
      </c>
    </row>
    <row r="353" spans="1:22" ht="16.8" x14ac:dyDescent="0.3">
      <c r="A353" s="20">
        <v>35.299999999999997</v>
      </c>
      <c r="B353" s="20">
        <v>74</v>
      </c>
      <c r="C353" s="20">
        <v>74.39</v>
      </c>
      <c r="D353" s="20">
        <v>-0.39</v>
      </c>
      <c r="E353" s="20">
        <v>0.01</v>
      </c>
      <c r="F353" s="26">
        <v>2121.77</v>
      </c>
      <c r="Q353" s="20">
        <v>35.200000000000003</v>
      </c>
      <c r="R353" s="20">
        <v>73.83</v>
      </c>
      <c r="S353" s="26">
        <v>74</v>
      </c>
      <c r="T353" s="26">
        <v>0.17</v>
      </c>
      <c r="U353" s="26">
        <v>-0.02</v>
      </c>
      <c r="V353" s="26">
        <v>1993.52</v>
      </c>
    </row>
    <row r="354" spans="1:22" ht="16.8" x14ac:dyDescent="0.3">
      <c r="A354" s="20">
        <v>35.4</v>
      </c>
      <c r="B354" s="20">
        <v>74</v>
      </c>
      <c r="C354" s="26">
        <v>74.38</v>
      </c>
      <c r="D354" s="20">
        <v>-0.38</v>
      </c>
      <c r="E354" s="20">
        <v>0.01</v>
      </c>
      <c r="F354" s="26">
        <v>2136.9499999999998</v>
      </c>
      <c r="Q354" s="20">
        <v>35.299999999999997</v>
      </c>
      <c r="R354" s="20">
        <v>73.84</v>
      </c>
      <c r="S354" s="26">
        <v>74</v>
      </c>
      <c r="T354" s="20">
        <v>0.16</v>
      </c>
      <c r="U354" s="26">
        <v>-0.01</v>
      </c>
      <c r="V354" s="20">
        <v>1999.01</v>
      </c>
    </row>
    <row r="355" spans="1:22" ht="16.8" x14ac:dyDescent="0.3">
      <c r="A355" s="20">
        <v>35.5</v>
      </c>
      <c r="B355" s="20">
        <v>74</v>
      </c>
      <c r="C355" s="26">
        <v>74.33</v>
      </c>
      <c r="D355" s="20">
        <v>-0.33</v>
      </c>
      <c r="E355" s="20">
        <v>0.05</v>
      </c>
      <c r="F355" s="26">
        <v>2198.84</v>
      </c>
      <c r="Q355" s="20">
        <v>35.4</v>
      </c>
      <c r="R355" s="20">
        <v>73.84</v>
      </c>
      <c r="S355" s="26">
        <v>74</v>
      </c>
      <c r="T355" s="26">
        <v>0.16</v>
      </c>
      <c r="U355" s="26">
        <v>0</v>
      </c>
      <c r="V355" s="26">
        <v>2005.91</v>
      </c>
    </row>
    <row r="356" spans="1:22" ht="16.8" x14ac:dyDescent="0.3">
      <c r="A356" s="20">
        <v>35.6</v>
      </c>
      <c r="B356" s="20">
        <v>74</v>
      </c>
      <c r="C356" s="20">
        <v>74.349999999999994</v>
      </c>
      <c r="D356" s="20">
        <v>-0.35</v>
      </c>
      <c r="E356" s="20">
        <v>-0.02</v>
      </c>
      <c r="F356" s="26">
        <v>2157.63</v>
      </c>
      <c r="Q356" s="20">
        <v>35.5</v>
      </c>
      <c r="R356" s="20">
        <v>73.86</v>
      </c>
      <c r="S356" s="26">
        <v>74</v>
      </c>
      <c r="T356" s="26">
        <v>0.14000000000000001</v>
      </c>
      <c r="U356" s="26">
        <v>-0.02</v>
      </c>
      <c r="V356" s="20">
        <v>1982.53</v>
      </c>
    </row>
    <row r="357" spans="1:22" ht="16.8" x14ac:dyDescent="0.3">
      <c r="A357" s="20">
        <v>35.700000000000003</v>
      </c>
      <c r="B357" s="20">
        <v>74</v>
      </c>
      <c r="C357" s="26">
        <v>74.34</v>
      </c>
      <c r="D357" s="20">
        <v>-0.34</v>
      </c>
      <c r="E357" s="20">
        <v>0.01</v>
      </c>
      <c r="F357" s="20">
        <v>2185.04</v>
      </c>
      <c r="Q357" s="20">
        <v>35.6</v>
      </c>
      <c r="R357" s="20">
        <v>73.88</v>
      </c>
      <c r="S357" s="26">
        <v>74</v>
      </c>
      <c r="T357" s="26">
        <v>0.12</v>
      </c>
      <c r="U357" s="20">
        <v>-0.02</v>
      </c>
      <c r="V357" s="26">
        <v>1978.56</v>
      </c>
    </row>
    <row r="358" spans="1:22" ht="16.8" x14ac:dyDescent="0.3">
      <c r="A358" s="20">
        <v>35.799999999999997</v>
      </c>
      <c r="B358" s="20">
        <v>74</v>
      </c>
      <c r="C358" s="26">
        <v>74.36</v>
      </c>
      <c r="D358" s="20">
        <v>-0.36</v>
      </c>
      <c r="E358" s="20">
        <v>-0.02</v>
      </c>
      <c r="F358" s="26">
        <v>2151.75</v>
      </c>
      <c r="Q358" s="20">
        <v>35.700000000000003</v>
      </c>
      <c r="R358" s="20">
        <v>73.86</v>
      </c>
      <c r="S358" s="26">
        <v>74</v>
      </c>
      <c r="T358" s="26">
        <v>0.14000000000000001</v>
      </c>
      <c r="U358" s="26">
        <v>0.02</v>
      </c>
      <c r="V358" s="20">
        <v>2022.14</v>
      </c>
    </row>
    <row r="359" spans="1:22" ht="16.8" x14ac:dyDescent="0.3">
      <c r="A359" s="20">
        <v>35.9</v>
      </c>
      <c r="B359" s="20">
        <v>74</v>
      </c>
      <c r="C359" s="20">
        <v>74.37</v>
      </c>
      <c r="D359" s="20">
        <v>-0.37</v>
      </c>
      <c r="E359" s="20">
        <v>-0.01</v>
      </c>
      <c r="F359" s="26">
        <v>2140.9</v>
      </c>
      <c r="Q359" s="20">
        <v>35.799999999999997</v>
      </c>
      <c r="R359" s="20">
        <v>73.84</v>
      </c>
      <c r="S359" s="26">
        <v>74</v>
      </c>
      <c r="T359" s="26">
        <v>0.16</v>
      </c>
      <c r="U359" s="20">
        <v>0.02</v>
      </c>
      <c r="V359" s="20">
        <v>2018.85</v>
      </c>
    </row>
    <row r="360" spans="1:22" ht="16.8" x14ac:dyDescent="0.3">
      <c r="A360" s="20">
        <v>36</v>
      </c>
      <c r="B360" s="20">
        <v>74</v>
      </c>
      <c r="C360" s="26">
        <v>74.38</v>
      </c>
      <c r="D360" s="20">
        <v>-0.38</v>
      </c>
      <c r="E360" s="20">
        <v>-0.01</v>
      </c>
      <c r="F360" s="20">
        <v>2134.67</v>
      </c>
      <c r="Q360" s="20">
        <v>35.9</v>
      </c>
      <c r="R360" s="20">
        <v>73.89</v>
      </c>
      <c r="S360" s="26">
        <v>74</v>
      </c>
      <c r="T360" s="26">
        <v>0.11</v>
      </c>
      <c r="U360" s="26">
        <v>-0.05</v>
      </c>
      <c r="V360" s="26">
        <v>1958.67</v>
      </c>
    </row>
    <row r="361" spans="1:22" ht="16.8" x14ac:dyDescent="0.3">
      <c r="A361" s="20">
        <v>36.1</v>
      </c>
      <c r="B361" s="20">
        <v>74</v>
      </c>
      <c r="C361" s="20">
        <v>74.400000000000006</v>
      </c>
      <c r="D361" s="20">
        <v>-0.4</v>
      </c>
      <c r="E361" s="20">
        <v>-0.02</v>
      </c>
      <c r="F361" s="26">
        <v>2098.46</v>
      </c>
      <c r="Q361" s="20">
        <v>36</v>
      </c>
      <c r="R361" s="20">
        <v>73.900000000000006</v>
      </c>
      <c r="S361" s="26">
        <v>74</v>
      </c>
      <c r="T361" s="26">
        <v>0.1</v>
      </c>
      <c r="U361" s="26">
        <v>-0.01</v>
      </c>
      <c r="V361" s="20">
        <v>1989.99</v>
      </c>
    </row>
    <row r="362" spans="1:22" ht="16.8" x14ac:dyDescent="0.3">
      <c r="A362" s="20">
        <v>36.200000000000003</v>
      </c>
      <c r="B362" s="20">
        <v>74</v>
      </c>
      <c r="C362" s="26">
        <v>74.34</v>
      </c>
      <c r="D362" s="20">
        <v>-0.34</v>
      </c>
      <c r="E362" s="20">
        <v>0.06</v>
      </c>
      <c r="F362" s="20">
        <v>2185.04</v>
      </c>
      <c r="Q362" s="20">
        <v>36.1</v>
      </c>
      <c r="R362" s="20">
        <v>73.84</v>
      </c>
      <c r="S362" s="26">
        <v>74</v>
      </c>
      <c r="T362" s="26">
        <v>0.16</v>
      </c>
      <c r="U362" s="26">
        <v>0.06</v>
      </c>
      <c r="V362" s="26">
        <v>2060.17</v>
      </c>
    </row>
    <row r="363" spans="1:22" ht="16.8" x14ac:dyDescent="0.3">
      <c r="A363" s="20">
        <v>36.299999999999997</v>
      </c>
      <c r="B363" s="20">
        <v>74</v>
      </c>
      <c r="C363" s="26">
        <v>74.349999999999994</v>
      </c>
      <c r="D363" s="20">
        <v>-0.35</v>
      </c>
      <c r="E363" s="20">
        <v>-0.01</v>
      </c>
      <c r="F363" s="26">
        <v>2160.16</v>
      </c>
      <c r="Q363" s="20">
        <v>36.200000000000003</v>
      </c>
      <c r="R363" s="20">
        <v>73.89</v>
      </c>
      <c r="S363" s="26">
        <v>74</v>
      </c>
      <c r="T363" s="26">
        <v>0.11</v>
      </c>
      <c r="U363" s="26">
        <v>-0.06</v>
      </c>
      <c r="V363" s="20">
        <v>1953.1</v>
      </c>
    </row>
    <row r="364" spans="1:22" ht="16.8" x14ac:dyDescent="0.3">
      <c r="A364" s="20">
        <v>36.4</v>
      </c>
      <c r="B364" s="20">
        <v>74</v>
      </c>
      <c r="C364" s="20">
        <v>74.38</v>
      </c>
      <c r="D364" s="20">
        <v>-0.38</v>
      </c>
      <c r="E364" s="20">
        <v>-0.03</v>
      </c>
      <c r="F364" s="26">
        <v>2102.89</v>
      </c>
      <c r="Q364" s="20">
        <v>36.299999999999997</v>
      </c>
      <c r="R364" s="20">
        <v>73.92</v>
      </c>
      <c r="S364" s="26">
        <v>74</v>
      </c>
      <c r="T364" s="26">
        <v>0.08</v>
      </c>
      <c r="U364" s="26">
        <v>-0.02</v>
      </c>
      <c r="V364" s="26">
        <v>1975.05</v>
      </c>
    </row>
    <row r="365" spans="1:22" ht="16.8" x14ac:dyDescent="0.3">
      <c r="A365" s="20">
        <v>36.5</v>
      </c>
      <c r="B365" s="20">
        <v>74</v>
      </c>
      <c r="C365" s="26">
        <v>74.39</v>
      </c>
      <c r="D365" s="20">
        <v>-0.39</v>
      </c>
      <c r="E365" s="20">
        <v>0</v>
      </c>
      <c r="F365" s="26">
        <v>2123.2199999999998</v>
      </c>
      <c r="Q365" s="20">
        <v>36.4</v>
      </c>
      <c r="R365" s="20">
        <v>73.91</v>
      </c>
      <c r="S365" s="26">
        <v>74</v>
      </c>
      <c r="T365" s="26">
        <v>0.09</v>
      </c>
      <c r="U365" s="26">
        <v>0.01</v>
      </c>
      <c r="V365" s="20">
        <v>2002.67</v>
      </c>
    </row>
    <row r="366" spans="1:22" ht="16.8" x14ac:dyDescent="0.3">
      <c r="A366" s="20">
        <v>36.6</v>
      </c>
      <c r="B366" s="20">
        <v>74</v>
      </c>
      <c r="C366" s="26">
        <v>74.400000000000006</v>
      </c>
      <c r="D366" s="20">
        <v>-0.4</v>
      </c>
      <c r="E366" s="20">
        <v>-0.01</v>
      </c>
      <c r="F366" s="26">
        <v>2100.5500000000002</v>
      </c>
      <c r="Q366" s="20">
        <v>36.5</v>
      </c>
      <c r="R366" s="20">
        <v>73.930000000000007</v>
      </c>
      <c r="S366" s="26">
        <v>74</v>
      </c>
      <c r="T366" s="26">
        <v>7.0000000000000007E-2</v>
      </c>
      <c r="U366" s="26">
        <v>-0.02</v>
      </c>
      <c r="V366" s="20">
        <v>1980.54</v>
      </c>
    </row>
    <row r="367" spans="1:22" ht="16.8" x14ac:dyDescent="0.3">
      <c r="A367" s="20">
        <v>36.700000000000003</v>
      </c>
      <c r="B367" s="20">
        <v>74</v>
      </c>
      <c r="C367" s="20">
        <v>74.42</v>
      </c>
      <c r="D367" s="20">
        <v>-0.42</v>
      </c>
      <c r="E367" s="20">
        <v>-0.02</v>
      </c>
      <c r="F367" s="26">
        <v>2066.4699999999998</v>
      </c>
      <c r="Q367" s="20">
        <v>36.6</v>
      </c>
      <c r="R367" s="20">
        <v>73.97</v>
      </c>
      <c r="S367" s="26">
        <v>74</v>
      </c>
      <c r="T367" s="26">
        <v>0.03</v>
      </c>
      <c r="U367" s="26">
        <v>-0.04</v>
      </c>
      <c r="V367" s="26">
        <v>1954.07</v>
      </c>
    </row>
    <row r="368" spans="1:22" ht="16.8" x14ac:dyDescent="0.3">
      <c r="A368" s="20">
        <v>36.799999999999997</v>
      </c>
      <c r="B368" s="20">
        <v>74</v>
      </c>
      <c r="C368" s="26">
        <v>74.44</v>
      </c>
      <c r="D368" s="20">
        <v>-0.44</v>
      </c>
      <c r="E368" s="20">
        <v>-0.02</v>
      </c>
      <c r="F368" s="26">
        <v>2047.69</v>
      </c>
      <c r="Q368" s="20">
        <v>36.700000000000003</v>
      </c>
      <c r="R368" s="20">
        <v>73.930000000000007</v>
      </c>
      <c r="S368" s="26">
        <v>74</v>
      </c>
      <c r="T368" s="26">
        <v>7.0000000000000007E-2</v>
      </c>
      <c r="U368" s="26">
        <v>0.03</v>
      </c>
      <c r="V368" s="20">
        <v>2018.36</v>
      </c>
    </row>
    <row r="369" spans="1:22" ht="16.8" x14ac:dyDescent="0.3">
      <c r="A369" s="20">
        <v>36.9</v>
      </c>
      <c r="B369" s="20">
        <v>74</v>
      </c>
      <c r="C369" s="20">
        <v>74.45</v>
      </c>
      <c r="D369" s="20">
        <v>-0.45</v>
      </c>
      <c r="E369" s="20">
        <v>-0.01</v>
      </c>
      <c r="F369" s="26">
        <v>2043.47</v>
      </c>
      <c r="Q369" s="20">
        <v>36.799999999999997</v>
      </c>
      <c r="R369" s="20">
        <v>73.959999999999994</v>
      </c>
      <c r="S369" s="26">
        <v>74</v>
      </c>
      <c r="T369" s="26">
        <v>0.04</v>
      </c>
      <c r="U369" s="26">
        <v>-0.02</v>
      </c>
      <c r="V369" s="26">
        <v>1968.75</v>
      </c>
    </row>
    <row r="370" spans="1:22" ht="16.8" x14ac:dyDescent="0.3">
      <c r="A370" s="20">
        <v>37</v>
      </c>
      <c r="B370" s="20">
        <v>74</v>
      </c>
      <c r="C370" s="26">
        <v>74.42</v>
      </c>
      <c r="D370" s="20">
        <v>-0.42</v>
      </c>
      <c r="E370" s="20">
        <v>0.02</v>
      </c>
      <c r="F370" s="26">
        <v>2084.71</v>
      </c>
      <c r="Q370" s="20">
        <v>36.9</v>
      </c>
      <c r="R370" s="20">
        <v>73.98</v>
      </c>
      <c r="S370" s="26">
        <v>74</v>
      </c>
      <c r="T370" s="26">
        <v>0.02</v>
      </c>
      <c r="U370" s="26">
        <v>-0.02</v>
      </c>
      <c r="V370" s="20">
        <v>1964.54</v>
      </c>
    </row>
    <row r="371" spans="1:22" ht="16.8" x14ac:dyDescent="0.3">
      <c r="A371" s="20">
        <v>37.1</v>
      </c>
      <c r="B371" s="20">
        <v>74</v>
      </c>
      <c r="C371" s="26">
        <v>74.45</v>
      </c>
      <c r="D371" s="20">
        <v>-0.45</v>
      </c>
      <c r="E371" s="20">
        <v>-0.03</v>
      </c>
      <c r="F371" s="26">
        <v>2009.58</v>
      </c>
      <c r="Q371" s="20">
        <v>37</v>
      </c>
      <c r="R371" s="20">
        <v>73.989999999999995</v>
      </c>
      <c r="S371" s="26">
        <v>74</v>
      </c>
      <c r="T371" s="26">
        <v>0.01</v>
      </c>
      <c r="U371" s="26">
        <v>-0.01</v>
      </c>
      <c r="V371" s="26">
        <v>1976.15</v>
      </c>
    </row>
    <row r="372" spans="1:22" ht="16.8" x14ac:dyDescent="0.3">
      <c r="A372" s="20">
        <v>37.200000000000003</v>
      </c>
      <c r="B372" s="20">
        <v>74</v>
      </c>
      <c r="C372" s="20">
        <v>74.430000000000007</v>
      </c>
      <c r="D372" s="20">
        <v>-0.43</v>
      </c>
      <c r="E372" s="20">
        <v>0.02</v>
      </c>
      <c r="F372" s="26">
        <v>2067.98</v>
      </c>
      <c r="Q372" s="20">
        <v>37.1</v>
      </c>
      <c r="R372" s="20">
        <v>73.98</v>
      </c>
      <c r="S372" s="26">
        <v>74</v>
      </c>
      <c r="T372" s="20">
        <v>0.02</v>
      </c>
      <c r="U372" s="26">
        <v>0.01</v>
      </c>
      <c r="V372" s="20">
        <v>1990.6</v>
      </c>
    </row>
    <row r="373" spans="1:22" ht="16.8" x14ac:dyDescent="0.3">
      <c r="A373" s="20">
        <v>37.299999999999997</v>
      </c>
      <c r="B373" s="20">
        <v>74</v>
      </c>
      <c r="C373" s="26">
        <v>74.47</v>
      </c>
      <c r="D373" s="20">
        <v>-0.47</v>
      </c>
      <c r="E373" s="20">
        <v>-0.03</v>
      </c>
      <c r="F373" s="26">
        <v>1991.25</v>
      </c>
      <c r="Q373" s="20">
        <v>37.200000000000003</v>
      </c>
      <c r="R373" s="20">
        <v>73.959999999999994</v>
      </c>
      <c r="S373" s="26">
        <v>74</v>
      </c>
      <c r="T373" s="26">
        <v>0.04</v>
      </c>
      <c r="U373" s="26">
        <v>0.02</v>
      </c>
      <c r="V373" s="26">
        <v>2007.95</v>
      </c>
    </row>
    <row r="374" spans="1:22" ht="16.8" x14ac:dyDescent="0.3">
      <c r="A374" s="20">
        <v>37.4</v>
      </c>
      <c r="B374" s="20">
        <v>74</v>
      </c>
      <c r="C374" s="26">
        <v>74.42</v>
      </c>
      <c r="D374" s="20">
        <v>-0.42</v>
      </c>
      <c r="E374" s="20">
        <v>0.04</v>
      </c>
      <c r="F374" s="26">
        <v>2079.19</v>
      </c>
      <c r="Q374" s="20">
        <v>37.299999999999997</v>
      </c>
      <c r="R374" s="20">
        <v>73.98</v>
      </c>
      <c r="S374" s="26">
        <v>74</v>
      </c>
      <c r="T374" s="20">
        <v>0.02</v>
      </c>
      <c r="U374" s="26">
        <v>-0.02</v>
      </c>
      <c r="V374" s="20">
        <v>1964.77</v>
      </c>
    </row>
    <row r="375" spans="1:22" ht="16.8" x14ac:dyDescent="0.3">
      <c r="A375" s="20">
        <v>37.5</v>
      </c>
      <c r="B375" s="20">
        <v>74</v>
      </c>
      <c r="C375" s="20">
        <v>74.400000000000006</v>
      </c>
      <c r="D375" s="20">
        <v>-0.4</v>
      </c>
      <c r="E375" s="20">
        <v>0.02</v>
      </c>
      <c r="F375" s="20">
        <v>2106.16</v>
      </c>
      <c r="Q375" s="20">
        <v>37.4</v>
      </c>
      <c r="R375" s="20">
        <v>73.98</v>
      </c>
      <c r="S375" s="26">
        <v>74</v>
      </c>
      <c r="T375" s="26">
        <v>0.02</v>
      </c>
      <c r="U375" s="26">
        <v>0</v>
      </c>
      <c r="V375" s="26">
        <v>1984.31</v>
      </c>
    </row>
    <row r="376" spans="1:22" ht="16.8" x14ac:dyDescent="0.3">
      <c r="A376" s="20">
        <v>37.6</v>
      </c>
      <c r="B376" s="20">
        <v>74</v>
      </c>
      <c r="C376" s="26">
        <v>74.42</v>
      </c>
      <c r="D376" s="20">
        <v>-0.42</v>
      </c>
      <c r="E376" s="20">
        <v>-0.01</v>
      </c>
      <c r="F376" s="26">
        <v>2079.25</v>
      </c>
      <c r="Q376" s="20">
        <v>37.5</v>
      </c>
      <c r="R376" s="20">
        <v>74.010000000000005</v>
      </c>
      <c r="S376" s="26">
        <v>74</v>
      </c>
      <c r="T376" s="26">
        <v>-0.01</v>
      </c>
      <c r="U376" s="26">
        <v>-0.03</v>
      </c>
      <c r="V376" s="20">
        <v>1952.64</v>
      </c>
    </row>
    <row r="377" spans="1:22" ht="16.8" x14ac:dyDescent="0.3">
      <c r="A377" s="20">
        <v>37.700000000000003</v>
      </c>
      <c r="B377" s="20">
        <v>74</v>
      </c>
      <c r="C377" s="20">
        <v>74.45</v>
      </c>
      <c r="D377" s="20">
        <v>-0.45</v>
      </c>
      <c r="E377" s="20">
        <v>-0.03</v>
      </c>
      <c r="F377" s="20">
        <v>2015.57</v>
      </c>
      <c r="Q377" s="20">
        <v>37.6</v>
      </c>
      <c r="R377" s="20">
        <v>74</v>
      </c>
      <c r="S377" s="20">
        <v>74</v>
      </c>
      <c r="T377" s="26">
        <v>0</v>
      </c>
      <c r="U377" s="26">
        <v>0.02</v>
      </c>
      <c r="V377" s="20">
        <v>1994.44</v>
      </c>
    </row>
    <row r="378" spans="1:22" ht="16.8" x14ac:dyDescent="0.3">
      <c r="A378" s="20">
        <v>37.799999999999997</v>
      </c>
      <c r="B378" s="20">
        <v>74</v>
      </c>
      <c r="C378" s="26">
        <v>74.42</v>
      </c>
      <c r="D378" s="20">
        <v>-0.42</v>
      </c>
      <c r="E378" s="20">
        <v>0.02</v>
      </c>
      <c r="F378" s="26">
        <v>2079.19</v>
      </c>
      <c r="Q378" s="20">
        <v>37.700000000000003</v>
      </c>
      <c r="R378" s="20">
        <v>74.03</v>
      </c>
      <c r="S378" s="26">
        <v>74</v>
      </c>
      <c r="T378" s="26">
        <v>-0.03</v>
      </c>
      <c r="U378" s="26">
        <v>-0.03</v>
      </c>
      <c r="V378" s="26">
        <v>1949.74</v>
      </c>
    </row>
    <row r="379" spans="1:22" ht="16.8" x14ac:dyDescent="0.3">
      <c r="A379" s="20">
        <v>37.9</v>
      </c>
      <c r="B379" s="20">
        <v>74</v>
      </c>
      <c r="C379" s="26">
        <v>74.42</v>
      </c>
      <c r="D379" s="20">
        <v>-0.42</v>
      </c>
      <c r="E379" s="20">
        <v>0.01</v>
      </c>
      <c r="F379" s="26">
        <v>2090.15</v>
      </c>
      <c r="Q379" s="20">
        <v>37.799999999999997</v>
      </c>
      <c r="R379" s="20">
        <v>74.02</v>
      </c>
      <c r="S379" s="20">
        <v>74</v>
      </c>
      <c r="T379" s="26">
        <v>-0.02</v>
      </c>
      <c r="U379" s="20">
        <v>0.01</v>
      </c>
      <c r="V379" s="20">
        <v>1983.57</v>
      </c>
    </row>
    <row r="380" spans="1:22" ht="16.8" x14ac:dyDescent="0.3">
      <c r="A380" s="20">
        <v>38</v>
      </c>
      <c r="B380" s="20">
        <v>74</v>
      </c>
      <c r="C380" s="20">
        <v>74.36</v>
      </c>
      <c r="D380" s="20">
        <v>-0.36</v>
      </c>
      <c r="E380" s="20">
        <v>0.06</v>
      </c>
      <c r="F380" s="26">
        <v>2161.41</v>
      </c>
      <c r="Q380" s="20">
        <v>37.9</v>
      </c>
      <c r="R380" s="20">
        <v>74.010000000000005</v>
      </c>
      <c r="S380" s="26">
        <v>74</v>
      </c>
      <c r="T380" s="26">
        <v>-0.01</v>
      </c>
      <c r="U380" s="26">
        <v>0.01</v>
      </c>
      <c r="V380" s="26">
        <v>1984.95</v>
      </c>
    </row>
    <row r="381" spans="1:22" ht="16.8" x14ac:dyDescent="0.3">
      <c r="A381" s="20">
        <v>38.1</v>
      </c>
      <c r="B381" s="20">
        <v>74</v>
      </c>
      <c r="C381" s="26">
        <v>74.400000000000006</v>
      </c>
      <c r="D381" s="20">
        <v>-0.4</v>
      </c>
      <c r="E381" s="20">
        <v>-0.04</v>
      </c>
      <c r="F381" s="26">
        <v>2075.17</v>
      </c>
      <c r="Q381" s="20">
        <v>38</v>
      </c>
      <c r="R381" s="20">
        <v>74.040000000000006</v>
      </c>
      <c r="S381" s="26">
        <v>74</v>
      </c>
      <c r="T381" s="20">
        <v>-0.04</v>
      </c>
      <c r="U381" s="26">
        <v>-0.02</v>
      </c>
      <c r="V381" s="20">
        <v>1954.64</v>
      </c>
    </row>
    <row r="382" spans="1:22" ht="16.8" x14ac:dyDescent="0.3">
      <c r="A382" s="20">
        <v>38.200000000000003</v>
      </c>
      <c r="B382" s="20">
        <v>74</v>
      </c>
      <c r="C382" s="26">
        <v>74.34</v>
      </c>
      <c r="D382" s="20">
        <v>-0.34</v>
      </c>
      <c r="E382" s="20">
        <v>0.06</v>
      </c>
      <c r="F382" s="26">
        <v>2180.39</v>
      </c>
      <c r="Q382" s="20">
        <v>38.1</v>
      </c>
      <c r="R382" s="20">
        <v>74</v>
      </c>
      <c r="S382" s="26">
        <v>74</v>
      </c>
      <c r="T382" s="26">
        <v>0</v>
      </c>
      <c r="U382" s="26">
        <v>0.04</v>
      </c>
      <c r="V382" s="26">
        <v>2013.66</v>
      </c>
    </row>
    <row r="383" spans="1:22" ht="16.8" x14ac:dyDescent="0.3">
      <c r="A383" s="20">
        <v>38.299999999999997</v>
      </c>
      <c r="B383" s="20">
        <v>74</v>
      </c>
      <c r="C383" s="20">
        <v>74.38</v>
      </c>
      <c r="D383" s="20">
        <v>-0.38</v>
      </c>
      <c r="E383" s="20">
        <v>-0.04</v>
      </c>
      <c r="F383" s="26">
        <v>2095.71</v>
      </c>
      <c r="Q383" s="20">
        <v>38.200000000000003</v>
      </c>
      <c r="R383" s="20">
        <v>74.05</v>
      </c>
      <c r="S383" s="26">
        <v>74</v>
      </c>
      <c r="T383" s="20">
        <v>-0.05</v>
      </c>
      <c r="U383" s="26">
        <v>-0.05</v>
      </c>
      <c r="V383" s="20">
        <v>1933.62</v>
      </c>
    </row>
    <row r="384" spans="1:22" ht="16.8" x14ac:dyDescent="0.3">
      <c r="A384" s="20">
        <v>38.4</v>
      </c>
      <c r="B384" s="20">
        <v>74</v>
      </c>
      <c r="C384" s="26">
        <v>74.34</v>
      </c>
      <c r="D384" s="20">
        <v>-0.34</v>
      </c>
      <c r="E384" s="20">
        <v>0.04</v>
      </c>
      <c r="F384" s="26">
        <v>2185.04</v>
      </c>
      <c r="Q384" s="20">
        <v>38.299999999999997</v>
      </c>
      <c r="R384" s="20">
        <v>73.989999999999995</v>
      </c>
      <c r="S384" s="26">
        <v>74</v>
      </c>
      <c r="T384" s="26">
        <v>0.01</v>
      </c>
      <c r="U384" s="26">
        <v>0.06</v>
      </c>
      <c r="V384" s="26">
        <v>2027.99</v>
      </c>
    </row>
    <row r="385" spans="1:22" ht="16.8" x14ac:dyDescent="0.3">
      <c r="A385" s="20">
        <v>38.5</v>
      </c>
      <c r="B385" s="20">
        <v>74</v>
      </c>
      <c r="C385" s="20">
        <v>74.36</v>
      </c>
      <c r="D385" s="20">
        <v>-0.36</v>
      </c>
      <c r="E385" s="20">
        <v>-0.02</v>
      </c>
      <c r="F385" s="26">
        <v>2143.31</v>
      </c>
      <c r="Q385" s="20">
        <v>38.4</v>
      </c>
      <c r="R385" s="20">
        <v>74.02</v>
      </c>
      <c r="S385" s="26">
        <v>74</v>
      </c>
      <c r="T385" s="26">
        <v>-0.02</v>
      </c>
      <c r="U385" s="26">
        <v>-0.03</v>
      </c>
      <c r="V385" s="20">
        <v>1950.83</v>
      </c>
    </row>
    <row r="386" spans="1:22" ht="16.8" x14ac:dyDescent="0.3">
      <c r="A386" s="20">
        <v>38.6</v>
      </c>
      <c r="B386" s="20">
        <v>74</v>
      </c>
      <c r="C386" s="26">
        <v>74.349999999999994</v>
      </c>
      <c r="D386" s="20">
        <v>-0.35</v>
      </c>
      <c r="E386" s="20">
        <v>0.01</v>
      </c>
      <c r="F386" s="26">
        <v>2170.9899999999998</v>
      </c>
      <c r="Q386" s="20">
        <v>38.5</v>
      </c>
      <c r="R386" s="20">
        <v>74.02</v>
      </c>
      <c r="S386" s="26">
        <v>74</v>
      </c>
      <c r="T386" s="26">
        <v>-0.02</v>
      </c>
      <c r="U386" s="26">
        <v>0</v>
      </c>
      <c r="V386" s="26">
        <v>1976.75</v>
      </c>
    </row>
    <row r="387" spans="1:22" ht="16.8" x14ac:dyDescent="0.3">
      <c r="A387" s="20">
        <v>38.700000000000003</v>
      </c>
      <c r="B387" s="20">
        <v>74</v>
      </c>
      <c r="C387" s="26">
        <v>74.34</v>
      </c>
      <c r="D387" s="20">
        <v>-0.34</v>
      </c>
      <c r="E387" s="20">
        <v>0.01</v>
      </c>
      <c r="F387" s="26">
        <v>2180.39</v>
      </c>
      <c r="Q387" s="20">
        <v>38.6</v>
      </c>
      <c r="R387" s="20">
        <v>74.010000000000005</v>
      </c>
      <c r="S387" s="26">
        <v>74</v>
      </c>
      <c r="T387" s="26">
        <v>-0.01</v>
      </c>
      <c r="U387" s="26">
        <v>0.02</v>
      </c>
      <c r="V387" s="20">
        <v>1992.55</v>
      </c>
    </row>
    <row r="388" spans="1:22" ht="16.8" x14ac:dyDescent="0.3">
      <c r="A388" s="20">
        <v>38.799999999999997</v>
      </c>
      <c r="B388" s="20">
        <v>74</v>
      </c>
      <c r="C388" s="20">
        <v>74.34</v>
      </c>
      <c r="D388" s="20">
        <v>-0.34</v>
      </c>
      <c r="E388" s="20">
        <v>0.01</v>
      </c>
      <c r="F388" s="26">
        <v>2189.63</v>
      </c>
      <c r="Q388" s="20">
        <v>38.700000000000003</v>
      </c>
      <c r="R388" s="20">
        <v>73.989999999999995</v>
      </c>
      <c r="S388" s="26">
        <v>74</v>
      </c>
      <c r="T388" s="26">
        <v>0.01</v>
      </c>
      <c r="U388" s="26">
        <v>0.02</v>
      </c>
      <c r="V388" s="26">
        <v>1995.41</v>
      </c>
    </row>
    <row r="389" spans="1:22" ht="16.8" x14ac:dyDescent="0.3">
      <c r="A389" s="20">
        <v>38.9</v>
      </c>
      <c r="B389" s="20">
        <v>74</v>
      </c>
      <c r="C389" s="26">
        <v>74.31</v>
      </c>
      <c r="D389" s="20">
        <v>-0.31</v>
      </c>
      <c r="E389" s="20">
        <v>0.03</v>
      </c>
      <c r="F389" s="26">
        <v>2221.2800000000002</v>
      </c>
      <c r="Q389" s="20">
        <v>38.799999999999997</v>
      </c>
      <c r="R389" s="20">
        <v>74.02</v>
      </c>
      <c r="S389" s="26">
        <v>74</v>
      </c>
      <c r="T389" s="26">
        <v>-0.02</v>
      </c>
      <c r="U389" s="26">
        <v>-0.03</v>
      </c>
      <c r="V389" s="20">
        <v>1950.73</v>
      </c>
    </row>
    <row r="390" spans="1:22" ht="16.8" x14ac:dyDescent="0.3">
      <c r="A390" s="20">
        <v>39</v>
      </c>
      <c r="B390" s="20">
        <v>74</v>
      </c>
      <c r="C390" s="26">
        <v>74.36</v>
      </c>
      <c r="D390" s="20">
        <v>-0.36</v>
      </c>
      <c r="E390" s="20">
        <v>-0.06</v>
      </c>
      <c r="F390" s="20">
        <v>2106.11</v>
      </c>
      <c r="Q390" s="20">
        <v>38.9</v>
      </c>
      <c r="R390" s="20">
        <v>74.010000000000005</v>
      </c>
      <c r="S390" s="26">
        <v>74</v>
      </c>
      <c r="T390" s="26">
        <v>-0.01</v>
      </c>
      <c r="U390" s="26">
        <v>0.02</v>
      </c>
      <c r="V390" s="26">
        <v>1992.51</v>
      </c>
    </row>
    <row r="391" spans="1:22" ht="16.8" x14ac:dyDescent="0.3">
      <c r="A391" s="20">
        <v>39.1</v>
      </c>
      <c r="B391" s="20">
        <v>74</v>
      </c>
      <c r="C391" s="20">
        <v>74.3</v>
      </c>
      <c r="D391" s="20">
        <v>-0.3</v>
      </c>
      <c r="E391" s="20">
        <v>0.06</v>
      </c>
      <c r="F391" s="26">
        <v>2225.7199999999998</v>
      </c>
      <c r="Q391" s="20">
        <v>39</v>
      </c>
      <c r="R391" s="20">
        <v>74.010000000000005</v>
      </c>
      <c r="S391" s="26">
        <v>74</v>
      </c>
      <c r="T391" s="26">
        <v>-0.01</v>
      </c>
      <c r="U391" s="26">
        <v>-0.01</v>
      </c>
      <c r="V391" s="20">
        <v>1971.58</v>
      </c>
    </row>
    <row r="392" spans="1:22" ht="16.8" x14ac:dyDescent="0.3">
      <c r="A392" s="20">
        <v>39.200000000000003</v>
      </c>
      <c r="B392" s="20">
        <v>74</v>
      </c>
      <c r="C392" s="26">
        <v>74.36</v>
      </c>
      <c r="D392" s="20">
        <v>-0.36</v>
      </c>
      <c r="E392" s="20">
        <v>-0.06</v>
      </c>
      <c r="F392" s="26">
        <v>2102.56</v>
      </c>
      <c r="Q392" s="20">
        <v>39.1</v>
      </c>
      <c r="R392" s="20">
        <v>74.010000000000005</v>
      </c>
      <c r="S392" s="26">
        <v>74</v>
      </c>
      <c r="T392" s="26">
        <v>-0.01</v>
      </c>
      <c r="U392" s="26">
        <v>0.01</v>
      </c>
      <c r="V392" s="26">
        <v>1985.97</v>
      </c>
    </row>
    <row r="393" spans="1:22" ht="16.8" x14ac:dyDescent="0.3">
      <c r="A393" s="20">
        <v>39.299999999999997</v>
      </c>
      <c r="B393" s="20">
        <v>74</v>
      </c>
      <c r="C393" s="26">
        <v>74.36</v>
      </c>
      <c r="D393" s="20">
        <v>-0.36</v>
      </c>
      <c r="E393" s="20">
        <v>0</v>
      </c>
      <c r="F393" s="20">
        <v>2156.61</v>
      </c>
      <c r="Q393" s="20">
        <v>39.200000000000003</v>
      </c>
      <c r="R393" s="20">
        <v>73.989999999999995</v>
      </c>
      <c r="S393" s="26">
        <v>74</v>
      </c>
      <c r="T393" s="26">
        <v>0.01</v>
      </c>
      <c r="U393" s="26">
        <v>0.02</v>
      </c>
      <c r="V393" s="20">
        <v>1995.31</v>
      </c>
    </row>
    <row r="394" spans="1:22" ht="16.8" x14ac:dyDescent="0.3">
      <c r="A394" s="20">
        <v>39.4</v>
      </c>
      <c r="B394" s="20">
        <v>74</v>
      </c>
      <c r="C394" s="20">
        <v>74.38</v>
      </c>
      <c r="D394" s="20">
        <v>-0.38</v>
      </c>
      <c r="E394" s="20">
        <v>-0.02</v>
      </c>
      <c r="F394" s="26">
        <v>2122.4699999999998</v>
      </c>
      <c r="Q394" s="20">
        <v>39.299999999999997</v>
      </c>
      <c r="R394" s="20">
        <v>74.05</v>
      </c>
      <c r="S394" s="26">
        <v>74</v>
      </c>
      <c r="T394" s="20">
        <v>-0.05</v>
      </c>
      <c r="U394" s="20">
        <v>-0.06</v>
      </c>
      <c r="V394" s="20">
        <v>1926.84</v>
      </c>
    </row>
    <row r="395" spans="1:22" ht="16.8" x14ac:dyDescent="0.3">
      <c r="A395" s="20">
        <v>39.5</v>
      </c>
      <c r="B395" s="20">
        <v>74</v>
      </c>
      <c r="C395" s="26">
        <v>74.38</v>
      </c>
      <c r="D395" s="20">
        <v>-0.38</v>
      </c>
      <c r="E395" s="20">
        <v>0</v>
      </c>
      <c r="F395" s="26">
        <v>2136.9499999999998</v>
      </c>
      <c r="Q395" s="20">
        <v>39.4</v>
      </c>
      <c r="R395" s="20">
        <v>74.08</v>
      </c>
      <c r="S395" s="26">
        <v>74</v>
      </c>
      <c r="T395" s="26">
        <v>-0.08</v>
      </c>
      <c r="U395" s="26">
        <v>-0.03</v>
      </c>
      <c r="V395" s="26">
        <v>1940.48</v>
      </c>
    </row>
    <row r="396" spans="1:22" ht="16.8" x14ac:dyDescent="0.3">
      <c r="A396" s="20">
        <v>39.6</v>
      </c>
      <c r="B396" s="20">
        <v>74</v>
      </c>
      <c r="C396" s="26">
        <v>74.400000000000006</v>
      </c>
      <c r="D396" s="20">
        <v>-0.4</v>
      </c>
      <c r="E396" s="20">
        <v>-0.02</v>
      </c>
      <c r="F396" s="26">
        <v>2102.09</v>
      </c>
      <c r="Q396" s="20">
        <v>39.5</v>
      </c>
      <c r="R396" s="20">
        <v>73.98</v>
      </c>
      <c r="S396" s="26">
        <v>74</v>
      </c>
      <c r="T396" s="26">
        <v>0.02</v>
      </c>
      <c r="U396" s="20">
        <v>0.1</v>
      </c>
      <c r="V396" s="20">
        <v>2061.41</v>
      </c>
    </row>
    <row r="397" spans="1:22" ht="16.8" x14ac:dyDescent="0.3">
      <c r="A397" s="20">
        <v>39.700000000000003</v>
      </c>
      <c r="B397" s="20">
        <v>74</v>
      </c>
      <c r="C397" s="20">
        <v>74.400000000000006</v>
      </c>
      <c r="D397" s="20">
        <v>-0.4</v>
      </c>
      <c r="E397" s="20">
        <v>-0.01</v>
      </c>
      <c r="F397" s="26">
        <v>2098.89</v>
      </c>
      <c r="Q397" s="20">
        <v>39.6</v>
      </c>
      <c r="R397" s="20">
        <v>74.05</v>
      </c>
      <c r="S397" s="26">
        <v>74</v>
      </c>
      <c r="T397" s="26">
        <v>-0.05</v>
      </c>
      <c r="U397" s="26">
        <v>-0.06</v>
      </c>
      <c r="V397" s="26">
        <v>1920.08</v>
      </c>
    </row>
    <row r="398" spans="1:22" ht="16.8" x14ac:dyDescent="0.3">
      <c r="A398" s="20">
        <v>39.799999999999997</v>
      </c>
      <c r="B398" s="20">
        <v>74</v>
      </c>
      <c r="C398" s="26">
        <v>74.37</v>
      </c>
      <c r="D398" s="20">
        <v>-0.37</v>
      </c>
      <c r="E398" s="20">
        <v>0.03</v>
      </c>
      <c r="F398" s="26">
        <v>2146.88</v>
      </c>
      <c r="Q398" s="20">
        <v>39.700000000000003</v>
      </c>
      <c r="R398" s="20">
        <v>74.02</v>
      </c>
      <c r="S398" s="26">
        <v>74</v>
      </c>
      <c r="T398" s="26">
        <v>-0.02</v>
      </c>
      <c r="U398" s="26">
        <v>0.02</v>
      </c>
      <c r="V398" s="20">
        <v>1995.73</v>
      </c>
    </row>
    <row r="399" spans="1:22" ht="16.8" x14ac:dyDescent="0.3">
      <c r="A399" s="20">
        <v>39.9</v>
      </c>
      <c r="B399" s="20">
        <v>74</v>
      </c>
      <c r="C399" s="26">
        <v>74.36</v>
      </c>
      <c r="D399" s="20">
        <v>-0.36</v>
      </c>
      <c r="E399" s="20">
        <v>0.02</v>
      </c>
      <c r="F399" s="26">
        <v>2166.2199999999998</v>
      </c>
      <c r="Q399" s="20">
        <v>39.799999999999997</v>
      </c>
      <c r="R399" s="20">
        <v>74.08</v>
      </c>
      <c r="S399" s="26">
        <v>74</v>
      </c>
      <c r="T399" s="20">
        <v>-0.08</v>
      </c>
      <c r="U399" s="26">
        <v>-0.06</v>
      </c>
      <c r="V399" s="26">
        <v>1920.67</v>
      </c>
    </row>
    <row r="400" spans="1:22" ht="16.8" x14ac:dyDescent="0.3">
      <c r="A400" s="20">
        <v>40</v>
      </c>
      <c r="B400" s="20">
        <v>74</v>
      </c>
      <c r="C400" s="20">
        <v>74.42</v>
      </c>
      <c r="D400" s="20">
        <v>-0.42</v>
      </c>
      <c r="E400" s="20">
        <v>-0.06</v>
      </c>
      <c r="F400" s="20">
        <v>2026.72</v>
      </c>
      <c r="Q400" s="20">
        <v>39.9</v>
      </c>
      <c r="R400" s="20">
        <v>74.12</v>
      </c>
      <c r="S400" s="26">
        <v>74</v>
      </c>
      <c r="T400" s="26">
        <v>-0.12</v>
      </c>
      <c r="U400" s="26">
        <v>-0.04</v>
      </c>
      <c r="V400" s="20">
        <v>1926.3</v>
      </c>
    </row>
    <row r="401" spans="1:22" ht="16.8" x14ac:dyDescent="0.3">
      <c r="A401" s="20">
        <v>40.1</v>
      </c>
      <c r="B401" s="20">
        <v>74</v>
      </c>
      <c r="C401" s="26">
        <v>74.41</v>
      </c>
      <c r="D401" s="20">
        <v>-0.41</v>
      </c>
      <c r="E401" s="20">
        <v>0.01</v>
      </c>
      <c r="F401" s="26">
        <v>2100.85</v>
      </c>
      <c r="Q401" s="20">
        <v>40</v>
      </c>
      <c r="R401" s="20">
        <v>74.06</v>
      </c>
      <c r="S401" s="26">
        <v>74</v>
      </c>
      <c r="T401" s="20">
        <v>-0.06</v>
      </c>
      <c r="U401" s="26">
        <v>0.06</v>
      </c>
      <c r="V401" s="20">
        <v>2013.98</v>
      </c>
    </row>
    <row r="402" spans="1:22" ht="16.8" x14ac:dyDescent="0.3">
      <c r="A402" s="20">
        <v>40.200000000000003</v>
      </c>
      <c r="B402" s="20">
        <v>74</v>
      </c>
      <c r="C402" s="20">
        <v>74.41</v>
      </c>
      <c r="D402" s="20">
        <v>-0.41</v>
      </c>
      <c r="E402" s="20">
        <v>0</v>
      </c>
      <c r="F402" s="26">
        <v>2100.85</v>
      </c>
      <c r="Q402" s="20">
        <v>40.1</v>
      </c>
      <c r="R402" s="20">
        <v>74.099999999999994</v>
      </c>
      <c r="S402" s="26">
        <v>74</v>
      </c>
      <c r="T402" s="26">
        <v>-0.1</v>
      </c>
      <c r="U402" s="26">
        <v>-0.04</v>
      </c>
      <c r="V402" s="26">
        <v>1928.71</v>
      </c>
    </row>
    <row r="403" spans="1:22" ht="16.8" x14ac:dyDescent="0.3">
      <c r="A403" s="20">
        <v>40.299999999999997</v>
      </c>
      <c r="B403" s="20">
        <v>74</v>
      </c>
      <c r="C403" s="26">
        <v>74.430000000000007</v>
      </c>
      <c r="D403" s="20">
        <v>-0.43</v>
      </c>
      <c r="E403" s="20">
        <v>-0.02</v>
      </c>
      <c r="F403" s="26">
        <v>2055.34</v>
      </c>
      <c r="Q403" s="20">
        <v>40.200000000000003</v>
      </c>
      <c r="R403" s="20">
        <v>74.12</v>
      </c>
      <c r="S403" s="26">
        <v>74</v>
      </c>
      <c r="T403" s="26">
        <v>-0.12</v>
      </c>
      <c r="U403" s="26">
        <v>-0.02</v>
      </c>
      <c r="V403" s="20">
        <v>1945.08</v>
      </c>
    </row>
    <row r="404" spans="1:22" ht="16.8" x14ac:dyDescent="0.3">
      <c r="A404" s="20">
        <v>40.4</v>
      </c>
      <c r="B404" s="20">
        <v>74</v>
      </c>
      <c r="C404" s="26">
        <v>74.39</v>
      </c>
      <c r="D404" s="20">
        <v>-0.39</v>
      </c>
      <c r="E404" s="20">
        <v>0.04</v>
      </c>
      <c r="F404" s="26">
        <v>2126.85</v>
      </c>
      <c r="Q404" s="20">
        <v>40.299999999999997</v>
      </c>
      <c r="R404" s="20">
        <v>74.010000000000005</v>
      </c>
      <c r="S404" s="26">
        <v>74</v>
      </c>
      <c r="T404" s="26">
        <v>-0.01</v>
      </c>
      <c r="U404" s="26">
        <v>0.1</v>
      </c>
      <c r="V404" s="26">
        <v>2060.85</v>
      </c>
    </row>
    <row r="405" spans="1:22" ht="16.8" x14ac:dyDescent="0.3">
      <c r="A405" s="20">
        <v>40.5</v>
      </c>
      <c r="B405" s="20">
        <v>74</v>
      </c>
      <c r="C405" s="20">
        <v>74.39</v>
      </c>
      <c r="D405" s="20">
        <v>-0.39</v>
      </c>
      <c r="E405" s="20">
        <v>0</v>
      </c>
      <c r="F405" s="26">
        <v>2118.13</v>
      </c>
      <c r="Q405" s="20">
        <v>40.4</v>
      </c>
      <c r="R405" s="20">
        <v>74.13</v>
      </c>
      <c r="S405" s="26">
        <v>74</v>
      </c>
      <c r="T405" s="26">
        <v>-0.13</v>
      </c>
      <c r="U405" s="26">
        <v>-0.11</v>
      </c>
      <c r="V405" s="20">
        <v>1865.35</v>
      </c>
    </row>
    <row r="406" spans="1:22" ht="16.8" x14ac:dyDescent="0.3">
      <c r="A406" s="20">
        <v>40.6</v>
      </c>
      <c r="B406" s="20">
        <v>74</v>
      </c>
      <c r="C406" s="26">
        <v>74.400000000000006</v>
      </c>
      <c r="D406" s="20">
        <v>-0.4</v>
      </c>
      <c r="E406" s="20">
        <v>-0.01</v>
      </c>
      <c r="F406" s="20">
        <v>2104.15</v>
      </c>
      <c r="Q406" s="20">
        <v>40.5</v>
      </c>
      <c r="R406" s="20">
        <v>74.099999999999994</v>
      </c>
      <c r="S406" s="26">
        <v>74</v>
      </c>
      <c r="T406" s="26">
        <v>-0.1</v>
      </c>
      <c r="U406" s="26">
        <v>0.02</v>
      </c>
      <c r="V406" s="26">
        <v>1979.78</v>
      </c>
    </row>
    <row r="407" spans="1:22" ht="16.8" x14ac:dyDescent="0.3">
      <c r="A407" s="20">
        <v>40.700000000000003</v>
      </c>
      <c r="B407" s="20">
        <v>74</v>
      </c>
      <c r="C407" s="26">
        <v>74.430000000000007</v>
      </c>
      <c r="D407" s="20">
        <v>-0.43</v>
      </c>
      <c r="E407" s="20">
        <v>-0.03</v>
      </c>
      <c r="F407" s="26">
        <v>2038.77</v>
      </c>
      <c r="Q407" s="20">
        <v>40.6</v>
      </c>
      <c r="R407" s="20">
        <v>74.11</v>
      </c>
      <c r="S407" s="26">
        <v>74</v>
      </c>
      <c r="T407" s="20">
        <v>-0.11</v>
      </c>
      <c r="U407" s="26">
        <v>-0.01</v>
      </c>
      <c r="V407" s="20">
        <v>1952.1</v>
      </c>
    </row>
    <row r="408" spans="1:22" ht="16.8" x14ac:dyDescent="0.3">
      <c r="A408" s="20">
        <v>40.799999999999997</v>
      </c>
      <c r="B408" s="20">
        <v>74</v>
      </c>
      <c r="C408" s="20">
        <v>74.42</v>
      </c>
      <c r="D408" s="20">
        <v>-0.42</v>
      </c>
      <c r="E408" s="20">
        <v>0.01</v>
      </c>
      <c r="F408" s="26">
        <v>2079.19</v>
      </c>
      <c r="Q408" s="20">
        <v>40.700000000000003</v>
      </c>
      <c r="R408" s="20">
        <v>74.13</v>
      </c>
      <c r="S408" s="26">
        <v>74</v>
      </c>
      <c r="T408" s="26">
        <v>-0.13</v>
      </c>
      <c r="U408" s="26">
        <v>-0.02</v>
      </c>
      <c r="V408" s="26">
        <v>1934.52</v>
      </c>
    </row>
    <row r="409" spans="1:22" ht="16.8" x14ac:dyDescent="0.3">
      <c r="A409" s="20">
        <v>40.9</v>
      </c>
      <c r="B409" s="20">
        <v>74</v>
      </c>
      <c r="C409" s="26">
        <v>74.39</v>
      </c>
      <c r="D409" s="20">
        <v>-0.39</v>
      </c>
      <c r="E409" s="20">
        <v>0.04</v>
      </c>
      <c r="F409" s="26">
        <v>2126.85</v>
      </c>
      <c r="Q409" s="20">
        <v>40.799999999999997</v>
      </c>
      <c r="R409" s="20">
        <v>74.099999999999994</v>
      </c>
      <c r="S409" s="26">
        <v>74</v>
      </c>
      <c r="T409" s="26">
        <v>-0.1</v>
      </c>
      <c r="U409" s="26">
        <v>0.03</v>
      </c>
      <c r="V409" s="20">
        <v>1985.4</v>
      </c>
    </row>
    <row r="410" spans="1:22" ht="16.8" x14ac:dyDescent="0.3">
      <c r="A410" s="20">
        <v>41</v>
      </c>
      <c r="B410" s="20">
        <v>74</v>
      </c>
      <c r="C410" s="20">
        <v>74.44</v>
      </c>
      <c r="D410" s="20">
        <v>-0.44</v>
      </c>
      <c r="E410" s="20">
        <v>-0.05</v>
      </c>
      <c r="F410" s="26">
        <v>2009.16</v>
      </c>
      <c r="Q410" s="20">
        <v>40.9</v>
      </c>
      <c r="R410" s="20">
        <v>74.13</v>
      </c>
      <c r="S410" s="26">
        <v>74</v>
      </c>
      <c r="T410" s="26">
        <v>-0.13</v>
      </c>
      <c r="U410" s="26">
        <v>-0.03</v>
      </c>
      <c r="V410" s="26">
        <v>1927.43</v>
      </c>
    </row>
    <row r="411" spans="1:22" ht="16.8" x14ac:dyDescent="0.3">
      <c r="A411" s="20">
        <v>41.1</v>
      </c>
      <c r="B411" s="20">
        <v>74</v>
      </c>
      <c r="C411" s="26">
        <v>74.38</v>
      </c>
      <c r="D411" s="20">
        <v>-0.38</v>
      </c>
      <c r="E411" s="20">
        <v>0.06</v>
      </c>
      <c r="F411" s="20">
        <v>2131.88</v>
      </c>
      <c r="Q411" s="20">
        <v>41</v>
      </c>
      <c r="R411" s="20">
        <v>74.069999999999993</v>
      </c>
      <c r="S411" s="26">
        <v>74</v>
      </c>
      <c r="T411" s="26">
        <v>-7.0000000000000007E-2</v>
      </c>
      <c r="U411" s="26">
        <v>0.06</v>
      </c>
      <c r="V411" s="20">
        <v>2016.53</v>
      </c>
    </row>
    <row r="412" spans="1:22" ht="16.8" x14ac:dyDescent="0.3">
      <c r="A412" s="20">
        <v>41.2</v>
      </c>
      <c r="B412" s="20">
        <v>74</v>
      </c>
      <c r="C412" s="26">
        <v>74.430000000000007</v>
      </c>
      <c r="D412" s="20">
        <v>-0.43</v>
      </c>
      <c r="E412" s="20">
        <v>-0.05</v>
      </c>
      <c r="F412" s="26">
        <v>2024.27</v>
      </c>
      <c r="Q412" s="20">
        <v>41.1</v>
      </c>
      <c r="R412" s="20">
        <v>74.22</v>
      </c>
      <c r="S412" s="26">
        <v>74</v>
      </c>
      <c r="T412" s="26">
        <v>-0.22</v>
      </c>
      <c r="U412" s="26">
        <v>-0.15</v>
      </c>
      <c r="V412" s="26">
        <v>1821.65</v>
      </c>
    </row>
    <row r="413" spans="1:22" ht="16.8" x14ac:dyDescent="0.3">
      <c r="A413" s="20">
        <v>41.3</v>
      </c>
      <c r="B413" s="20">
        <v>74</v>
      </c>
      <c r="C413" s="20">
        <v>74.400000000000006</v>
      </c>
      <c r="D413" s="20">
        <v>-0.4</v>
      </c>
      <c r="E413" s="20">
        <v>0.03</v>
      </c>
      <c r="F413" s="20">
        <v>2111.42</v>
      </c>
      <c r="Q413" s="20">
        <v>41.2</v>
      </c>
      <c r="R413" s="20">
        <v>74.14</v>
      </c>
      <c r="S413" s="26">
        <v>74</v>
      </c>
      <c r="T413" s="26">
        <v>-0.14000000000000001</v>
      </c>
      <c r="U413" s="26">
        <v>7.0000000000000007E-2</v>
      </c>
      <c r="V413" s="20">
        <v>2009.38</v>
      </c>
    </row>
    <row r="414" spans="1:22" ht="16.8" x14ac:dyDescent="0.3">
      <c r="A414" s="20">
        <v>41.4</v>
      </c>
      <c r="B414" s="20">
        <v>74</v>
      </c>
      <c r="C414" s="26">
        <v>74.42</v>
      </c>
      <c r="D414" s="20">
        <v>-0.42</v>
      </c>
      <c r="E414" s="20">
        <v>-0.02</v>
      </c>
      <c r="F414" s="26">
        <v>2066.4699999999998</v>
      </c>
      <c r="Q414" s="20">
        <v>41.3</v>
      </c>
      <c r="R414" s="20">
        <v>74.209999999999994</v>
      </c>
      <c r="S414" s="26">
        <v>74</v>
      </c>
      <c r="T414" s="20">
        <v>-0.21</v>
      </c>
      <c r="U414" s="26">
        <v>-0.06</v>
      </c>
      <c r="V414" s="26">
        <v>1887.15</v>
      </c>
    </row>
    <row r="415" spans="1:22" ht="16.8" x14ac:dyDescent="0.3">
      <c r="A415" s="20">
        <v>41.5</v>
      </c>
      <c r="B415" s="20">
        <v>74</v>
      </c>
      <c r="C415" s="26">
        <v>74.430000000000007</v>
      </c>
      <c r="D415" s="20">
        <v>-0.43</v>
      </c>
      <c r="E415" s="20">
        <v>-0.01</v>
      </c>
      <c r="F415" s="26">
        <v>2057.0500000000002</v>
      </c>
      <c r="Q415" s="20">
        <v>41.4</v>
      </c>
      <c r="R415" s="20">
        <v>74.14</v>
      </c>
      <c r="S415" s="26">
        <v>74</v>
      </c>
      <c r="T415" s="26">
        <v>-0.14000000000000001</v>
      </c>
      <c r="U415" s="26">
        <v>0.06</v>
      </c>
      <c r="V415" s="20">
        <v>2002.01</v>
      </c>
    </row>
    <row r="416" spans="1:22" ht="16.8" x14ac:dyDescent="0.3">
      <c r="A416" s="20">
        <v>41.6</v>
      </c>
      <c r="B416" s="20">
        <v>74</v>
      </c>
      <c r="C416" s="20">
        <v>74.400000000000006</v>
      </c>
      <c r="D416" s="20">
        <v>-0.4</v>
      </c>
      <c r="E416" s="20">
        <v>0.04</v>
      </c>
      <c r="F416" s="20">
        <v>2116.62</v>
      </c>
      <c r="Q416" s="20">
        <v>41.5</v>
      </c>
      <c r="R416" s="20">
        <v>74.12</v>
      </c>
      <c r="S416" s="26">
        <v>74</v>
      </c>
      <c r="T416" s="20">
        <v>-0.12</v>
      </c>
      <c r="U416" s="26">
        <v>0.02</v>
      </c>
      <c r="V416" s="20">
        <v>1973.5</v>
      </c>
    </row>
    <row r="417" spans="1:22" ht="16.8" x14ac:dyDescent="0.3">
      <c r="A417" s="20">
        <v>41.7</v>
      </c>
      <c r="B417" s="20">
        <v>74</v>
      </c>
      <c r="C417" s="26">
        <v>74.34</v>
      </c>
      <c r="D417" s="20">
        <v>-0.34</v>
      </c>
      <c r="E417" s="20">
        <v>0.05</v>
      </c>
      <c r="F417" s="26">
        <v>2180.39</v>
      </c>
      <c r="Q417" s="20">
        <v>41.6</v>
      </c>
      <c r="R417" s="20">
        <v>74.180000000000007</v>
      </c>
      <c r="S417" s="26">
        <v>74</v>
      </c>
      <c r="T417" s="26">
        <v>-0.18</v>
      </c>
      <c r="U417" s="26">
        <v>-0.06</v>
      </c>
      <c r="V417" s="26">
        <v>1898.19</v>
      </c>
    </row>
    <row r="418" spans="1:22" ht="16.8" x14ac:dyDescent="0.3">
      <c r="A418" s="20">
        <v>41.8</v>
      </c>
      <c r="B418" s="20">
        <v>74</v>
      </c>
      <c r="C418" s="20">
        <v>74.42</v>
      </c>
      <c r="D418" s="20">
        <v>-0.42</v>
      </c>
      <c r="E418" s="20">
        <v>-0.08</v>
      </c>
      <c r="F418" s="26">
        <v>2006.76</v>
      </c>
      <c r="Q418" s="20">
        <v>41.7</v>
      </c>
      <c r="R418" s="20">
        <v>74.16</v>
      </c>
      <c r="S418" s="26">
        <v>74</v>
      </c>
      <c r="T418" s="26">
        <v>-0.16</v>
      </c>
      <c r="U418" s="26">
        <v>0.02</v>
      </c>
      <c r="V418" s="20">
        <v>1959.09</v>
      </c>
    </row>
    <row r="419" spans="1:22" ht="16.8" x14ac:dyDescent="0.3">
      <c r="A419" s="20">
        <v>41.9</v>
      </c>
      <c r="B419" s="20">
        <v>74</v>
      </c>
      <c r="C419" s="26">
        <v>74.38</v>
      </c>
      <c r="D419" s="20">
        <v>-0.38</v>
      </c>
      <c r="E419" s="20">
        <v>0.04</v>
      </c>
      <c r="F419" s="26">
        <v>2131.88</v>
      </c>
      <c r="Q419" s="20">
        <v>41.8</v>
      </c>
      <c r="R419" s="20">
        <v>74.19</v>
      </c>
      <c r="S419" s="26">
        <v>74</v>
      </c>
      <c r="T419" s="20">
        <v>-0.19</v>
      </c>
      <c r="U419" s="26">
        <v>-0.03</v>
      </c>
      <c r="V419" s="26">
        <v>1913.98</v>
      </c>
    </row>
    <row r="420" spans="1:22" ht="16.8" x14ac:dyDescent="0.3">
      <c r="A420" s="20">
        <v>42</v>
      </c>
      <c r="B420" s="20">
        <v>74</v>
      </c>
      <c r="C420" s="26">
        <v>74.37</v>
      </c>
      <c r="D420" s="20">
        <v>-0.37</v>
      </c>
      <c r="E420" s="20">
        <v>0.02</v>
      </c>
      <c r="F420" s="26">
        <v>2151.7399999999998</v>
      </c>
      <c r="Q420" s="20">
        <v>41.9</v>
      </c>
      <c r="R420" s="20">
        <v>74.17</v>
      </c>
      <c r="S420" s="26">
        <v>74</v>
      </c>
      <c r="T420" s="26">
        <v>-0.17</v>
      </c>
      <c r="U420" s="26">
        <v>0.02</v>
      </c>
      <c r="V420" s="20">
        <v>1963.27</v>
      </c>
    </row>
    <row r="421" spans="1:22" ht="16.8" x14ac:dyDescent="0.3">
      <c r="A421" s="20">
        <v>42.1</v>
      </c>
      <c r="B421" s="20">
        <v>74</v>
      </c>
      <c r="C421" s="20">
        <v>74.400000000000006</v>
      </c>
      <c r="D421" s="20">
        <v>-0.4</v>
      </c>
      <c r="E421" s="20">
        <v>-0.04</v>
      </c>
      <c r="F421" s="26">
        <v>2073.5100000000002</v>
      </c>
      <c r="Q421" s="20">
        <v>42</v>
      </c>
      <c r="R421" s="20">
        <v>74.12</v>
      </c>
      <c r="S421" s="26">
        <v>74</v>
      </c>
      <c r="T421" s="20">
        <v>-0.12</v>
      </c>
      <c r="U421" s="26">
        <v>0.05</v>
      </c>
      <c r="V421" s="26">
        <v>1990.96</v>
      </c>
    </row>
    <row r="422" spans="1:22" ht="16.8" x14ac:dyDescent="0.3">
      <c r="A422" s="20">
        <v>42.2</v>
      </c>
      <c r="B422" s="20">
        <v>74</v>
      </c>
      <c r="C422" s="26">
        <v>74.41</v>
      </c>
      <c r="D422" s="20">
        <v>-0.41</v>
      </c>
      <c r="E422" s="20">
        <v>-0.01</v>
      </c>
      <c r="F422" s="26">
        <v>2088.25</v>
      </c>
      <c r="Q422" s="20">
        <v>42.1</v>
      </c>
      <c r="R422" s="20">
        <v>74.17</v>
      </c>
      <c r="S422" s="26">
        <v>74</v>
      </c>
      <c r="T422" s="26">
        <v>-0.17</v>
      </c>
      <c r="U422" s="26">
        <v>-0.05</v>
      </c>
      <c r="V422" s="20">
        <v>1904.1</v>
      </c>
    </row>
    <row r="423" spans="1:22" ht="16.8" x14ac:dyDescent="0.3">
      <c r="A423" s="20">
        <v>42.3</v>
      </c>
      <c r="B423" s="20">
        <v>74</v>
      </c>
      <c r="C423" s="20">
        <v>74.400000000000006</v>
      </c>
      <c r="D423" s="20">
        <v>-0.4</v>
      </c>
      <c r="E423" s="20">
        <v>0.01</v>
      </c>
      <c r="F423" s="26">
        <v>2111.42</v>
      </c>
      <c r="Q423" s="20">
        <v>42.2</v>
      </c>
      <c r="R423" s="20">
        <v>74.180000000000007</v>
      </c>
      <c r="S423" s="26">
        <v>74</v>
      </c>
      <c r="T423" s="20">
        <v>-0.18</v>
      </c>
      <c r="U423" s="26">
        <v>-0.01</v>
      </c>
      <c r="V423" s="26">
        <v>1934.73</v>
      </c>
    </row>
    <row r="424" spans="1:22" ht="16.8" x14ac:dyDescent="0.3">
      <c r="A424" s="20">
        <v>42.4</v>
      </c>
      <c r="B424" s="20">
        <v>74</v>
      </c>
      <c r="C424" s="26">
        <v>74.34</v>
      </c>
      <c r="D424" s="20">
        <v>-0.34</v>
      </c>
      <c r="E424" s="20">
        <v>0.06</v>
      </c>
      <c r="F424" s="20">
        <v>2189.63</v>
      </c>
      <c r="Q424" s="20">
        <v>42.3</v>
      </c>
      <c r="R424" s="20">
        <v>74.13</v>
      </c>
      <c r="S424" s="26">
        <v>74</v>
      </c>
      <c r="T424" s="26">
        <v>-0.13</v>
      </c>
      <c r="U424" s="26">
        <v>0.04</v>
      </c>
      <c r="V424" s="20">
        <v>1980.43</v>
      </c>
    </row>
    <row r="425" spans="1:22" ht="16.8" x14ac:dyDescent="0.3">
      <c r="A425" s="20">
        <v>42.5</v>
      </c>
      <c r="B425" s="20">
        <v>74</v>
      </c>
      <c r="C425" s="26">
        <v>74.37</v>
      </c>
      <c r="D425" s="20">
        <v>-0.37</v>
      </c>
      <c r="E425" s="20">
        <v>-0.03</v>
      </c>
      <c r="F425" s="26">
        <v>2122.79</v>
      </c>
      <c r="Q425" s="20">
        <v>42.4</v>
      </c>
      <c r="R425" s="20">
        <v>74.209999999999994</v>
      </c>
      <c r="S425" s="26">
        <v>74</v>
      </c>
      <c r="T425" s="26">
        <v>-0.21</v>
      </c>
      <c r="U425" s="26">
        <v>-7.0000000000000007E-2</v>
      </c>
      <c r="V425" s="20">
        <v>1876.27</v>
      </c>
    </row>
    <row r="426" spans="1:22" ht="16.8" x14ac:dyDescent="0.3">
      <c r="A426" s="20">
        <v>42.6</v>
      </c>
      <c r="B426" s="20">
        <v>74</v>
      </c>
      <c r="C426" s="20">
        <v>74.33</v>
      </c>
      <c r="D426" s="20">
        <v>-0.33</v>
      </c>
      <c r="E426" s="20">
        <v>0.04</v>
      </c>
      <c r="F426" s="26">
        <v>2194.25</v>
      </c>
      <c r="Q426" s="20">
        <v>42.5</v>
      </c>
      <c r="R426" s="20">
        <v>74.150000000000006</v>
      </c>
      <c r="S426" s="26">
        <v>74</v>
      </c>
      <c r="T426" s="26">
        <v>-0.15</v>
      </c>
      <c r="U426" s="26">
        <v>0.06</v>
      </c>
      <c r="V426" s="26">
        <v>1989.7</v>
      </c>
    </row>
    <row r="427" spans="1:22" ht="16.8" x14ac:dyDescent="0.3">
      <c r="A427" s="20">
        <v>42.7</v>
      </c>
      <c r="B427" s="20">
        <v>74</v>
      </c>
      <c r="C427" s="26">
        <v>74.36</v>
      </c>
      <c r="D427" s="20">
        <v>-0.36</v>
      </c>
      <c r="E427" s="20">
        <v>-0.03</v>
      </c>
      <c r="F427" s="20">
        <v>2136.0700000000002</v>
      </c>
      <c r="Q427" s="20">
        <v>42.6</v>
      </c>
      <c r="R427" s="20">
        <v>74.180000000000007</v>
      </c>
      <c r="S427" s="26">
        <v>74</v>
      </c>
      <c r="T427" s="26">
        <v>-0.18</v>
      </c>
      <c r="U427" s="26">
        <v>-0.03</v>
      </c>
      <c r="V427" s="20">
        <v>1912.14</v>
      </c>
    </row>
    <row r="428" spans="1:22" ht="16.8" x14ac:dyDescent="0.3">
      <c r="A428" s="20">
        <v>42.8</v>
      </c>
      <c r="B428" s="20">
        <v>74</v>
      </c>
      <c r="C428" s="26">
        <v>74.39</v>
      </c>
      <c r="D428" s="20">
        <v>-0.39</v>
      </c>
      <c r="E428" s="20">
        <v>-0.03</v>
      </c>
      <c r="F428" s="26">
        <v>2092.7399999999998</v>
      </c>
      <c r="Q428" s="20">
        <v>42.7</v>
      </c>
      <c r="R428" s="20">
        <v>74.180000000000007</v>
      </c>
      <c r="S428" s="26">
        <v>74</v>
      </c>
      <c r="T428" s="20">
        <v>-0.18</v>
      </c>
      <c r="U428" s="20">
        <v>0</v>
      </c>
      <c r="V428" s="26">
        <v>1937.66</v>
      </c>
    </row>
    <row r="429" spans="1:22" ht="16.8" x14ac:dyDescent="0.3">
      <c r="A429" s="20">
        <v>42.9</v>
      </c>
      <c r="B429" s="20">
        <v>74</v>
      </c>
      <c r="C429" s="20">
        <v>74.349999999999994</v>
      </c>
      <c r="D429" s="20">
        <v>-0.35</v>
      </c>
      <c r="E429" s="20">
        <v>0.04</v>
      </c>
      <c r="F429" s="20">
        <v>2175.71</v>
      </c>
      <c r="Q429" s="20">
        <v>42.8</v>
      </c>
      <c r="R429" s="20">
        <v>74.180000000000007</v>
      </c>
      <c r="S429" s="26">
        <v>74</v>
      </c>
      <c r="T429" s="26">
        <v>-0.18</v>
      </c>
      <c r="U429" s="26">
        <v>0.01</v>
      </c>
      <c r="V429" s="20">
        <v>1945.13</v>
      </c>
    </row>
    <row r="430" spans="1:22" ht="16.8" x14ac:dyDescent="0.3">
      <c r="A430" s="20">
        <v>43</v>
      </c>
      <c r="B430" s="20">
        <v>74</v>
      </c>
      <c r="C430" s="26">
        <v>74.349999999999994</v>
      </c>
      <c r="D430" s="20">
        <v>-0.35</v>
      </c>
      <c r="E430" s="20">
        <v>0</v>
      </c>
      <c r="F430" s="26">
        <v>2175.71</v>
      </c>
      <c r="Q430" s="20">
        <v>42.9</v>
      </c>
      <c r="R430" s="20">
        <v>74.12</v>
      </c>
      <c r="S430" s="26">
        <v>74</v>
      </c>
      <c r="T430" s="20">
        <v>-0.12</v>
      </c>
      <c r="U430" s="20">
        <v>0.06</v>
      </c>
      <c r="V430" s="26">
        <v>1993.72</v>
      </c>
    </row>
    <row r="431" spans="1:22" ht="16.8" x14ac:dyDescent="0.3">
      <c r="A431" s="20">
        <v>43.1</v>
      </c>
      <c r="B431" s="20">
        <v>74</v>
      </c>
      <c r="C431" s="20">
        <v>74.34</v>
      </c>
      <c r="D431" s="20">
        <v>-0.34</v>
      </c>
      <c r="E431" s="20">
        <v>0.01</v>
      </c>
      <c r="F431" s="20">
        <v>2185.04</v>
      </c>
      <c r="Q431" s="20">
        <v>43</v>
      </c>
      <c r="R431" s="20">
        <v>74.13</v>
      </c>
      <c r="S431" s="26">
        <v>74</v>
      </c>
      <c r="T431" s="26">
        <v>-0.13</v>
      </c>
      <c r="U431" s="26">
        <v>-0.02</v>
      </c>
      <c r="V431" s="20">
        <v>1932.08</v>
      </c>
    </row>
    <row r="432" spans="1:22" ht="16.8" x14ac:dyDescent="0.3">
      <c r="A432" s="20">
        <v>43.2</v>
      </c>
      <c r="B432" s="20">
        <v>74</v>
      </c>
      <c r="C432" s="26">
        <v>74.400000000000006</v>
      </c>
      <c r="D432" s="20">
        <v>-0.4</v>
      </c>
      <c r="E432" s="20">
        <v>-0.06</v>
      </c>
      <c r="F432" s="26">
        <v>2048.3200000000002</v>
      </c>
      <c r="Q432" s="20">
        <v>43.1</v>
      </c>
      <c r="R432" s="20">
        <v>74.17</v>
      </c>
      <c r="S432" s="26">
        <v>74</v>
      </c>
      <c r="T432" s="20">
        <v>-0.17</v>
      </c>
      <c r="U432" s="26">
        <v>-0.03</v>
      </c>
      <c r="V432" s="26">
        <v>1913.02</v>
      </c>
    </row>
    <row r="433" spans="1:22" ht="16.8" x14ac:dyDescent="0.3">
      <c r="A433" s="20">
        <v>43.3</v>
      </c>
      <c r="B433" s="20">
        <v>74</v>
      </c>
      <c r="C433" s="26">
        <v>74.39</v>
      </c>
      <c r="D433" s="20">
        <v>-0.39</v>
      </c>
      <c r="E433" s="20">
        <v>0.02</v>
      </c>
      <c r="F433" s="26">
        <v>2126.85</v>
      </c>
      <c r="Q433" s="20">
        <v>43.2</v>
      </c>
      <c r="R433" s="20">
        <v>74.16</v>
      </c>
      <c r="S433" s="26">
        <v>74</v>
      </c>
      <c r="T433" s="26">
        <v>-0.16</v>
      </c>
      <c r="U433" s="26">
        <v>0.01</v>
      </c>
      <c r="V433" s="20">
        <v>1946.52</v>
      </c>
    </row>
    <row r="434" spans="1:22" ht="16.8" x14ac:dyDescent="0.3">
      <c r="A434" s="20">
        <v>43.4</v>
      </c>
      <c r="B434" s="20">
        <v>74</v>
      </c>
      <c r="C434" s="20">
        <v>74.41</v>
      </c>
      <c r="D434" s="20">
        <v>-0.41</v>
      </c>
      <c r="E434" s="20">
        <v>-0.02</v>
      </c>
      <c r="F434" s="20">
        <v>2082.66</v>
      </c>
      <c r="Q434" s="20">
        <v>43.3</v>
      </c>
      <c r="R434" s="20">
        <v>74.2</v>
      </c>
      <c r="S434" s="26">
        <v>74</v>
      </c>
      <c r="T434" s="26">
        <v>-0.2</v>
      </c>
      <c r="U434" s="26">
        <v>-0.04</v>
      </c>
      <c r="V434" s="26">
        <v>1899.98</v>
      </c>
    </row>
    <row r="435" spans="1:22" ht="16.8" x14ac:dyDescent="0.3">
      <c r="A435" s="20">
        <v>43.5</v>
      </c>
      <c r="B435" s="20">
        <v>74</v>
      </c>
      <c r="C435" s="26">
        <v>74.349999999999994</v>
      </c>
      <c r="D435" s="20">
        <v>-0.35</v>
      </c>
      <c r="E435" s="20">
        <v>0.06</v>
      </c>
      <c r="F435" s="26">
        <v>2170.9899999999998</v>
      </c>
      <c r="Q435" s="20">
        <v>43.4</v>
      </c>
      <c r="R435" s="20">
        <v>74.12</v>
      </c>
      <c r="S435" s="26">
        <v>74</v>
      </c>
      <c r="T435" s="26">
        <v>-0.12</v>
      </c>
      <c r="U435" s="26">
        <v>0.08</v>
      </c>
      <c r="V435" s="20">
        <v>2011.26</v>
      </c>
    </row>
    <row r="436" spans="1:22" ht="16.8" x14ac:dyDescent="0.3">
      <c r="A436" s="20">
        <v>43.6</v>
      </c>
      <c r="B436" s="20">
        <v>74</v>
      </c>
      <c r="C436" s="20">
        <v>74.41</v>
      </c>
      <c r="D436" s="20">
        <v>-0.41</v>
      </c>
      <c r="E436" s="20">
        <v>-0.06</v>
      </c>
      <c r="F436" s="26">
        <v>2041.18</v>
      </c>
      <c r="Q436" s="20">
        <v>43.5</v>
      </c>
      <c r="R436" s="20">
        <v>74.150000000000006</v>
      </c>
      <c r="S436" s="26">
        <v>74</v>
      </c>
      <c r="T436" s="26">
        <v>-0.15</v>
      </c>
      <c r="U436" s="26">
        <v>-0.03</v>
      </c>
      <c r="V436" s="26">
        <v>1914.28</v>
      </c>
    </row>
    <row r="437" spans="1:22" ht="16.8" x14ac:dyDescent="0.3">
      <c r="A437" s="20">
        <v>43.7</v>
      </c>
      <c r="B437" s="20">
        <v>74</v>
      </c>
      <c r="C437" s="26">
        <v>74.38</v>
      </c>
      <c r="D437" s="20">
        <v>-0.38</v>
      </c>
      <c r="E437" s="20">
        <v>0.03</v>
      </c>
      <c r="F437" s="26">
        <v>2136.9499999999998</v>
      </c>
      <c r="Q437" s="20">
        <v>43.6</v>
      </c>
      <c r="R437" s="20">
        <v>74.14</v>
      </c>
      <c r="S437" s="26">
        <v>74</v>
      </c>
      <c r="T437" s="20">
        <v>-0.14000000000000001</v>
      </c>
      <c r="U437" s="20">
        <v>0.01</v>
      </c>
      <c r="V437" s="20">
        <v>1947.82</v>
      </c>
    </row>
    <row r="438" spans="1:22" ht="16.8" x14ac:dyDescent="0.3">
      <c r="A438" s="20">
        <v>43.8</v>
      </c>
      <c r="B438" s="20">
        <v>74</v>
      </c>
      <c r="C438" s="26">
        <v>74.400000000000006</v>
      </c>
      <c r="D438" s="20">
        <v>-0.4</v>
      </c>
      <c r="E438" s="20">
        <v>-0.02</v>
      </c>
      <c r="F438" s="26">
        <v>2084.33</v>
      </c>
      <c r="Q438" s="20">
        <v>43.7</v>
      </c>
      <c r="R438" s="20">
        <v>74.11</v>
      </c>
      <c r="S438" s="26">
        <v>74</v>
      </c>
      <c r="T438" s="26">
        <v>-0.11</v>
      </c>
      <c r="U438" s="26">
        <v>0.03</v>
      </c>
      <c r="V438" s="20">
        <v>1972.69</v>
      </c>
    </row>
    <row r="439" spans="1:22" ht="16.8" x14ac:dyDescent="0.3">
      <c r="A439" s="20">
        <v>43.9</v>
      </c>
      <c r="B439" s="20">
        <v>74</v>
      </c>
      <c r="C439" s="20">
        <v>74.430000000000007</v>
      </c>
      <c r="D439" s="20">
        <v>-0.43</v>
      </c>
      <c r="E439" s="20">
        <v>-0.03</v>
      </c>
      <c r="F439" s="26">
        <v>2042.39</v>
      </c>
      <c r="Q439" s="20">
        <v>43.8</v>
      </c>
      <c r="R439" s="20">
        <v>74.09</v>
      </c>
      <c r="S439" s="26">
        <v>74</v>
      </c>
      <c r="T439" s="20">
        <v>-0.09</v>
      </c>
      <c r="U439" s="20">
        <v>0.02</v>
      </c>
      <c r="V439" s="26">
        <v>1970.21</v>
      </c>
    </row>
    <row r="440" spans="1:22" ht="16.8" x14ac:dyDescent="0.3">
      <c r="A440" s="20">
        <v>44</v>
      </c>
      <c r="B440" s="20">
        <v>74</v>
      </c>
      <c r="C440" s="26">
        <v>74.44</v>
      </c>
      <c r="D440" s="20">
        <v>-0.44</v>
      </c>
      <c r="E440" s="20">
        <v>-0.01</v>
      </c>
      <c r="F440" s="26">
        <v>2049.27</v>
      </c>
      <c r="Q440" s="20">
        <v>43.9</v>
      </c>
      <c r="R440" s="20">
        <v>74.069999999999993</v>
      </c>
      <c r="S440" s="26">
        <v>74</v>
      </c>
      <c r="T440" s="26">
        <v>-7.0000000000000007E-2</v>
      </c>
      <c r="U440" s="26">
        <v>0.02</v>
      </c>
      <c r="V440" s="20">
        <v>1966.38</v>
      </c>
    </row>
    <row r="441" spans="1:22" ht="16.8" x14ac:dyDescent="0.3">
      <c r="A441" s="20">
        <v>44.1</v>
      </c>
      <c r="B441" s="20">
        <v>74</v>
      </c>
      <c r="C441" s="20">
        <v>74.44</v>
      </c>
      <c r="D441" s="20">
        <v>-0.44</v>
      </c>
      <c r="E441" s="20">
        <v>0</v>
      </c>
      <c r="F441" s="26">
        <v>2062.3200000000002</v>
      </c>
      <c r="Q441" s="20">
        <v>44</v>
      </c>
      <c r="R441" s="20">
        <v>74.17</v>
      </c>
      <c r="S441" s="26">
        <v>74</v>
      </c>
      <c r="T441" s="26">
        <v>-0.17</v>
      </c>
      <c r="U441" s="26">
        <v>-0.1</v>
      </c>
      <c r="V441" s="26">
        <v>1858.05</v>
      </c>
    </row>
    <row r="442" spans="1:22" ht="16.8" x14ac:dyDescent="0.3">
      <c r="A442" s="20">
        <v>44.2</v>
      </c>
      <c r="B442" s="20">
        <v>74</v>
      </c>
      <c r="C442" s="26">
        <v>74.47</v>
      </c>
      <c r="D442" s="20">
        <v>-0.47</v>
      </c>
      <c r="E442" s="20">
        <v>-0.03</v>
      </c>
      <c r="F442" s="26">
        <v>1984.95</v>
      </c>
      <c r="Q442" s="20">
        <v>44.1</v>
      </c>
      <c r="R442" s="20">
        <v>74.06</v>
      </c>
      <c r="S442" s="26">
        <v>74</v>
      </c>
      <c r="T442" s="26">
        <v>-0.06</v>
      </c>
      <c r="U442" s="26">
        <v>0.1</v>
      </c>
      <c r="V442" s="20">
        <v>2038.67</v>
      </c>
    </row>
    <row r="443" spans="1:22" ht="16.8" x14ac:dyDescent="0.3">
      <c r="A443" s="20">
        <v>44.3</v>
      </c>
      <c r="B443" s="20">
        <v>74</v>
      </c>
      <c r="C443" s="26">
        <v>74.400000000000006</v>
      </c>
      <c r="D443" s="20">
        <v>-0.4</v>
      </c>
      <c r="E443" s="20">
        <v>7.0000000000000007E-2</v>
      </c>
      <c r="F443" s="26">
        <v>2111.42</v>
      </c>
      <c r="Q443" s="20">
        <v>44.2</v>
      </c>
      <c r="R443" s="20">
        <v>74.09</v>
      </c>
      <c r="S443" s="26">
        <v>74</v>
      </c>
      <c r="T443" s="26">
        <v>-0.09</v>
      </c>
      <c r="U443" s="26">
        <v>-0.02</v>
      </c>
      <c r="V443" s="26">
        <v>1930.28</v>
      </c>
    </row>
    <row r="444" spans="1:22" ht="16.8" x14ac:dyDescent="0.3">
      <c r="A444" s="20">
        <v>44.4</v>
      </c>
      <c r="B444" s="20">
        <v>74</v>
      </c>
      <c r="C444" s="20">
        <v>74.459999999999994</v>
      </c>
      <c r="D444" s="20">
        <v>-0.46</v>
      </c>
      <c r="E444" s="20">
        <v>-0.06</v>
      </c>
      <c r="F444" s="26">
        <v>1981.68</v>
      </c>
      <c r="Q444" s="20">
        <v>44.3</v>
      </c>
      <c r="R444" s="20">
        <v>74.09</v>
      </c>
      <c r="S444" s="26">
        <v>74</v>
      </c>
      <c r="T444" s="26">
        <v>-0.09</v>
      </c>
      <c r="U444" s="26">
        <v>-0.01</v>
      </c>
      <c r="V444" s="20">
        <v>1941.62</v>
      </c>
    </row>
    <row r="445" spans="1:22" ht="16.8" x14ac:dyDescent="0.3">
      <c r="A445" s="20">
        <v>44.5</v>
      </c>
      <c r="B445" s="20">
        <v>74</v>
      </c>
      <c r="C445" s="26">
        <v>74.45</v>
      </c>
      <c r="D445" s="20">
        <v>-0.45</v>
      </c>
      <c r="E445" s="20">
        <v>0.01</v>
      </c>
      <c r="F445" s="20">
        <v>2050.8000000000002</v>
      </c>
      <c r="Q445" s="20">
        <v>44.4</v>
      </c>
      <c r="R445" s="20">
        <v>74.069999999999993</v>
      </c>
      <c r="S445" s="26">
        <v>74</v>
      </c>
      <c r="T445" s="26">
        <v>-7.0000000000000007E-2</v>
      </c>
      <c r="U445" s="26">
        <v>0.02</v>
      </c>
      <c r="V445" s="26">
        <v>1971.67</v>
      </c>
    </row>
    <row r="446" spans="1:22" ht="16.8" x14ac:dyDescent="0.3">
      <c r="A446" s="20">
        <v>44.6</v>
      </c>
      <c r="B446" s="20">
        <v>74</v>
      </c>
      <c r="C446" s="20">
        <v>74.45</v>
      </c>
      <c r="D446" s="20">
        <v>-0.45</v>
      </c>
      <c r="E446" s="20">
        <v>0</v>
      </c>
      <c r="F446" s="26">
        <v>2041.23</v>
      </c>
      <c r="Q446" s="20">
        <v>44.5</v>
      </c>
      <c r="R446" s="20">
        <v>74.08</v>
      </c>
      <c r="S446" s="20">
        <v>74</v>
      </c>
      <c r="T446" s="26">
        <v>-0.08</v>
      </c>
      <c r="U446" s="26">
        <v>-0.01</v>
      </c>
      <c r="V446" s="20">
        <v>1944.08</v>
      </c>
    </row>
    <row r="447" spans="1:22" ht="16.8" x14ac:dyDescent="0.3">
      <c r="A447" s="20">
        <v>44.7</v>
      </c>
      <c r="B447" s="20">
        <v>74</v>
      </c>
      <c r="C447" s="26">
        <v>74.44</v>
      </c>
      <c r="D447" s="20">
        <v>-0.44</v>
      </c>
      <c r="E447" s="20">
        <v>0.01</v>
      </c>
      <c r="F447" s="26">
        <v>2062.3200000000002</v>
      </c>
      <c r="Q447" s="20">
        <v>44.6</v>
      </c>
      <c r="R447" s="20">
        <v>74.12</v>
      </c>
      <c r="S447" s="26">
        <v>74</v>
      </c>
      <c r="T447" s="26">
        <v>-0.12</v>
      </c>
      <c r="U447" s="26">
        <v>-0.04</v>
      </c>
      <c r="V447" s="20">
        <v>1910.73</v>
      </c>
    </row>
    <row r="448" spans="1:22" ht="16.8" x14ac:dyDescent="0.3">
      <c r="A448" s="20">
        <v>44.8</v>
      </c>
      <c r="B448" s="20">
        <v>74</v>
      </c>
      <c r="C448" s="26">
        <v>74.44</v>
      </c>
      <c r="D448" s="20">
        <v>-0.44</v>
      </c>
      <c r="E448" s="20">
        <v>0</v>
      </c>
      <c r="F448" s="26">
        <v>2052.9299999999998</v>
      </c>
      <c r="Q448" s="20">
        <v>44.7</v>
      </c>
      <c r="R448" s="20">
        <v>74.069999999999993</v>
      </c>
      <c r="S448" s="26">
        <v>74</v>
      </c>
      <c r="T448" s="26">
        <v>-7.0000000000000007E-2</v>
      </c>
      <c r="U448" s="26">
        <v>0.05</v>
      </c>
      <c r="V448" s="26">
        <v>1990.48</v>
      </c>
    </row>
    <row r="449" spans="1:22" ht="16.8" x14ac:dyDescent="0.3">
      <c r="A449" s="20">
        <v>44.9</v>
      </c>
      <c r="B449" s="20">
        <v>74</v>
      </c>
      <c r="C449" s="20">
        <v>74.430000000000007</v>
      </c>
      <c r="D449" s="20">
        <v>-0.43</v>
      </c>
      <c r="E449" s="20">
        <v>0.01</v>
      </c>
      <c r="F449" s="26">
        <v>2067.98</v>
      </c>
      <c r="Q449" s="20">
        <v>44.8</v>
      </c>
      <c r="R449" s="20">
        <v>74.11</v>
      </c>
      <c r="S449" s="26">
        <v>74</v>
      </c>
      <c r="T449" s="26">
        <v>-0.11</v>
      </c>
      <c r="U449" s="26">
        <v>-0.04</v>
      </c>
      <c r="V449" s="20">
        <v>1911.69</v>
      </c>
    </row>
    <row r="450" spans="1:22" ht="16.8" x14ac:dyDescent="0.3">
      <c r="A450" s="20">
        <v>45</v>
      </c>
      <c r="B450" s="20">
        <v>74</v>
      </c>
      <c r="C450" s="26">
        <v>74.38</v>
      </c>
      <c r="D450" s="20">
        <v>-0.38</v>
      </c>
      <c r="E450" s="20">
        <v>0.05</v>
      </c>
      <c r="F450" s="20">
        <v>2131.88</v>
      </c>
      <c r="Q450" s="20">
        <v>44.9</v>
      </c>
      <c r="R450" s="20">
        <v>74.06</v>
      </c>
      <c r="S450" s="26">
        <v>74</v>
      </c>
      <c r="T450" s="26">
        <v>-0.06</v>
      </c>
      <c r="U450" s="26">
        <v>0.05</v>
      </c>
      <c r="V450" s="26">
        <v>1991.47</v>
      </c>
    </row>
    <row r="451" spans="1:22" ht="16.8" x14ac:dyDescent="0.3">
      <c r="A451" s="20">
        <v>45.1</v>
      </c>
      <c r="B451" s="20">
        <v>74</v>
      </c>
      <c r="C451" s="20">
        <v>74.37</v>
      </c>
      <c r="D451" s="20">
        <v>-0.37</v>
      </c>
      <c r="E451" s="20">
        <v>0.01</v>
      </c>
      <c r="F451" s="26">
        <v>2146.88</v>
      </c>
      <c r="Q451" s="20">
        <v>45</v>
      </c>
      <c r="R451" s="20">
        <v>74.11</v>
      </c>
      <c r="S451" s="26">
        <v>74</v>
      </c>
      <c r="T451" s="26">
        <v>-0.11</v>
      </c>
      <c r="U451" s="26">
        <v>-0.05</v>
      </c>
      <c r="V451" s="20">
        <v>1904.77</v>
      </c>
    </row>
    <row r="452" spans="1:22" ht="16.8" x14ac:dyDescent="0.3">
      <c r="A452" s="20">
        <v>45.2</v>
      </c>
      <c r="B452" s="20">
        <v>74</v>
      </c>
      <c r="C452" s="26">
        <v>74.400000000000006</v>
      </c>
      <c r="D452" s="20">
        <v>-0.4</v>
      </c>
      <c r="E452" s="20">
        <v>-0.03</v>
      </c>
      <c r="F452" s="26">
        <v>2085.96</v>
      </c>
      <c r="Q452" s="20">
        <v>45.1</v>
      </c>
      <c r="R452" s="20">
        <v>74.05</v>
      </c>
      <c r="S452" s="26">
        <v>74</v>
      </c>
      <c r="T452" s="26">
        <v>-0.05</v>
      </c>
      <c r="U452" s="26">
        <v>0.06</v>
      </c>
      <c r="V452" s="26">
        <v>2006.89</v>
      </c>
    </row>
    <row r="453" spans="1:22" ht="16.8" x14ac:dyDescent="0.3">
      <c r="A453" s="20">
        <v>45.3</v>
      </c>
      <c r="B453" s="20">
        <v>74</v>
      </c>
      <c r="C453" s="26">
        <v>74.349999999999994</v>
      </c>
      <c r="D453" s="20">
        <v>-0.35</v>
      </c>
      <c r="E453" s="20">
        <v>0.05</v>
      </c>
      <c r="F453" s="26">
        <v>2170.9899999999998</v>
      </c>
      <c r="Q453" s="20">
        <v>45.2</v>
      </c>
      <c r="R453" s="20">
        <v>74.180000000000007</v>
      </c>
      <c r="S453" s="26">
        <v>74</v>
      </c>
      <c r="T453" s="26">
        <v>-0.18</v>
      </c>
      <c r="U453" s="26">
        <v>-0.14000000000000001</v>
      </c>
      <c r="V453" s="20">
        <v>1820.02</v>
      </c>
    </row>
    <row r="454" spans="1:22" ht="16.8" x14ac:dyDescent="0.3">
      <c r="A454" s="20">
        <v>45.4</v>
      </c>
      <c r="B454" s="20">
        <v>74</v>
      </c>
      <c r="C454" s="20">
        <v>74.36</v>
      </c>
      <c r="D454" s="20">
        <v>-0.36</v>
      </c>
      <c r="E454" s="20">
        <v>-0.01</v>
      </c>
      <c r="F454" s="26">
        <v>2145.79</v>
      </c>
      <c r="Q454" s="20">
        <v>45.3</v>
      </c>
      <c r="R454" s="20">
        <v>74.05</v>
      </c>
      <c r="S454" s="26">
        <v>74</v>
      </c>
      <c r="T454" s="26">
        <v>-0.05</v>
      </c>
      <c r="U454" s="26">
        <v>0.14000000000000001</v>
      </c>
      <c r="V454" s="26">
        <v>2064.7800000000002</v>
      </c>
    </row>
    <row r="455" spans="1:22" ht="16.8" x14ac:dyDescent="0.3">
      <c r="A455" s="20">
        <v>45.5</v>
      </c>
      <c r="B455" s="20">
        <v>74</v>
      </c>
      <c r="C455" s="26">
        <v>74.349999999999994</v>
      </c>
      <c r="D455" s="20">
        <v>-0.35</v>
      </c>
      <c r="E455" s="20">
        <v>0.01</v>
      </c>
      <c r="F455" s="26">
        <v>2170.9899999999998</v>
      </c>
      <c r="Q455" s="20">
        <v>45.4</v>
      </c>
      <c r="R455" s="20">
        <v>74.13</v>
      </c>
      <c r="S455" s="26">
        <v>74</v>
      </c>
      <c r="T455" s="26">
        <v>-0.13</v>
      </c>
      <c r="U455" s="26">
        <v>-0.08</v>
      </c>
      <c r="V455" s="20">
        <v>1874.95</v>
      </c>
    </row>
    <row r="456" spans="1:22" ht="16.8" x14ac:dyDescent="0.3">
      <c r="A456" s="20">
        <v>45.6</v>
      </c>
      <c r="B456" s="20">
        <v>74</v>
      </c>
      <c r="C456" s="20">
        <v>74.41</v>
      </c>
      <c r="D456" s="20">
        <v>-0.41</v>
      </c>
      <c r="E456" s="20">
        <v>-0.06</v>
      </c>
      <c r="F456" s="20">
        <v>2041.18</v>
      </c>
      <c r="Q456" s="20">
        <v>45.5</v>
      </c>
      <c r="R456" s="20">
        <v>74.09</v>
      </c>
      <c r="S456" s="26">
        <v>74</v>
      </c>
      <c r="T456" s="26">
        <v>-0.09</v>
      </c>
      <c r="U456" s="26">
        <v>0.03</v>
      </c>
      <c r="V456" s="20">
        <v>1971.31</v>
      </c>
    </row>
    <row r="457" spans="1:22" ht="16.8" x14ac:dyDescent="0.3">
      <c r="A457" s="20">
        <v>45.7</v>
      </c>
      <c r="B457" s="20">
        <v>74</v>
      </c>
      <c r="C457" s="26">
        <v>74.400000000000006</v>
      </c>
      <c r="D457" s="20">
        <v>-0.4</v>
      </c>
      <c r="E457" s="20">
        <v>0.01</v>
      </c>
      <c r="F457" s="26">
        <v>2111.42</v>
      </c>
      <c r="Q457" s="20">
        <v>45.6</v>
      </c>
      <c r="R457" s="20">
        <v>74.14</v>
      </c>
      <c r="S457" s="26">
        <v>74</v>
      </c>
      <c r="T457" s="26">
        <v>-0.14000000000000001</v>
      </c>
      <c r="U457" s="26">
        <v>-0.05</v>
      </c>
      <c r="V457" s="26">
        <v>1897.51</v>
      </c>
    </row>
    <row r="458" spans="1:22" ht="16.8" x14ac:dyDescent="0.3">
      <c r="A458" s="20">
        <v>45.8</v>
      </c>
      <c r="B458" s="20">
        <v>74</v>
      </c>
      <c r="C458" s="26">
        <v>74.44</v>
      </c>
      <c r="D458" s="20">
        <v>-0.44</v>
      </c>
      <c r="E458" s="20">
        <v>-0.04</v>
      </c>
      <c r="F458" s="26">
        <v>2029.46</v>
      </c>
      <c r="Q458" s="20">
        <v>45.7</v>
      </c>
      <c r="R458" s="20">
        <v>74.099999999999994</v>
      </c>
      <c r="S458" s="26">
        <v>74</v>
      </c>
      <c r="T458" s="26">
        <v>-0.1</v>
      </c>
      <c r="U458" s="26">
        <v>0.04</v>
      </c>
      <c r="V458" s="20">
        <v>1975.78</v>
      </c>
    </row>
    <row r="459" spans="1:22" ht="16.8" x14ac:dyDescent="0.3">
      <c r="A459" s="20">
        <v>45.9</v>
      </c>
      <c r="B459" s="20">
        <v>74</v>
      </c>
      <c r="C459" s="20">
        <v>74.45</v>
      </c>
      <c r="D459" s="20">
        <v>-0.45</v>
      </c>
      <c r="E459" s="20">
        <v>-0.01</v>
      </c>
      <c r="F459" s="26">
        <v>2033.93</v>
      </c>
      <c r="Q459" s="20">
        <v>45.8</v>
      </c>
      <c r="R459" s="20">
        <v>74.13</v>
      </c>
      <c r="S459" s="26">
        <v>74</v>
      </c>
      <c r="T459" s="26">
        <v>-0.13</v>
      </c>
      <c r="U459" s="26">
        <v>-0.03</v>
      </c>
      <c r="V459" s="26">
        <v>1911.31</v>
      </c>
    </row>
    <row r="460" spans="1:22" ht="16.8" x14ac:dyDescent="0.3">
      <c r="A460" s="20">
        <v>46</v>
      </c>
      <c r="B460" s="20">
        <v>74</v>
      </c>
      <c r="C460" s="26">
        <v>74.42</v>
      </c>
      <c r="D460" s="20">
        <v>-0.42</v>
      </c>
      <c r="E460" s="20">
        <v>0.02</v>
      </c>
      <c r="F460" s="26">
        <v>2079.19</v>
      </c>
      <c r="Q460" s="20">
        <v>45.9</v>
      </c>
      <c r="R460" s="20">
        <v>74.06</v>
      </c>
      <c r="S460" s="20">
        <v>74</v>
      </c>
      <c r="T460" s="26">
        <v>-0.06</v>
      </c>
      <c r="U460" s="26">
        <v>7.0000000000000007E-2</v>
      </c>
      <c r="V460" s="20">
        <v>2008.34</v>
      </c>
    </row>
    <row r="461" spans="1:22" ht="16.8" x14ac:dyDescent="0.3">
      <c r="A461" s="20">
        <v>46.1</v>
      </c>
      <c r="B461" s="20">
        <v>74</v>
      </c>
      <c r="C461" s="20">
        <v>74.44</v>
      </c>
      <c r="D461" s="20">
        <v>-0.44</v>
      </c>
      <c r="E461" s="20">
        <v>-0.01</v>
      </c>
      <c r="F461" s="20">
        <v>2051.37</v>
      </c>
      <c r="Q461" s="20">
        <v>46</v>
      </c>
      <c r="R461" s="20">
        <v>74.14</v>
      </c>
      <c r="S461" s="26">
        <v>74</v>
      </c>
      <c r="T461" s="26">
        <v>-0.14000000000000001</v>
      </c>
      <c r="U461" s="26">
        <v>-0.08</v>
      </c>
      <c r="V461" s="26">
        <v>1870.42</v>
      </c>
    </row>
    <row r="462" spans="1:22" ht="16.8" x14ac:dyDescent="0.3">
      <c r="A462" s="20">
        <v>46.2</v>
      </c>
      <c r="B462" s="20">
        <v>74</v>
      </c>
      <c r="C462" s="26">
        <v>74.5</v>
      </c>
      <c r="D462" s="20">
        <v>-0.5</v>
      </c>
      <c r="E462" s="20">
        <v>-0.06</v>
      </c>
      <c r="F462" s="26">
        <v>1912.97</v>
      </c>
      <c r="Q462" s="20">
        <v>46.1</v>
      </c>
      <c r="R462" s="20">
        <v>74.099999999999994</v>
      </c>
      <c r="S462" s="26">
        <v>74</v>
      </c>
      <c r="T462" s="26">
        <v>-0.1</v>
      </c>
      <c r="U462" s="26">
        <v>0.04</v>
      </c>
      <c r="V462" s="20">
        <v>1974.67</v>
      </c>
    </row>
    <row r="463" spans="1:22" ht="16.8" x14ac:dyDescent="0.3">
      <c r="A463" s="20">
        <v>46.3</v>
      </c>
      <c r="B463" s="20">
        <v>74</v>
      </c>
      <c r="C463" s="26">
        <v>74.489999999999995</v>
      </c>
      <c r="D463" s="20">
        <v>-0.49</v>
      </c>
      <c r="E463" s="20">
        <v>0</v>
      </c>
      <c r="F463" s="20">
        <v>1975.31</v>
      </c>
      <c r="Q463" s="20">
        <v>46.2</v>
      </c>
      <c r="R463" s="20">
        <v>74.13</v>
      </c>
      <c r="S463" s="26">
        <v>74</v>
      </c>
      <c r="T463" s="26">
        <v>-0.13</v>
      </c>
      <c r="U463" s="26">
        <v>-0.03</v>
      </c>
      <c r="V463" s="26">
        <v>1910.21</v>
      </c>
    </row>
    <row r="464" spans="1:22" ht="16.8" x14ac:dyDescent="0.3">
      <c r="A464" s="20">
        <v>46.4</v>
      </c>
      <c r="B464" s="20">
        <v>74</v>
      </c>
      <c r="C464" s="20">
        <v>74.5</v>
      </c>
      <c r="D464" s="20">
        <v>-0.5</v>
      </c>
      <c r="E464" s="20">
        <v>0</v>
      </c>
      <c r="F464" s="26">
        <v>1964.73</v>
      </c>
      <c r="Q464" s="20">
        <v>46.3</v>
      </c>
      <c r="R464" s="20">
        <v>74.14</v>
      </c>
      <c r="S464" s="26">
        <v>74</v>
      </c>
      <c r="T464" s="26">
        <v>-0.14000000000000001</v>
      </c>
      <c r="U464" s="26">
        <v>-0.01</v>
      </c>
      <c r="V464" s="20">
        <v>1927.93</v>
      </c>
    </row>
    <row r="465" spans="1:22" ht="16.8" x14ac:dyDescent="0.3">
      <c r="A465" s="20">
        <v>46.5</v>
      </c>
      <c r="B465" s="20">
        <v>74</v>
      </c>
      <c r="C465" s="26">
        <v>74.47</v>
      </c>
      <c r="D465" s="20">
        <v>-0.47</v>
      </c>
      <c r="E465" s="20">
        <v>0.03</v>
      </c>
      <c r="F465" s="26">
        <v>2020.72</v>
      </c>
      <c r="Q465" s="20">
        <v>46.4</v>
      </c>
      <c r="R465" s="20">
        <v>74.150000000000006</v>
      </c>
      <c r="S465" s="26">
        <v>74</v>
      </c>
      <c r="T465" s="26">
        <v>-0.15</v>
      </c>
      <c r="U465" s="26">
        <v>-0.01</v>
      </c>
      <c r="V465" s="20">
        <v>1926.14</v>
      </c>
    </row>
    <row r="466" spans="1:22" ht="16.8" x14ac:dyDescent="0.3">
      <c r="A466" s="20">
        <v>46.6</v>
      </c>
      <c r="B466" s="20">
        <v>74</v>
      </c>
      <c r="C466" s="20">
        <v>74.55</v>
      </c>
      <c r="D466" s="20">
        <v>-0.55000000000000004</v>
      </c>
      <c r="E466" s="20">
        <v>-0.08</v>
      </c>
      <c r="F466" s="20">
        <v>1802.94</v>
      </c>
      <c r="Q466" s="20">
        <v>46.5</v>
      </c>
      <c r="R466" s="20">
        <v>74.12</v>
      </c>
      <c r="S466" s="26">
        <v>74</v>
      </c>
      <c r="T466" s="26">
        <v>-0.12</v>
      </c>
      <c r="U466" s="26">
        <v>0.03</v>
      </c>
      <c r="V466" s="26">
        <v>1963.98</v>
      </c>
    </row>
    <row r="467" spans="1:22" ht="16.8" x14ac:dyDescent="0.3">
      <c r="A467" s="20">
        <v>46.7</v>
      </c>
      <c r="B467" s="20">
        <v>74</v>
      </c>
      <c r="C467" s="26">
        <v>74.55</v>
      </c>
      <c r="D467" s="20">
        <v>-0.55000000000000004</v>
      </c>
      <c r="E467" s="20">
        <v>0</v>
      </c>
      <c r="F467" s="26">
        <v>1865.65</v>
      </c>
      <c r="Q467" s="20">
        <v>46.6</v>
      </c>
      <c r="R467" s="20">
        <v>74.11</v>
      </c>
      <c r="S467" s="26">
        <v>74</v>
      </c>
      <c r="T467" s="26">
        <v>-0.11</v>
      </c>
      <c r="U467" s="26">
        <v>0.01</v>
      </c>
      <c r="V467" s="20">
        <v>1945.63</v>
      </c>
    </row>
    <row r="468" spans="1:22" ht="16.8" x14ac:dyDescent="0.3">
      <c r="A468" s="20">
        <v>46.8</v>
      </c>
      <c r="B468" s="20">
        <v>74</v>
      </c>
      <c r="C468" s="26">
        <v>74.510000000000005</v>
      </c>
      <c r="D468" s="20">
        <v>-0.51</v>
      </c>
      <c r="E468" s="20">
        <v>0.04</v>
      </c>
      <c r="F468" s="26">
        <v>1954.46</v>
      </c>
      <c r="Q468" s="20">
        <v>46.7</v>
      </c>
      <c r="R468" s="20">
        <v>74.180000000000007</v>
      </c>
      <c r="S468" s="26">
        <v>74</v>
      </c>
      <c r="T468" s="26">
        <v>-0.18</v>
      </c>
      <c r="U468" s="26">
        <v>-7.0000000000000007E-2</v>
      </c>
      <c r="V468" s="26">
        <v>1867.49</v>
      </c>
    </row>
    <row r="469" spans="1:22" ht="16.8" x14ac:dyDescent="0.3">
      <c r="A469" s="20">
        <v>46.9</v>
      </c>
      <c r="B469" s="20">
        <v>74</v>
      </c>
      <c r="C469" s="20">
        <v>74.510000000000005</v>
      </c>
      <c r="D469" s="20">
        <v>-0.51</v>
      </c>
      <c r="E469" s="20">
        <v>0</v>
      </c>
      <c r="F469" s="26">
        <v>1954.46</v>
      </c>
      <c r="Q469" s="20">
        <v>46.8</v>
      </c>
      <c r="R469" s="20">
        <v>74.14</v>
      </c>
      <c r="S469" s="20">
        <v>74</v>
      </c>
      <c r="T469" s="26">
        <v>-0.14000000000000001</v>
      </c>
      <c r="U469" s="26">
        <v>0.04</v>
      </c>
      <c r="V469" s="20">
        <v>1965.14</v>
      </c>
    </row>
    <row r="470" spans="1:22" ht="16.8" x14ac:dyDescent="0.3">
      <c r="A470" s="20">
        <v>47</v>
      </c>
      <c r="B470" s="20">
        <v>74</v>
      </c>
      <c r="C470" s="26">
        <v>74.569999999999993</v>
      </c>
      <c r="D470" s="20">
        <v>-0.56999999999999995</v>
      </c>
      <c r="E470" s="20">
        <v>-7.0000000000000007E-2</v>
      </c>
      <c r="F470" s="26">
        <v>1751.59</v>
      </c>
      <c r="Q470" s="20">
        <v>46.9</v>
      </c>
      <c r="R470" s="20">
        <v>74.16</v>
      </c>
      <c r="S470" s="26">
        <v>74</v>
      </c>
      <c r="T470" s="26">
        <v>-0.16</v>
      </c>
      <c r="U470" s="26">
        <v>-0.02</v>
      </c>
      <c r="V470" s="26">
        <v>1916.45</v>
      </c>
    </row>
    <row r="471" spans="1:22" ht="16.8" x14ac:dyDescent="0.3">
      <c r="A471" s="20">
        <v>47.1</v>
      </c>
      <c r="B471" s="20">
        <v>74</v>
      </c>
      <c r="C471" s="26">
        <v>74.55</v>
      </c>
      <c r="D471" s="20">
        <v>-0.55000000000000004</v>
      </c>
      <c r="E471" s="20">
        <v>0.02</v>
      </c>
      <c r="F471" s="26">
        <v>1869.46</v>
      </c>
      <c r="Q471" s="20">
        <v>47</v>
      </c>
      <c r="R471" s="20">
        <v>74.180000000000007</v>
      </c>
      <c r="S471" s="26">
        <v>74</v>
      </c>
      <c r="T471" s="26">
        <v>-0.18</v>
      </c>
      <c r="U471" s="26">
        <v>-0.02</v>
      </c>
      <c r="V471" s="20">
        <v>1913.18</v>
      </c>
    </row>
    <row r="472" spans="1:22" ht="16.8" x14ac:dyDescent="0.3">
      <c r="A472" s="20">
        <v>47.2</v>
      </c>
      <c r="B472" s="20">
        <v>74</v>
      </c>
      <c r="C472" s="20">
        <v>74.459999999999994</v>
      </c>
      <c r="D472" s="20">
        <v>-0.46</v>
      </c>
      <c r="E472" s="20">
        <v>0.09</v>
      </c>
      <c r="F472" s="20">
        <v>2026.87</v>
      </c>
      <c r="Q472" s="20">
        <v>47.1</v>
      </c>
      <c r="R472" s="20">
        <v>74.17</v>
      </c>
      <c r="S472" s="26">
        <v>74</v>
      </c>
      <c r="T472" s="26">
        <v>-0.17</v>
      </c>
      <c r="U472" s="26">
        <v>0.01</v>
      </c>
      <c r="V472" s="26">
        <v>1933.66</v>
      </c>
    </row>
    <row r="473" spans="1:22" ht="16.8" x14ac:dyDescent="0.3">
      <c r="A473" s="20">
        <v>47.3</v>
      </c>
      <c r="B473" s="20">
        <v>74</v>
      </c>
      <c r="C473" s="26">
        <v>74.489999999999995</v>
      </c>
      <c r="D473" s="20">
        <v>-0.49</v>
      </c>
      <c r="E473" s="20">
        <v>-0.03</v>
      </c>
      <c r="F473" s="26">
        <v>1956.03</v>
      </c>
      <c r="Q473" s="20">
        <v>47.2</v>
      </c>
      <c r="R473" s="20">
        <v>74.22</v>
      </c>
      <c r="S473" s="26">
        <v>74</v>
      </c>
      <c r="T473" s="26">
        <v>-0.22</v>
      </c>
      <c r="U473" s="26">
        <v>-0.06</v>
      </c>
      <c r="V473" s="20">
        <v>1871.25</v>
      </c>
    </row>
    <row r="474" spans="1:22" ht="16.8" x14ac:dyDescent="0.3">
      <c r="A474" s="20">
        <v>47.4</v>
      </c>
      <c r="B474" s="20">
        <v>74</v>
      </c>
      <c r="C474" s="20">
        <v>74.400000000000006</v>
      </c>
      <c r="D474" s="20">
        <v>-0.4</v>
      </c>
      <c r="E474" s="20">
        <v>0.08</v>
      </c>
      <c r="F474" s="20">
        <v>2106.16</v>
      </c>
      <c r="Q474" s="20">
        <v>47.3</v>
      </c>
      <c r="R474" s="20">
        <v>74.17</v>
      </c>
      <c r="S474" s="26">
        <v>74</v>
      </c>
      <c r="T474" s="26">
        <v>-0.17</v>
      </c>
      <c r="U474" s="26">
        <v>0.06</v>
      </c>
      <c r="V474" s="26">
        <v>1971.65</v>
      </c>
    </row>
    <row r="475" spans="1:22" ht="16.8" x14ac:dyDescent="0.3">
      <c r="A475" s="20">
        <v>47.5</v>
      </c>
      <c r="B475" s="20">
        <v>74</v>
      </c>
      <c r="C475" s="26">
        <v>74.38</v>
      </c>
      <c r="D475" s="20">
        <v>-0.38</v>
      </c>
      <c r="E475" s="20">
        <v>0.02</v>
      </c>
      <c r="F475" s="26">
        <v>2136.9499999999998</v>
      </c>
      <c r="Q475" s="20">
        <v>47.4</v>
      </c>
      <c r="R475" s="20">
        <v>74.180000000000007</v>
      </c>
      <c r="S475" s="26">
        <v>74</v>
      </c>
      <c r="T475" s="26">
        <v>-0.18</v>
      </c>
      <c r="U475" s="26">
        <v>-0.02</v>
      </c>
      <c r="V475" s="20">
        <v>1909.92</v>
      </c>
    </row>
    <row r="476" spans="1:22" ht="16.8" x14ac:dyDescent="0.3">
      <c r="A476" s="20">
        <v>47.6</v>
      </c>
      <c r="B476" s="20">
        <v>74</v>
      </c>
      <c r="C476" s="26">
        <v>74.400000000000006</v>
      </c>
      <c r="D476" s="20">
        <v>-0.4</v>
      </c>
      <c r="E476" s="20">
        <v>-0.02</v>
      </c>
      <c r="F476" s="26">
        <v>2084.33</v>
      </c>
      <c r="Q476" s="20">
        <v>47.5</v>
      </c>
      <c r="R476" s="20">
        <v>74.23</v>
      </c>
      <c r="S476" s="26">
        <v>74</v>
      </c>
      <c r="T476" s="26">
        <v>-0.23</v>
      </c>
      <c r="U476" s="26">
        <v>-0.05</v>
      </c>
      <c r="V476" s="20">
        <v>1874.88</v>
      </c>
    </row>
    <row r="477" spans="1:22" ht="16.8" x14ac:dyDescent="0.3">
      <c r="A477" s="20">
        <v>47.7</v>
      </c>
      <c r="B477" s="20">
        <v>74</v>
      </c>
      <c r="C477" s="20">
        <v>74.34</v>
      </c>
      <c r="D477" s="20">
        <v>-0.34</v>
      </c>
      <c r="E477" s="20">
        <v>7.0000000000000007E-2</v>
      </c>
      <c r="F477" s="20">
        <v>2189.63</v>
      </c>
      <c r="Q477" s="20">
        <v>47.6</v>
      </c>
      <c r="R477" s="20">
        <v>74.17</v>
      </c>
      <c r="S477" s="26">
        <v>74</v>
      </c>
      <c r="T477" s="26">
        <v>-0.17</v>
      </c>
      <c r="U477" s="26">
        <v>0.06</v>
      </c>
      <c r="V477" s="26">
        <v>1976.69</v>
      </c>
    </row>
    <row r="478" spans="1:22" ht="16.8" x14ac:dyDescent="0.3">
      <c r="A478" s="20">
        <v>47.8</v>
      </c>
      <c r="B478" s="20">
        <v>74</v>
      </c>
      <c r="C478" s="26">
        <v>74.319999999999993</v>
      </c>
      <c r="D478" s="20">
        <v>-0.32</v>
      </c>
      <c r="E478" s="20">
        <v>0.02</v>
      </c>
      <c r="F478" s="26">
        <v>2212.37</v>
      </c>
      <c r="Q478" s="20">
        <v>47.7</v>
      </c>
      <c r="R478" s="20">
        <v>74.17</v>
      </c>
      <c r="S478" s="20">
        <v>74</v>
      </c>
      <c r="T478" s="26">
        <v>-0.17</v>
      </c>
      <c r="U478" s="26">
        <v>0</v>
      </c>
      <c r="V478" s="20">
        <v>1924.32</v>
      </c>
    </row>
    <row r="479" spans="1:22" ht="16.8" x14ac:dyDescent="0.3">
      <c r="A479" s="20">
        <v>47.9</v>
      </c>
      <c r="B479" s="20">
        <v>74</v>
      </c>
      <c r="C479" s="26">
        <v>74.34</v>
      </c>
      <c r="D479" s="20">
        <v>-0.34</v>
      </c>
      <c r="E479" s="20">
        <v>-0.02</v>
      </c>
      <c r="F479" s="26">
        <v>2163.34</v>
      </c>
      <c r="Q479" s="20">
        <v>47.8</v>
      </c>
      <c r="R479" s="20">
        <v>74.180000000000007</v>
      </c>
      <c r="S479" s="26">
        <v>74</v>
      </c>
      <c r="T479" s="26">
        <v>-0.18</v>
      </c>
      <c r="U479" s="26">
        <v>-0.01</v>
      </c>
      <c r="V479" s="26">
        <v>1915.97</v>
      </c>
    </row>
    <row r="480" spans="1:22" ht="16.8" x14ac:dyDescent="0.3">
      <c r="A480" s="20">
        <v>48</v>
      </c>
      <c r="B480" s="20">
        <v>74</v>
      </c>
      <c r="C480" s="20">
        <v>74.349999999999994</v>
      </c>
      <c r="D480" s="20">
        <v>-0.35</v>
      </c>
      <c r="E480" s="20">
        <v>-0.01</v>
      </c>
      <c r="F480" s="26">
        <v>2168.48</v>
      </c>
      <c r="Q480" s="20">
        <v>47.9</v>
      </c>
      <c r="R480" s="20">
        <v>74.150000000000006</v>
      </c>
      <c r="S480" s="26">
        <v>74</v>
      </c>
      <c r="T480" s="26">
        <v>-0.15</v>
      </c>
      <c r="U480" s="26">
        <v>0.02</v>
      </c>
      <c r="V480" s="20">
        <v>1945.82</v>
      </c>
    </row>
    <row r="481" spans="1:22" ht="16.8" x14ac:dyDescent="0.3">
      <c r="A481" s="20">
        <v>48.1</v>
      </c>
      <c r="B481" s="20">
        <v>74</v>
      </c>
      <c r="C481" s="26">
        <v>74.319999999999993</v>
      </c>
      <c r="D481" s="20">
        <v>-0.32</v>
      </c>
      <c r="E481" s="20">
        <v>0.03</v>
      </c>
      <c r="F481" s="26">
        <v>2212.37</v>
      </c>
      <c r="Q481" s="20">
        <v>48</v>
      </c>
      <c r="R481" s="20">
        <v>74.150000000000006</v>
      </c>
      <c r="S481" s="26">
        <v>74</v>
      </c>
      <c r="T481" s="26">
        <v>-0.15</v>
      </c>
      <c r="U481" s="26">
        <v>0</v>
      </c>
      <c r="V481" s="26">
        <v>1925.96</v>
      </c>
    </row>
    <row r="482" spans="1:22" ht="16.8" x14ac:dyDescent="0.3">
      <c r="A482" s="20">
        <v>48.2</v>
      </c>
      <c r="B482" s="20">
        <v>74</v>
      </c>
      <c r="C482" s="20">
        <v>74.27</v>
      </c>
      <c r="D482" s="20">
        <v>-0.27</v>
      </c>
      <c r="E482" s="20">
        <v>0.05</v>
      </c>
      <c r="F482" s="26">
        <v>2264.62</v>
      </c>
      <c r="Q482" s="20">
        <v>48.1</v>
      </c>
      <c r="R482" s="20">
        <v>74.13</v>
      </c>
      <c r="S482" s="26">
        <v>74</v>
      </c>
      <c r="T482" s="26">
        <v>-0.13</v>
      </c>
      <c r="U482" s="26">
        <v>0.02</v>
      </c>
      <c r="V482" s="20">
        <v>1949.36</v>
      </c>
    </row>
    <row r="483" spans="1:22" ht="16.8" x14ac:dyDescent="0.3">
      <c r="A483" s="20">
        <v>48.3</v>
      </c>
      <c r="B483" s="20">
        <v>74</v>
      </c>
      <c r="C483" s="26">
        <v>74.319999999999993</v>
      </c>
      <c r="D483" s="20">
        <v>-0.32</v>
      </c>
      <c r="E483" s="20">
        <v>-0.05</v>
      </c>
      <c r="F483" s="26">
        <v>2169.06</v>
      </c>
      <c r="Q483" s="20">
        <v>48.2</v>
      </c>
      <c r="R483" s="20">
        <v>74.12</v>
      </c>
      <c r="S483" s="26">
        <v>74</v>
      </c>
      <c r="T483" s="26">
        <v>-0.12</v>
      </c>
      <c r="U483" s="26">
        <v>0.01</v>
      </c>
      <c r="V483" s="26">
        <v>1937.51</v>
      </c>
    </row>
    <row r="484" spans="1:22" ht="16.8" x14ac:dyDescent="0.3">
      <c r="A484" s="20">
        <v>48.4</v>
      </c>
      <c r="B484" s="20">
        <v>74</v>
      </c>
      <c r="C484" s="20">
        <v>74.3</v>
      </c>
      <c r="D484" s="20">
        <v>-0.3</v>
      </c>
      <c r="E484" s="20">
        <v>0.01</v>
      </c>
      <c r="F484" s="26">
        <v>2225.7199999999998</v>
      </c>
      <c r="Q484" s="20">
        <v>48.3</v>
      </c>
      <c r="R484" s="20">
        <v>74.09</v>
      </c>
      <c r="S484" s="26">
        <v>74</v>
      </c>
      <c r="T484" s="26">
        <v>-0.09</v>
      </c>
      <c r="U484" s="26">
        <v>0.02</v>
      </c>
      <c r="V484" s="20">
        <v>1954.49</v>
      </c>
    </row>
    <row r="485" spans="1:22" ht="16.8" x14ac:dyDescent="0.3">
      <c r="A485" s="20">
        <v>48.5</v>
      </c>
      <c r="B485" s="20">
        <v>74</v>
      </c>
      <c r="C485" s="26">
        <v>74.319999999999993</v>
      </c>
      <c r="D485" s="20">
        <v>-0.32</v>
      </c>
      <c r="E485" s="20">
        <v>-0.02</v>
      </c>
      <c r="F485" s="26">
        <v>2185.3000000000002</v>
      </c>
      <c r="Q485" s="20">
        <v>48.4</v>
      </c>
      <c r="R485" s="20">
        <v>74.180000000000007</v>
      </c>
      <c r="S485" s="20">
        <v>74</v>
      </c>
      <c r="T485" s="26">
        <v>-0.18</v>
      </c>
      <c r="U485" s="26">
        <v>-0.09</v>
      </c>
      <c r="V485" s="20">
        <v>1847.55</v>
      </c>
    </row>
    <row r="486" spans="1:22" ht="16.8" x14ac:dyDescent="0.3">
      <c r="A486" s="20">
        <v>48.6</v>
      </c>
      <c r="B486" s="20">
        <v>74</v>
      </c>
      <c r="C486" s="26">
        <v>74.319999999999993</v>
      </c>
      <c r="D486" s="20">
        <v>-0.32</v>
      </c>
      <c r="E486" s="20">
        <v>0.01</v>
      </c>
      <c r="F486" s="26">
        <v>2212.37</v>
      </c>
      <c r="Q486" s="20">
        <v>48.5</v>
      </c>
      <c r="R486" s="20">
        <v>74.12</v>
      </c>
      <c r="S486" s="26">
        <v>74</v>
      </c>
      <c r="T486" s="20">
        <v>-0.12</v>
      </c>
      <c r="U486" s="26">
        <v>0.06</v>
      </c>
      <c r="V486" s="26">
        <v>1981.98</v>
      </c>
    </row>
    <row r="487" spans="1:22" ht="16.8" x14ac:dyDescent="0.3">
      <c r="A487" s="20">
        <v>48.7</v>
      </c>
      <c r="B487" s="20">
        <v>74</v>
      </c>
      <c r="C487" s="20">
        <v>74.34</v>
      </c>
      <c r="D487" s="20">
        <v>-0.34</v>
      </c>
      <c r="E487" s="20">
        <v>-0.03</v>
      </c>
      <c r="F487" s="26">
        <v>2155.06</v>
      </c>
      <c r="Q487" s="20">
        <v>48.6</v>
      </c>
      <c r="R487" s="20">
        <v>74.16</v>
      </c>
      <c r="S487" s="20">
        <v>74</v>
      </c>
      <c r="T487" s="26">
        <v>-0.16</v>
      </c>
      <c r="U487" s="26">
        <v>-0.04</v>
      </c>
      <c r="V487" s="20">
        <v>1890.06</v>
      </c>
    </row>
    <row r="488" spans="1:22" ht="16.8" x14ac:dyDescent="0.3">
      <c r="A488" s="20">
        <v>48.8</v>
      </c>
      <c r="B488" s="20">
        <v>74</v>
      </c>
      <c r="C488" s="26">
        <v>74.31</v>
      </c>
      <c r="D488" s="20">
        <v>-0.31</v>
      </c>
      <c r="E488" s="20">
        <v>0.03</v>
      </c>
      <c r="F488" s="20">
        <v>2216.81</v>
      </c>
      <c r="Q488" s="20">
        <v>48.7</v>
      </c>
      <c r="R488" s="20">
        <v>74.150000000000006</v>
      </c>
      <c r="S488" s="26">
        <v>74</v>
      </c>
      <c r="T488" s="26">
        <v>-0.15</v>
      </c>
      <c r="U488" s="26">
        <v>0.01</v>
      </c>
      <c r="V488" s="26">
        <v>1930.07</v>
      </c>
    </row>
    <row r="489" spans="1:22" ht="16.8" x14ac:dyDescent="0.3">
      <c r="A489" s="20">
        <v>48.9</v>
      </c>
      <c r="B489" s="20">
        <v>74</v>
      </c>
      <c r="C489" s="20">
        <v>74.349999999999994</v>
      </c>
      <c r="D489" s="20">
        <v>-0.35</v>
      </c>
      <c r="E489" s="20">
        <v>-0.04</v>
      </c>
      <c r="F489" s="26">
        <v>2134.91</v>
      </c>
      <c r="Q489" s="20">
        <v>48.8</v>
      </c>
      <c r="R489" s="20">
        <v>74.09</v>
      </c>
      <c r="S489" s="20">
        <v>74</v>
      </c>
      <c r="T489" s="26">
        <v>-0.09</v>
      </c>
      <c r="U489" s="26">
        <v>0.06</v>
      </c>
      <c r="V489" s="20">
        <v>1978.71</v>
      </c>
    </row>
    <row r="490" spans="1:22" ht="16.8" x14ac:dyDescent="0.3">
      <c r="A490" s="20">
        <v>49</v>
      </c>
      <c r="B490" s="20">
        <v>74</v>
      </c>
      <c r="C490" s="26">
        <v>74.33</v>
      </c>
      <c r="D490" s="20">
        <v>-0.33</v>
      </c>
      <c r="E490" s="20">
        <v>0.02</v>
      </c>
      <c r="F490" s="26">
        <v>2194.25</v>
      </c>
      <c r="Q490" s="20">
        <v>48.9</v>
      </c>
      <c r="R490" s="20">
        <v>74.09</v>
      </c>
      <c r="S490" s="26">
        <v>74</v>
      </c>
      <c r="T490" s="26">
        <v>-0.09</v>
      </c>
      <c r="U490" s="26">
        <v>0</v>
      </c>
      <c r="V490" s="26">
        <v>1933.01</v>
      </c>
    </row>
    <row r="491" spans="1:22" ht="16.8" x14ac:dyDescent="0.3">
      <c r="A491" s="20">
        <v>49.1</v>
      </c>
      <c r="B491" s="20">
        <v>74</v>
      </c>
      <c r="C491" s="26">
        <v>74.400000000000006</v>
      </c>
      <c r="D491" s="20">
        <v>-0.4</v>
      </c>
      <c r="E491" s="20">
        <v>-7.0000000000000007E-2</v>
      </c>
      <c r="F491" s="26">
        <v>2050.0100000000002</v>
      </c>
      <c r="Q491" s="20">
        <v>49</v>
      </c>
      <c r="R491" s="20">
        <v>74.09</v>
      </c>
      <c r="S491" s="20">
        <v>74</v>
      </c>
      <c r="T491" s="26">
        <v>-0.09</v>
      </c>
      <c r="U491" s="26">
        <v>0.01</v>
      </c>
      <c r="V491" s="20">
        <v>1940.7</v>
      </c>
    </row>
    <row r="492" spans="1:22" ht="16.8" x14ac:dyDescent="0.3">
      <c r="A492" s="20">
        <v>49.2</v>
      </c>
      <c r="B492" s="20">
        <v>74</v>
      </c>
      <c r="C492" s="20">
        <v>74.430000000000007</v>
      </c>
      <c r="D492" s="20">
        <v>-0.43</v>
      </c>
      <c r="E492" s="20">
        <v>-0.03</v>
      </c>
      <c r="F492" s="26">
        <v>2048.0300000000002</v>
      </c>
      <c r="Q492" s="20">
        <v>49.1</v>
      </c>
      <c r="R492" s="20">
        <v>74.05</v>
      </c>
      <c r="S492" s="26">
        <v>74</v>
      </c>
      <c r="T492" s="26">
        <v>-0.05</v>
      </c>
      <c r="U492" s="26">
        <v>0.04</v>
      </c>
      <c r="V492" s="26">
        <v>1973.64</v>
      </c>
    </row>
    <row r="493" spans="1:22" ht="16.8" x14ac:dyDescent="0.3">
      <c r="A493" s="20">
        <v>49.3</v>
      </c>
      <c r="B493" s="20">
        <v>74</v>
      </c>
      <c r="C493" s="26">
        <v>74.44</v>
      </c>
      <c r="D493" s="20">
        <v>-0.44</v>
      </c>
      <c r="E493" s="20">
        <v>-0.01</v>
      </c>
      <c r="F493" s="20">
        <v>2045.64</v>
      </c>
      <c r="Q493" s="20">
        <v>49.2</v>
      </c>
      <c r="R493" s="20">
        <v>74.09</v>
      </c>
      <c r="S493" s="26">
        <v>74</v>
      </c>
      <c r="T493" s="26">
        <v>-0.09</v>
      </c>
      <c r="U493" s="26">
        <v>-0.04</v>
      </c>
      <c r="V493" s="20">
        <v>1901.4</v>
      </c>
    </row>
    <row r="494" spans="1:22" ht="16.8" x14ac:dyDescent="0.3">
      <c r="A494" s="20">
        <v>49.4</v>
      </c>
      <c r="B494" s="20">
        <v>74</v>
      </c>
      <c r="C494" s="20">
        <v>74.400000000000006</v>
      </c>
      <c r="D494" s="20">
        <v>-0.4</v>
      </c>
      <c r="E494" s="20">
        <v>0.04</v>
      </c>
      <c r="F494" s="26">
        <v>2106.16</v>
      </c>
      <c r="Q494" s="20">
        <v>49.3</v>
      </c>
      <c r="R494" s="20">
        <v>74.06</v>
      </c>
      <c r="S494" s="26">
        <v>74</v>
      </c>
      <c r="T494" s="26">
        <v>-0.06</v>
      </c>
      <c r="U494" s="26">
        <v>0.02</v>
      </c>
      <c r="V494" s="26">
        <v>1957.45</v>
      </c>
    </row>
    <row r="495" spans="1:22" ht="16.8" x14ac:dyDescent="0.3">
      <c r="A495" s="20">
        <v>49.5</v>
      </c>
      <c r="B495" s="20">
        <v>74</v>
      </c>
      <c r="C495" s="26">
        <v>74.44</v>
      </c>
      <c r="D495" s="20">
        <v>-0.44</v>
      </c>
      <c r="E495" s="20">
        <v>-0.04</v>
      </c>
      <c r="F495" s="26">
        <v>2023.71</v>
      </c>
      <c r="Q495" s="20">
        <v>49.4</v>
      </c>
      <c r="R495" s="20">
        <v>74.06</v>
      </c>
      <c r="S495" s="26">
        <v>74</v>
      </c>
      <c r="T495" s="26">
        <v>-0.06</v>
      </c>
      <c r="U495" s="26">
        <v>0</v>
      </c>
      <c r="V495" s="20">
        <v>1937.81</v>
      </c>
    </row>
    <row r="496" spans="1:22" ht="16.8" x14ac:dyDescent="0.3">
      <c r="A496" s="20">
        <v>49.6</v>
      </c>
      <c r="B496" s="20">
        <v>74</v>
      </c>
      <c r="C496" s="26">
        <v>74.48</v>
      </c>
      <c r="D496" s="20">
        <v>-0.48</v>
      </c>
      <c r="E496" s="20">
        <v>-0.04</v>
      </c>
      <c r="F496" s="26">
        <v>1958.35</v>
      </c>
      <c r="Q496" s="20">
        <v>49.5</v>
      </c>
      <c r="R496" s="20">
        <v>74.03</v>
      </c>
      <c r="S496" s="26">
        <v>74</v>
      </c>
      <c r="T496" s="26">
        <v>-0.03</v>
      </c>
      <c r="U496" s="26">
        <v>0.03</v>
      </c>
      <c r="V496" s="26">
        <v>1969.38</v>
      </c>
    </row>
    <row r="497" spans="1:22" ht="16.8" x14ac:dyDescent="0.3">
      <c r="A497" s="20">
        <v>49.7</v>
      </c>
      <c r="B497" s="20">
        <v>74</v>
      </c>
      <c r="C497" s="20">
        <v>74.48</v>
      </c>
      <c r="D497" s="20">
        <v>-0.48</v>
      </c>
      <c r="E497" s="20">
        <v>0</v>
      </c>
      <c r="F497" s="26">
        <v>2001.72</v>
      </c>
      <c r="Q497" s="20">
        <v>49.6</v>
      </c>
      <c r="R497" s="20">
        <v>73.959999999999994</v>
      </c>
      <c r="S497" s="26">
        <v>74</v>
      </c>
      <c r="T497" s="26">
        <v>0.04</v>
      </c>
      <c r="U497" s="26">
        <v>7.0000000000000007E-2</v>
      </c>
      <c r="V497" s="20">
        <v>2014.68</v>
      </c>
    </row>
    <row r="498" spans="1:22" ht="16.8" x14ac:dyDescent="0.3">
      <c r="A498" s="20">
        <v>49.8</v>
      </c>
      <c r="B498" s="20">
        <v>74</v>
      </c>
      <c r="C498" s="26">
        <v>74.510000000000005</v>
      </c>
      <c r="D498" s="20">
        <v>-0.51</v>
      </c>
      <c r="E498" s="20">
        <v>-0.04</v>
      </c>
      <c r="F498" s="26">
        <v>1906.5</v>
      </c>
      <c r="Q498" s="20">
        <v>49.7</v>
      </c>
      <c r="R498" s="20">
        <v>74.069999999999993</v>
      </c>
      <c r="S498" s="26">
        <v>74</v>
      </c>
      <c r="T498" s="26">
        <v>-7.0000000000000007E-2</v>
      </c>
      <c r="U498" s="26">
        <v>-0.11</v>
      </c>
      <c r="V498" s="26">
        <v>1845.31</v>
      </c>
    </row>
    <row r="499" spans="1:22" ht="16.8" x14ac:dyDescent="0.3">
      <c r="A499" s="20">
        <v>49.9</v>
      </c>
      <c r="B499" s="20">
        <v>74</v>
      </c>
      <c r="C499" s="26">
        <v>74.47</v>
      </c>
      <c r="D499" s="20">
        <v>-0.47</v>
      </c>
      <c r="E499" s="20">
        <v>0.05</v>
      </c>
      <c r="F499" s="26">
        <v>2020.72</v>
      </c>
      <c r="Q499" s="20">
        <v>49.8</v>
      </c>
      <c r="R499" s="20">
        <v>74.08</v>
      </c>
      <c r="S499" s="26">
        <v>74</v>
      </c>
      <c r="T499" s="26">
        <v>-0.08</v>
      </c>
      <c r="U499" s="26">
        <v>-0.01</v>
      </c>
      <c r="V499" s="20">
        <v>1928.15</v>
      </c>
    </row>
    <row r="500" spans="1:22" ht="16.8" x14ac:dyDescent="0.3">
      <c r="A500" s="20">
        <v>50</v>
      </c>
      <c r="B500" s="20">
        <v>74</v>
      </c>
      <c r="C500" s="20">
        <v>74.5</v>
      </c>
      <c r="D500" s="20">
        <v>-0.5</v>
      </c>
      <c r="E500" s="20">
        <v>-0.04</v>
      </c>
      <c r="F500" s="26">
        <v>1928.02</v>
      </c>
      <c r="Q500" s="20">
        <v>49.9</v>
      </c>
      <c r="R500" s="20">
        <v>74.05</v>
      </c>
      <c r="S500" s="26">
        <v>74</v>
      </c>
      <c r="T500" s="26">
        <v>-0.05</v>
      </c>
      <c r="U500" s="26">
        <v>0.02</v>
      </c>
      <c r="V500" s="26">
        <v>1958.23</v>
      </c>
    </row>
    <row r="501" spans="1:22" ht="16.8" x14ac:dyDescent="0.3">
      <c r="A501" s="20">
        <v>50.1</v>
      </c>
      <c r="B501" s="20">
        <v>74</v>
      </c>
      <c r="C501" s="26">
        <v>74.510000000000005</v>
      </c>
      <c r="D501" s="20">
        <v>-0.51</v>
      </c>
      <c r="E501" s="20">
        <v>0</v>
      </c>
      <c r="F501" s="26">
        <v>1950.71</v>
      </c>
      <c r="Q501" s="20">
        <v>50</v>
      </c>
      <c r="R501" s="20">
        <v>74.08</v>
      </c>
      <c r="S501" s="26">
        <v>74</v>
      </c>
      <c r="T501" s="26">
        <v>-0.08</v>
      </c>
      <c r="U501" s="26">
        <v>-0.02</v>
      </c>
      <c r="V501" s="20">
        <v>1914.83</v>
      </c>
    </row>
    <row r="502" spans="1:22" ht="16.8" x14ac:dyDescent="0.3">
      <c r="A502" s="20">
        <v>50.2</v>
      </c>
      <c r="B502" s="20">
        <v>74</v>
      </c>
      <c r="C502" s="20">
        <v>74.48</v>
      </c>
      <c r="D502" s="20">
        <v>-0.48</v>
      </c>
      <c r="E502" s="20">
        <v>0.03</v>
      </c>
      <c r="F502" s="20">
        <v>2001.72</v>
      </c>
      <c r="Q502" s="20">
        <v>50.1</v>
      </c>
      <c r="R502" s="20">
        <v>74.06</v>
      </c>
      <c r="S502" s="26">
        <v>74</v>
      </c>
      <c r="T502" s="26">
        <v>-0.06</v>
      </c>
      <c r="U502" s="26">
        <v>0.02</v>
      </c>
      <c r="V502" s="26">
        <v>1949.97</v>
      </c>
    </row>
    <row r="503" spans="1:22" ht="16.8" x14ac:dyDescent="0.3">
      <c r="A503" s="20">
        <v>50.3</v>
      </c>
      <c r="B503" s="20">
        <v>74</v>
      </c>
      <c r="C503" s="26">
        <v>74.52</v>
      </c>
      <c r="D503" s="20">
        <v>-0.52</v>
      </c>
      <c r="E503" s="20">
        <v>-0.04</v>
      </c>
      <c r="F503" s="26">
        <v>1884.13</v>
      </c>
      <c r="Q503" s="20">
        <v>50.2</v>
      </c>
      <c r="R503" s="20">
        <v>74.06</v>
      </c>
      <c r="S503" s="26">
        <v>74</v>
      </c>
      <c r="T503" s="26">
        <v>-0.06</v>
      </c>
      <c r="U503" s="26">
        <v>0</v>
      </c>
      <c r="V503" s="20">
        <v>1936.83</v>
      </c>
    </row>
    <row r="504" spans="1:22" ht="16.8" x14ac:dyDescent="0.3">
      <c r="A504" s="20">
        <v>50.4</v>
      </c>
      <c r="B504" s="20">
        <v>74</v>
      </c>
      <c r="C504" s="20">
        <v>74.510000000000005</v>
      </c>
      <c r="D504" s="20">
        <v>-0.51</v>
      </c>
      <c r="E504" s="20">
        <v>0.02</v>
      </c>
      <c r="F504" s="20">
        <v>1954.46</v>
      </c>
      <c r="Q504" s="20">
        <v>50.3</v>
      </c>
      <c r="R504" s="20">
        <v>74.08</v>
      </c>
      <c r="S504" s="26">
        <v>74</v>
      </c>
      <c r="T504" s="26">
        <v>-0.08</v>
      </c>
      <c r="U504" s="26">
        <v>-0.02</v>
      </c>
      <c r="V504" s="26">
        <v>1920.81</v>
      </c>
    </row>
    <row r="505" spans="1:22" ht="16.8" x14ac:dyDescent="0.3">
      <c r="A505" s="20">
        <v>50.5</v>
      </c>
      <c r="B505" s="20">
        <v>74</v>
      </c>
      <c r="C505" s="26">
        <v>74.48</v>
      </c>
      <c r="D505" s="20">
        <v>-0.48</v>
      </c>
      <c r="E505" s="20">
        <v>0.03</v>
      </c>
      <c r="F505" s="26">
        <v>2001.72</v>
      </c>
      <c r="Q505" s="20">
        <v>50.4</v>
      </c>
      <c r="R505" s="20">
        <v>74.06</v>
      </c>
      <c r="S505" s="20">
        <v>74</v>
      </c>
      <c r="T505" s="26">
        <v>-0.06</v>
      </c>
      <c r="U505" s="26">
        <v>0.02</v>
      </c>
      <c r="V505" s="20">
        <v>1949.46</v>
      </c>
    </row>
    <row r="506" spans="1:22" ht="16.8" x14ac:dyDescent="0.3">
      <c r="A506" s="20">
        <v>50.6</v>
      </c>
      <c r="B506" s="20">
        <v>74</v>
      </c>
      <c r="C506" s="26">
        <v>74.45</v>
      </c>
      <c r="D506" s="20">
        <v>-0.45</v>
      </c>
      <c r="E506" s="20">
        <v>0.03</v>
      </c>
      <c r="F506" s="26">
        <v>2050.8000000000002</v>
      </c>
      <c r="Q506" s="20">
        <v>50.5</v>
      </c>
      <c r="R506" s="20">
        <v>74.069999999999993</v>
      </c>
      <c r="S506" s="26">
        <v>74</v>
      </c>
      <c r="T506" s="26">
        <v>-7.0000000000000007E-2</v>
      </c>
      <c r="U506" s="26">
        <v>-0.01</v>
      </c>
      <c r="V506" s="26">
        <v>1928.39</v>
      </c>
    </row>
    <row r="507" spans="1:22" ht="16.8" x14ac:dyDescent="0.3">
      <c r="A507" s="20">
        <v>50.7</v>
      </c>
      <c r="B507" s="20">
        <v>74</v>
      </c>
      <c r="C507" s="20">
        <v>74.42</v>
      </c>
      <c r="D507" s="20">
        <v>-0.42</v>
      </c>
      <c r="E507" s="20">
        <v>0.02</v>
      </c>
      <c r="F507" s="26">
        <v>2079.19</v>
      </c>
      <c r="Q507" s="20">
        <v>50.6</v>
      </c>
      <c r="R507" s="20">
        <v>74.14</v>
      </c>
      <c r="S507" s="20">
        <v>74</v>
      </c>
      <c r="T507" s="26">
        <v>-0.14000000000000001</v>
      </c>
      <c r="U507" s="26">
        <v>-7.0000000000000007E-2</v>
      </c>
      <c r="V507" s="20">
        <v>1863.34</v>
      </c>
    </row>
    <row r="508" spans="1:22" ht="16.8" x14ac:dyDescent="0.3">
      <c r="A508" s="20">
        <v>50.8</v>
      </c>
      <c r="B508" s="20">
        <v>74</v>
      </c>
      <c r="C508" s="26">
        <v>74.42</v>
      </c>
      <c r="D508" s="20">
        <v>-0.42</v>
      </c>
      <c r="E508" s="20">
        <v>0</v>
      </c>
      <c r="F508" s="26">
        <v>2084.71</v>
      </c>
      <c r="Q508" s="20">
        <v>50.7</v>
      </c>
      <c r="R508" s="20">
        <v>74.02</v>
      </c>
      <c r="S508" s="26">
        <v>74</v>
      </c>
      <c r="T508" s="26">
        <v>-0.02</v>
      </c>
      <c r="U508" s="26">
        <v>0.12</v>
      </c>
      <c r="V508" s="26">
        <v>2040.39</v>
      </c>
    </row>
    <row r="509" spans="1:22" ht="16.8" x14ac:dyDescent="0.3">
      <c r="A509" s="20">
        <v>50.9</v>
      </c>
      <c r="B509" s="20">
        <v>74</v>
      </c>
      <c r="C509" s="26">
        <v>74.459999999999994</v>
      </c>
      <c r="D509" s="20">
        <v>-0.46</v>
      </c>
      <c r="E509" s="20">
        <v>-0.04</v>
      </c>
      <c r="F509" s="26">
        <v>1990.16</v>
      </c>
      <c r="Q509" s="20">
        <v>50.8</v>
      </c>
      <c r="R509" s="20">
        <v>74.09</v>
      </c>
      <c r="S509" s="20">
        <v>74</v>
      </c>
      <c r="T509" s="26">
        <v>-0.09</v>
      </c>
      <c r="U509" s="26">
        <v>-0.06</v>
      </c>
      <c r="V509" s="20">
        <v>1879.46</v>
      </c>
    </row>
    <row r="510" spans="1:22" ht="16.8" x14ac:dyDescent="0.3">
      <c r="A510" s="20">
        <v>51</v>
      </c>
      <c r="B510" s="20">
        <v>74</v>
      </c>
      <c r="C510" s="20">
        <v>74.44</v>
      </c>
      <c r="D510" s="20">
        <v>-0.44</v>
      </c>
      <c r="E510" s="20">
        <v>0.02</v>
      </c>
      <c r="F510" s="26">
        <v>2056.59</v>
      </c>
      <c r="Q510" s="20">
        <v>50.9</v>
      </c>
      <c r="R510" s="20">
        <v>74.069999999999993</v>
      </c>
      <c r="S510" s="26">
        <v>74</v>
      </c>
      <c r="T510" s="26">
        <v>-7.0000000000000007E-2</v>
      </c>
      <c r="U510" s="26">
        <v>0.02</v>
      </c>
      <c r="V510" s="20">
        <v>1947.07</v>
      </c>
    </row>
    <row r="511" spans="1:22" ht="16.8" x14ac:dyDescent="0.3">
      <c r="A511" s="20">
        <v>51.1</v>
      </c>
      <c r="B511" s="20">
        <v>74</v>
      </c>
      <c r="C511" s="26">
        <v>74.430000000000007</v>
      </c>
      <c r="D511" s="20">
        <v>-0.43</v>
      </c>
      <c r="E511" s="20">
        <v>0.01</v>
      </c>
      <c r="F511" s="26">
        <v>2073.62</v>
      </c>
      <c r="Q511" s="20">
        <v>51</v>
      </c>
      <c r="R511" s="20">
        <v>74.069999999999993</v>
      </c>
      <c r="S511" s="26">
        <v>74</v>
      </c>
      <c r="T511" s="26">
        <v>-7.0000000000000007E-2</v>
      </c>
      <c r="U511" s="26">
        <v>0</v>
      </c>
      <c r="V511" s="26">
        <v>1933.91</v>
      </c>
    </row>
    <row r="512" spans="1:22" ht="16.8" x14ac:dyDescent="0.3">
      <c r="A512" s="20">
        <v>51.2</v>
      </c>
      <c r="B512" s="20">
        <v>74</v>
      </c>
      <c r="C512" s="20">
        <v>74.33</v>
      </c>
      <c r="D512" s="20">
        <v>-0.33</v>
      </c>
      <c r="E512" s="20">
        <v>0.1</v>
      </c>
      <c r="F512" s="26">
        <v>2198.84</v>
      </c>
      <c r="Q512" s="20">
        <v>51.1</v>
      </c>
      <c r="R512" s="20">
        <v>74.14</v>
      </c>
      <c r="S512" s="26">
        <v>74</v>
      </c>
      <c r="T512" s="26">
        <v>-0.14000000000000001</v>
      </c>
      <c r="U512" s="26">
        <v>-7.0000000000000007E-2</v>
      </c>
      <c r="V512" s="20">
        <v>1862.36</v>
      </c>
    </row>
    <row r="513" spans="1:22" ht="16.8" x14ac:dyDescent="0.3">
      <c r="A513" s="20">
        <v>51.3</v>
      </c>
      <c r="B513" s="20">
        <v>74</v>
      </c>
      <c r="C513" s="26">
        <v>74.36</v>
      </c>
      <c r="D513" s="20">
        <v>-0.36</v>
      </c>
      <c r="E513" s="20">
        <v>-0.04</v>
      </c>
      <c r="F513" s="26">
        <v>2124.11</v>
      </c>
      <c r="Q513" s="20">
        <v>51.2</v>
      </c>
      <c r="R513" s="20">
        <v>74.03</v>
      </c>
      <c r="S513" s="26">
        <v>74</v>
      </c>
      <c r="T513" s="26">
        <v>-0.03</v>
      </c>
      <c r="U513" s="26">
        <v>0.11</v>
      </c>
      <c r="V513" s="26">
        <v>2031.49</v>
      </c>
    </row>
    <row r="514" spans="1:22" ht="16.8" x14ac:dyDescent="0.3">
      <c r="A514" s="20">
        <v>51.4</v>
      </c>
      <c r="B514" s="20">
        <v>74</v>
      </c>
      <c r="C514" s="26">
        <v>74.41</v>
      </c>
      <c r="D514" s="20">
        <v>-0.41</v>
      </c>
      <c r="E514" s="20">
        <v>-0.05</v>
      </c>
      <c r="F514" s="26">
        <v>2051.9699999999998</v>
      </c>
      <c r="Q514" s="20">
        <v>51.3</v>
      </c>
      <c r="R514" s="20">
        <v>74.08</v>
      </c>
      <c r="S514" s="26">
        <v>74</v>
      </c>
      <c r="T514" s="26">
        <v>-0.08</v>
      </c>
      <c r="U514" s="26">
        <v>-0.05</v>
      </c>
      <c r="V514" s="20">
        <v>1892.89</v>
      </c>
    </row>
    <row r="515" spans="1:22" ht="16.8" x14ac:dyDescent="0.3">
      <c r="A515" s="20">
        <v>51.5</v>
      </c>
      <c r="B515" s="20">
        <v>74</v>
      </c>
      <c r="C515" s="20">
        <v>74.34</v>
      </c>
      <c r="D515" s="20">
        <v>-0.34</v>
      </c>
      <c r="E515" s="20">
        <v>0.08</v>
      </c>
      <c r="F515" s="20">
        <v>2189.63</v>
      </c>
      <c r="Q515" s="20">
        <v>51.4</v>
      </c>
      <c r="R515" s="20">
        <v>73.98</v>
      </c>
      <c r="S515" s="26">
        <v>74</v>
      </c>
      <c r="T515" s="26">
        <v>0.02</v>
      </c>
      <c r="U515" s="26">
        <v>0.1</v>
      </c>
      <c r="V515" s="26">
        <v>2026.82</v>
      </c>
    </row>
    <row r="516" spans="1:22" ht="16.8" x14ac:dyDescent="0.3">
      <c r="A516" s="20">
        <v>51.6</v>
      </c>
      <c r="B516" s="20">
        <v>74</v>
      </c>
      <c r="C516" s="26">
        <v>74.349999999999994</v>
      </c>
      <c r="D516" s="20">
        <v>-0.35</v>
      </c>
      <c r="E516" s="20">
        <v>-0.02</v>
      </c>
      <c r="F516" s="26">
        <v>2156.54</v>
      </c>
      <c r="Q516" s="20">
        <v>51.5</v>
      </c>
      <c r="R516" s="20">
        <v>74.05</v>
      </c>
      <c r="S516" s="26">
        <v>74</v>
      </c>
      <c r="T516" s="26">
        <v>-0.05</v>
      </c>
      <c r="U516" s="26">
        <v>-0.06</v>
      </c>
      <c r="V516" s="20">
        <v>1885.49</v>
      </c>
    </row>
    <row r="517" spans="1:22" ht="16.8" x14ac:dyDescent="0.3">
      <c r="A517" s="20">
        <v>51.7</v>
      </c>
      <c r="B517" s="20">
        <v>74</v>
      </c>
      <c r="C517" s="26">
        <v>74.36</v>
      </c>
      <c r="D517" s="20">
        <v>-0.36</v>
      </c>
      <c r="E517" s="20">
        <v>-0.01</v>
      </c>
      <c r="F517" s="26">
        <v>2145.79</v>
      </c>
      <c r="Q517" s="20">
        <v>51.6</v>
      </c>
      <c r="R517" s="20">
        <v>74.040000000000006</v>
      </c>
      <c r="S517" s="26">
        <v>74</v>
      </c>
      <c r="T517" s="26">
        <v>-0.04</v>
      </c>
      <c r="U517" s="26">
        <v>0.01</v>
      </c>
      <c r="V517" s="20">
        <v>1945.28</v>
      </c>
    </row>
    <row r="518" spans="1:22" ht="16.8" x14ac:dyDescent="0.3">
      <c r="A518" s="20">
        <v>51.8</v>
      </c>
      <c r="B518" s="20">
        <v>74</v>
      </c>
      <c r="C518" s="20">
        <v>74.400000000000006</v>
      </c>
      <c r="D518" s="20">
        <v>-0.4</v>
      </c>
      <c r="E518" s="20">
        <v>-0.03</v>
      </c>
      <c r="F518" s="26">
        <v>2087.58</v>
      </c>
      <c r="Q518" s="20">
        <v>51.7</v>
      </c>
      <c r="R518" s="20">
        <v>74.069999999999993</v>
      </c>
      <c r="S518" s="26">
        <v>74</v>
      </c>
      <c r="T518" s="26">
        <v>-7.0000000000000007E-2</v>
      </c>
      <c r="U518" s="20">
        <v>-0.03</v>
      </c>
      <c r="V518" s="26">
        <v>1906.95</v>
      </c>
    </row>
    <row r="519" spans="1:22" ht="16.8" x14ac:dyDescent="0.3">
      <c r="A519" s="20">
        <v>51.9</v>
      </c>
      <c r="B519" s="20">
        <v>74</v>
      </c>
      <c r="C519" s="26">
        <v>74.34</v>
      </c>
      <c r="D519" s="20">
        <v>-0.34</v>
      </c>
      <c r="E519" s="20">
        <v>0.05</v>
      </c>
      <c r="F519" s="26">
        <v>2180.39</v>
      </c>
      <c r="Q519" s="20">
        <v>51.8</v>
      </c>
      <c r="R519" s="20">
        <v>74.13</v>
      </c>
      <c r="S519" s="26">
        <v>74</v>
      </c>
      <c r="T519" s="26">
        <v>-0.13</v>
      </c>
      <c r="U519" s="26">
        <v>-0.06</v>
      </c>
      <c r="V519" s="20">
        <v>1869.32</v>
      </c>
    </row>
    <row r="520" spans="1:22" ht="16.8" x14ac:dyDescent="0.3">
      <c r="A520" s="20">
        <v>52</v>
      </c>
      <c r="B520" s="20">
        <v>74</v>
      </c>
      <c r="C520" s="20">
        <v>74.38</v>
      </c>
      <c r="D520" s="20">
        <v>-0.38</v>
      </c>
      <c r="E520" s="20">
        <v>-0.04</v>
      </c>
      <c r="F520" s="20">
        <v>2104.4</v>
      </c>
      <c r="Q520" s="20">
        <v>51.9</v>
      </c>
      <c r="R520" s="20">
        <v>74.16</v>
      </c>
      <c r="S520" s="26">
        <v>74</v>
      </c>
      <c r="T520" s="26">
        <v>-0.16</v>
      </c>
      <c r="U520" s="26">
        <v>-0.02</v>
      </c>
      <c r="V520" s="26">
        <v>1897.16</v>
      </c>
    </row>
    <row r="521" spans="1:22" ht="16.8" x14ac:dyDescent="0.3">
      <c r="A521" s="20">
        <v>52.1</v>
      </c>
      <c r="B521" s="20">
        <v>74</v>
      </c>
      <c r="C521" s="26">
        <v>74.34</v>
      </c>
      <c r="D521" s="20">
        <v>-0.34</v>
      </c>
      <c r="E521" s="20">
        <v>0.04</v>
      </c>
      <c r="F521" s="26">
        <v>2180.39</v>
      </c>
      <c r="Q521" s="20">
        <v>52</v>
      </c>
      <c r="R521" s="20">
        <v>74.23</v>
      </c>
      <c r="S521" s="26">
        <v>74</v>
      </c>
      <c r="T521" s="26">
        <v>-0.23</v>
      </c>
      <c r="U521" s="26">
        <v>-7.0000000000000007E-2</v>
      </c>
      <c r="V521" s="20">
        <v>1844.89</v>
      </c>
    </row>
    <row r="522" spans="1:22" ht="16.8" x14ac:dyDescent="0.3">
      <c r="A522" s="20">
        <v>52.2</v>
      </c>
      <c r="B522" s="20">
        <v>74</v>
      </c>
      <c r="C522" s="26">
        <v>74.430000000000007</v>
      </c>
      <c r="D522" s="20">
        <v>-0.43</v>
      </c>
      <c r="E522" s="20">
        <v>-0.08</v>
      </c>
      <c r="F522" s="26">
        <v>1997.58</v>
      </c>
      <c r="Q522" s="20">
        <v>52.1</v>
      </c>
      <c r="R522" s="20">
        <v>74.34</v>
      </c>
      <c r="S522" s="26">
        <v>74</v>
      </c>
      <c r="T522" s="26">
        <v>-0.34</v>
      </c>
      <c r="U522" s="26">
        <v>-0.1</v>
      </c>
      <c r="V522" s="26">
        <v>1799.66</v>
      </c>
    </row>
    <row r="523" spans="1:22" ht="16.8" x14ac:dyDescent="0.3">
      <c r="A523" s="20">
        <v>52.3</v>
      </c>
      <c r="B523" s="20">
        <v>74</v>
      </c>
      <c r="C523" s="20">
        <v>74.38</v>
      </c>
      <c r="D523" s="20">
        <v>-0.38</v>
      </c>
      <c r="E523" s="20">
        <v>0.05</v>
      </c>
      <c r="F523" s="26">
        <v>2141.91</v>
      </c>
      <c r="Q523" s="20">
        <v>52.2</v>
      </c>
      <c r="R523" s="20">
        <v>74.48</v>
      </c>
      <c r="S523" s="20">
        <v>74</v>
      </c>
      <c r="T523" s="26">
        <v>-0.48</v>
      </c>
      <c r="U523" s="26">
        <v>-0.15</v>
      </c>
      <c r="V523" s="20">
        <v>1740.55</v>
      </c>
    </row>
    <row r="524" spans="1:22" ht="16.8" x14ac:dyDescent="0.3">
      <c r="A524" s="20">
        <v>52.4</v>
      </c>
      <c r="B524" s="20">
        <v>74</v>
      </c>
      <c r="C524" s="26">
        <v>74.41</v>
      </c>
      <c r="D524" s="20">
        <v>-0.41</v>
      </c>
      <c r="E524" s="20">
        <v>-0.03</v>
      </c>
      <c r="F524" s="26">
        <v>2071.77</v>
      </c>
      <c r="Q524" s="20">
        <v>52.3</v>
      </c>
      <c r="R524" s="20">
        <v>74.5</v>
      </c>
      <c r="S524" s="26">
        <v>74</v>
      </c>
      <c r="T524" s="26">
        <v>-0.5</v>
      </c>
      <c r="U524" s="26">
        <v>-0.02</v>
      </c>
      <c r="V524" s="26">
        <v>1840.38</v>
      </c>
    </row>
    <row r="525" spans="1:22" ht="16.8" x14ac:dyDescent="0.3">
      <c r="A525" s="20">
        <v>52.5</v>
      </c>
      <c r="B525" s="20">
        <v>74</v>
      </c>
      <c r="C525" s="20">
        <v>74.45</v>
      </c>
      <c r="D525" s="20">
        <v>-0.45</v>
      </c>
      <c r="E525" s="20">
        <v>-0.04</v>
      </c>
      <c r="F525" s="20">
        <v>1998.66</v>
      </c>
      <c r="Q525" s="20">
        <v>52.4</v>
      </c>
      <c r="R525" s="20">
        <v>74.55</v>
      </c>
      <c r="S525" s="26">
        <v>74</v>
      </c>
      <c r="T525" s="26">
        <v>-0.55000000000000004</v>
      </c>
      <c r="U525" s="26">
        <v>-0.05</v>
      </c>
      <c r="V525" s="20">
        <v>1804.56</v>
      </c>
    </row>
    <row r="526" spans="1:22" ht="16.8" x14ac:dyDescent="0.3">
      <c r="A526" s="20">
        <v>52.6</v>
      </c>
      <c r="B526" s="20">
        <v>74</v>
      </c>
      <c r="C526" s="26">
        <v>74.44</v>
      </c>
      <c r="D526" s="20">
        <v>-0.44</v>
      </c>
      <c r="E526" s="20">
        <v>0.02</v>
      </c>
      <c r="F526" s="26">
        <v>2062.3200000000002</v>
      </c>
      <c r="Q526" s="20">
        <v>52.5</v>
      </c>
      <c r="R526" s="20">
        <v>74.599999999999994</v>
      </c>
      <c r="S526" s="26">
        <v>74</v>
      </c>
      <c r="T526" s="26">
        <v>-0.6</v>
      </c>
      <c r="U526" s="26">
        <v>-0.06</v>
      </c>
      <c r="V526" s="26">
        <v>1786.67</v>
      </c>
    </row>
    <row r="527" spans="1:22" ht="16.8" x14ac:dyDescent="0.3">
      <c r="A527" s="20">
        <v>52.7</v>
      </c>
      <c r="B527" s="20">
        <v>74</v>
      </c>
      <c r="C527" s="26">
        <v>74.400000000000006</v>
      </c>
      <c r="D527" s="20">
        <v>-0.4</v>
      </c>
      <c r="E527" s="20">
        <v>0.03</v>
      </c>
      <c r="F527" s="26">
        <v>2106.16</v>
      </c>
      <c r="Q527" s="20">
        <v>52.6</v>
      </c>
      <c r="R527" s="20">
        <v>74.59</v>
      </c>
      <c r="S527" s="26">
        <v>74</v>
      </c>
      <c r="T527" s="26">
        <v>-0.59</v>
      </c>
      <c r="U527" s="26">
        <v>0.02</v>
      </c>
      <c r="V527" s="20">
        <v>1846.48</v>
      </c>
    </row>
    <row r="528" spans="1:22" ht="16.8" x14ac:dyDescent="0.3">
      <c r="A528" s="20">
        <v>52.8</v>
      </c>
      <c r="B528" s="20">
        <v>74</v>
      </c>
      <c r="C528" s="20">
        <v>74.459999999999994</v>
      </c>
      <c r="D528" s="20">
        <v>-0.46</v>
      </c>
      <c r="E528" s="20">
        <v>-0.05</v>
      </c>
      <c r="F528" s="26">
        <v>1985.3</v>
      </c>
      <c r="Q528" s="20">
        <v>52.7</v>
      </c>
      <c r="R528" s="20">
        <v>74.59</v>
      </c>
      <c r="S528" s="26">
        <v>74</v>
      </c>
      <c r="T528" s="26">
        <v>-0.59</v>
      </c>
      <c r="U528" s="26">
        <v>0</v>
      </c>
      <c r="V528" s="26">
        <v>1832.03</v>
      </c>
    </row>
    <row r="529" spans="1:22" ht="16.8" x14ac:dyDescent="0.3">
      <c r="A529" s="20">
        <v>52.9</v>
      </c>
      <c r="B529" s="20">
        <v>74</v>
      </c>
      <c r="C529" s="26">
        <v>74.44</v>
      </c>
      <c r="D529" s="20">
        <v>-0.44</v>
      </c>
      <c r="E529" s="20">
        <v>0.02</v>
      </c>
      <c r="F529" s="26">
        <v>2056.59</v>
      </c>
      <c r="Q529" s="20">
        <v>52.8</v>
      </c>
      <c r="R529" s="20">
        <v>74.56</v>
      </c>
      <c r="S529" s="26">
        <v>74</v>
      </c>
      <c r="T529" s="26">
        <v>-0.56000000000000005</v>
      </c>
      <c r="U529" s="26">
        <v>0.02</v>
      </c>
      <c r="V529" s="20">
        <v>1854.36</v>
      </c>
    </row>
    <row r="530" spans="1:22" ht="16.8" x14ac:dyDescent="0.3">
      <c r="A530" s="20">
        <v>53</v>
      </c>
      <c r="B530" s="20">
        <v>74</v>
      </c>
      <c r="C530" s="26">
        <v>74.41</v>
      </c>
      <c r="D530" s="20">
        <v>-0.41</v>
      </c>
      <c r="E530" s="20">
        <v>0.03</v>
      </c>
      <c r="F530" s="26">
        <v>2095.5300000000002</v>
      </c>
      <c r="Q530" s="20">
        <v>52.9</v>
      </c>
      <c r="R530" s="20">
        <v>74.53</v>
      </c>
      <c r="S530" s="26">
        <v>74</v>
      </c>
      <c r="T530" s="26">
        <v>-0.53</v>
      </c>
      <c r="U530" s="26">
        <v>0.03</v>
      </c>
      <c r="V530" s="20">
        <v>1865.18</v>
      </c>
    </row>
    <row r="531" spans="1:22" ht="16.8" x14ac:dyDescent="0.3">
      <c r="A531" s="20">
        <v>53.1</v>
      </c>
      <c r="B531" s="20">
        <v>74</v>
      </c>
      <c r="C531" s="20">
        <v>74.39</v>
      </c>
      <c r="D531" s="20">
        <v>-0.39</v>
      </c>
      <c r="E531" s="20">
        <v>0.02</v>
      </c>
      <c r="F531" s="20">
        <v>2121.77</v>
      </c>
      <c r="Q531" s="20">
        <v>53</v>
      </c>
      <c r="R531" s="20">
        <v>74.53</v>
      </c>
      <c r="S531" s="26">
        <v>74</v>
      </c>
      <c r="T531" s="26">
        <v>-0.53</v>
      </c>
      <c r="U531" s="26">
        <v>0</v>
      </c>
      <c r="V531" s="26">
        <v>1837.88</v>
      </c>
    </row>
    <row r="532" spans="1:22" ht="16.8" x14ac:dyDescent="0.3">
      <c r="A532" s="20">
        <v>53.2</v>
      </c>
      <c r="B532" s="20">
        <v>74</v>
      </c>
      <c r="C532" s="26">
        <v>74.42</v>
      </c>
      <c r="D532" s="20">
        <v>-0.42</v>
      </c>
      <c r="E532" s="20">
        <v>-0.03</v>
      </c>
      <c r="F532" s="26">
        <v>2059.17</v>
      </c>
      <c r="Q532" s="20">
        <v>53.1</v>
      </c>
      <c r="R532" s="20">
        <v>74.540000000000006</v>
      </c>
      <c r="S532" s="26">
        <v>74</v>
      </c>
      <c r="T532" s="26">
        <v>-0.54</v>
      </c>
      <c r="U532" s="26">
        <v>-0.01</v>
      </c>
      <c r="V532" s="20">
        <v>1828.63</v>
      </c>
    </row>
    <row r="533" spans="1:22" ht="16.8" x14ac:dyDescent="0.3">
      <c r="A533" s="20">
        <v>53.3</v>
      </c>
      <c r="B533" s="20">
        <v>74</v>
      </c>
      <c r="C533" s="20">
        <v>74.45</v>
      </c>
      <c r="D533" s="20">
        <v>-0.45</v>
      </c>
      <c r="E533" s="20">
        <v>-0.03</v>
      </c>
      <c r="F533" s="20">
        <v>2009.58</v>
      </c>
      <c r="Q533" s="20">
        <v>53.2</v>
      </c>
      <c r="R533" s="20">
        <v>74.55</v>
      </c>
      <c r="S533" s="26">
        <v>74</v>
      </c>
      <c r="T533" s="26">
        <v>-0.55000000000000004</v>
      </c>
      <c r="U533" s="26">
        <v>-0.01</v>
      </c>
      <c r="V533" s="26">
        <v>1825.85</v>
      </c>
    </row>
    <row r="534" spans="1:22" ht="16.8" x14ac:dyDescent="0.3">
      <c r="A534" s="20">
        <v>53.4</v>
      </c>
      <c r="B534" s="20">
        <v>74</v>
      </c>
      <c r="C534" s="26">
        <v>74.39</v>
      </c>
      <c r="D534" s="20">
        <v>-0.39</v>
      </c>
      <c r="E534" s="20">
        <v>0.06</v>
      </c>
      <c r="F534" s="26">
        <v>2126.85</v>
      </c>
      <c r="Q534" s="20">
        <v>53.3</v>
      </c>
      <c r="R534" s="20">
        <v>74.459999999999994</v>
      </c>
      <c r="S534" s="26">
        <v>74</v>
      </c>
      <c r="T534" s="26">
        <v>-0.46</v>
      </c>
      <c r="U534" s="26">
        <v>0.09</v>
      </c>
      <c r="V534" s="20">
        <v>1918.22</v>
      </c>
    </row>
    <row r="535" spans="1:22" ht="16.8" x14ac:dyDescent="0.3">
      <c r="A535" s="20">
        <v>53.5</v>
      </c>
      <c r="B535" s="20">
        <v>74</v>
      </c>
      <c r="C535" s="20">
        <v>74.400000000000006</v>
      </c>
      <c r="D535" s="20">
        <v>-0.4</v>
      </c>
      <c r="E535" s="20">
        <v>-0.01</v>
      </c>
      <c r="F535" s="26">
        <v>2109.36</v>
      </c>
      <c r="Q535" s="20">
        <v>53.4</v>
      </c>
      <c r="R535" s="20">
        <v>74.510000000000005</v>
      </c>
      <c r="S535" s="26">
        <v>74</v>
      </c>
      <c r="T535" s="20">
        <v>-0.51</v>
      </c>
      <c r="U535" s="26">
        <v>-0.06</v>
      </c>
      <c r="V535" s="26">
        <v>1790.11</v>
      </c>
    </row>
    <row r="536" spans="1:22" ht="16.8" x14ac:dyDescent="0.3">
      <c r="A536" s="20">
        <v>53.6</v>
      </c>
      <c r="B536" s="20">
        <v>74</v>
      </c>
      <c r="C536" s="26">
        <v>74.44</v>
      </c>
      <c r="D536" s="20">
        <v>-0.44</v>
      </c>
      <c r="E536" s="20">
        <v>-0.04</v>
      </c>
      <c r="F536" s="20">
        <v>2016.43</v>
      </c>
      <c r="Q536" s="20">
        <v>53.5</v>
      </c>
      <c r="R536" s="20">
        <v>74.48</v>
      </c>
      <c r="S536" s="26">
        <v>74</v>
      </c>
      <c r="T536" s="26">
        <v>-0.48</v>
      </c>
      <c r="U536" s="26">
        <v>0.03</v>
      </c>
      <c r="V536" s="20">
        <v>1866.02</v>
      </c>
    </row>
    <row r="537" spans="1:22" ht="16.8" x14ac:dyDescent="0.3">
      <c r="A537" s="20">
        <v>53.7</v>
      </c>
      <c r="B537" s="20">
        <v>74</v>
      </c>
      <c r="C537" s="26">
        <v>74.42</v>
      </c>
      <c r="D537" s="20">
        <v>-0.42</v>
      </c>
      <c r="E537" s="20">
        <v>0.02</v>
      </c>
      <c r="F537" s="26">
        <v>2090.15</v>
      </c>
      <c r="Q537" s="20">
        <v>53.6</v>
      </c>
      <c r="R537" s="20">
        <v>74.44</v>
      </c>
      <c r="S537" s="26">
        <v>74</v>
      </c>
      <c r="T537" s="20">
        <v>-0.44</v>
      </c>
      <c r="U537" s="26">
        <v>0.04</v>
      </c>
      <c r="V537" s="26">
        <v>1878.48</v>
      </c>
    </row>
    <row r="538" spans="1:22" ht="16.8" x14ac:dyDescent="0.3">
      <c r="A538" s="20">
        <v>53.8</v>
      </c>
      <c r="B538" s="20">
        <v>74</v>
      </c>
      <c r="C538" s="20">
        <v>74.45</v>
      </c>
      <c r="D538" s="20">
        <v>-0.45</v>
      </c>
      <c r="E538" s="20">
        <v>-0.03</v>
      </c>
      <c r="F538" s="20">
        <v>2025.12</v>
      </c>
      <c r="Q538" s="20">
        <v>53.7</v>
      </c>
      <c r="R538" s="20">
        <v>74.47</v>
      </c>
      <c r="S538" s="26">
        <v>74</v>
      </c>
      <c r="T538" s="26">
        <v>-0.47</v>
      </c>
      <c r="U538" s="26">
        <v>-0.02</v>
      </c>
      <c r="V538" s="20">
        <v>1821.11</v>
      </c>
    </row>
    <row r="539" spans="1:22" ht="16.8" x14ac:dyDescent="0.3">
      <c r="A539" s="20">
        <v>53.9</v>
      </c>
      <c r="B539" s="20">
        <v>74</v>
      </c>
      <c r="C539" s="26">
        <v>74.42</v>
      </c>
      <c r="D539" s="20">
        <v>-0.42</v>
      </c>
      <c r="E539" s="20">
        <v>0.02</v>
      </c>
      <c r="F539" s="26">
        <v>2084.71</v>
      </c>
      <c r="Q539" s="20">
        <v>53.8</v>
      </c>
      <c r="R539" s="20">
        <v>74.42</v>
      </c>
      <c r="S539" s="26">
        <v>74</v>
      </c>
      <c r="T539" s="26">
        <v>-0.42</v>
      </c>
      <c r="U539" s="26">
        <v>0.05</v>
      </c>
      <c r="V539" s="20">
        <v>1887.01</v>
      </c>
    </row>
    <row r="540" spans="1:22" ht="16.8" x14ac:dyDescent="0.3">
      <c r="A540" s="20">
        <v>54</v>
      </c>
      <c r="B540" s="20">
        <v>74</v>
      </c>
      <c r="C540" s="26">
        <v>74.45</v>
      </c>
      <c r="D540" s="20">
        <v>-0.45</v>
      </c>
      <c r="E540" s="20">
        <v>-0.02</v>
      </c>
      <c r="F540" s="26">
        <v>2028.79</v>
      </c>
      <c r="Q540" s="20">
        <v>53.9</v>
      </c>
      <c r="R540" s="20">
        <v>74.42</v>
      </c>
      <c r="S540" s="26">
        <v>74</v>
      </c>
      <c r="T540" s="26">
        <v>-0.42</v>
      </c>
      <c r="U540" s="26">
        <v>-0.01</v>
      </c>
      <c r="V540" s="26">
        <v>1839.07</v>
      </c>
    </row>
    <row r="541" spans="1:22" ht="16.8" x14ac:dyDescent="0.3">
      <c r="A541" s="20">
        <v>54.1</v>
      </c>
      <c r="B541" s="20">
        <v>74</v>
      </c>
      <c r="C541" s="20">
        <v>74.39</v>
      </c>
      <c r="D541" s="20">
        <v>-0.39</v>
      </c>
      <c r="E541" s="20">
        <v>0.06</v>
      </c>
      <c r="F541" s="26">
        <v>2126.85</v>
      </c>
      <c r="Q541" s="20">
        <v>54</v>
      </c>
      <c r="R541" s="20">
        <v>74.349999999999994</v>
      </c>
      <c r="S541" s="26">
        <v>74</v>
      </c>
      <c r="T541" s="26">
        <v>-0.35</v>
      </c>
      <c r="U541" s="26">
        <v>7.0000000000000007E-2</v>
      </c>
      <c r="V541" s="20">
        <v>1915.87</v>
      </c>
    </row>
    <row r="542" spans="1:22" ht="16.8" x14ac:dyDescent="0.3">
      <c r="A542" s="20">
        <v>54.2</v>
      </c>
      <c r="B542" s="20">
        <v>74</v>
      </c>
      <c r="C542" s="26">
        <v>74.44</v>
      </c>
      <c r="D542" s="20">
        <v>-0.44</v>
      </c>
      <c r="E542" s="20">
        <v>-0.05</v>
      </c>
      <c r="F542" s="26">
        <v>2018.56</v>
      </c>
      <c r="Q542" s="20">
        <v>54.1</v>
      </c>
      <c r="R542" s="20">
        <v>74.47</v>
      </c>
      <c r="S542" s="26">
        <v>74</v>
      </c>
      <c r="T542" s="26">
        <v>-0.47</v>
      </c>
      <c r="U542" s="26">
        <v>-0.11</v>
      </c>
      <c r="V542" s="26">
        <v>1745.52</v>
      </c>
    </row>
    <row r="543" spans="1:22" ht="16.8" x14ac:dyDescent="0.3">
      <c r="A543" s="20">
        <v>54.3</v>
      </c>
      <c r="B543" s="20">
        <v>74</v>
      </c>
      <c r="C543" s="20">
        <v>74.38</v>
      </c>
      <c r="D543" s="20">
        <v>-0.38</v>
      </c>
      <c r="E543" s="20">
        <v>0.05</v>
      </c>
      <c r="F543" s="26">
        <v>2131.88</v>
      </c>
      <c r="Q543" s="20">
        <v>54.2</v>
      </c>
      <c r="R543" s="20">
        <v>74.38</v>
      </c>
      <c r="S543" s="26">
        <v>74</v>
      </c>
      <c r="T543" s="26">
        <v>-0.38</v>
      </c>
      <c r="U543" s="26">
        <v>0.09</v>
      </c>
      <c r="V543" s="20">
        <v>1922.5</v>
      </c>
    </row>
    <row r="544" spans="1:22" ht="16.8" x14ac:dyDescent="0.3">
      <c r="A544" s="20">
        <v>54.4</v>
      </c>
      <c r="B544" s="20">
        <v>74</v>
      </c>
      <c r="C544" s="26">
        <v>74.430000000000007</v>
      </c>
      <c r="D544" s="20">
        <v>-0.43</v>
      </c>
      <c r="E544" s="20">
        <v>-0.05</v>
      </c>
      <c r="F544" s="20">
        <v>2024.27</v>
      </c>
      <c r="Q544" s="20">
        <v>54.3</v>
      </c>
      <c r="R544" s="20">
        <v>74.33</v>
      </c>
      <c r="S544" s="26">
        <v>74</v>
      </c>
      <c r="T544" s="26">
        <v>-0.33</v>
      </c>
      <c r="U544" s="26">
        <v>0.05</v>
      </c>
      <c r="V544" s="26">
        <v>1897.71</v>
      </c>
    </row>
    <row r="545" spans="1:22" ht="16.8" x14ac:dyDescent="0.3">
      <c r="A545" s="20">
        <v>54.5</v>
      </c>
      <c r="B545" s="20">
        <v>74</v>
      </c>
      <c r="C545" s="26">
        <v>74.38</v>
      </c>
      <c r="D545" s="20">
        <v>-0.38</v>
      </c>
      <c r="E545" s="20">
        <v>0.05</v>
      </c>
      <c r="F545" s="26">
        <v>2131.88</v>
      </c>
      <c r="Q545" s="20">
        <v>54.4</v>
      </c>
      <c r="R545" s="20">
        <v>74.39</v>
      </c>
      <c r="S545" s="20">
        <v>74</v>
      </c>
      <c r="T545" s="26">
        <v>-0.39</v>
      </c>
      <c r="U545" s="26">
        <v>-0.06</v>
      </c>
      <c r="V545" s="20">
        <v>1794.48</v>
      </c>
    </row>
    <row r="546" spans="1:22" ht="16.8" x14ac:dyDescent="0.3">
      <c r="A546" s="20">
        <v>54.6</v>
      </c>
      <c r="B546" s="20">
        <v>74</v>
      </c>
      <c r="C546" s="20">
        <v>74.36</v>
      </c>
      <c r="D546" s="20">
        <v>-0.36</v>
      </c>
      <c r="E546" s="20">
        <v>0.03</v>
      </c>
      <c r="F546" s="20">
        <v>2166.2199999999998</v>
      </c>
      <c r="Q546" s="20">
        <v>54.5</v>
      </c>
      <c r="R546" s="20">
        <v>74.36</v>
      </c>
      <c r="S546" s="26">
        <v>74</v>
      </c>
      <c r="T546" s="26">
        <v>-0.36</v>
      </c>
      <c r="U546" s="26">
        <v>0.03</v>
      </c>
      <c r="V546" s="26">
        <v>1877.18</v>
      </c>
    </row>
    <row r="547" spans="1:22" ht="16.8" x14ac:dyDescent="0.3">
      <c r="A547" s="20">
        <v>54.7</v>
      </c>
      <c r="B547" s="20">
        <v>74</v>
      </c>
      <c r="C547" s="26">
        <v>74.41</v>
      </c>
      <c r="D547" s="20">
        <v>-0.41</v>
      </c>
      <c r="E547" s="20">
        <v>-0.05</v>
      </c>
      <c r="F547" s="26">
        <v>2053.6999999999998</v>
      </c>
      <c r="Q547" s="20">
        <v>54.6</v>
      </c>
      <c r="R547" s="20">
        <v>74.349999999999994</v>
      </c>
      <c r="S547" s="20">
        <v>74</v>
      </c>
      <c r="T547" s="26">
        <v>-0.35</v>
      </c>
      <c r="U547" s="26">
        <v>0.01</v>
      </c>
      <c r="V547" s="20">
        <v>1858.22</v>
      </c>
    </row>
    <row r="548" spans="1:22" ht="16.8" x14ac:dyDescent="0.3">
      <c r="A548" s="20">
        <v>54.8</v>
      </c>
      <c r="B548" s="20">
        <v>74</v>
      </c>
      <c r="C548" s="20">
        <v>74.349999999999994</v>
      </c>
      <c r="D548" s="20">
        <v>-0.35</v>
      </c>
      <c r="E548" s="20">
        <v>0.06</v>
      </c>
      <c r="F548" s="26">
        <v>2170.9899999999998</v>
      </c>
      <c r="Q548" s="20">
        <v>54.7</v>
      </c>
      <c r="R548" s="20">
        <v>74.349999999999994</v>
      </c>
      <c r="S548" s="26">
        <v>74</v>
      </c>
      <c r="T548" s="26">
        <v>-0.35</v>
      </c>
      <c r="U548" s="26">
        <v>0</v>
      </c>
      <c r="V548" s="26">
        <v>1850.85</v>
      </c>
    </row>
    <row r="549" spans="1:22" ht="16.8" x14ac:dyDescent="0.3">
      <c r="A549" s="20">
        <v>54.9</v>
      </c>
      <c r="B549" s="20">
        <v>74</v>
      </c>
      <c r="C549" s="26">
        <v>74.319999999999993</v>
      </c>
      <c r="D549" s="20">
        <v>-0.32</v>
      </c>
      <c r="E549" s="20">
        <v>0.03</v>
      </c>
      <c r="F549" s="20">
        <v>2203.39</v>
      </c>
      <c r="Q549" s="20">
        <v>54.8</v>
      </c>
      <c r="R549" s="20">
        <v>74.38</v>
      </c>
      <c r="S549" s="26">
        <v>74</v>
      </c>
      <c r="T549" s="26">
        <v>-0.38</v>
      </c>
      <c r="U549" s="26">
        <v>-0.02</v>
      </c>
      <c r="V549" s="20">
        <v>1826.17</v>
      </c>
    </row>
    <row r="550" spans="1:22" ht="16.8" x14ac:dyDescent="0.3">
      <c r="A550" s="20">
        <v>55</v>
      </c>
      <c r="B550" s="20">
        <v>74</v>
      </c>
      <c r="C550" s="26">
        <v>74.34</v>
      </c>
      <c r="D550" s="20">
        <v>-0.34</v>
      </c>
      <c r="E550" s="20">
        <v>-0.02</v>
      </c>
      <c r="F550" s="26">
        <v>2162.3000000000002</v>
      </c>
      <c r="Q550" s="20">
        <v>54.9</v>
      </c>
      <c r="R550" s="20">
        <v>74.3</v>
      </c>
      <c r="S550" s="26">
        <v>74</v>
      </c>
      <c r="T550" s="26">
        <v>-0.3</v>
      </c>
      <c r="U550" s="20">
        <v>0.08</v>
      </c>
      <c r="V550" s="26">
        <v>1924.02</v>
      </c>
    </row>
    <row r="551" spans="1:22" ht="16.8" x14ac:dyDescent="0.3">
      <c r="A551" s="20">
        <v>55.1</v>
      </c>
      <c r="B551" s="20">
        <v>74</v>
      </c>
      <c r="C551" s="20">
        <v>74.38</v>
      </c>
      <c r="D551" s="20">
        <v>-0.38</v>
      </c>
      <c r="E551" s="20">
        <v>-0.04</v>
      </c>
      <c r="F551" s="26">
        <v>2104.4</v>
      </c>
      <c r="Q551" s="20">
        <v>55</v>
      </c>
      <c r="R551" s="20">
        <v>74.319999999999993</v>
      </c>
      <c r="S551" s="26">
        <v>74</v>
      </c>
      <c r="T551" s="26">
        <v>-0.32</v>
      </c>
      <c r="U551" s="26">
        <v>-0.02</v>
      </c>
      <c r="V551" s="20">
        <v>1834.55</v>
      </c>
    </row>
    <row r="552" spans="1:22" ht="16.8" x14ac:dyDescent="0.3">
      <c r="A552" s="20">
        <v>55.2</v>
      </c>
      <c r="B552" s="20">
        <v>74</v>
      </c>
      <c r="C552" s="26">
        <v>74.41</v>
      </c>
      <c r="D552" s="20">
        <v>-0.41</v>
      </c>
      <c r="E552" s="20">
        <v>-0.03</v>
      </c>
      <c r="F552" s="26">
        <v>2075.36</v>
      </c>
      <c r="Q552" s="20">
        <v>55.1</v>
      </c>
      <c r="R552" s="20">
        <v>74.34</v>
      </c>
      <c r="S552" s="26">
        <v>74</v>
      </c>
      <c r="T552" s="26">
        <v>-0.34</v>
      </c>
      <c r="U552" s="26">
        <v>-0.02</v>
      </c>
      <c r="V552" s="26">
        <v>1837.36</v>
      </c>
    </row>
    <row r="553" spans="1:22" ht="16.8" x14ac:dyDescent="0.3">
      <c r="A553" s="20">
        <v>55.3</v>
      </c>
      <c r="B553" s="20">
        <v>74</v>
      </c>
      <c r="C553" s="26">
        <v>74.349999999999994</v>
      </c>
      <c r="D553" s="20">
        <v>-0.35</v>
      </c>
      <c r="E553" s="20">
        <v>0.06</v>
      </c>
      <c r="F553" s="26">
        <v>2175.71</v>
      </c>
      <c r="Q553" s="20">
        <v>55.2</v>
      </c>
      <c r="R553" s="20">
        <v>74.260000000000005</v>
      </c>
      <c r="S553" s="26">
        <v>74</v>
      </c>
      <c r="T553" s="26">
        <v>-0.26</v>
      </c>
      <c r="U553" s="26">
        <v>0.08</v>
      </c>
      <c r="V553" s="20">
        <v>1928.82</v>
      </c>
    </row>
    <row r="554" spans="1:22" ht="16.8" x14ac:dyDescent="0.3">
      <c r="A554" s="20">
        <v>55.4</v>
      </c>
      <c r="B554" s="20">
        <v>74</v>
      </c>
      <c r="C554" s="20">
        <v>74.349999999999994</v>
      </c>
      <c r="D554" s="20">
        <v>-0.35</v>
      </c>
      <c r="E554" s="20">
        <v>0</v>
      </c>
      <c r="F554" s="26">
        <v>2175.71</v>
      </c>
      <c r="Q554" s="20">
        <v>55.3</v>
      </c>
      <c r="R554" s="20">
        <v>74.27</v>
      </c>
      <c r="S554" s="26">
        <v>74</v>
      </c>
      <c r="T554" s="26">
        <v>-0.27</v>
      </c>
      <c r="U554" s="26">
        <v>-0.02</v>
      </c>
      <c r="V554" s="26">
        <v>1847.37</v>
      </c>
    </row>
    <row r="555" spans="1:22" ht="16.8" x14ac:dyDescent="0.3">
      <c r="A555" s="20">
        <v>55.5</v>
      </c>
      <c r="B555" s="20">
        <v>74</v>
      </c>
      <c r="C555" s="26">
        <v>74.400000000000006</v>
      </c>
      <c r="D555" s="20">
        <v>-0.4</v>
      </c>
      <c r="E555" s="20">
        <v>-0.05</v>
      </c>
      <c r="F555" s="26">
        <v>2073.16</v>
      </c>
      <c r="Q555" s="20">
        <v>55.4</v>
      </c>
      <c r="R555" s="20">
        <v>74.180000000000007</v>
      </c>
      <c r="S555" s="26">
        <v>74</v>
      </c>
      <c r="T555" s="26">
        <v>-0.18</v>
      </c>
      <c r="U555" s="26">
        <v>0.09</v>
      </c>
      <c r="V555" s="20">
        <v>1946.9</v>
      </c>
    </row>
    <row r="556" spans="1:22" ht="16.8" x14ac:dyDescent="0.3">
      <c r="A556" s="20">
        <v>55.6</v>
      </c>
      <c r="B556" s="20">
        <v>74</v>
      </c>
      <c r="C556" s="20">
        <v>74.44</v>
      </c>
      <c r="D556" s="20">
        <v>-0.44</v>
      </c>
      <c r="E556" s="20">
        <v>-0.04</v>
      </c>
      <c r="F556" s="26">
        <v>2025.84</v>
      </c>
      <c r="Q556" s="20">
        <v>55.5</v>
      </c>
      <c r="R556" s="20">
        <v>74.34</v>
      </c>
      <c r="S556" s="26">
        <v>74</v>
      </c>
      <c r="T556" s="26">
        <v>-0.34</v>
      </c>
      <c r="U556" s="26">
        <v>-0.15</v>
      </c>
      <c r="V556" s="26">
        <v>1724.33</v>
      </c>
    </row>
    <row r="557" spans="1:22" ht="16.8" x14ac:dyDescent="0.3">
      <c r="A557" s="20">
        <v>55.7</v>
      </c>
      <c r="B557" s="20">
        <v>74</v>
      </c>
      <c r="C557" s="26">
        <v>74.37</v>
      </c>
      <c r="D557" s="20">
        <v>-0.37</v>
      </c>
      <c r="E557" s="20">
        <v>7.0000000000000007E-2</v>
      </c>
      <c r="F557" s="26">
        <v>2151.7399999999998</v>
      </c>
      <c r="Q557" s="20">
        <v>55.6</v>
      </c>
      <c r="R557" s="20">
        <v>74.23</v>
      </c>
      <c r="S557" s="26">
        <v>74</v>
      </c>
      <c r="T557" s="26">
        <v>-0.23</v>
      </c>
      <c r="U557" s="26">
        <v>0.1</v>
      </c>
      <c r="V557" s="20">
        <v>1950</v>
      </c>
    </row>
    <row r="558" spans="1:22" ht="16.8" x14ac:dyDescent="0.3">
      <c r="A558" s="20">
        <v>55.8</v>
      </c>
      <c r="B558" s="20">
        <v>74</v>
      </c>
      <c r="C558" s="26">
        <v>74.349999999999994</v>
      </c>
      <c r="D558" s="20">
        <v>-0.35</v>
      </c>
      <c r="E558" s="20">
        <v>0.02</v>
      </c>
      <c r="F558" s="26">
        <v>2170.9899999999998</v>
      </c>
      <c r="Q558" s="20">
        <v>55.7</v>
      </c>
      <c r="R558" s="20">
        <v>74.260000000000005</v>
      </c>
      <c r="S558" s="26">
        <v>74</v>
      </c>
      <c r="T558" s="26">
        <v>-0.26</v>
      </c>
      <c r="U558" s="26">
        <v>-0.02</v>
      </c>
      <c r="V558" s="26">
        <v>1841.18</v>
      </c>
    </row>
    <row r="559" spans="1:22" ht="16.8" x14ac:dyDescent="0.3">
      <c r="A559" s="20">
        <v>55.9</v>
      </c>
      <c r="B559" s="20">
        <v>74</v>
      </c>
      <c r="C559" s="20">
        <v>74.39</v>
      </c>
      <c r="D559" s="20">
        <v>-0.39</v>
      </c>
      <c r="E559" s="20">
        <v>-0.04</v>
      </c>
      <c r="F559" s="26">
        <v>2094.2600000000002</v>
      </c>
      <c r="Q559" s="20">
        <v>55.8</v>
      </c>
      <c r="R559" s="20">
        <v>74.22</v>
      </c>
      <c r="S559" s="26">
        <v>74</v>
      </c>
      <c r="T559" s="26">
        <v>-0.22</v>
      </c>
      <c r="U559" s="26">
        <v>0.03</v>
      </c>
      <c r="V559" s="20">
        <v>1891.76</v>
      </c>
    </row>
    <row r="560" spans="1:22" ht="16.8" x14ac:dyDescent="0.3">
      <c r="A560" s="20">
        <v>56</v>
      </c>
      <c r="B560" s="20">
        <v>74</v>
      </c>
      <c r="C560" s="26">
        <v>74.38</v>
      </c>
      <c r="D560" s="20">
        <v>-0.38</v>
      </c>
      <c r="E560" s="20">
        <v>0</v>
      </c>
      <c r="F560" s="20">
        <v>2131.88</v>
      </c>
      <c r="Q560" s="20">
        <v>55.9</v>
      </c>
      <c r="R560" s="20">
        <v>74.22</v>
      </c>
      <c r="S560" s="26">
        <v>74</v>
      </c>
      <c r="T560" s="26">
        <v>-0.22</v>
      </c>
      <c r="U560" s="26">
        <v>0.01</v>
      </c>
      <c r="V560" s="26">
        <v>1873.14</v>
      </c>
    </row>
    <row r="561" spans="1:22" ht="16.8" x14ac:dyDescent="0.3">
      <c r="A561" s="20">
        <v>56.1</v>
      </c>
      <c r="B561" s="20">
        <v>74</v>
      </c>
      <c r="C561" s="26">
        <v>74.39</v>
      </c>
      <c r="D561" s="20">
        <v>-0.39</v>
      </c>
      <c r="E561" s="20">
        <v>-0.01</v>
      </c>
      <c r="F561" s="26">
        <v>2114.5100000000002</v>
      </c>
      <c r="Q561" s="20">
        <v>56</v>
      </c>
      <c r="R561" s="20">
        <v>74.23</v>
      </c>
      <c r="S561" s="26">
        <v>74</v>
      </c>
      <c r="T561" s="26">
        <v>-0.23</v>
      </c>
      <c r="U561" s="26">
        <v>-0.02</v>
      </c>
      <c r="V561" s="20">
        <v>1850.25</v>
      </c>
    </row>
    <row r="562" spans="1:22" ht="16.8" x14ac:dyDescent="0.3">
      <c r="A562" s="20">
        <v>56.2</v>
      </c>
      <c r="B562" s="20">
        <v>74</v>
      </c>
      <c r="C562" s="20">
        <v>74.33</v>
      </c>
      <c r="D562" s="20">
        <v>-0.33</v>
      </c>
      <c r="E562" s="20">
        <v>0.06</v>
      </c>
      <c r="F562" s="20">
        <v>2194.25</v>
      </c>
      <c r="Q562" s="20">
        <v>56.1</v>
      </c>
      <c r="R562" s="20">
        <v>74.19</v>
      </c>
      <c r="S562" s="26">
        <v>74</v>
      </c>
      <c r="T562" s="26">
        <v>-0.19</v>
      </c>
      <c r="U562" s="26">
        <v>0.04</v>
      </c>
      <c r="V562" s="20">
        <v>1902.3</v>
      </c>
    </row>
    <row r="563" spans="1:22" ht="16.8" x14ac:dyDescent="0.3">
      <c r="A563" s="20">
        <v>56.3</v>
      </c>
      <c r="B563" s="20">
        <v>74</v>
      </c>
      <c r="C563" s="26">
        <v>74.37</v>
      </c>
      <c r="D563" s="20">
        <v>-0.37</v>
      </c>
      <c r="E563" s="20">
        <v>-0.04</v>
      </c>
      <c r="F563" s="26">
        <v>2119.21</v>
      </c>
      <c r="Q563" s="20">
        <v>56.2</v>
      </c>
      <c r="R563" s="20">
        <v>74.209999999999994</v>
      </c>
      <c r="S563" s="26">
        <v>74</v>
      </c>
      <c r="T563" s="26">
        <v>-0.21</v>
      </c>
      <c r="U563" s="26">
        <v>-0.02</v>
      </c>
      <c r="V563" s="26">
        <v>1853.5</v>
      </c>
    </row>
    <row r="564" spans="1:22" ht="16.8" x14ac:dyDescent="0.3">
      <c r="A564" s="20">
        <v>56.4</v>
      </c>
      <c r="B564" s="20">
        <v>74</v>
      </c>
      <c r="C564" s="20">
        <v>74.44</v>
      </c>
      <c r="D564" s="20">
        <v>-0.44</v>
      </c>
      <c r="E564" s="20">
        <v>-7.0000000000000007E-2</v>
      </c>
      <c r="F564" s="26">
        <v>1991.16</v>
      </c>
      <c r="Q564" s="20">
        <v>56.3</v>
      </c>
      <c r="R564" s="20">
        <v>74.22</v>
      </c>
      <c r="S564" s="26">
        <v>74</v>
      </c>
      <c r="T564" s="26">
        <v>-0.22</v>
      </c>
      <c r="U564" s="26">
        <v>-0.02</v>
      </c>
      <c r="V564" s="20">
        <v>1850.11</v>
      </c>
    </row>
    <row r="565" spans="1:22" ht="16.8" x14ac:dyDescent="0.3">
      <c r="A565" s="20">
        <v>56.5</v>
      </c>
      <c r="B565" s="20">
        <v>74</v>
      </c>
      <c r="C565" s="26">
        <v>74.42</v>
      </c>
      <c r="D565" s="20">
        <v>-0.42</v>
      </c>
      <c r="E565" s="20">
        <v>0.02</v>
      </c>
      <c r="F565" s="20">
        <v>2090.15</v>
      </c>
      <c r="Q565" s="20">
        <v>56.4</v>
      </c>
      <c r="R565" s="20">
        <v>74.180000000000007</v>
      </c>
      <c r="S565" s="26">
        <v>74</v>
      </c>
      <c r="T565" s="26">
        <v>-0.18</v>
      </c>
      <c r="U565" s="26">
        <v>0.05</v>
      </c>
      <c r="V565" s="26">
        <v>1910.11</v>
      </c>
    </row>
    <row r="566" spans="1:22" ht="16.8" x14ac:dyDescent="0.3">
      <c r="A566" s="20">
        <v>56.6</v>
      </c>
      <c r="B566" s="20">
        <v>74</v>
      </c>
      <c r="C566" s="26">
        <v>74.430000000000007</v>
      </c>
      <c r="D566" s="20">
        <v>-0.43</v>
      </c>
      <c r="E566" s="20">
        <v>-0.01</v>
      </c>
      <c r="F566" s="26">
        <v>2062.6799999999998</v>
      </c>
      <c r="Q566" s="20">
        <v>56.5</v>
      </c>
      <c r="R566" s="20">
        <v>74.13</v>
      </c>
      <c r="S566" s="26">
        <v>74</v>
      </c>
      <c r="T566" s="26">
        <v>-0.13</v>
      </c>
      <c r="U566" s="26">
        <v>0.04</v>
      </c>
      <c r="V566" s="20">
        <v>1910.35</v>
      </c>
    </row>
    <row r="567" spans="1:22" ht="16.8" x14ac:dyDescent="0.3">
      <c r="A567" s="20">
        <v>56.7</v>
      </c>
      <c r="B567" s="20">
        <v>74</v>
      </c>
      <c r="C567" s="20">
        <v>74.510000000000005</v>
      </c>
      <c r="D567" s="20">
        <v>-0.51</v>
      </c>
      <c r="E567" s="20">
        <v>-0.08</v>
      </c>
      <c r="F567" s="26">
        <v>1884.22</v>
      </c>
      <c r="Q567" s="20">
        <v>56.6</v>
      </c>
      <c r="R567" s="20">
        <v>74.17</v>
      </c>
      <c r="S567" s="26">
        <v>74</v>
      </c>
      <c r="T567" s="26">
        <v>-0.17</v>
      </c>
      <c r="U567" s="26">
        <v>-0.03</v>
      </c>
      <c r="V567" s="26">
        <v>1845.82</v>
      </c>
    </row>
    <row r="568" spans="1:22" ht="16.8" x14ac:dyDescent="0.3">
      <c r="A568" s="20">
        <v>56.8</v>
      </c>
      <c r="B568" s="20">
        <v>74</v>
      </c>
      <c r="C568" s="26">
        <v>74.459999999999994</v>
      </c>
      <c r="D568" s="20">
        <v>-0.46</v>
      </c>
      <c r="E568" s="20">
        <v>0.05</v>
      </c>
      <c r="F568" s="26">
        <v>2032.93</v>
      </c>
      <c r="Q568" s="20">
        <v>56.7</v>
      </c>
      <c r="R568" s="20">
        <v>74.09</v>
      </c>
      <c r="S568" s="20">
        <v>74</v>
      </c>
      <c r="T568" s="26">
        <v>-0.09</v>
      </c>
      <c r="U568" s="26">
        <v>7.0000000000000007E-2</v>
      </c>
      <c r="V568" s="20">
        <v>1942.76</v>
      </c>
    </row>
    <row r="569" spans="1:22" ht="16.8" x14ac:dyDescent="0.3">
      <c r="A569" s="20">
        <v>56.9</v>
      </c>
      <c r="B569" s="20">
        <v>74</v>
      </c>
      <c r="C569" s="20">
        <v>74.510000000000005</v>
      </c>
      <c r="D569" s="20">
        <v>-0.51</v>
      </c>
      <c r="E569" s="20">
        <v>-0.05</v>
      </c>
      <c r="F569" s="26">
        <v>1909.83</v>
      </c>
      <c r="Q569" s="20">
        <v>56.8</v>
      </c>
      <c r="R569" s="20">
        <v>74.12</v>
      </c>
      <c r="S569" s="26">
        <v>74</v>
      </c>
      <c r="T569" s="26">
        <v>-0.12</v>
      </c>
      <c r="U569" s="26">
        <v>-0.02</v>
      </c>
      <c r="V569" s="20">
        <v>1860.28</v>
      </c>
    </row>
    <row r="570" spans="1:22" ht="16.8" x14ac:dyDescent="0.3">
      <c r="A570" s="20">
        <v>57</v>
      </c>
      <c r="B570" s="20">
        <v>74</v>
      </c>
      <c r="C570" s="26">
        <v>74.52</v>
      </c>
      <c r="D570" s="20">
        <v>-0.52</v>
      </c>
      <c r="E570" s="20">
        <v>-0.02</v>
      </c>
      <c r="F570" s="26">
        <v>1910.25</v>
      </c>
      <c r="Q570" s="20">
        <v>56.9</v>
      </c>
      <c r="R570" s="20">
        <v>74.05</v>
      </c>
      <c r="S570" s="26">
        <v>74</v>
      </c>
      <c r="T570" s="26">
        <v>-0.05</v>
      </c>
      <c r="U570" s="26">
        <v>0.06</v>
      </c>
      <c r="V570" s="26">
        <v>1942.89</v>
      </c>
    </row>
    <row r="571" spans="1:22" ht="16.8" x14ac:dyDescent="0.3">
      <c r="A571" s="20">
        <v>57.1</v>
      </c>
      <c r="B571" s="20">
        <v>74</v>
      </c>
      <c r="C571" s="26">
        <v>74.489999999999995</v>
      </c>
      <c r="D571" s="20">
        <v>-0.49</v>
      </c>
      <c r="E571" s="20">
        <v>0.03</v>
      </c>
      <c r="F571" s="20">
        <v>1975.31</v>
      </c>
      <c r="Q571" s="20">
        <v>57</v>
      </c>
      <c r="R571" s="20">
        <v>74.16</v>
      </c>
      <c r="S571" s="26">
        <v>74</v>
      </c>
      <c r="T571" s="26">
        <v>-0.16</v>
      </c>
      <c r="U571" s="26">
        <v>-0.1</v>
      </c>
      <c r="V571" s="20">
        <v>1787.72</v>
      </c>
    </row>
    <row r="572" spans="1:22" ht="16.8" x14ac:dyDescent="0.3">
      <c r="A572" s="20">
        <v>57.2</v>
      </c>
      <c r="B572" s="20">
        <v>74</v>
      </c>
      <c r="C572" s="26">
        <v>74.45</v>
      </c>
      <c r="D572" s="20">
        <v>-0.45</v>
      </c>
      <c r="E572" s="20">
        <v>0.04</v>
      </c>
      <c r="F572" s="26">
        <v>2038.95</v>
      </c>
      <c r="Q572" s="20">
        <v>57.1</v>
      </c>
      <c r="R572" s="20">
        <v>74.13</v>
      </c>
      <c r="S572" s="26">
        <v>74</v>
      </c>
      <c r="T572" s="26">
        <v>-0.13</v>
      </c>
      <c r="U572" s="26">
        <v>0.03</v>
      </c>
      <c r="V572" s="26">
        <v>1903.47</v>
      </c>
    </row>
    <row r="573" spans="1:22" ht="16.8" x14ac:dyDescent="0.3">
      <c r="A573" s="20">
        <v>57.3</v>
      </c>
      <c r="B573" s="20">
        <v>74</v>
      </c>
      <c r="C573" s="20">
        <v>74.459999999999994</v>
      </c>
      <c r="D573" s="20">
        <v>-0.46</v>
      </c>
      <c r="E573" s="20">
        <v>0</v>
      </c>
      <c r="F573" s="26">
        <v>2029.25</v>
      </c>
      <c r="Q573" s="20">
        <v>57.2</v>
      </c>
      <c r="R573" s="20">
        <v>74.13</v>
      </c>
      <c r="S573" s="26">
        <v>74</v>
      </c>
      <c r="T573" s="26">
        <v>-0.13</v>
      </c>
      <c r="U573" s="26">
        <v>-0.01</v>
      </c>
      <c r="V573" s="20">
        <v>1869.25</v>
      </c>
    </row>
    <row r="574" spans="1:22" ht="16.8" x14ac:dyDescent="0.3">
      <c r="A574" s="20">
        <v>57.4</v>
      </c>
      <c r="B574" s="20">
        <v>74</v>
      </c>
      <c r="C574" s="26">
        <v>74.510000000000005</v>
      </c>
      <c r="D574" s="20">
        <v>-0.51</v>
      </c>
      <c r="E574" s="20">
        <v>-0.05</v>
      </c>
      <c r="F574" s="26">
        <v>1909.83</v>
      </c>
      <c r="Q574" s="20">
        <v>57.3</v>
      </c>
      <c r="R574" s="20">
        <v>74.11</v>
      </c>
      <c r="S574" s="26">
        <v>74</v>
      </c>
      <c r="T574" s="26">
        <v>-0.11</v>
      </c>
      <c r="U574" s="26">
        <v>0.02</v>
      </c>
      <c r="V574" s="26">
        <v>1899.21</v>
      </c>
    </row>
    <row r="575" spans="1:22" ht="16.8" x14ac:dyDescent="0.3">
      <c r="A575" s="20">
        <v>57.5</v>
      </c>
      <c r="B575" s="20">
        <v>74</v>
      </c>
      <c r="C575" s="26">
        <v>74.45</v>
      </c>
      <c r="D575" s="20">
        <v>-0.45</v>
      </c>
      <c r="E575" s="20">
        <v>0.06</v>
      </c>
      <c r="F575" s="26">
        <v>2044.91</v>
      </c>
      <c r="Q575" s="20">
        <v>57.4</v>
      </c>
      <c r="R575" s="20">
        <v>74.13</v>
      </c>
      <c r="S575" s="26">
        <v>74</v>
      </c>
      <c r="T575" s="26">
        <v>-0.13</v>
      </c>
      <c r="U575" s="26">
        <v>-0.02</v>
      </c>
      <c r="V575" s="20">
        <v>1863.57</v>
      </c>
    </row>
    <row r="576" spans="1:22" ht="16.8" x14ac:dyDescent="0.3">
      <c r="A576" s="20">
        <v>57.6</v>
      </c>
      <c r="B576" s="20">
        <v>74</v>
      </c>
      <c r="C576" s="20">
        <v>74.42</v>
      </c>
      <c r="D576" s="20">
        <v>-0.42</v>
      </c>
      <c r="E576" s="20">
        <v>0.02</v>
      </c>
      <c r="F576" s="20">
        <v>2079.19</v>
      </c>
      <c r="Q576" s="20">
        <v>57.5</v>
      </c>
      <c r="R576" s="20">
        <v>74.040000000000006</v>
      </c>
      <c r="S576" s="26">
        <v>74</v>
      </c>
      <c r="T576" s="26">
        <v>-0.04</v>
      </c>
      <c r="U576" s="26">
        <v>0.09</v>
      </c>
      <c r="V576" s="26">
        <v>1963.49</v>
      </c>
    </row>
    <row r="577" spans="1:22" ht="16.8" x14ac:dyDescent="0.3">
      <c r="A577" s="20">
        <v>57.7</v>
      </c>
      <c r="B577" s="20">
        <v>74</v>
      </c>
      <c r="C577" s="26">
        <v>74.42</v>
      </c>
      <c r="D577" s="20">
        <v>-0.42</v>
      </c>
      <c r="E577" s="20">
        <v>0.01</v>
      </c>
      <c r="F577" s="26">
        <v>2090.15</v>
      </c>
      <c r="Q577" s="20">
        <v>57.6</v>
      </c>
      <c r="R577" s="20">
        <v>74.040000000000006</v>
      </c>
      <c r="S577" s="26">
        <v>74</v>
      </c>
      <c r="T577" s="26">
        <v>-0.04</v>
      </c>
      <c r="U577" s="26">
        <v>0</v>
      </c>
      <c r="V577" s="20">
        <v>1891.94</v>
      </c>
    </row>
    <row r="578" spans="1:22" ht="16.8" x14ac:dyDescent="0.3">
      <c r="A578" s="20">
        <v>57.8</v>
      </c>
      <c r="B578" s="20">
        <v>74</v>
      </c>
      <c r="C578" s="20">
        <v>74.47</v>
      </c>
      <c r="D578" s="20">
        <v>-0.47</v>
      </c>
      <c r="E578" s="20">
        <v>-0.06</v>
      </c>
      <c r="F578" s="26">
        <v>1956.69</v>
      </c>
      <c r="Q578" s="20">
        <v>57.7</v>
      </c>
      <c r="R578" s="20">
        <v>74.12</v>
      </c>
      <c r="S578" s="26">
        <v>74</v>
      </c>
      <c r="T578" s="26">
        <v>-0.12</v>
      </c>
      <c r="U578" s="26">
        <v>-0.08</v>
      </c>
      <c r="V578" s="26">
        <v>1812.54</v>
      </c>
    </row>
    <row r="579" spans="1:22" ht="16.8" x14ac:dyDescent="0.3">
      <c r="A579" s="20">
        <v>57.9</v>
      </c>
      <c r="B579" s="20">
        <v>74</v>
      </c>
      <c r="C579" s="26">
        <v>74.45</v>
      </c>
      <c r="D579" s="20">
        <v>-0.45</v>
      </c>
      <c r="E579" s="20">
        <v>0.02</v>
      </c>
      <c r="F579" s="26">
        <v>2044.91</v>
      </c>
      <c r="Q579" s="20">
        <v>57.8</v>
      </c>
      <c r="R579" s="20">
        <v>74.13</v>
      </c>
      <c r="S579" s="20">
        <v>74</v>
      </c>
      <c r="T579" s="26">
        <v>-0.13</v>
      </c>
      <c r="U579" s="26">
        <v>-0.01</v>
      </c>
      <c r="V579" s="20">
        <v>1869.26</v>
      </c>
    </row>
    <row r="580" spans="1:22" ht="16.8" x14ac:dyDescent="0.3">
      <c r="A580" s="20">
        <v>58</v>
      </c>
      <c r="B580" s="20">
        <v>74</v>
      </c>
      <c r="C580" s="26">
        <v>74.349999999999994</v>
      </c>
      <c r="D580" s="20">
        <v>-0.35</v>
      </c>
      <c r="E580" s="20">
        <v>0.1</v>
      </c>
      <c r="F580" s="26">
        <v>2170.9899999999998</v>
      </c>
      <c r="Q580" s="20">
        <v>57.9</v>
      </c>
      <c r="R580" s="20">
        <v>74.05</v>
      </c>
      <c r="S580" s="26">
        <v>74</v>
      </c>
      <c r="T580" s="26">
        <v>-0.05</v>
      </c>
      <c r="U580" s="26">
        <v>0.08</v>
      </c>
      <c r="V580" s="20">
        <v>1954.75</v>
      </c>
    </row>
    <row r="581" spans="1:22" ht="16.8" x14ac:dyDescent="0.3">
      <c r="A581" s="20">
        <v>58.1</v>
      </c>
      <c r="B581" s="20">
        <v>74</v>
      </c>
      <c r="C581" s="20">
        <v>74.42</v>
      </c>
      <c r="D581" s="20">
        <v>-0.42</v>
      </c>
      <c r="E581" s="20">
        <v>-7.0000000000000007E-2</v>
      </c>
      <c r="F581" s="26">
        <v>2023.11</v>
      </c>
      <c r="Q581" s="20">
        <v>58</v>
      </c>
      <c r="R581" s="20">
        <v>74.05</v>
      </c>
      <c r="S581" s="26">
        <v>74</v>
      </c>
      <c r="T581" s="26">
        <v>-0.05</v>
      </c>
      <c r="U581" s="26">
        <v>0</v>
      </c>
      <c r="V581" s="26">
        <v>1889.68</v>
      </c>
    </row>
    <row r="582" spans="1:22" ht="16.8" x14ac:dyDescent="0.3">
      <c r="A582" s="20">
        <v>58.2</v>
      </c>
      <c r="B582" s="20">
        <v>74</v>
      </c>
      <c r="C582" s="26">
        <v>74.400000000000006</v>
      </c>
      <c r="D582" s="20">
        <v>-0.4</v>
      </c>
      <c r="E582" s="20">
        <v>0.02</v>
      </c>
      <c r="F582" s="26">
        <v>2106.16</v>
      </c>
      <c r="Q582" s="20">
        <v>58.1</v>
      </c>
      <c r="R582" s="20">
        <v>74.05</v>
      </c>
      <c r="S582" s="26">
        <v>74</v>
      </c>
      <c r="T582" s="26">
        <v>-0.05</v>
      </c>
      <c r="U582" s="26">
        <v>0</v>
      </c>
      <c r="V582" s="20">
        <v>1889.56</v>
      </c>
    </row>
    <row r="583" spans="1:22" ht="16.8" x14ac:dyDescent="0.3">
      <c r="A583" s="20">
        <v>58.3</v>
      </c>
      <c r="B583" s="20">
        <v>74</v>
      </c>
      <c r="C583" s="26">
        <v>74.400000000000006</v>
      </c>
      <c r="D583" s="20">
        <v>-0.4</v>
      </c>
      <c r="E583" s="20">
        <v>0</v>
      </c>
      <c r="F583" s="26">
        <v>2106.16</v>
      </c>
      <c r="Q583" s="20">
        <v>58.2</v>
      </c>
      <c r="R583" s="20">
        <v>74.02</v>
      </c>
      <c r="S583" s="26">
        <v>74</v>
      </c>
      <c r="T583" s="26">
        <v>-0.02</v>
      </c>
      <c r="U583" s="26">
        <v>0.02</v>
      </c>
      <c r="V583" s="26">
        <v>1913.24</v>
      </c>
    </row>
    <row r="584" spans="1:22" ht="16.8" x14ac:dyDescent="0.3">
      <c r="A584" s="20">
        <v>58.4</v>
      </c>
      <c r="B584" s="20">
        <v>74</v>
      </c>
      <c r="C584" s="20">
        <v>74.39</v>
      </c>
      <c r="D584" s="20">
        <v>-0.39</v>
      </c>
      <c r="E584" s="20">
        <v>0.02</v>
      </c>
      <c r="F584" s="26">
        <v>2126.85</v>
      </c>
      <c r="Q584" s="20">
        <v>58.3</v>
      </c>
      <c r="R584" s="20">
        <v>74.05</v>
      </c>
      <c r="S584" s="26">
        <v>74</v>
      </c>
      <c r="T584" s="26">
        <v>-0.05</v>
      </c>
      <c r="U584" s="26">
        <v>-0.02</v>
      </c>
      <c r="V584" s="20">
        <v>1869.9</v>
      </c>
    </row>
    <row r="585" spans="1:22" ht="16.8" x14ac:dyDescent="0.3">
      <c r="A585" s="20">
        <v>58.5</v>
      </c>
      <c r="B585" s="20">
        <v>74</v>
      </c>
      <c r="C585" s="26">
        <v>74.38</v>
      </c>
      <c r="D585" s="20">
        <v>-0.38</v>
      </c>
      <c r="E585" s="20">
        <v>0</v>
      </c>
      <c r="F585" s="26">
        <v>2131.88</v>
      </c>
      <c r="Q585" s="20">
        <v>58.4</v>
      </c>
      <c r="R585" s="20">
        <v>73.959999999999994</v>
      </c>
      <c r="S585" s="26">
        <v>74</v>
      </c>
      <c r="T585" s="26">
        <v>0.04</v>
      </c>
      <c r="U585" s="26">
        <v>0.09</v>
      </c>
      <c r="V585" s="26">
        <v>1976.51</v>
      </c>
    </row>
    <row r="586" spans="1:22" ht="16.8" x14ac:dyDescent="0.3">
      <c r="A586" s="20">
        <v>58.6</v>
      </c>
      <c r="B586" s="20">
        <v>74</v>
      </c>
      <c r="C586" s="20">
        <v>74.400000000000006</v>
      </c>
      <c r="D586" s="20">
        <v>-0.4</v>
      </c>
      <c r="E586" s="20">
        <v>-0.01</v>
      </c>
      <c r="F586" s="26">
        <v>2105.75</v>
      </c>
      <c r="Q586" s="20">
        <v>58.5</v>
      </c>
      <c r="R586" s="20">
        <v>74.02</v>
      </c>
      <c r="S586" s="26">
        <v>74</v>
      </c>
      <c r="T586" s="26">
        <v>-0.02</v>
      </c>
      <c r="U586" s="26">
        <v>-0.06</v>
      </c>
      <c r="V586" s="20">
        <v>1841.72</v>
      </c>
    </row>
    <row r="587" spans="1:22" ht="16.8" x14ac:dyDescent="0.3">
      <c r="A587" s="20">
        <v>58.7</v>
      </c>
      <c r="B587" s="20">
        <v>74</v>
      </c>
      <c r="C587" s="26">
        <v>74.319999999999993</v>
      </c>
      <c r="D587" s="20">
        <v>-0.32</v>
      </c>
      <c r="E587" s="20">
        <v>7.0000000000000007E-2</v>
      </c>
      <c r="F587" s="20">
        <v>2203.39</v>
      </c>
      <c r="Q587" s="20">
        <v>58.6</v>
      </c>
      <c r="R587" s="20">
        <v>73.97</v>
      </c>
      <c r="S587" s="26">
        <v>74</v>
      </c>
      <c r="T587" s="26">
        <v>0.03</v>
      </c>
      <c r="U587" s="26">
        <v>0.06</v>
      </c>
      <c r="V587" s="26">
        <v>1949.12</v>
      </c>
    </row>
    <row r="588" spans="1:22" ht="16.8" x14ac:dyDescent="0.3">
      <c r="A588" s="20">
        <v>58.8</v>
      </c>
      <c r="B588" s="20">
        <v>74</v>
      </c>
      <c r="C588" s="26">
        <v>74.38</v>
      </c>
      <c r="D588" s="20">
        <v>-0.38</v>
      </c>
      <c r="E588" s="20">
        <v>-0.06</v>
      </c>
      <c r="F588" s="26">
        <v>2086.39</v>
      </c>
      <c r="Q588" s="20">
        <v>58.7</v>
      </c>
      <c r="R588" s="20">
        <v>73.94</v>
      </c>
      <c r="S588" s="26">
        <v>74</v>
      </c>
      <c r="T588" s="26">
        <v>0.06</v>
      </c>
      <c r="U588" s="26">
        <v>0.02</v>
      </c>
      <c r="V588" s="20">
        <v>1927.55</v>
      </c>
    </row>
    <row r="589" spans="1:22" ht="16.8" x14ac:dyDescent="0.3">
      <c r="A589" s="20">
        <v>58.9</v>
      </c>
      <c r="B589" s="20">
        <v>74</v>
      </c>
      <c r="C589" s="20">
        <v>74.38</v>
      </c>
      <c r="D589" s="20">
        <v>-0.38</v>
      </c>
      <c r="E589" s="20">
        <v>0</v>
      </c>
      <c r="F589" s="26">
        <v>2141.91</v>
      </c>
      <c r="Q589" s="20">
        <v>58.8</v>
      </c>
      <c r="R589" s="20">
        <v>73.989999999999995</v>
      </c>
      <c r="S589" s="26">
        <v>74</v>
      </c>
      <c r="T589" s="26">
        <v>0.01</v>
      </c>
      <c r="U589" s="26">
        <v>-0.05</v>
      </c>
      <c r="V589" s="20">
        <v>1860.62</v>
      </c>
    </row>
    <row r="590" spans="1:22" ht="16.8" x14ac:dyDescent="0.3">
      <c r="A590" s="20">
        <v>59</v>
      </c>
      <c r="B590" s="20">
        <v>74</v>
      </c>
      <c r="C590" s="26">
        <v>74.38</v>
      </c>
      <c r="D590" s="20">
        <v>-0.38</v>
      </c>
      <c r="E590" s="20">
        <v>-0.01</v>
      </c>
      <c r="F590" s="20">
        <v>2124.64</v>
      </c>
      <c r="Q590" s="20">
        <v>58.9</v>
      </c>
      <c r="R590" s="20">
        <v>73.97</v>
      </c>
      <c r="S590" s="26">
        <v>74</v>
      </c>
      <c r="T590" s="26">
        <v>0.03</v>
      </c>
      <c r="U590" s="26">
        <v>0.02</v>
      </c>
      <c r="V590" s="26">
        <v>1923.41</v>
      </c>
    </row>
    <row r="591" spans="1:22" ht="16.8" x14ac:dyDescent="0.3">
      <c r="A591" s="20">
        <v>59.1</v>
      </c>
      <c r="B591" s="20">
        <v>74</v>
      </c>
      <c r="C591" s="20">
        <v>74.36</v>
      </c>
      <c r="D591" s="20">
        <v>-0.36</v>
      </c>
      <c r="E591" s="20">
        <v>0.02</v>
      </c>
      <c r="F591" s="26">
        <v>2161.41</v>
      </c>
      <c r="Q591" s="20">
        <v>59</v>
      </c>
      <c r="R591" s="20">
        <v>73.98</v>
      </c>
      <c r="S591" s="26">
        <v>74</v>
      </c>
      <c r="T591" s="26">
        <v>0.02</v>
      </c>
      <c r="U591" s="26">
        <v>-0.02</v>
      </c>
      <c r="V591" s="20">
        <v>1888.16</v>
      </c>
    </row>
    <row r="592" spans="1:22" ht="16.8" x14ac:dyDescent="0.3">
      <c r="A592" s="20">
        <v>59.2</v>
      </c>
      <c r="B592" s="20">
        <v>74</v>
      </c>
      <c r="C592" s="26">
        <v>74.34</v>
      </c>
      <c r="D592" s="20">
        <v>-0.34</v>
      </c>
      <c r="E592" s="20">
        <v>0.02</v>
      </c>
      <c r="F592" s="20">
        <v>2180.39</v>
      </c>
      <c r="Q592" s="20">
        <v>59.1</v>
      </c>
      <c r="R592" s="20">
        <v>73.959999999999994</v>
      </c>
      <c r="S592" s="26">
        <v>74</v>
      </c>
      <c r="T592" s="20">
        <v>0.04</v>
      </c>
      <c r="U592" s="26">
        <v>0.02</v>
      </c>
      <c r="V592" s="26">
        <v>1924.99</v>
      </c>
    </row>
    <row r="593" spans="1:22" ht="16.8" x14ac:dyDescent="0.3">
      <c r="A593" s="20">
        <v>59.3</v>
      </c>
      <c r="B593" s="20">
        <v>74</v>
      </c>
      <c r="C593" s="26">
        <v>74.34</v>
      </c>
      <c r="D593" s="20">
        <v>-0.34</v>
      </c>
      <c r="E593" s="20">
        <v>0</v>
      </c>
      <c r="F593" s="26">
        <v>2180.39</v>
      </c>
      <c r="Q593" s="20">
        <v>59.2</v>
      </c>
      <c r="R593" s="20">
        <v>73.959999999999994</v>
      </c>
      <c r="S593" s="26">
        <v>74</v>
      </c>
      <c r="T593" s="26">
        <v>0.04</v>
      </c>
      <c r="U593" s="26">
        <v>0</v>
      </c>
      <c r="V593" s="20">
        <v>1905.6</v>
      </c>
    </row>
    <row r="594" spans="1:22" ht="16.8" x14ac:dyDescent="0.3">
      <c r="A594" s="20">
        <v>59.4</v>
      </c>
      <c r="B594" s="20">
        <v>74</v>
      </c>
      <c r="C594" s="20">
        <v>74.42</v>
      </c>
      <c r="D594" s="20">
        <v>-0.42</v>
      </c>
      <c r="E594" s="20">
        <v>-0.08</v>
      </c>
      <c r="F594" s="26">
        <v>2015.94</v>
      </c>
      <c r="Q594" s="20">
        <v>59.3</v>
      </c>
      <c r="R594" s="20">
        <v>73.98</v>
      </c>
      <c r="S594" s="26">
        <v>74</v>
      </c>
      <c r="T594" s="20">
        <v>0.02</v>
      </c>
      <c r="U594" s="26">
        <v>-0.02</v>
      </c>
      <c r="V594" s="26">
        <v>1881.91</v>
      </c>
    </row>
    <row r="595" spans="1:22" ht="16.8" x14ac:dyDescent="0.3">
      <c r="A595" s="20">
        <v>59.5</v>
      </c>
      <c r="B595" s="20">
        <v>74</v>
      </c>
      <c r="C595" s="26">
        <v>74.38</v>
      </c>
      <c r="D595" s="20">
        <v>-0.38</v>
      </c>
      <c r="E595" s="20">
        <v>0.04</v>
      </c>
      <c r="F595" s="26">
        <v>2141.91</v>
      </c>
      <c r="Q595" s="20">
        <v>59.4</v>
      </c>
      <c r="R595" s="20">
        <v>73.959999999999994</v>
      </c>
      <c r="S595" s="26">
        <v>74</v>
      </c>
      <c r="T595" s="26">
        <v>0.04</v>
      </c>
      <c r="U595" s="26">
        <v>0.02</v>
      </c>
      <c r="V595" s="20">
        <v>1925.25</v>
      </c>
    </row>
    <row r="596" spans="1:22" ht="16.8" x14ac:dyDescent="0.3">
      <c r="A596" s="20">
        <v>59.6</v>
      </c>
      <c r="B596" s="20">
        <v>74</v>
      </c>
      <c r="C596" s="26">
        <v>74.44</v>
      </c>
      <c r="D596" s="20">
        <v>-0.44</v>
      </c>
      <c r="E596" s="20">
        <v>-0.06</v>
      </c>
      <c r="F596" s="26">
        <v>2007.73</v>
      </c>
      <c r="Q596" s="20">
        <v>59.5</v>
      </c>
      <c r="R596" s="20">
        <v>73.930000000000007</v>
      </c>
      <c r="S596" s="26">
        <v>74</v>
      </c>
      <c r="T596" s="20">
        <v>7.0000000000000007E-2</v>
      </c>
      <c r="U596" s="26">
        <v>0.02</v>
      </c>
      <c r="V596" s="26">
        <v>1929.64</v>
      </c>
    </row>
    <row r="597" spans="1:22" ht="16.8" x14ac:dyDescent="0.3">
      <c r="A597" s="20">
        <v>59.7</v>
      </c>
      <c r="B597" s="20">
        <v>74</v>
      </c>
      <c r="C597" s="20">
        <v>74.42</v>
      </c>
      <c r="D597" s="20">
        <v>-0.42</v>
      </c>
      <c r="E597" s="20">
        <v>0.01</v>
      </c>
      <c r="F597" s="26">
        <v>2079.19</v>
      </c>
      <c r="Q597" s="20">
        <v>59.6</v>
      </c>
      <c r="R597" s="20">
        <v>73.97</v>
      </c>
      <c r="S597" s="26">
        <v>74</v>
      </c>
      <c r="T597" s="26">
        <v>0.03</v>
      </c>
      <c r="U597" s="26">
        <v>-0.04</v>
      </c>
      <c r="V597" s="20">
        <v>1870.67</v>
      </c>
    </row>
    <row r="598" spans="1:22" ht="16.8" x14ac:dyDescent="0.3">
      <c r="A598" s="20">
        <v>59.8</v>
      </c>
      <c r="B598" s="20">
        <v>74</v>
      </c>
      <c r="C598" s="26">
        <v>74.430000000000007</v>
      </c>
      <c r="D598" s="20">
        <v>-0.43</v>
      </c>
      <c r="E598" s="20">
        <v>-0.01</v>
      </c>
      <c r="F598" s="20">
        <v>2060.6799999999998</v>
      </c>
      <c r="Q598" s="20">
        <v>59.7</v>
      </c>
      <c r="R598" s="20">
        <v>74.040000000000006</v>
      </c>
      <c r="S598" s="26">
        <v>74</v>
      </c>
      <c r="T598" s="26">
        <v>-0.04</v>
      </c>
      <c r="U598" s="26">
        <v>-0.06</v>
      </c>
      <c r="V598" s="26">
        <v>1839.8</v>
      </c>
    </row>
    <row r="599" spans="1:22" ht="16.8" x14ac:dyDescent="0.3">
      <c r="A599" s="20">
        <v>59.9</v>
      </c>
      <c r="B599" s="20">
        <v>74</v>
      </c>
      <c r="C599" s="26">
        <v>74.430000000000007</v>
      </c>
      <c r="D599" s="20">
        <v>-0.43</v>
      </c>
      <c r="E599" s="20">
        <v>0</v>
      </c>
      <c r="F599" s="26">
        <v>2067.98</v>
      </c>
      <c r="Q599" s="20">
        <v>59.8</v>
      </c>
      <c r="R599" s="20">
        <v>73.930000000000007</v>
      </c>
      <c r="S599" s="26">
        <v>74</v>
      </c>
      <c r="T599" s="26">
        <v>7.0000000000000007E-2</v>
      </c>
      <c r="U599" s="26">
        <v>0.1</v>
      </c>
      <c r="V599" s="20">
        <v>1994.73</v>
      </c>
    </row>
    <row r="600" spans="1:22" ht="16.8" x14ac:dyDescent="0.3">
      <c r="A600" s="20">
        <v>60</v>
      </c>
      <c r="B600" s="20">
        <v>74</v>
      </c>
      <c r="C600" s="20">
        <v>74.44</v>
      </c>
      <c r="D600" s="20">
        <v>-0.44</v>
      </c>
      <c r="E600" s="20">
        <v>0</v>
      </c>
      <c r="F600" s="26">
        <v>2058.65</v>
      </c>
      <c r="Q600" s="20">
        <v>59.9</v>
      </c>
      <c r="R600" s="20">
        <v>73.92</v>
      </c>
      <c r="S600" s="26">
        <v>74</v>
      </c>
      <c r="T600" s="26">
        <v>0.08</v>
      </c>
      <c r="U600" s="26">
        <v>0.02</v>
      </c>
      <c r="V600" s="20">
        <v>1926.33</v>
      </c>
    </row>
    <row r="601" spans="1:22" ht="16.8" x14ac:dyDescent="0.3">
      <c r="A601" s="24">
        <v>60.1</v>
      </c>
      <c r="B601" s="24">
        <v>74</v>
      </c>
      <c r="C601" s="25">
        <v>74.489999999999995</v>
      </c>
      <c r="D601" s="24">
        <v>-0.49</v>
      </c>
      <c r="E601" s="24">
        <v>-0.06</v>
      </c>
      <c r="F601" s="25">
        <v>1923.51</v>
      </c>
      <c r="Q601" s="20">
        <v>60</v>
      </c>
      <c r="R601" s="20">
        <v>73.92</v>
      </c>
      <c r="S601" s="26">
        <v>74</v>
      </c>
      <c r="T601" s="26">
        <v>0.08</v>
      </c>
      <c r="U601" s="20">
        <v>0</v>
      </c>
      <c r="V601" s="26">
        <v>1913.54</v>
      </c>
    </row>
    <row r="602" spans="1:22" ht="16.8" x14ac:dyDescent="0.3">
      <c r="A602" s="24">
        <v>60.1</v>
      </c>
      <c r="B602" s="24">
        <v>74</v>
      </c>
      <c r="C602" s="24">
        <v>74.53</v>
      </c>
      <c r="D602" s="24">
        <v>1.47</v>
      </c>
      <c r="E602" s="24">
        <v>-0.02</v>
      </c>
      <c r="F602" s="24">
        <v>1844.1</v>
      </c>
      <c r="Q602" s="24">
        <v>60.1</v>
      </c>
      <c r="R602" s="24">
        <v>73.88</v>
      </c>
      <c r="S602" s="25">
        <v>74</v>
      </c>
      <c r="T602" s="25">
        <v>0.12</v>
      </c>
      <c r="U602" s="25">
        <v>0.03</v>
      </c>
      <c r="V602" s="24">
        <v>1945.46</v>
      </c>
    </row>
  </sheetData>
  <mergeCells count="22">
    <mergeCell ref="H28:I28"/>
    <mergeCell ref="H18:K18"/>
    <mergeCell ref="J19:K19"/>
    <mergeCell ref="J20:K20"/>
    <mergeCell ref="H22:J22"/>
    <mergeCell ref="H23:J23"/>
    <mergeCell ref="X18:AA18"/>
    <mergeCell ref="Z19:AA19"/>
    <mergeCell ref="Z20:AA20"/>
    <mergeCell ref="X22:Z22"/>
    <mergeCell ref="X23:Z23"/>
    <mergeCell ref="X35:Z35"/>
    <mergeCell ref="H29:I29"/>
    <mergeCell ref="H31:I31"/>
    <mergeCell ref="H32:I32"/>
    <mergeCell ref="H34:J34"/>
    <mergeCell ref="H35:J35"/>
    <mergeCell ref="X28:Y28"/>
    <mergeCell ref="X29:Y29"/>
    <mergeCell ref="X31:Y31"/>
    <mergeCell ref="X32:Y32"/>
    <mergeCell ref="X34:Z34"/>
  </mergeCells>
  <dataValidations count="6">
    <dataValidation allowBlank="1" showInputMessage="1" showErrorMessage="1" prompt="TBL_HST[CH6]" sqref="V2:V602 F2:F602" xr:uid="{5D6F16B2-DB43-4DBF-A8DF-F25313CBEF4E}"/>
    <dataValidation allowBlank="1" showInputMessage="1" showErrorMessage="1" prompt="TBL_HST[CH5]" sqref="U2:U602 E2:E602" xr:uid="{D8769C2F-54DA-406C-87C2-C8FFAB5DD2E5}"/>
    <dataValidation allowBlank="1" showInputMessage="1" showErrorMessage="1" prompt="TBL_HST[CH4]" sqref="T2:T602 D412:D602 F411 F73 D2:D410" xr:uid="{AE34F26C-A6BB-4075-968B-15338D88A246}"/>
    <dataValidation allowBlank="1" showInputMessage="1" showErrorMessage="1" prompt="TBL_HST[CH3]" sqref="S2:S602 E73 C2:C602" xr:uid="{BD76D956-6BED-49B5-906C-940FEF61AA8F}"/>
    <dataValidation allowBlank="1" showInputMessage="1" showErrorMessage="1" prompt="TBL_HST[CH2]" sqref="R2:R602 B2:B602" xr:uid="{C0923048-8B8D-4351-B962-6FF19F4B057C}"/>
    <dataValidation allowBlank="1" showInputMessage="1" showErrorMessage="1" prompt="TBL_HST[CH1]" sqref="Q2:Q602 A2:A602" xr:uid="{E28D60D2-229A-4A1E-879C-178447534539}"/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A10E0-ED3E-4141-8252-9B4FE8A6A19E}">
  <dimension ref="A1:AA602"/>
  <sheetViews>
    <sheetView topLeftCell="D1" zoomScale="97" workbookViewId="0">
      <selection activeCell="K20" sqref="K20"/>
    </sheetView>
  </sheetViews>
  <sheetFormatPr defaultRowHeight="14.4" x14ac:dyDescent="0.3"/>
  <cols>
    <col min="4" max="5" width="9" bestFit="1" customWidth="1"/>
    <col min="6" max="6" width="10.109375" bestFit="1" customWidth="1"/>
    <col min="8" max="8" width="18.33203125" customWidth="1"/>
    <col min="9" max="9" width="16.88671875" customWidth="1"/>
    <col min="10" max="10" width="12" customWidth="1"/>
    <col min="17" max="21" width="9.109375" bestFit="1" customWidth="1"/>
    <col min="22" max="22" width="10.109375" bestFit="1" customWidth="1"/>
    <col min="24" max="24" width="17.33203125" customWidth="1"/>
    <col min="25" max="25" width="17.109375" customWidth="1"/>
    <col min="26" max="26" width="23.88671875" customWidth="1"/>
    <col min="28" max="28" width="22" customWidth="1"/>
  </cols>
  <sheetData>
    <row r="1" spans="1:27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ht="16.8" x14ac:dyDescent="0.3">
      <c r="A2" s="20">
        <v>0.1</v>
      </c>
      <c r="B2" s="20">
        <v>77</v>
      </c>
      <c r="C2" s="20">
        <v>30.33</v>
      </c>
      <c r="D2" s="20">
        <v>46.67</v>
      </c>
      <c r="E2" s="20">
        <v>6</v>
      </c>
      <c r="F2" s="26">
        <v>2048</v>
      </c>
      <c r="Q2" s="20">
        <v>0.1</v>
      </c>
      <c r="R2" s="20">
        <v>33.25</v>
      </c>
      <c r="S2" s="26">
        <v>77</v>
      </c>
      <c r="T2" s="26">
        <v>43.75</v>
      </c>
      <c r="U2" s="26">
        <v>43.75</v>
      </c>
      <c r="V2" s="20">
        <v>4095</v>
      </c>
    </row>
    <row r="3" spans="1:27" ht="16.8" x14ac:dyDescent="0.3">
      <c r="A3" s="20">
        <v>0.2</v>
      </c>
      <c r="B3" s="20">
        <v>77</v>
      </c>
      <c r="C3" s="26">
        <v>30.35</v>
      </c>
      <c r="D3" s="20">
        <v>46.65</v>
      </c>
      <c r="E3" s="20">
        <v>-0.02</v>
      </c>
      <c r="F3" s="20">
        <v>3435.47</v>
      </c>
      <c r="Q3" s="20">
        <v>0.2</v>
      </c>
      <c r="R3" s="20">
        <v>33.979999999999997</v>
      </c>
      <c r="S3" s="26">
        <v>77</v>
      </c>
      <c r="T3" s="26">
        <v>43.02</v>
      </c>
      <c r="U3" s="26">
        <v>-0.73</v>
      </c>
      <c r="V3" s="26">
        <v>4095</v>
      </c>
    </row>
    <row r="4" spans="1:27" ht="16.8" x14ac:dyDescent="0.3">
      <c r="A4" s="20">
        <v>0.3</v>
      </c>
      <c r="B4" s="20">
        <v>77</v>
      </c>
      <c r="C4" s="26">
        <v>30.48</v>
      </c>
      <c r="D4" s="20">
        <v>46.52</v>
      </c>
      <c r="E4" s="20">
        <v>-0.13</v>
      </c>
      <c r="F4" s="26">
        <v>3328.87</v>
      </c>
      <c r="Q4" s="20">
        <v>0.3</v>
      </c>
      <c r="R4" s="20">
        <v>33.950000000000003</v>
      </c>
      <c r="S4" s="26">
        <v>77</v>
      </c>
      <c r="T4" s="26">
        <v>43.05</v>
      </c>
      <c r="U4" s="26">
        <v>0.02</v>
      </c>
      <c r="V4" s="20">
        <v>4095</v>
      </c>
    </row>
    <row r="5" spans="1:27" ht="16.8" x14ac:dyDescent="0.3">
      <c r="A5" s="20">
        <v>0.4</v>
      </c>
      <c r="B5" s="20">
        <v>77</v>
      </c>
      <c r="C5" s="20">
        <v>30.5</v>
      </c>
      <c r="D5" s="20">
        <v>46.5</v>
      </c>
      <c r="E5" s="20">
        <v>-0.02</v>
      </c>
      <c r="F5" s="20">
        <v>3431.92</v>
      </c>
      <c r="Q5" s="20">
        <v>0.4</v>
      </c>
      <c r="R5" s="20">
        <v>34.020000000000003</v>
      </c>
      <c r="S5" s="26">
        <v>77</v>
      </c>
      <c r="T5" s="26">
        <v>42.98</v>
      </c>
      <c r="U5" s="26">
        <v>-0.06</v>
      </c>
      <c r="V5" s="20">
        <v>4095</v>
      </c>
    </row>
    <row r="6" spans="1:27" ht="16.8" x14ac:dyDescent="0.3">
      <c r="A6" s="20">
        <v>0.5</v>
      </c>
      <c r="B6" s="20">
        <v>77</v>
      </c>
      <c r="C6" s="26">
        <v>30.5</v>
      </c>
      <c r="D6" s="20">
        <v>46.5</v>
      </c>
      <c r="E6" s="20">
        <v>0</v>
      </c>
      <c r="F6" s="26">
        <v>3446.07</v>
      </c>
      <c r="Q6" s="20">
        <v>0.5</v>
      </c>
      <c r="R6" s="20">
        <v>34.119999999999997</v>
      </c>
      <c r="S6" s="26">
        <v>77</v>
      </c>
      <c r="T6" s="26">
        <v>42.88</v>
      </c>
      <c r="U6" s="26">
        <v>-0.1</v>
      </c>
      <c r="V6" s="26">
        <v>4095</v>
      </c>
    </row>
    <row r="7" spans="1:27" ht="16.8" x14ac:dyDescent="0.3">
      <c r="A7" s="20">
        <v>0.6</v>
      </c>
      <c r="B7" s="20">
        <v>77</v>
      </c>
      <c r="C7" s="20">
        <v>30.62</v>
      </c>
      <c r="D7" s="20">
        <v>46.38</v>
      </c>
      <c r="E7" s="20">
        <v>-0.12</v>
      </c>
      <c r="F7" s="26">
        <v>3341.14</v>
      </c>
      <c r="Q7" s="20">
        <v>0.6</v>
      </c>
      <c r="R7" s="20">
        <v>34.4</v>
      </c>
      <c r="S7" s="26">
        <v>77</v>
      </c>
      <c r="T7" s="26">
        <v>42.6</v>
      </c>
      <c r="U7" s="26">
        <v>-0.27</v>
      </c>
      <c r="V7" s="20">
        <v>4095</v>
      </c>
    </row>
    <row r="8" spans="1:27" ht="16.8" x14ac:dyDescent="0.3">
      <c r="A8" s="20">
        <v>0.7</v>
      </c>
      <c r="B8" s="20">
        <v>77</v>
      </c>
      <c r="C8" s="26">
        <v>30.75</v>
      </c>
      <c r="D8" s="20">
        <v>46.25</v>
      </c>
      <c r="E8" s="20">
        <v>-0.13</v>
      </c>
      <c r="F8" s="26">
        <v>3328.87</v>
      </c>
      <c r="Q8" s="20">
        <v>0.7</v>
      </c>
      <c r="R8" s="20">
        <v>34.72</v>
      </c>
      <c r="S8" s="26">
        <v>77</v>
      </c>
      <c r="T8" s="26">
        <v>42.28</v>
      </c>
      <c r="U8" s="26">
        <v>-0.32</v>
      </c>
      <c r="V8" s="26">
        <v>4095</v>
      </c>
    </row>
    <row r="9" spans="1:27" ht="16.8" x14ac:dyDescent="0.3">
      <c r="A9" s="20">
        <v>0.8</v>
      </c>
      <c r="B9" s="20">
        <v>77</v>
      </c>
      <c r="C9" s="26">
        <v>30.98</v>
      </c>
      <c r="D9" s="20">
        <v>46.02</v>
      </c>
      <c r="E9" s="20">
        <v>-0.23</v>
      </c>
      <c r="F9" s="26">
        <v>3213.75</v>
      </c>
      <c r="Q9" s="20">
        <v>0.8</v>
      </c>
      <c r="R9" s="20">
        <v>35.08</v>
      </c>
      <c r="S9" s="26">
        <v>77</v>
      </c>
      <c r="T9" s="26">
        <v>41.92</v>
      </c>
      <c r="U9" s="26">
        <v>-0.36</v>
      </c>
      <c r="V9" s="20">
        <v>4095</v>
      </c>
    </row>
    <row r="10" spans="1:27" ht="16.8" x14ac:dyDescent="0.3">
      <c r="A10" s="20">
        <v>0.9</v>
      </c>
      <c r="B10" s="20">
        <v>77</v>
      </c>
      <c r="C10" s="20">
        <v>31.23</v>
      </c>
      <c r="D10" s="20">
        <v>45.77</v>
      </c>
      <c r="E10" s="20">
        <v>-0.26</v>
      </c>
      <c r="F10" s="26">
        <v>3175.75</v>
      </c>
      <c r="Q10" s="20">
        <v>0.9</v>
      </c>
      <c r="R10" s="20">
        <v>35.520000000000003</v>
      </c>
      <c r="S10" s="26">
        <v>77</v>
      </c>
      <c r="T10" s="26">
        <v>41.48</v>
      </c>
      <c r="U10" s="26">
        <v>-0.44</v>
      </c>
      <c r="V10" s="26">
        <v>4095</v>
      </c>
    </row>
    <row r="11" spans="1:27" ht="16.8" x14ac:dyDescent="0.3">
      <c r="A11" s="20">
        <v>1</v>
      </c>
      <c r="B11" s="20">
        <v>77</v>
      </c>
      <c r="C11" s="26">
        <v>31.5</v>
      </c>
      <c r="D11" s="20">
        <v>45.5</v>
      </c>
      <c r="E11" s="20">
        <v>-0.26</v>
      </c>
      <c r="F11" s="26">
        <v>3170.03</v>
      </c>
      <c r="Q11" s="20">
        <v>1</v>
      </c>
      <c r="R11" s="20">
        <v>36</v>
      </c>
      <c r="S11" s="26">
        <v>77</v>
      </c>
      <c r="T11" s="26">
        <v>41</v>
      </c>
      <c r="U11" s="26">
        <v>-0.48</v>
      </c>
      <c r="V11" s="20">
        <v>4095</v>
      </c>
    </row>
    <row r="12" spans="1:27" ht="16.8" x14ac:dyDescent="0.3">
      <c r="A12" s="20">
        <v>1.1000000000000001</v>
      </c>
      <c r="B12" s="20">
        <v>77</v>
      </c>
      <c r="C12" s="26">
        <v>31.82</v>
      </c>
      <c r="D12" s="20">
        <v>45.18</v>
      </c>
      <c r="E12" s="20">
        <v>-0.32</v>
      </c>
      <c r="F12" s="26">
        <v>3078.94</v>
      </c>
      <c r="Q12" s="20">
        <v>1.1000000000000001</v>
      </c>
      <c r="R12" s="20">
        <v>36.57</v>
      </c>
      <c r="S12" s="26">
        <v>77</v>
      </c>
      <c r="T12" s="20">
        <v>40.43</v>
      </c>
      <c r="U12" s="26">
        <v>-0.56999999999999995</v>
      </c>
      <c r="V12" s="26">
        <v>4095</v>
      </c>
    </row>
    <row r="13" spans="1:27" ht="16.8" x14ac:dyDescent="0.3">
      <c r="A13" s="20">
        <v>1.2</v>
      </c>
      <c r="B13" s="20">
        <v>77</v>
      </c>
      <c r="C13" s="20">
        <v>32.19</v>
      </c>
      <c r="D13" s="20">
        <v>44.81</v>
      </c>
      <c r="E13" s="20">
        <v>-0.37</v>
      </c>
      <c r="F13" s="26">
        <v>2967.34</v>
      </c>
      <c r="Q13" s="20">
        <v>1.2</v>
      </c>
      <c r="R13" s="20">
        <v>37.200000000000003</v>
      </c>
      <c r="S13" s="26">
        <v>77</v>
      </c>
      <c r="T13" s="26">
        <v>39.799999999999997</v>
      </c>
      <c r="U13" s="26">
        <v>-0.63</v>
      </c>
      <c r="V13" s="20">
        <v>4095</v>
      </c>
    </row>
    <row r="14" spans="1:27" ht="16.8" x14ac:dyDescent="0.3">
      <c r="A14" s="20">
        <v>1.3</v>
      </c>
      <c r="B14" s="20">
        <v>77</v>
      </c>
      <c r="C14" s="26">
        <v>32.65</v>
      </c>
      <c r="D14" s="20">
        <v>44.35</v>
      </c>
      <c r="E14" s="20">
        <v>-0.47</v>
      </c>
      <c r="F14" s="26">
        <v>2681.46</v>
      </c>
      <c r="H14" s="55" t="s">
        <v>46</v>
      </c>
      <c r="I14" s="56"/>
      <c r="J14" s="56"/>
      <c r="K14" s="57"/>
      <c r="Q14" s="32">
        <v>1.3</v>
      </c>
      <c r="R14" s="32">
        <v>37.86</v>
      </c>
      <c r="S14" s="34">
        <v>77</v>
      </c>
      <c r="T14" s="32">
        <v>39.14</v>
      </c>
      <c r="U14" s="34">
        <v>-0.66</v>
      </c>
      <c r="V14" s="34">
        <v>4095</v>
      </c>
    </row>
    <row r="15" spans="1:27" ht="16.8" x14ac:dyDescent="0.3">
      <c r="A15" s="20">
        <v>1.4</v>
      </c>
      <c r="B15" s="20">
        <v>77</v>
      </c>
      <c r="C15" s="20">
        <v>33.119999999999997</v>
      </c>
      <c r="D15" s="20">
        <v>43.88</v>
      </c>
      <c r="E15" s="20">
        <v>-0.47</v>
      </c>
      <c r="F15" s="26">
        <v>2681.5</v>
      </c>
      <c r="H15" s="30" t="s">
        <v>47</v>
      </c>
      <c r="I15" s="30" t="s">
        <v>48</v>
      </c>
      <c r="J15" s="55" t="s">
        <v>49</v>
      </c>
      <c r="K15" s="57"/>
      <c r="Q15" s="32">
        <v>1.4</v>
      </c>
      <c r="R15" s="32">
        <v>38.479999999999997</v>
      </c>
      <c r="S15" s="34">
        <v>77</v>
      </c>
      <c r="T15" s="34">
        <v>38.520000000000003</v>
      </c>
      <c r="U15" s="34">
        <v>-0.61</v>
      </c>
      <c r="V15" s="32">
        <v>4095</v>
      </c>
      <c r="X15" s="55" t="s">
        <v>46</v>
      </c>
      <c r="Y15" s="56"/>
      <c r="Z15" s="56"/>
      <c r="AA15" s="57"/>
    </row>
    <row r="16" spans="1:27" ht="16.8" x14ac:dyDescent="0.3">
      <c r="A16" s="20">
        <v>1.5</v>
      </c>
      <c r="B16" s="20">
        <v>77</v>
      </c>
      <c r="C16" s="26">
        <v>33.590000000000003</v>
      </c>
      <c r="D16" s="20">
        <v>43.41</v>
      </c>
      <c r="E16" s="20">
        <v>-0.47</v>
      </c>
      <c r="F16" s="26">
        <v>2681.45</v>
      </c>
      <c r="H16" s="30">
        <f>C2+0.1*(B2-C2)</f>
        <v>34.997</v>
      </c>
      <c r="I16" s="30">
        <f>C2+0.9*(B2-C2)</f>
        <v>72.332999999999998</v>
      </c>
      <c r="J16" s="55">
        <f>14.4-A25</f>
        <v>12</v>
      </c>
      <c r="K16" s="57"/>
      <c r="Q16" s="32">
        <v>1.5</v>
      </c>
      <c r="R16" s="32">
        <v>39.18</v>
      </c>
      <c r="S16" s="34">
        <v>77</v>
      </c>
      <c r="T16" s="34">
        <v>37.82</v>
      </c>
      <c r="U16" s="34">
        <v>-0.71</v>
      </c>
      <c r="V16" s="32">
        <v>4095</v>
      </c>
      <c r="X16" s="30" t="s">
        <v>47</v>
      </c>
      <c r="Y16" s="30" t="s">
        <v>48</v>
      </c>
      <c r="Z16" s="55" t="s">
        <v>49</v>
      </c>
      <c r="AA16" s="57"/>
    </row>
    <row r="17" spans="1:27" ht="16.8" x14ac:dyDescent="0.3">
      <c r="A17" s="20">
        <v>1.6</v>
      </c>
      <c r="B17" s="20">
        <v>77</v>
      </c>
      <c r="C17" s="26">
        <v>34.07</v>
      </c>
      <c r="D17" s="20">
        <v>42.93</v>
      </c>
      <c r="E17" s="20">
        <v>-0.48</v>
      </c>
      <c r="F17" s="26">
        <v>2619.36</v>
      </c>
      <c r="Q17" s="32">
        <v>1.6</v>
      </c>
      <c r="R17" s="32">
        <v>39.82</v>
      </c>
      <c r="S17" s="34">
        <v>77</v>
      </c>
      <c r="T17" s="34">
        <v>37.18</v>
      </c>
      <c r="U17" s="34">
        <v>-0.64</v>
      </c>
      <c r="V17" s="34">
        <v>4095</v>
      </c>
      <c r="X17" s="30">
        <f>R2+0.1*(S2-R2)</f>
        <v>37.625</v>
      </c>
      <c r="Y17" s="30">
        <f>R2+0.9*(S2-R2)</f>
        <v>72.625</v>
      </c>
      <c r="Z17" s="55">
        <f>Q85-Q14</f>
        <v>7.1000000000000005</v>
      </c>
      <c r="AA17" s="57"/>
    </row>
    <row r="18" spans="1:27" ht="16.8" x14ac:dyDescent="0.3">
      <c r="A18" s="20">
        <v>1.7</v>
      </c>
      <c r="B18" s="20">
        <v>77</v>
      </c>
      <c r="C18" s="20">
        <v>34.549999999999997</v>
      </c>
      <c r="D18" s="20">
        <v>42.45</v>
      </c>
      <c r="E18" s="20">
        <v>-0.48</v>
      </c>
      <c r="F18" s="20">
        <v>2651.08</v>
      </c>
      <c r="H18" s="55" t="s">
        <v>50</v>
      </c>
      <c r="I18" s="56"/>
      <c r="J18" s="57"/>
      <c r="Q18" s="32">
        <v>1.7</v>
      </c>
      <c r="R18" s="32">
        <v>40.57</v>
      </c>
      <c r="S18" s="34">
        <v>77</v>
      </c>
      <c r="T18" s="34">
        <v>36.43</v>
      </c>
      <c r="U18" s="34">
        <v>-0.75</v>
      </c>
      <c r="V18" s="32">
        <v>4095</v>
      </c>
    </row>
    <row r="19" spans="1:27" ht="16.8" x14ac:dyDescent="0.3">
      <c r="A19" s="20">
        <v>1.8</v>
      </c>
      <c r="B19" s="20">
        <v>77</v>
      </c>
      <c r="C19" s="26">
        <v>35.04</v>
      </c>
      <c r="D19" s="20">
        <v>41.96</v>
      </c>
      <c r="E19" s="20">
        <v>-0.5</v>
      </c>
      <c r="F19" s="26">
        <v>2569.11</v>
      </c>
      <c r="H19" s="58">
        <f>((MAX(C2:C602)-77)/77)*100</f>
        <v>0.97402597402597402</v>
      </c>
      <c r="I19" s="58"/>
      <c r="J19" s="58"/>
      <c r="Q19" s="32">
        <v>1.8</v>
      </c>
      <c r="R19" s="32">
        <v>41.35</v>
      </c>
      <c r="S19" s="34">
        <v>77</v>
      </c>
      <c r="T19" s="32">
        <v>35.65</v>
      </c>
      <c r="U19" s="34">
        <v>-0.78</v>
      </c>
      <c r="V19" s="34">
        <v>4095</v>
      </c>
      <c r="X19" s="55" t="s">
        <v>50</v>
      </c>
      <c r="Y19" s="56"/>
      <c r="Z19" s="57"/>
    </row>
    <row r="20" spans="1:27" ht="16.8" x14ac:dyDescent="0.3">
      <c r="A20" s="20">
        <v>1.9</v>
      </c>
      <c r="B20" s="20">
        <v>77</v>
      </c>
      <c r="C20" s="26">
        <v>35.479999999999997</v>
      </c>
      <c r="D20" s="20">
        <v>41.52</v>
      </c>
      <c r="E20" s="20">
        <v>-0.44</v>
      </c>
      <c r="F20" s="20">
        <v>2791.42</v>
      </c>
      <c r="Q20" s="32">
        <v>1.9</v>
      </c>
      <c r="R20" s="32">
        <v>42.07</v>
      </c>
      <c r="S20" s="34">
        <v>77</v>
      </c>
      <c r="T20" s="34">
        <v>34.93</v>
      </c>
      <c r="U20" s="34">
        <v>-0.72</v>
      </c>
      <c r="V20" s="32">
        <v>4095</v>
      </c>
      <c r="X20" s="58">
        <f>((MAX(R2:R221)-77)/77)*100</f>
        <v>0.61038961038960893</v>
      </c>
      <c r="Y20" s="58"/>
      <c r="Z20" s="58"/>
    </row>
    <row r="21" spans="1:27" ht="16.8" x14ac:dyDescent="0.3">
      <c r="A21" s="20">
        <v>2</v>
      </c>
      <c r="B21" s="20">
        <v>77</v>
      </c>
      <c r="C21" s="20">
        <v>35.97</v>
      </c>
      <c r="D21" s="20">
        <v>41.03</v>
      </c>
      <c r="E21" s="20">
        <v>-0.5</v>
      </c>
      <c r="F21" s="26">
        <v>2569.1</v>
      </c>
      <c r="H21" s="29" t="s">
        <v>51</v>
      </c>
      <c r="I21" s="29">
        <f>ABS(AVERAGE(C301:C602))</f>
        <v>77.294370860927202</v>
      </c>
      <c r="Q21" s="32">
        <v>2</v>
      </c>
      <c r="R21" s="32">
        <v>42.84</v>
      </c>
      <c r="S21" s="34">
        <v>77</v>
      </c>
      <c r="T21" s="32">
        <v>34.159999999999997</v>
      </c>
      <c r="U21" s="34">
        <v>-0.77</v>
      </c>
      <c r="V21" s="34">
        <v>4095</v>
      </c>
    </row>
    <row r="22" spans="1:27" ht="16.8" x14ac:dyDescent="0.3">
      <c r="A22" s="20">
        <v>2.1</v>
      </c>
      <c r="B22" s="20">
        <v>77</v>
      </c>
      <c r="C22" s="26">
        <v>36.450000000000003</v>
      </c>
      <c r="D22" s="20">
        <v>40.549999999999997</v>
      </c>
      <c r="E22" s="20">
        <v>-0.48</v>
      </c>
      <c r="F22" s="26">
        <v>2635.37</v>
      </c>
      <c r="H22" s="29" t="s">
        <v>52</v>
      </c>
      <c r="I22" s="29">
        <f>((I21-77)/77)*100</f>
        <v>0.3822998193859769</v>
      </c>
      <c r="Q22" s="32">
        <v>2.1</v>
      </c>
      <c r="R22" s="32">
        <v>43.53</v>
      </c>
      <c r="S22" s="32">
        <v>77</v>
      </c>
      <c r="T22" s="34">
        <v>33.47</v>
      </c>
      <c r="U22" s="34">
        <v>-0.69</v>
      </c>
      <c r="V22" s="32">
        <v>4095</v>
      </c>
      <c r="X22" s="29" t="s">
        <v>51</v>
      </c>
      <c r="Y22" s="29">
        <f>ABS(AVERAGE(R301:R602))</f>
        <v>77.079801324503407</v>
      </c>
    </row>
    <row r="23" spans="1:27" ht="16.8" x14ac:dyDescent="0.3">
      <c r="A23" s="20">
        <v>2.2000000000000002</v>
      </c>
      <c r="B23" s="20">
        <v>77</v>
      </c>
      <c r="C23" s="26">
        <v>36.909999999999997</v>
      </c>
      <c r="D23" s="20">
        <v>40.090000000000003</v>
      </c>
      <c r="E23" s="20">
        <v>-0.46</v>
      </c>
      <c r="F23" s="20">
        <v>2710.65</v>
      </c>
      <c r="Q23" s="32">
        <v>2.2000000000000002</v>
      </c>
      <c r="R23" s="32">
        <v>44.29</v>
      </c>
      <c r="S23" s="34">
        <v>77</v>
      </c>
      <c r="T23" s="34">
        <v>32.71</v>
      </c>
      <c r="U23" s="34">
        <v>-0.76</v>
      </c>
      <c r="V23" s="34">
        <v>4095</v>
      </c>
      <c r="X23" s="29" t="s">
        <v>52</v>
      </c>
      <c r="Y23" s="29">
        <f>((Y22-77)/77)*100</f>
        <v>0.1036380837706585</v>
      </c>
    </row>
    <row r="24" spans="1:27" ht="16.8" x14ac:dyDescent="0.3">
      <c r="A24" s="20">
        <v>2.2999999999999998</v>
      </c>
      <c r="B24" s="20">
        <v>77</v>
      </c>
      <c r="C24" s="20">
        <v>37.36</v>
      </c>
      <c r="D24" s="20">
        <v>39.64</v>
      </c>
      <c r="E24" s="20">
        <v>-0.45</v>
      </c>
      <c r="F24" s="26">
        <v>2752.19</v>
      </c>
      <c r="H24" s="58" t="s">
        <v>53</v>
      </c>
      <c r="I24" s="58"/>
      <c r="Q24" s="32">
        <v>2.2999999999999998</v>
      </c>
      <c r="R24" s="32">
        <v>45.04</v>
      </c>
      <c r="S24" s="34">
        <v>77</v>
      </c>
      <c r="T24" s="34">
        <v>31.96</v>
      </c>
      <c r="U24" s="34">
        <v>-0.75</v>
      </c>
      <c r="V24" s="32">
        <v>4095</v>
      </c>
    </row>
    <row r="25" spans="1:27" ht="16.8" x14ac:dyDescent="0.3">
      <c r="A25" s="45">
        <v>2.4</v>
      </c>
      <c r="B25" s="20">
        <v>77</v>
      </c>
      <c r="C25" s="26">
        <v>37.81</v>
      </c>
      <c r="D25" s="20">
        <v>39.19</v>
      </c>
      <c r="E25" s="20">
        <v>-0.45</v>
      </c>
      <c r="F25" s="20">
        <v>2738.62</v>
      </c>
      <c r="H25" s="58" cm="1">
        <f t="array" ref="H25">SUMPRODUCT(ABS(D2:D602)*0.1)</f>
        <v>350.70200000000006</v>
      </c>
      <c r="I25" s="58"/>
      <c r="Q25" s="32">
        <v>2.4</v>
      </c>
      <c r="R25" s="32">
        <v>45.78</v>
      </c>
      <c r="S25" s="34">
        <v>77</v>
      </c>
      <c r="T25" s="34">
        <v>31.22</v>
      </c>
      <c r="U25" s="34">
        <v>-0.74</v>
      </c>
      <c r="V25" s="32">
        <v>4095</v>
      </c>
      <c r="X25" s="58" t="s">
        <v>53</v>
      </c>
      <c r="Y25" s="58"/>
    </row>
    <row r="26" spans="1:27" ht="16.8" x14ac:dyDescent="0.3">
      <c r="A26" s="20">
        <v>2.5</v>
      </c>
      <c r="B26" s="20">
        <v>77</v>
      </c>
      <c r="C26" s="20">
        <v>38.270000000000003</v>
      </c>
      <c r="D26" s="20">
        <v>38.729999999999997</v>
      </c>
      <c r="E26" s="20">
        <v>-0.46</v>
      </c>
      <c r="F26" s="26">
        <v>2710.67</v>
      </c>
      <c r="Q26" s="32">
        <v>2.5</v>
      </c>
      <c r="R26" s="32">
        <v>46.48</v>
      </c>
      <c r="S26" s="34">
        <v>77</v>
      </c>
      <c r="T26" s="34">
        <v>30.52</v>
      </c>
      <c r="U26" s="34">
        <v>-0.7</v>
      </c>
      <c r="V26" s="34">
        <v>4095</v>
      </c>
      <c r="X26" s="58" cm="1">
        <f t="array" ref="X26">SUMPRODUCT(ABS(T2:T602)*0.1)</f>
        <v>197.2439999999998</v>
      </c>
      <c r="Y26" s="58"/>
    </row>
    <row r="27" spans="1:27" ht="16.8" x14ac:dyDescent="0.3">
      <c r="A27" s="20">
        <v>2.6</v>
      </c>
      <c r="B27" s="20">
        <v>77</v>
      </c>
      <c r="C27" s="26">
        <v>38.69</v>
      </c>
      <c r="D27" s="20">
        <v>38.31</v>
      </c>
      <c r="E27" s="20">
        <v>-0.42</v>
      </c>
      <c r="F27" s="26">
        <v>2840.22</v>
      </c>
      <c r="H27" s="58" t="s">
        <v>54</v>
      </c>
      <c r="I27" s="58"/>
      <c r="Q27" s="32">
        <v>2.6</v>
      </c>
      <c r="R27" s="32">
        <v>47.17</v>
      </c>
      <c r="S27" s="34">
        <v>77</v>
      </c>
      <c r="T27" s="34">
        <v>29.83</v>
      </c>
      <c r="U27" s="34">
        <v>-0.69</v>
      </c>
      <c r="V27" s="32">
        <v>4095</v>
      </c>
    </row>
    <row r="28" spans="1:27" ht="16.8" x14ac:dyDescent="0.3">
      <c r="A28" s="20">
        <v>2.7</v>
      </c>
      <c r="B28" s="20">
        <v>77</v>
      </c>
      <c r="C28" s="26">
        <v>39.11</v>
      </c>
      <c r="D28" s="20">
        <v>37.89</v>
      </c>
      <c r="E28" s="20">
        <v>-0.42</v>
      </c>
      <c r="F28" s="26">
        <v>2840.26</v>
      </c>
      <c r="H28" s="58" cm="1">
        <f t="array" ref="H28">SUMPRODUCT(((D2:D602)^2)*0.1)</f>
        <v>10026.546619999941</v>
      </c>
      <c r="I28" s="58"/>
      <c r="Q28" s="32">
        <v>2.7</v>
      </c>
      <c r="R28" s="32">
        <v>47.95</v>
      </c>
      <c r="S28" s="34">
        <v>77</v>
      </c>
      <c r="T28" s="34">
        <v>29.05</v>
      </c>
      <c r="U28" s="34">
        <v>-0.78</v>
      </c>
      <c r="V28" s="34">
        <v>4095</v>
      </c>
      <c r="X28" s="58" t="s">
        <v>54</v>
      </c>
      <c r="Y28" s="58"/>
    </row>
    <row r="29" spans="1:27" ht="16.8" x14ac:dyDescent="0.3">
      <c r="A29" s="20">
        <v>2.8</v>
      </c>
      <c r="B29" s="20">
        <v>77</v>
      </c>
      <c r="C29" s="20">
        <v>39.56</v>
      </c>
      <c r="D29" s="20">
        <v>37.44</v>
      </c>
      <c r="E29" s="20">
        <v>-0.45</v>
      </c>
      <c r="F29" s="26">
        <v>2738.62</v>
      </c>
      <c r="Q29" s="32">
        <v>2.8</v>
      </c>
      <c r="R29" s="32">
        <v>48.61</v>
      </c>
      <c r="S29" s="34">
        <v>77</v>
      </c>
      <c r="T29" s="34">
        <v>28.39</v>
      </c>
      <c r="U29" s="34">
        <v>-0.65</v>
      </c>
      <c r="V29" s="32">
        <v>4095</v>
      </c>
      <c r="X29" s="58" cm="1">
        <f t="array" ref="X29">SUMPRODUCT(((T2:T603)^2)*0.1)</f>
        <v>5276.5550399999711</v>
      </c>
      <c r="Y29" s="58"/>
    </row>
    <row r="30" spans="1:27" ht="16.8" x14ac:dyDescent="0.3">
      <c r="A30" s="20">
        <v>2.9</v>
      </c>
      <c r="B30" s="20">
        <v>77</v>
      </c>
      <c r="C30" s="26">
        <v>39.96</v>
      </c>
      <c r="D30" s="20">
        <v>37.04</v>
      </c>
      <c r="E30" s="20">
        <v>-0.4</v>
      </c>
      <c r="F30" s="26">
        <v>2896.49</v>
      </c>
      <c r="H30" s="58" t="s">
        <v>55</v>
      </c>
      <c r="I30" s="58"/>
      <c r="J30" s="58"/>
      <c r="Q30" s="32">
        <v>2.9</v>
      </c>
      <c r="R30" s="32">
        <v>49.31</v>
      </c>
      <c r="S30" s="34">
        <v>77</v>
      </c>
      <c r="T30" s="34">
        <v>27.69</v>
      </c>
      <c r="U30" s="34">
        <v>-0.71</v>
      </c>
      <c r="V30" s="34">
        <v>4095</v>
      </c>
    </row>
    <row r="31" spans="1:27" ht="16.8" x14ac:dyDescent="0.3">
      <c r="A31" s="20">
        <v>3</v>
      </c>
      <c r="B31" s="20">
        <v>77</v>
      </c>
      <c r="C31" s="26">
        <v>40.39</v>
      </c>
      <c r="D31" s="20">
        <v>36.61</v>
      </c>
      <c r="E31" s="20">
        <v>-0.44</v>
      </c>
      <c r="F31" s="26">
        <v>2791.42</v>
      </c>
      <c r="H31" s="58" cm="1">
        <f t="array" ref="H31">SUMPRODUCT(A2:A602 * ABS(D2:D602) * 0.1)</f>
        <v>2249.1645999999996</v>
      </c>
      <c r="I31" s="58"/>
      <c r="J31" s="58"/>
      <c r="Q31" s="32">
        <v>3</v>
      </c>
      <c r="R31" s="32">
        <v>50.03</v>
      </c>
      <c r="S31" s="32">
        <v>77</v>
      </c>
      <c r="T31" s="34">
        <v>26.97</v>
      </c>
      <c r="U31" s="34">
        <v>-0.72</v>
      </c>
      <c r="V31" s="32">
        <v>4095</v>
      </c>
      <c r="X31" s="58" t="s">
        <v>55</v>
      </c>
      <c r="Y31" s="58"/>
      <c r="Z31" s="58"/>
    </row>
    <row r="32" spans="1:27" ht="16.8" x14ac:dyDescent="0.3">
      <c r="A32" s="20">
        <v>3.1</v>
      </c>
      <c r="B32" s="20">
        <v>77</v>
      </c>
      <c r="C32" s="20">
        <v>40.770000000000003</v>
      </c>
      <c r="D32" s="20">
        <v>36.229999999999997</v>
      </c>
      <c r="E32" s="20">
        <v>-0.37</v>
      </c>
      <c r="F32" s="26">
        <v>2957.72</v>
      </c>
      <c r="Q32" s="32">
        <v>3.1</v>
      </c>
      <c r="R32" s="32">
        <v>50.72</v>
      </c>
      <c r="S32" s="34">
        <v>77</v>
      </c>
      <c r="T32" s="32">
        <v>26.28</v>
      </c>
      <c r="U32" s="32">
        <v>-0.69</v>
      </c>
      <c r="V32" s="34">
        <v>4095</v>
      </c>
      <c r="X32" s="58" cm="1">
        <f t="array" ref="X32">SUMPRODUCT(Q2:Q603 * ABS(T2:T603) * 0.1)</f>
        <v>924.52880000000118</v>
      </c>
      <c r="Y32" s="58"/>
      <c r="Z32" s="58"/>
    </row>
    <row r="33" spans="1:22" ht="16.8" x14ac:dyDescent="0.3">
      <c r="A33" s="20">
        <v>3.2</v>
      </c>
      <c r="B33" s="20">
        <v>77</v>
      </c>
      <c r="C33" s="26">
        <v>41.22</v>
      </c>
      <c r="D33" s="20">
        <v>35.78</v>
      </c>
      <c r="E33" s="20">
        <v>-0.45</v>
      </c>
      <c r="F33" s="26">
        <v>2738.62</v>
      </c>
      <c r="Q33" s="32">
        <v>3.2</v>
      </c>
      <c r="R33" s="32">
        <v>51.48</v>
      </c>
      <c r="S33" s="34">
        <v>77</v>
      </c>
      <c r="T33" s="34">
        <v>25.52</v>
      </c>
      <c r="U33" s="34">
        <v>-0.76</v>
      </c>
      <c r="V33" s="34">
        <v>3931.64</v>
      </c>
    </row>
    <row r="34" spans="1:22" ht="16.8" x14ac:dyDescent="0.3">
      <c r="A34" s="20">
        <v>3.3</v>
      </c>
      <c r="B34" s="20">
        <v>77</v>
      </c>
      <c r="C34" s="26">
        <v>41.64</v>
      </c>
      <c r="D34" s="20">
        <v>35.36</v>
      </c>
      <c r="E34" s="20">
        <v>-0.42</v>
      </c>
      <c r="F34" s="20">
        <v>2828.41</v>
      </c>
      <c r="Q34" s="32">
        <v>3.3</v>
      </c>
      <c r="R34" s="32">
        <v>52.08</v>
      </c>
      <c r="S34" s="34">
        <v>77</v>
      </c>
      <c r="T34" s="32">
        <v>24.92</v>
      </c>
      <c r="U34" s="34">
        <v>-0.6</v>
      </c>
      <c r="V34" s="34">
        <v>4029.41</v>
      </c>
    </row>
    <row r="35" spans="1:22" ht="16.8" x14ac:dyDescent="0.3">
      <c r="A35" s="20">
        <v>3.4</v>
      </c>
      <c r="B35" s="20">
        <v>77</v>
      </c>
      <c r="C35" s="20">
        <v>42.04</v>
      </c>
      <c r="D35" s="20">
        <v>34.96</v>
      </c>
      <c r="E35" s="20">
        <v>-0.39</v>
      </c>
      <c r="F35" s="26">
        <v>2907.14</v>
      </c>
      <c r="Q35" s="32">
        <v>3.4</v>
      </c>
      <c r="R35" s="32">
        <v>52.8</v>
      </c>
      <c r="S35" s="34">
        <v>77</v>
      </c>
      <c r="T35" s="34">
        <v>24.2</v>
      </c>
      <c r="U35" s="34">
        <v>-0.73</v>
      </c>
      <c r="V35" s="32">
        <v>3868.65</v>
      </c>
    </row>
    <row r="36" spans="1:22" ht="16.8" x14ac:dyDescent="0.3">
      <c r="A36" s="20">
        <v>3.5</v>
      </c>
      <c r="B36" s="20">
        <v>77</v>
      </c>
      <c r="C36" s="26">
        <v>42.45</v>
      </c>
      <c r="D36" s="20">
        <v>34.549999999999997</v>
      </c>
      <c r="E36" s="20">
        <v>-0.41</v>
      </c>
      <c r="F36" s="26">
        <v>2863.36</v>
      </c>
      <c r="Q36" s="32">
        <v>3.5</v>
      </c>
      <c r="R36" s="32">
        <v>53.42</v>
      </c>
      <c r="S36" s="34">
        <v>77</v>
      </c>
      <c r="T36" s="32">
        <v>23.58</v>
      </c>
      <c r="U36" s="34">
        <v>-0.61</v>
      </c>
      <c r="V36" s="34">
        <v>3920.73</v>
      </c>
    </row>
    <row r="37" spans="1:22" ht="16.8" x14ac:dyDescent="0.3">
      <c r="A37" s="20">
        <v>3.6</v>
      </c>
      <c r="B37" s="20">
        <v>77</v>
      </c>
      <c r="C37" s="26">
        <v>42.87</v>
      </c>
      <c r="D37" s="20">
        <v>34.130000000000003</v>
      </c>
      <c r="E37" s="20">
        <v>-0.42</v>
      </c>
      <c r="F37" s="26">
        <v>2840.22</v>
      </c>
      <c r="Q37" s="32">
        <v>3.6</v>
      </c>
      <c r="R37" s="32">
        <v>54.06</v>
      </c>
      <c r="S37" s="34">
        <v>77</v>
      </c>
      <c r="T37" s="34">
        <v>22.94</v>
      </c>
      <c r="U37" s="34">
        <v>-0.64</v>
      </c>
      <c r="V37" s="32">
        <v>3848.39</v>
      </c>
    </row>
    <row r="38" spans="1:22" ht="16.8" x14ac:dyDescent="0.3">
      <c r="A38" s="20">
        <v>3.7</v>
      </c>
      <c r="B38" s="20">
        <v>77</v>
      </c>
      <c r="C38" s="20">
        <v>43.25</v>
      </c>
      <c r="D38" s="20">
        <v>33.75</v>
      </c>
      <c r="E38" s="20">
        <v>-0.38</v>
      </c>
      <c r="F38" s="26">
        <v>2947.95</v>
      </c>
      <c r="Q38" s="32">
        <v>3.7</v>
      </c>
      <c r="R38" s="32">
        <v>54.75</v>
      </c>
      <c r="S38" s="34">
        <v>77</v>
      </c>
      <c r="T38" s="34">
        <v>22.25</v>
      </c>
      <c r="U38" s="34">
        <v>-0.68</v>
      </c>
      <c r="V38" s="34">
        <v>3760.52</v>
      </c>
    </row>
    <row r="39" spans="1:22" ht="16.8" x14ac:dyDescent="0.3">
      <c r="A39" s="20">
        <v>3.8</v>
      </c>
      <c r="B39" s="20">
        <v>77</v>
      </c>
      <c r="C39" s="26">
        <v>43.69</v>
      </c>
      <c r="D39" s="20">
        <v>33.31</v>
      </c>
      <c r="E39" s="20">
        <v>-0.44</v>
      </c>
      <c r="F39" s="20">
        <v>2778.56</v>
      </c>
      <c r="Q39" s="32">
        <v>3.8</v>
      </c>
      <c r="R39" s="32">
        <v>55.34</v>
      </c>
      <c r="S39" s="34">
        <v>77</v>
      </c>
      <c r="T39" s="34">
        <v>21.66</v>
      </c>
      <c r="U39" s="32">
        <v>-0.6</v>
      </c>
      <c r="V39" s="32">
        <v>3790.35</v>
      </c>
    </row>
    <row r="40" spans="1:22" ht="16.8" x14ac:dyDescent="0.3">
      <c r="A40" s="20">
        <v>3.9</v>
      </c>
      <c r="B40" s="20">
        <v>77</v>
      </c>
      <c r="C40" s="26">
        <v>44.08</v>
      </c>
      <c r="D40" s="20">
        <v>32.92</v>
      </c>
      <c r="E40" s="20">
        <v>-0.39</v>
      </c>
      <c r="F40" s="26">
        <v>2917.62</v>
      </c>
      <c r="Q40" s="32">
        <v>3.9</v>
      </c>
      <c r="R40" s="32">
        <v>56</v>
      </c>
      <c r="S40" s="34">
        <v>77</v>
      </c>
      <c r="T40" s="34">
        <v>21</v>
      </c>
      <c r="U40" s="34">
        <v>-0.66</v>
      </c>
      <c r="V40" s="32">
        <v>3683.58</v>
      </c>
    </row>
    <row r="41" spans="1:22" ht="16.8" x14ac:dyDescent="0.3">
      <c r="A41" s="20">
        <v>4</v>
      </c>
      <c r="B41" s="20">
        <v>77</v>
      </c>
      <c r="C41" s="20">
        <v>44.44</v>
      </c>
      <c r="D41" s="20">
        <v>32.56</v>
      </c>
      <c r="E41" s="20">
        <v>-0.37</v>
      </c>
      <c r="F41" s="26">
        <v>2976.78</v>
      </c>
      <c r="Q41" s="32">
        <v>4</v>
      </c>
      <c r="R41" s="32">
        <v>56.61</v>
      </c>
      <c r="S41" s="34">
        <v>77</v>
      </c>
      <c r="T41" s="34">
        <v>20.39</v>
      </c>
      <c r="U41" s="34">
        <v>-0.6</v>
      </c>
      <c r="V41" s="34">
        <v>3682.35</v>
      </c>
    </row>
    <row r="42" spans="1:22" ht="16.8" x14ac:dyDescent="0.3">
      <c r="A42" s="20">
        <v>4.0999999999999996</v>
      </c>
      <c r="B42" s="20">
        <v>77</v>
      </c>
      <c r="C42" s="26">
        <v>44.87</v>
      </c>
      <c r="D42" s="20">
        <v>32.130000000000003</v>
      </c>
      <c r="E42" s="20">
        <v>-0.42</v>
      </c>
      <c r="F42" s="26">
        <v>2828.41</v>
      </c>
      <c r="Q42" s="32">
        <v>4.0999999999999996</v>
      </c>
      <c r="R42" s="32">
        <v>57.22</v>
      </c>
      <c r="S42" s="34">
        <v>77</v>
      </c>
      <c r="T42" s="34">
        <v>19.78</v>
      </c>
      <c r="U42" s="34">
        <v>-0.61</v>
      </c>
      <c r="V42" s="32">
        <v>3625.98</v>
      </c>
    </row>
    <row r="43" spans="1:22" ht="16.8" x14ac:dyDescent="0.3">
      <c r="A43" s="20">
        <v>4.2</v>
      </c>
      <c r="B43" s="20">
        <v>77</v>
      </c>
      <c r="C43" s="20">
        <v>45.24</v>
      </c>
      <c r="D43" s="20">
        <v>31.76</v>
      </c>
      <c r="E43" s="20">
        <v>-0.38</v>
      </c>
      <c r="F43" s="26">
        <v>2947.94</v>
      </c>
      <c r="Q43" s="32">
        <v>4.2</v>
      </c>
      <c r="R43" s="32">
        <v>57.82</v>
      </c>
      <c r="S43" s="34">
        <v>77</v>
      </c>
      <c r="T43" s="34">
        <v>19.18</v>
      </c>
      <c r="U43" s="34">
        <v>-0.6</v>
      </c>
      <c r="V43" s="34">
        <v>3582.26</v>
      </c>
    </row>
    <row r="44" spans="1:22" ht="16.8" x14ac:dyDescent="0.3">
      <c r="A44" s="20">
        <v>4.3</v>
      </c>
      <c r="B44" s="20">
        <v>77</v>
      </c>
      <c r="C44" s="26">
        <v>45.63</v>
      </c>
      <c r="D44" s="20">
        <v>31.37</v>
      </c>
      <c r="E44" s="20">
        <v>-0.39</v>
      </c>
      <c r="F44" s="26">
        <v>2927.91</v>
      </c>
      <c r="Q44" s="32">
        <v>4.3</v>
      </c>
      <c r="R44" s="32">
        <v>58.37</v>
      </c>
      <c r="S44" s="34">
        <v>77</v>
      </c>
      <c r="T44" s="34">
        <v>18.63</v>
      </c>
      <c r="U44" s="34">
        <v>-0.55000000000000004</v>
      </c>
      <c r="V44" s="32">
        <v>3585.77</v>
      </c>
    </row>
    <row r="45" spans="1:22" ht="16.8" x14ac:dyDescent="0.3">
      <c r="A45" s="20">
        <v>4.4000000000000004</v>
      </c>
      <c r="B45" s="20">
        <v>77</v>
      </c>
      <c r="C45" s="26">
        <v>46.06</v>
      </c>
      <c r="D45" s="20">
        <v>30.94</v>
      </c>
      <c r="E45" s="20">
        <v>-0.43</v>
      </c>
      <c r="F45" s="26">
        <v>2816.31</v>
      </c>
      <c r="Q45" s="32">
        <v>4.4000000000000004</v>
      </c>
      <c r="R45" s="32">
        <v>58.92</v>
      </c>
      <c r="S45" s="34">
        <v>77</v>
      </c>
      <c r="T45" s="34">
        <v>18.079999999999998</v>
      </c>
      <c r="U45" s="34">
        <v>-0.55000000000000004</v>
      </c>
      <c r="V45" s="34">
        <v>3542.28</v>
      </c>
    </row>
    <row r="46" spans="1:22" ht="16.8" x14ac:dyDescent="0.3">
      <c r="A46" s="20">
        <v>4.5</v>
      </c>
      <c r="B46" s="20">
        <v>77</v>
      </c>
      <c r="C46" s="20">
        <v>46.45</v>
      </c>
      <c r="D46" s="20">
        <v>30.55</v>
      </c>
      <c r="E46" s="20">
        <v>-0.39</v>
      </c>
      <c r="F46" s="26">
        <v>2917.6</v>
      </c>
      <c r="Q46" s="32">
        <v>4.5</v>
      </c>
      <c r="R46" s="32">
        <v>59.51</v>
      </c>
      <c r="S46" s="34">
        <v>77</v>
      </c>
      <c r="T46" s="34">
        <v>17.489999999999998</v>
      </c>
      <c r="U46" s="34">
        <v>-0.59</v>
      </c>
      <c r="V46" s="32">
        <v>3457.51</v>
      </c>
    </row>
    <row r="47" spans="1:22" ht="16.8" x14ac:dyDescent="0.3">
      <c r="A47" s="20">
        <v>4.5999999999999996</v>
      </c>
      <c r="B47" s="20">
        <v>77</v>
      </c>
      <c r="C47" s="26">
        <v>46.79</v>
      </c>
      <c r="D47" s="20">
        <v>30.21</v>
      </c>
      <c r="E47" s="20">
        <v>-0.34</v>
      </c>
      <c r="F47" s="26">
        <v>3030.3</v>
      </c>
      <c r="Q47" s="32">
        <v>4.5999999999999996</v>
      </c>
      <c r="R47" s="32">
        <v>59.98</v>
      </c>
      <c r="S47" s="34">
        <v>77</v>
      </c>
      <c r="T47" s="34">
        <v>17.02</v>
      </c>
      <c r="U47" s="34">
        <v>-0.47</v>
      </c>
      <c r="V47" s="34">
        <v>3522.47</v>
      </c>
    </row>
    <row r="48" spans="1:22" ht="16.8" x14ac:dyDescent="0.3">
      <c r="A48" s="20">
        <v>4.7</v>
      </c>
      <c r="B48" s="20">
        <v>77</v>
      </c>
      <c r="C48" s="20">
        <v>47.22</v>
      </c>
      <c r="D48" s="20">
        <v>29.78</v>
      </c>
      <c r="E48" s="20">
        <v>-0.42</v>
      </c>
      <c r="F48" s="26">
        <v>2828.41</v>
      </c>
      <c r="Q48" s="32">
        <v>4.7</v>
      </c>
      <c r="R48" s="32">
        <v>60.51</v>
      </c>
      <c r="S48" s="34">
        <v>77</v>
      </c>
      <c r="T48" s="34">
        <v>16.489999999999998</v>
      </c>
      <c r="U48" s="32">
        <v>-0.53</v>
      </c>
      <c r="V48" s="32">
        <v>3425.2</v>
      </c>
    </row>
    <row r="49" spans="1:22" ht="16.8" x14ac:dyDescent="0.3">
      <c r="A49" s="20">
        <v>4.8</v>
      </c>
      <c r="B49" s="20">
        <v>77</v>
      </c>
      <c r="C49" s="26">
        <v>47.55</v>
      </c>
      <c r="D49" s="20">
        <v>29.45</v>
      </c>
      <c r="E49" s="20">
        <v>-0.33</v>
      </c>
      <c r="F49" s="26">
        <v>3047.03</v>
      </c>
      <c r="Q49" s="32">
        <v>4.8</v>
      </c>
      <c r="R49" s="32">
        <v>61.06</v>
      </c>
      <c r="S49" s="34">
        <v>77</v>
      </c>
      <c r="T49" s="34">
        <v>15.94</v>
      </c>
      <c r="U49" s="34">
        <v>-0.55000000000000004</v>
      </c>
      <c r="V49" s="32">
        <v>3362.5</v>
      </c>
    </row>
    <row r="50" spans="1:22" ht="16.8" x14ac:dyDescent="0.3">
      <c r="A50" s="20">
        <v>4.9000000000000004</v>
      </c>
      <c r="B50" s="20">
        <v>77</v>
      </c>
      <c r="C50" s="26">
        <v>48.01</v>
      </c>
      <c r="D50" s="20">
        <v>28.99</v>
      </c>
      <c r="E50" s="20">
        <v>-0.46</v>
      </c>
      <c r="F50" s="20">
        <v>2710.63</v>
      </c>
      <c r="Q50" s="32">
        <v>4.9000000000000004</v>
      </c>
      <c r="R50" s="32">
        <v>61.55</v>
      </c>
      <c r="S50" s="34">
        <v>77</v>
      </c>
      <c r="T50" s="34">
        <v>15.45</v>
      </c>
      <c r="U50" s="34">
        <v>-0.49</v>
      </c>
      <c r="V50" s="34">
        <v>3366.7</v>
      </c>
    </row>
    <row r="51" spans="1:22" ht="16.8" x14ac:dyDescent="0.3">
      <c r="A51" s="20">
        <v>5</v>
      </c>
      <c r="B51" s="20">
        <v>77</v>
      </c>
      <c r="C51" s="20">
        <v>48.37</v>
      </c>
      <c r="D51" s="20">
        <v>28.63</v>
      </c>
      <c r="E51" s="20">
        <v>-0.36</v>
      </c>
      <c r="F51" s="26">
        <v>2986.07</v>
      </c>
      <c r="Q51" s="32">
        <v>5</v>
      </c>
      <c r="R51" s="32">
        <v>62.08</v>
      </c>
      <c r="S51" s="34">
        <v>77</v>
      </c>
      <c r="T51" s="34">
        <v>14.92</v>
      </c>
      <c r="U51" s="34">
        <v>-0.53</v>
      </c>
      <c r="V51" s="32">
        <v>3284.36</v>
      </c>
    </row>
    <row r="52" spans="1:22" ht="16.8" x14ac:dyDescent="0.3">
      <c r="A52" s="20">
        <v>5.0999999999999996</v>
      </c>
      <c r="B52" s="20">
        <v>77</v>
      </c>
      <c r="C52" s="26">
        <v>48.73</v>
      </c>
      <c r="D52" s="20">
        <v>28.27</v>
      </c>
      <c r="E52" s="20">
        <v>-0.35</v>
      </c>
      <c r="F52" s="26">
        <v>3004.18</v>
      </c>
      <c r="Q52" s="32">
        <v>5.0999999999999996</v>
      </c>
      <c r="R52" s="32">
        <v>62.55</v>
      </c>
      <c r="S52" s="34">
        <v>77</v>
      </c>
      <c r="T52" s="34">
        <v>14.45</v>
      </c>
      <c r="U52" s="34">
        <v>-0.48</v>
      </c>
      <c r="V52" s="34">
        <v>3288.48</v>
      </c>
    </row>
    <row r="53" spans="1:22" ht="16.8" x14ac:dyDescent="0.3">
      <c r="A53" s="20">
        <v>5.2</v>
      </c>
      <c r="B53" s="20">
        <v>77</v>
      </c>
      <c r="C53" s="20">
        <v>49.1</v>
      </c>
      <c r="D53" s="20">
        <v>27.9</v>
      </c>
      <c r="E53" s="20">
        <v>-0.38</v>
      </c>
      <c r="F53" s="26">
        <v>2947.94</v>
      </c>
      <c r="Q53" s="32">
        <v>5.2</v>
      </c>
      <c r="R53" s="32">
        <v>62.96</v>
      </c>
      <c r="S53" s="34">
        <v>77</v>
      </c>
      <c r="T53" s="34">
        <v>14.04</v>
      </c>
      <c r="U53" s="34">
        <v>-0.4</v>
      </c>
      <c r="V53" s="32">
        <v>3317.1</v>
      </c>
    </row>
    <row r="54" spans="1:22" ht="16.8" x14ac:dyDescent="0.3">
      <c r="A54" s="20">
        <v>5.3</v>
      </c>
      <c r="B54" s="20">
        <v>77</v>
      </c>
      <c r="C54" s="26">
        <v>49.47</v>
      </c>
      <c r="D54" s="20">
        <v>27.53</v>
      </c>
      <c r="E54" s="20">
        <v>-0.37</v>
      </c>
      <c r="F54" s="26">
        <v>2976.78</v>
      </c>
      <c r="Q54" s="32">
        <v>5.3</v>
      </c>
      <c r="R54" s="32">
        <v>63.42</v>
      </c>
      <c r="S54" s="34">
        <v>77</v>
      </c>
      <c r="T54" s="34">
        <v>13.58</v>
      </c>
      <c r="U54" s="34">
        <v>-0.47</v>
      </c>
      <c r="V54" s="34">
        <v>3222.67</v>
      </c>
    </row>
    <row r="55" spans="1:22" ht="16.8" x14ac:dyDescent="0.3">
      <c r="A55" s="20">
        <v>5.4</v>
      </c>
      <c r="B55" s="20">
        <v>77</v>
      </c>
      <c r="C55" s="26">
        <v>49.83</v>
      </c>
      <c r="D55" s="20">
        <v>27.17</v>
      </c>
      <c r="E55" s="20">
        <v>-0.36</v>
      </c>
      <c r="F55" s="20">
        <v>2986.09</v>
      </c>
      <c r="Q55" s="32">
        <v>5.4</v>
      </c>
      <c r="R55" s="32">
        <v>63.89</v>
      </c>
      <c r="S55" s="34">
        <v>77</v>
      </c>
      <c r="T55" s="34">
        <v>13.11</v>
      </c>
      <c r="U55" s="34">
        <v>-0.47</v>
      </c>
      <c r="V55" s="32">
        <v>3178.83</v>
      </c>
    </row>
    <row r="56" spans="1:22" ht="16.8" x14ac:dyDescent="0.3">
      <c r="A56" s="20">
        <v>5.5</v>
      </c>
      <c r="B56" s="20">
        <v>77</v>
      </c>
      <c r="C56" s="20">
        <v>50.16</v>
      </c>
      <c r="D56" s="20">
        <v>26.84</v>
      </c>
      <c r="E56" s="20">
        <v>-0.33</v>
      </c>
      <c r="F56" s="26">
        <v>3055.19</v>
      </c>
      <c r="Q56" s="32">
        <v>5.5</v>
      </c>
      <c r="R56" s="32">
        <v>64.349999999999994</v>
      </c>
      <c r="S56" s="34">
        <v>77</v>
      </c>
      <c r="T56" s="34">
        <v>12.65</v>
      </c>
      <c r="U56" s="34">
        <v>-0.46</v>
      </c>
      <c r="V56" s="34">
        <v>3141.58</v>
      </c>
    </row>
    <row r="57" spans="1:22" ht="16.8" x14ac:dyDescent="0.3">
      <c r="A57" s="20">
        <v>5.6</v>
      </c>
      <c r="B57" s="20">
        <v>77</v>
      </c>
      <c r="C57" s="26">
        <v>50.54</v>
      </c>
      <c r="D57" s="20">
        <v>26.46</v>
      </c>
      <c r="E57" s="20">
        <v>-0.37</v>
      </c>
      <c r="F57" s="26">
        <v>2967.3</v>
      </c>
      <c r="Q57" s="32">
        <v>5.6</v>
      </c>
      <c r="R57" s="32">
        <v>64.67</v>
      </c>
      <c r="S57" s="34">
        <v>77</v>
      </c>
      <c r="T57" s="34">
        <v>12.33</v>
      </c>
      <c r="U57" s="34">
        <v>-0.32</v>
      </c>
      <c r="V57" s="32">
        <v>3231.3</v>
      </c>
    </row>
    <row r="58" spans="1:22" ht="16.8" x14ac:dyDescent="0.3">
      <c r="A58" s="20">
        <v>5.7</v>
      </c>
      <c r="B58" s="20">
        <v>77</v>
      </c>
      <c r="C58" s="20">
        <v>50.94</v>
      </c>
      <c r="D58" s="20">
        <v>26.06</v>
      </c>
      <c r="E58" s="20">
        <v>-0.4</v>
      </c>
      <c r="F58" s="26">
        <v>2885.65</v>
      </c>
      <c r="Q58" s="32">
        <v>5.7</v>
      </c>
      <c r="R58" s="32">
        <v>65.13</v>
      </c>
      <c r="S58" s="34">
        <v>77</v>
      </c>
      <c r="T58" s="34">
        <v>11.87</v>
      </c>
      <c r="U58" s="34">
        <v>-0.45</v>
      </c>
      <c r="V58" s="32">
        <v>3082.8</v>
      </c>
    </row>
    <row r="59" spans="1:22" ht="16.8" x14ac:dyDescent="0.3">
      <c r="A59" s="20">
        <v>5.8</v>
      </c>
      <c r="B59" s="20">
        <v>77</v>
      </c>
      <c r="C59" s="26">
        <v>51.29</v>
      </c>
      <c r="D59" s="20">
        <v>25.71</v>
      </c>
      <c r="E59" s="20">
        <v>-0.35</v>
      </c>
      <c r="F59" s="26">
        <v>3013.04</v>
      </c>
      <c r="Q59" s="32">
        <v>5.8</v>
      </c>
      <c r="R59" s="32">
        <v>65.55</v>
      </c>
      <c r="S59" s="34">
        <v>77</v>
      </c>
      <c r="T59" s="32">
        <v>11.45</v>
      </c>
      <c r="U59" s="32">
        <v>-0.43</v>
      </c>
      <c r="V59" s="34">
        <v>3060.68</v>
      </c>
    </row>
    <row r="60" spans="1:22" ht="16.8" x14ac:dyDescent="0.3">
      <c r="A60" s="20">
        <v>5.9</v>
      </c>
      <c r="B60" s="20">
        <v>77</v>
      </c>
      <c r="C60" s="26">
        <v>51.67</v>
      </c>
      <c r="D60" s="20">
        <v>25.33</v>
      </c>
      <c r="E60" s="20">
        <v>-0.38</v>
      </c>
      <c r="F60" s="26">
        <v>2947.98</v>
      </c>
      <c r="Q60" s="32">
        <v>5.9</v>
      </c>
      <c r="R60" s="32">
        <v>65.91</v>
      </c>
      <c r="S60" s="34">
        <v>77</v>
      </c>
      <c r="T60" s="34">
        <v>11.09</v>
      </c>
      <c r="U60" s="34">
        <v>-0.35</v>
      </c>
      <c r="V60" s="32">
        <v>3089.24</v>
      </c>
    </row>
    <row r="61" spans="1:22" ht="16.8" x14ac:dyDescent="0.3">
      <c r="A61" s="20">
        <v>6</v>
      </c>
      <c r="B61" s="20">
        <v>77</v>
      </c>
      <c r="C61" s="20">
        <v>51.98</v>
      </c>
      <c r="D61" s="20">
        <v>25.02</v>
      </c>
      <c r="E61" s="20">
        <v>-0.31</v>
      </c>
      <c r="F61" s="26">
        <v>3086.64</v>
      </c>
      <c r="Q61" s="32">
        <v>6</v>
      </c>
      <c r="R61" s="32">
        <v>66.27</v>
      </c>
      <c r="S61" s="34">
        <v>77</v>
      </c>
      <c r="T61" s="32">
        <v>10.73</v>
      </c>
      <c r="U61" s="32">
        <v>-0.36</v>
      </c>
      <c r="V61" s="34">
        <v>3050.35</v>
      </c>
    </row>
    <row r="62" spans="1:22" ht="16.8" x14ac:dyDescent="0.3">
      <c r="A62" s="20">
        <v>6.1</v>
      </c>
      <c r="B62" s="20">
        <v>77</v>
      </c>
      <c r="C62" s="26">
        <v>52.38</v>
      </c>
      <c r="D62" s="20">
        <v>24.62</v>
      </c>
      <c r="E62" s="20">
        <v>-0.4</v>
      </c>
      <c r="F62" s="26">
        <v>2896.49</v>
      </c>
      <c r="Q62" s="32">
        <v>6.1</v>
      </c>
      <c r="R62" s="32">
        <v>66.64</v>
      </c>
      <c r="S62" s="34">
        <v>77</v>
      </c>
      <c r="T62" s="34">
        <v>10.36</v>
      </c>
      <c r="U62" s="34">
        <v>-0.37</v>
      </c>
      <c r="V62" s="32">
        <v>3009</v>
      </c>
    </row>
    <row r="63" spans="1:22" ht="16.8" x14ac:dyDescent="0.3">
      <c r="A63" s="20">
        <v>6.2</v>
      </c>
      <c r="B63" s="20">
        <v>77</v>
      </c>
      <c r="C63" s="20">
        <v>52.69</v>
      </c>
      <c r="D63" s="20">
        <v>24.31</v>
      </c>
      <c r="E63" s="20">
        <v>-0.31</v>
      </c>
      <c r="F63" s="26">
        <v>3101.4</v>
      </c>
      <c r="Q63" s="32">
        <v>6.2</v>
      </c>
      <c r="R63" s="32">
        <v>67.02</v>
      </c>
      <c r="S63" s="34">
        <v>77</v>
      </c>
      <c r="T63" s="34">
        <v>9.98</v>
      </c>
      <c r="U63" s="34">
        <v>-0.38</v>
      </c>
      <c r="V63" s="34">
        <v>2965.13</v>
      </c>
    </row>
    <row r="64" spans="1:22" ht="16.8" x14ac:dyDescent="0.3">
      <c r="A64" s="20">
        <v>6.3</v>
      </c>
      <c r="B64" s="20">
        <v>77</v>
      </c>
      <c r="C64" s="26">
        <v>53.1</v>
      </c>
      <c r="D64" s="20">
        <v>23.9</v>
      </c>
      <c r="E64" s="20">
        <v>-0.41</v>
      </c>
      <c r="F64" s="26">
        <v>2863.36</v>
      </c>
      <c r="Q64" s="32">
        <v>6.3</v>
      </c>
      <c r="R64" s="32">
        <v>67.28</v>
      </c>
      <c r="S64" s="34">
        <v>77</v>
      </c>
      <c r="T64" s="34">
        <v>9.7200000000000006</v>
      </c>
      <c r="U64" s="34">
        <v>-0.27</v>
      </c>
      <c r="V64" s="32">
        <v>3037.66</v>
      </c>
    </row>
    <row r="65" spans="1:22" ht="16.8" x14ac:dyDescent="0.3">
      <c r="A65" s="20">
        <v>6.4</v>
      </c>
      <c r="B65" s="20">
        <v>77</v>
      </c>
      <c r="C65" s="26">
        <v>53.46</v>
      </c>
      <c r="D65" s="20">
        <v>23.54</v>
      </c>
      <c r="E65" s="20">
        <v>-0.36</v>
      </c>
      <c r="F65" s="26">
        <v>2995.23</v>
      </c>
      <c r="Q65" s="32">
        <v>6.4</v>
      </c>
      <c r="R65" s="32">
        <v>67.7</v>
      </c>
      <c r="S65" s="34">
        <v>77</v>
      </c>
      <c r="T65" s="34">
        <v>9.3000000000000007</v>
      </c>
      <c r="U65" s="34">
        <v>-0.41</v>
      </c>
      <c r="V65" s="34">
        <v>2875.78</v>
      </c>
    </row>
    <row r="66" spans="1:22" ht="16.8" x14ac:dyDescent="0.3">
      <c r="A66" s="20">
        <v>6.5</v>
      </c>
      <c r="B66" s="20">
        <v>77</v>
      </c>
      <c r="C66" s="20">
        <v>53.79</v>
      </c>
      <c r="D66" s="20">
        <v>23.21</v>
      </c>
      <c r="E66" s="20">
        <v>-0.34</v>
      </c>
      <c r="F66" s="20">
        <v>3038.74</v>
      </c>
      <c r="Q66" s="32">
        <v>6.5</v>
      </c>
      <c r="R66" s="32">
        <v>68.03</v>
      </c>
      <c r="S66" s="34">
        <v>77</v>
      </c>
      <c r="T66" s="32">
        <v>8.9700000000000006</v>
      </c>
      <c r="U66" s="34">
        <v>-0.34</v>
      </c>
      <c r="V66" s="32">
        <v>2900.97</v>
      </c>
    </row>
    <row r="67" spans="1:22" ht="16.8" x14ac:dyDescent="0.3">
      <c r="A67" s="20">
        <v>6.6</v>
      </c>
      <c r="B67" s="20">
        <v>77</v>
      </c>
      <c r="C67" s="26">
        <v>54.11</v>
      </c>
      <c r="D67" s="20">
        <v>22.89</v>
      </c>
      <c r="E67" s="20">
        <v>-0.31</v>
      </c>
      <c r="F67" s="26">
        <v>3086.66</v>
      </c>
      <c r="Q67" s="32">
        <v>6.6</v>
      </c>
      <c r="R67" s="32">
        <v>68.36</v>
      </c>
      <c r="S67" s="34">
        <v>77</v>
      </c>
      <c r="T67" s="34">
        <v>8.64</v>
      </c>
      <c r="U67" s="34">
        <v>-0.32</v>
      </c>
      <c r="V67" s="34">
        <v>2882.57</v>
      </c>
    </row>
    <row r="68" spans="1:22" ht="16.8" x14ac:dyDescent="0.3">
      <c r="A68" s="20">
        <v>6.7</v>
      </c>
      <c r="B68" s="20">
        <v>77</v>
      </c>
      <c r="C68" s="26">
        <v>54.45</v>
      </c>
      <c r="D68" s="20">
        <v>22.55</v>
      </c>
      <c r="E68" s="20">
        <v>-0.34</v>
      </c>
      <c r="F68" s="26">
        <v>3038.75</v>
      </c>
      <c r="Q68" s="32">
        <v>6.7</v>
      </c>
      <c r="R68" s="32">
        <v>68.66</v>
      </c>
      <c r="S68" s="34">
        <v>77</v>
      </c>
      <c r="T68" s="32">
        <v>8.34</v>
      </c>
      <c r="U68" s="34">
        <v>-0.31</v>
      </c>
      <c r="V68" s="32">
        <v>2866.12</v>
      </c>
    </row>
    <row r="69" spans="1:22" ht="16.8" x14ac:dyDescent="0.3">
      <c r="A69" s="20">
        <v>6.8</v>
      </c>
      <c r="B69" s="20">
        <v>77</v>
      </c>
      <c r="C69" s="20">
        <v>54.79</v>
      </c>
      <c r="D69" s="20">
        <v>22.21</v>
      </c>
      <c r="E69" s="20">
        <v>-0.35</v>
      </c>
      <c r="F69" s="20">
        <v>3021.75</v>
      </c>
      <c r="Q69" s="32">
        <v>6.8</v>
      </c>
      <c r="R69" s="32">
        <v>68.959999999999994</v>
      </c>
      <c r="S69" s="34">
        <v>77</v>
      </c>
      <c r="T69" s="34">
        <v>8.0399999999999991</v>
      </c>
      <c r="U69" s="34">
        <v>-0.3</v>
      </c>
      <c r="V69" s="34">
        <v>2843.73</v>
      </c>
    </row>
    <row r="70" spans="1:22" ht="16.8" x14ac:dyDescent="0.3">
      <c r="A70" s="20">
        <v>6.9</v>
      </c>
      <c r="B70" s="20">
        <v>77</v>
      </c>
      <c r="C70" s="26">
        <v>55.14</v>
      </c>
      <c r="D70" s="20">
        <v>21.86</v>
      </c>
      <c r="E70" s="20">
        <v>-0.34</v>
      </c>
      <c r="F70" s="26">
        <v>3030.32</v>
      </c>
      <c r="Q70" s="32">
        <v>6.9</v>
      </c>
      <c r="R70" s="32">
        <v>69.2</v>
      </c>
      <c r="S70" s="34">
        <v>77</v>
      </c>
      <c r="T70" s="34">
        <v>7.8</v>
      </c>
      <c r="U70" s="34">
        <v>-0.24</v>
      </c>
      <c r="V70" s="32">
        <v>2869.47</v>
      </c>
    </row>
    <row r="71" spans="1:22" ht="16.8" x14ac:dyDescent="0.3">
      <c r="A71" s="20">
        <v>7</v>
      </c>
      <c r="B71" s="20">
        <v>77</v>
      </c>
      <c r="C71" s="26">
        <v>55.45</v>
      </c>
      <c r="D71" s="20">
        <v>21.55</v>
      </c>
      <c r="E71" s="20">
        <v>-0.31</v>
      </c>
      <c r="F71" s="26">
        <v>3094.22</v>
      </c>
      <c r="Q71" s="32">
        <v>7</v>
      </c>
      <c r="R71" s="32">
        <v>69.510000000000005</v>
      </c>
      <c r="S71" s="34">
        <v>77</v>
      </c>
      <c r="T71" s="34">
        <v>7.49</v>
      </c>
      <c r="U71" s="34">
        <v>-0.31</v>
      </c>
      <c r="V71" s="32">
        <v>2785.61</v>
      </c>
    </row>
    <row r="72" spans="1:22" ht="16.8" x14ac:dyDescent="0.3">
      <c r="A72" s="20">
        <v>7.1</v>
      </c>
      <c r="B72" s="20">
        <v>77</v>
      </c>
      <c r="C72" s="20">
        <v>55.81</v>
      </c>
      <c r="D72" s="20">
        <v>21.19</v>
      </c>
      <c r="E72" s="20">
        <v>-0.36</v>
      </c>
      <c r="F72" s="26">
        <v>2995.21</v>
      </c>
      <c r="Q72" s="32">
        <v>7.1</v>
      </c>
      <c r="R72" s="32">
        <v>69.81</v>
      </c>
      <c r="S72" s="34">
        <v>77</v>
      </c>
      <c r="T72" s="34">
        <v>7.19</v>
      </c>
      <c r="U72" s="34">
        <v>-0.3</v>
      </c>
      <c r="V72" s="34">
        <v>2760.75</v>
      </c>
    </row>
    <row r="73" spans="1:22" ht="16.8" x14ac:dyDescent="0.3">
      <c r="A73" s="20">
        <v>7.2</v>
      </c>
      <c r="B73" s="20">
        <v>77</v>
      </c>
      <c r="C73" s="26">
        <v>56.15</v>
      </c>
      <c r="D73" s="20">
        <v>20.85</v>
      </c>
      <c r="E73" s="20">
        <v>-0.35</v>
      </c>
      <c r="F73" s="26">
        <v>3021.76</v>
      </c>
      <c r="Q73" s="32">
        <v>7.2</v>
      </c>
      <c r="R73" s="32">
        <v>70.08</v>
      </c>
      <c r="S73" s="34">
        <v>77</v>
      </c>
      <c r="T73" s="34">
        <v>6.92</v>
      </c>
      <c r="U73" s="34">
        <v>-0.27</v>
      </c>
      <c r="V73" s="32">
        <v>2752.33</v>
      </c>
    </row>
    <row r="74" spans="1:22" ht="16.8" x14ac:dyDescent="0.3">
      <c r="A74" s="20">
        <v>7.3</v>
      </c>
      <c r="B74" s="20">
        <v>77</v>
      </c>
      <c r="C74" s="20">
        <v>56.43</v>
      </c>
      <c r="D74" s="20">
        <v>20.57</v>
      </c>
      <c r="E74" s="20">
        <v>-0.28000000000000003</v>
      </c>
      <c r="F74" s="26">
        <v>3140.28</v>
      </c>
      <c r="Q74" s="32">
        <v>7.3</v>
      </c>
      <c r="R74" s="32">
        <v>70.33</v>
      </c>
      <c r="S74" s="34">
        <v>77</v>
      </c>
      <c r="T74" s="34">
        <v>6.67</v>
      </c>
      <c r="U74" s="34">
        <v>-0.25</v>
      </c>
      <c r="V74" s="34">
        <v>2747.41</v>
      </c>
    </row>
    <row r="75" spans="1:22" ht="16.8" x14ac:dyDescent="0.3">
      <c r="A75" s="20">
        <v>7.4</v>
      </c>
      <c r="B75" s="20">
        <v>77</v>
      </c>
      <c r="C75" s="26">
        <v>56.74</v>
      </c>
      <c r="D75" s="20">
        <v>20.260000000000002</v>
      </c>
      <c r="E75" s="20">
        <v>-0.31</v>
      </c>
      <c r="F75" s="26">
        <v>3101.45</v>
      </c>
      <c r="Q75" s="32">
        <v>7.4</v>
      </c>
      <c r="R75" s="32">
        <v>70.59</v>
      </c>
      <c r="S75" s="34">
        <v>77</v>
      </c>
      <c r="T75" s="32">
        <v>6.41</v>
      </c>
      <c r="U75" s="34">
        <v>-0.26</v>
      </c>
      <c r="V75" s="32">
        <v>2714.35</v>
      </c>
    </row>
    <row r="76" spans="1:22" ht="16.8" x14ac:dyDescent="0.3">
      <c r="A76" s="20">
        <v>7.5</v>
      </c>
      <c r="B76" s="20">
        <v>77</v>
      </c>
      <c r="C76" s="26">
        <v>57.12</v>
      </c>
      <c r="D76" s="20">
        <v>19.88</v>
      </c>
      <c r="E76" s="20">
        <v>-0.37</v>
      </c>
      <c r="F76" s="26">
        <v>2957.74</v>
      </c>
      <c r="Q76" s="32">
        <v>7.5</v>
      </c>
      <c r="R76" s="32">
        <v>70.86</v>
      </c>
      <c r="S76" s="34">
        <v>77</v>
      </c>
      <c r="T76" s="34">
        <v>6.14</v>
      </c>
      <c r="U76" s="34">
        <v>-0.27</v>
      </c>
      <c r="V76" s="34">
        <v>2671.18</v>
      </c>
    </row>
    <row r="77" spans="1:22" ht="16.8" x14ac:dyDescent="0.3">
      <c r="A77" s="20">
        <v>7.6</v>
      </c>
      <c r="B77" s="20">
        <v>77</v>
      </c>
      <c r="C77" s="20">
        <v>57.46</v>
      </c>
      <c r="D77" s="20">
        <v>19.54</v>
      </c>
      <c r="E77" s="20">
        <v>-0.35</v>
      </c>
      <c r="F77" s="26">
        <v>3021.76</v>
      </c>
      <c r="Q77" s="32">
        <v>7.6</v>
      </c>
      <c r="R77" s="32">
        <v>71.09</v>
      </c>
      <c r="S77" s="34">
        <v>77</v>
      </c>
      <c r="T77" s="34">
        <v>5.91</v>
      </c>
      <c r="U77" s="34">
        <v>-0.23</v>
      </c>
      <c r="V77" s="32">
        <v>2687.8</v>
      </c>
    </row>
    <row r="78" spans="1:22" ht="16.8" x14ac:dyDescent="0.3">
      <c r="A78" s="20">
        <v>7.7</v>
      </c>
      <c r="B78" s="20">
        <v>77</v>
      </c>
      <c r="C78" s="26">
        <v>57.75</v>
      </c>
      <c r="D78" s="20">
        <v>19.25</v>
      </c>
      <c r="E78" s="20">
        <v>-0.28999999999999998</v>
      </c>
      <c r="F78" s="26">
        <v>3127.74</v>
      </c>
      <c r="Q78" s="32">
        <v>7.7</v>
      </c>
      <c r="R78" s="32">
        <v>71.31</v>
      </c>
      <c r="S78" s="34">
        <v>77</v>
      </c>
      <c r="T78" s="34">
        <v>5.69</v>
      </c>
      <c r="U78" s="34">
        <v>-0.23</v>
      </c>
      <c r="V78" s="34">
        <v>2664.77</v>
      </c>
    </row>
    <row r="79" spans="1:22" ht="16.8" x14ac:dyDescent="0.3">
      <c r="A79" s="20">
        <v>7.8</v>
      </c>
      <c r="B79" s="20">
        <v>77</v>
      </c>
      <c r="C79" s="20">
        <v>58.06</v>
      </c>
      <c r="D79" s="20">
        <v>18.940000000000001</v>
      </c>
      <c r="E79" s="20">
        <v>-0.31</v>
      </c>
      <c r="F79" s="26">
        <v>3101.45</v>
      </c>
      <c r="Q79" s="32">
        <v>7.8</v>
      </c>
      <c r="R79" s="32">
        <v>71.540000000000006</v>
      </c>
      <c r="S79" s="34">
        <v>77</v>
      </c>
      <c r="T79" s="32">
        <v>5.46</v>
      </c>
      <c r="U79" s="34">
        <v>-0.23</v>
      </c>
      <c r="V79" s="32">
        <v>2641.1</v>
      </c>
    </row>
    <row r="80" spans="1:22" ht="16.8" x14ac:dyDescent="0.3">
      <c r="A80" s="20">
        <v>7.9</v>
      </c>
      <c r="B80" s="20">
        <v>77</v>
      </c>
      <c r="C80" s="26">
        <v>58.37</v>
      </c>
      <c r="D80" s="20">
        <v>18.63</v>
      </c>
      <c r="E80" s="20">
        <v>-0.31</v>
      </c>
      <c r="F80" s="20">
        <v>3086.63</v>
      </c>
      <c r="Q80" s="32">
        <v>7.9</v>
      </c>
      <c r="R80" s="32">
        <v>71.760000000000005</v>
      </c>
      <c r="S80" s="34">
        <v>77</v>
      </c>
      <c r="T80" s="34">
        <v>5.24</v>
      </c>
      <c r="U80" s="34">
        <v>-0.22</v>
      </c>
      <c r="V80" s="34">
        <v>2624.69</v>
      </c>
    </row>
    <row r="81" spans="1:22" ht="16.8" x14ac:dyDescent="0.3">
      <c r="A81" s="20">
        <v>8</v>
      </c>
      <c r="B81" s="20">
        <v>77</v>
      </c>
      <c r="C81" s="26">
        <v>58.7</v>
      </c>
      <c r="D81" s="20">
        <v>18.3</v>
      </c>
      <c r="E81" s="20">
        <v>-0.33</v>
      </c>
      <c r="F81" s="26">
        <v>3063.28</v>
      </c>
      <c r="Q81" s="32">
        <v>8</v>
      </c>
      <c r="R81" s="32">
        <v>71.959999999999994</v>
      </c>
      <c r="S81" s="34">
        <v>77</v>
      </c>
      <c r="T81" s="32">
        <v>5.04</v>
      </c>
      <c r="U81" s="34">
        <v>-0.2</v>
      </c>
      <c r="V81" s="32">
        <v>2617.0300000000002</v>
      </c>
    </row>
    <row r="82" spans="1:22" ht="16.8" x14ac:dyDescent="0.3">
      <c r="A82" s="20">
        <v>8.1</v>
      </c>
      <c r="B82" s="20">
        <v>77</v>
      </c>
      <c r="C82" s="20">
        <v>59.03</v>
      </c>
      <c r="D82" s="20">
        <v>17.97</v>
      </c>
      <c r="E82" s="20">
        <v>-0.33</v>
      </c>
      <c r="F82" s="20">
        <v>3047.03</v>
      </c>
      <c r="Q82" s="32">
        <v>8.1</v>
      </c>
      <c r="R82" s="32">
        <v>72.12</v>
      </c>
      <c r="S82" s="34">
        <v>77</v>
      </c>
      <c r="T82" s="34">
        <v>4.88</v>
      </c>
      <c r="U82" s="34">
        <v>-0.16</v>
      </c>
      <c r="V82" s="34">
        <v>2635.42</v>
      </c>
    </row>
    <row r="83" spans="1:22" ht="16.8" x14ac:dyDescent="0.3">
      <c r="A83" s="20">
        <v>8.1999999999999993</v>
      </c>
      <c r="B83" s="20">
        <v>77</v>
      </c>
      <c r="C83" s="26">
        <v>59.36</v>
      </c>
      <c r="D83" s="20">
        <v>17.64</v>
      </c>
      <c r="E83" s="20">
        <v>-0.32</v>
      </c>
      <c r="F83" s="26">
        <v>3071.2</v>
      </c>
      <c r="Q83" s="32">
        <v>8.1999999999999993</v>
      </c>
      <c r="R83" s="32">
        <v>72.3</v>
      </c>
      <c r="S83" s="34">
        <v>77</v>
      </c>
      <c r="T83" s="32">
        <v>4.7</v>
      </c>
      <c r="U83" s="34">
        <v>-0.18</v>
      </c>
      <c r="V83" s="32">
        <v>2605.04</v>
      </c>
    </row>
    <row r="84" spans="1:22" ht="16.8" x14ac:dyDescent="0.3">
      <c r="A84" s="20">
        <v>8.3000000000000007</v>
      </c>
      <c r="B84" s="20">
        <v>77</v>
      </c>
      <c r="C84" s="26">
        <v>59.7</v>
      </c>
      <c r="D84" s="20">
        <v>17.3</v>
      </c>
      <c r="E84" s="20">
        <v>-0.34</v>
      </c>
      <c r="F84" s="26">
        <v>3030.32</v>
      </c>
      <c r="Q84" s="32">
        <v>8.3000000000000007</v>
      </c>
      <c r="R84" s="32">
        <v>72.52</v>
      </c>
      <c r="S84" s="34">
        <v>77</v>
      </c>
      <c r="T84" s="34">
        <v>4.4800000000000004</v>
      </c>
      <c r="U84" s="34">
        <v>-0.23</v>
      </c>
      <c r="V84" s="32">
        <v>2539.5300000000002</v>
      </c>
    </row>
    <row r="85" spans="1:22" ht="16.8" x14ac:dyDescent="0.3">
      <c r="A85" s="20">
        <v>8.4</v>
      </c>
      <c r="B85" s="20">
        <v>77</v>
      </c>
      <c r="C85" s="20">
        <v>60.01</v>
      </c>
      <c r="D85" s="20">
        <v>16.989999999999998</v>
      </c>
      <c r="E85" s="20">
        <v>-0.31</v>
      </c>
      <c r="F85" s="20">
        <v>3086.66</v>
      </c>
      <c r="Q85" s="32">
        <v>8.4</v>
      </c>
      <c r="R85" s="32">
        <v>72.739999999999995</v>
      </c>
      <c r="S85" s="34">
        <v>77</v>
      </c>
      <c r="T85" s="34">
        <v>4.26</v>
      </c>
      <c r="U85" s="34">
        <v>-0.22</v>
      </c>
      <c r="V85" s="34">
        <v>2520.29</v>
      </c>
    </row>
    <row r="86" spans="1:22" ht="16.8" x14ac:dyDescent="0.3">
      <c r="A86" s="20">
        <v>8.5</v>
      </c>
      <c r="B86" s="20">
        <v>77</v>
      </c>
      <c r="C86" s="26">
        <v>60.35</v>
      </c>
      <c r="D86" s="20">
        <v>16.649999999999999</v>
      </c>
      <c r="E86" s="20">
        <v>-0.34</v>
      </c>
      <c r="F86" s="26">
        <v>3038.74</v>
      </c>
      <c r="Q86" s="20">
        <v>8.5</v>
      </c>
      <c r="R86" s="20">
        <v>72.87</v>
      </c>
      <c r="S86" s="26">
        <v>77</v>
      </c>
      <c r="T86" s="26">
        <v>4.13</v>
      </c>
      <c r="U86" s="26">
        <v>-0.13</v>
      </c>
      <c r="V86" s="20">
        <v>2581.14</v>
      </c>
    </row>
    <row r="87" spans="1:22" ht="16.8" x14ac:dyDescent="0.3">
      <c r="A87" s="20">
        <v>8.6</v>
      </c>
      <c r="B87" s="20">
        <v>77</v>
      </c>
      <c r="C87" s="20">
        <v>60.61</v>
      </c>
      <c r="D87" s="20">
        <v>16.39</v>
      </c>
      <c r="E87" s="20">
        <v>-0.26</v>
      </c>
      <c r="F87" s="26">
        <v>3175.75</v>
      </c>
      <c r="Q87" s="20">
        <v>8.6</v>
      </c>
      <c r="R87" s="20">
        <v>73.069999999999993</v>
      </c>
      <c r="S87" s="26">
        <v>77</v>
      </c>
      <c r="T87" s="26">
        <v>3.93</v>
      </c>
      <c r="U87" s="26">
        <v>-0.2</v>
      </c>
      <c r="V87" s="26">
        <v>2498.79</v>
      </c>
    </row>
    <row r="88" spans="1:22" ht="16.8" x14ac:dyDescent="0.3">
      <c r="A88" s="20">
        <v>8.6999999999999993</v>
      </c>
      <c r="B88" s="20">
        <v>77</v>
      </c>
      <c r="C88" s="26">
        <v>60.95</v>
      </c>
      <c r="D88" s="20">
        <v>16.05</v>
      </c>
      <c r="E88" s="20">
        <v>-0.34</v>
      </c>
      <c r="F88" s="26">
        <v>3030.32</v>
      </c>
      <c r="Q88" s="20">
        <v>8.6999999999999993</v>
      </c>
      <c r="R88" s="20">
        <v>73.209999999999994</v>
      </c>
      <c r="S88" s="26">
        <v>77</v>
      </c>
      <c r="T88" s="26">
        <v>3.79</v>
      </c>
      <c r="U88" s="26">
        <v>-0.14000000000000001</v>
      </c>
      <c r="V88" s="20">
        <v>2537.77</v>
      </c>
    </row>
    <row r="89" spans="1:22" ht="16.8" x14ac:dyDescent="0.3">
      <c r="A89" s="20">
        <v>8.8000000000000007</v>
      </c>
      <c r="B89" s="20">
        <v>77</v>
      </c>
      <c r="C89" s="26">
        <v>61.23</v>
      </c>
      <c r="D89" s="20">
        <v>15.77</v>
      </c>
      <c r="E89" s="20">
        <v>-0.28000000000000003</v>
      </c>
      <c r="F89" s="26">
        <v>3140.28</v>
      </c>
      <c r="Q89" s="20">
        <v>8.8000000000000007</v>
      </c>
      <c r="R89" s="20">
        <v>73.33</v>
      </c>
      <c r="S89" s="26">
        <v>77</v>
      </c>
      <c r="T89" s="26">
        <v>3.67</v>
      </c>
      <c r="U89" s="26">
        <v>-0.12</v>
      </c>
      <c r="V89" s="26">
        <v>2540.23</v>
      </c>
    </row>
    <row r="90" spans="1:22" ht="16.8" x14ac:dyDescent="0.3">
      <c r="A90" s="20">
        <v>8.9</v>
      </c>
      <c r="B90" s="20">
        <v>77</v>
      </c>
      <c r="C90" s="20">
        <v>61.58</v>
      </c>
      <c r="D90" s="20">
        <v>15.42</v>
      </c>
      <c r="E90" s="20">
        <v>-0.34</v>
      </c>
      <c r="F90" s="26">
        <v>3030.31</v>
      </c>
      <c r="Q90" s="20">
        <v>8.9</v>
      </c>
      <c r="R90" s="20">
        <v>73.55</v>
      </c>
      <c r="S90" s="26">
        <v>77</v>
      </c>
      <c r="T90" s="26">
        <v>3.45</v>
      </c>
      <c r="U90" s="26">
        <v>-0.23</v>
      </c>
      <c r="V90" s="20">
        <v>2426.2800000000002</v>
      </c>
    </row>
    <row r="91" spans="1:22" ht="16.8" x14ac:dyDescent="0.3">
      <c r="A91" s="20">
        <v>9</v>
      </c>
      <c r="B91" s="20">
        <v>77</v>
      </c>
      <c r="C91" s="26">
        <v>61.82</v>
      </c>
      <c r="D91" s="20">
        <v>15.18</v>
      </c>
      <c r="E91" s="20">
        <v>-0.24</v>
      </c>
      <c r="F91" s="20">
        <v>3175.62</v>
      </c>
      <c r="Q91" s="20">
        <v>9</v>
      </c>
      <c r="R91" s="20">
        <v>73.72</v>
      </c>
      <c r="S91" s="26">
        <v>77</v>
      </c>
      <c r="T91" s="26">
        <v>3.28</v>
      </c>
      <c r="U91" s="26">
        <v>-0.16</v>
      </c>
      <c r="V91" s="26">
        <v>2459.5500000000002</v>
      </c>
    </row>
    <row r="92" spans="1:22" ht="16.8" x14ac:dyDescent="0.3">
      <c r="A92" s="20">
        <v>9.1</v>
      </c>
      <c r="B92" s="20">
        <v>77</v>
      </c>
      <c r="C92" s="26">
        <v>62.13</v>
      </c>
      <c r="D92" s="20">
        <v>14.87</v>
      </c>
      <c r="E92" s="20">
        <v>-0.31</v>
      </c>
      <c r="F92" s="26">
        <v>3086.66</v>
      </c>
      <c r="Q92" s="20">
        <v>9.1</v>
      </c>
      <c r="R92" s="20">
        <v>73.819999999999993</v>
      </c>
      <c r="S92" s="26">
        <v>77</v>
      </c>
      <c r="T92" s="26">
        <v>3.18</v>
      </c>
      <c r="U92" s="26">
        <v>-0.1</v>
      </c>
      <c r="V92" s="20">
        <v>2495.89</v>
      </c>
    </row>
    <row r="93" spans="1:22" ht="16.8" x14ac:dyDescent="0.3">
      <c r="A93" s="20">
        <v>9.1999999999999993</v>
      </c>
      <c r="B93" s="20">
        <v>77</v>
      </c>
      <c r="C93" s="20">
        <v>62.44</v>
      </c>
      <c r="D93" s="20">
        <v>14.56</v>
      </c>
      <c r="E93" s="20">
        <v>-0.31</v>
      </c>
      <c r="F93" s="20">
        <v>3094.2</v>
      </c>
      <c r="Q93" s="20">
        <v>9.1999999999999993</v>
      </c>
      <c r="R93" s="20">
        <v>73.97</v>
      </c>
      <c r="S93" s="26">
        <v>77</v>
      </c>
      <c r="T93" s="26">
        <v>3.03</v>
      </c>
      <c r="U93" s="20">
        <v>-0.15</v>
      </c>
      <c r="V93" s="26">
        <v>2438.88</v>
      </c>
    </row>
    <row r="94" spans="1:22" ht="16.8" x14ac:dyDescent="0.3">
      <c r="A94" s="20">
        <v>9.3000000000000007</v>
      </c>
      <c r="B94" s="20">
        <v>77</v>
      </c>
      <c r="C94" s="26">
        <v>62.73</v>
      </c>
      <c r="D94" s="20">
        <v>14.27</v>
      </c>
      <c r="E94" s="20">
        <v>-0.28999999999999998</v>
      </c>
      <c r="F94" s="26">
        <v>3104.67</v>
      </c>
      <c r="Q94" s="20">
        <v>9.3000000000000007</v>
      </c>
      <c r="R94" s="20">
        <v>74.13</v>
      </c>
      <c r="S94" s="26">
        <v>77</v>
      </c>
      <c r="T94" s="26">
        <v>2.87</v>
      </c>
      <c r="U94" s="26">
        <v>-0.15</v>
      </c>
      <c r="V94" s="20">
        <v>2420.4</v>
      </c>
    </row>
    <row r="95" spans="1:22" ht="16.8" x14ac:dyDescent="0.3">
      <c r="A95" s="20">
        <v>9.4</v>
      </c>
      <c r="B95" s="20">
        <v>77</v>
      </c>
      <c r="C95" s="20">
        <v>63.01</v>
      </c>
      <c r="D95" s="20">
        <v>13.99</v>
      </c>
      <c r="E95" s="20">
        <v>-0.28000000000000003</v>
      </c>
      <c r="F95" s="26">
        <v>3105.75</v>
      </c>
      <c r="Q95" s="20">
        <v>9.4</v>
      </c>
      <c r="R95" s="20">
        <v>74.27</v>
      </c>
      <c r="S95" s="26">
        <v>77</v>
      </c>
      <c r="T95" s="26">
        <v>2.73</v>
      </c>
      <c r="U95" s="26">
        <v>-0.15</v>
      </c>
      <c r="V95" s="26">
        <v>2409.4299999999998</v>
      </c>
    </row>
    <row r="96" spans="1:22" ht="16.8" x14ac:dyDescent="0.3">
      <c r="A96" s="20">
        <v>9.5</v>
      </c>
      <c r="B96" s="20">
        <v>77</v>
      </c>
      <c r="C96" s="26">
        <v>63.3</v>
      </c>
      <c r="D96" s="20">
        <v>13.7</v>
      </c>
      <c r="E96" s="20">
        <v>-0.28999999999999998</v>
      </c>
      <c r="F96" s="20">
        <v>3103.62</v>
      </c>
      <c r="Q96" s="20">
        <v>9.5</v>
      </c>
      <c r="R96" s="20">
        <v>74.319999999999993</v>
      </c>
      <c r="S96" s="26">
        <v>77</v>
      </c>
      <c r="T96" s="26">
        <v>2.68</v>
      </c>
      <c r="U96" s="26">
        <v>-0.05</v>
      </c>
      <c r="V96" s="20">
        <v>2486.66</v>
      </c>
    </row>
    <row r="97" spans="1:22" ht="16.8" x14ac:dyDescent="0.3">
      <c r="A97" s="20">
        <v>9.6</v>
      </c>
      <c r="B97" s="20">
        <v>77</v>
      </c>
      <c r="C97" s="26">
        <v>63.57</v>
      </c>
      <c r="D97" s="20">
        <v>13.43</v>
      </c>
      <c r="E97" s="20">
        <v>-0.27</v>
      </c>
      <c r="F97" s="26">
        <v>3092.52</v>
      </c>
      <c r="Q97" s="20">
        <v>9.6</v>
      </c>
      <c r="R97" s="20">
        <v>74.510000000000005</v>
      </c>
      <c r="S97" s="26">
        <v>77</v>
      </c>
      <c r="T97" s="26">
        <v>2.4900000000000002</v>
      </c>
      <c r="U97" s="26">
        <v>-0.19</v>
      </c>
      <c r="V97" s="26">
        <v>2343.09</v>
      </c>
    </row>
    <row r="98" spans="1:22" ht="16.8" x14ac:dyDescent="0.3">
      <c r="A98" s="20">
        <v>9.6999999999999993</v>
      </c>
      <c r="B98" s="20">
        <v>77</v>
      </c>
      <c r="C98" s="20">
        <v>63.82</v>
      </c>
      <c r="D98" s="20">
        <v>13.18</v>
      </c>
      <c r="E98" s="20">
        <v>-0.25</v>
      </c>
      <c r="F98" s="26">
        <v>3060.35</v>
      </c>
      <c r="Q98" s="20">
        <v>9.6999999999999993</v>
      </c>
      <c r="R98" s="20">
        <v>74.650000000000006</v>
      </c>
      <c r="S98" s="26">
        <v>77</v>
      </c>
      <c r="T98" s="26">
        <v>2.35</v>
      </c>
      <c r="U98" s="26">
        <v>-0.14000000000000001</v>
      </c>
      <c r="V98" s="20">
        <v>2371.38</v>
      </c>
    </row>
    <row r="99" spans="1:22" ht="16.8" x14ac:dyDescent="0.3">
      <c r="A99" s="20">
        <v>9.8000000000000007</v>
      </c>
      <c r="B99" s="20">
        <v>77</v>
      </c>
      <c r="C99" s="26">
        <v>64.150000000000006</v>
      </c>
      <c r="D99" s="20">
        <v>12.85</v>
      </c>
      <c r="E99" s="20">
        <v>-0.33</v>
      </c>
      <c r="F99" s="26">
        <v>3063.26</v>
      </c>
      <c r="Q99" s="20">
        <v>9.8000000000000007</v>
      </c>
      <c r="R99" s="20">
        <v>74.78</v>
      </c>
      <c r="S99" s="26">
        <v>77</v>
      </c>
      <c r="T99" s="20">
        <v>2.2200000000000002</v>
      </c>
      <c r="U99" s="26">
        <v>-0.13</v>
      </c>
      <c r="V99" s="26">
        <v>2361.7399999999998</v>
      </c>
    </row>
    <row r="100" spans="1:22" ht="16.8" x14ac:dyDescent="0.3">
      <c r="A100" s="20">
        <v>9.9</v>
      </c>
      <c r="B100" s="20">
        <v>77</v>
      </c>
      <c r="C100" s="20">
        <v>64.41</v>
      </c>
      <c r="D100" s="20">
        <v>12.59</v>
      </c>
      <c r="E100" s="20">
        <v>-0.26</v>
      </c>
      <c r="F100" s="26">
        <v>3018.47</v>
      </c>
      <c r="Q100" s="20">
        <v>9.9</v>
      </c>
      <c r="R100" s="20">
        <v>74.91</v>
      </c>
      <c r="S100" s="26">
        <v>77</v>
      </c>
      <c r="T100" s="26">
        <v>2.09</v>
      </c>
      <c r="U100" s="26">
        <v>-0.13</v>
      </c>
      <c r="V100" s="20">
        <v>2345.2399999999998</v>
      </c>
    </row>
    <row r="101" spans="1:22" ht="16.8" x14ac:dyDescent="0.3">
      <c r="A101" s="20">
        <v>10</v>
      </c>
      <c r="B101" s="20">
        <v>77</v>
      </c>
      <c r="C101" s="26">
        <v>64.709999999999994</v>
      </c>
      <c r="D101" s="20">
        <v>12.29</v>
      </c>
      <c r="E101" s="20">
        <v>-0.3</v>
      </c>
      <c r="F101" s="26">
        <v>3021.07</v>
      </c>
      <c r="Q101" s="20">
        <v>10</v>
      </c>
      <c r="R101" s="20">
        <v>74.989999999999995</v>
      </c>
      <c r="S101" s="26">
        <v>77</v>
      </c>
      <c r="T101" s="20">
        <v>2.0099999999999998</v>
      </c>
      <c r="U101" s="26">
        <v>-0.08</v>
      </c>
      <c r="V101" s="26">
        <v>2375.92</v>
      </c>
    </row>
    <row r="102" spans="1:22" ht="16.8" x14ac:dyDescent="0.3">
      <c r="A102" s="20">
        <v>10.1</v>
      </c>
      <c r="B102" s="20">
        <v>77</v>
      </c>
      <c r="C102" s="26">
        <v>64.959999999999994</v>
      </c>
      <c r="D102" s="20">
        <v>12.04</v>
      </c>
      <c r="E102" s="20">
        <v>-0.25</v>
      </c>
      <c r="F102" s="26">
        <v>2951.12</v>
      </c>
      <c r="Q102" s="20">
        <v>10.1</v>
      </c>
      <c r="R102" s="20">
        <v>75.08</v>
      </c>
      <c r="S102" s="26">
        <v>77</v>
      </c>
      <c r="T102" s="26">
        <v>1.92</v>
      </c>
      <c r="U102" s="26">
        <v>-0.09</v>
      </c>
      <c r="V102" s="20">
        <v>2359.4899999999998</v>
      </c>
    </row>
    <row r="103" spans="1:22" ht="16.8" x14ac:dyDescent="0.3">
      <c r="A103" s="20">
        <v>10.199999999999999</v>
      </c>
      <c r="B103" s="20">
        <v>77</v>
      </c>
      <c r="C103" s="20">
        <v>65.180000000000007</v>
      </c>
      <c r="D103" s="20">
        <v>11.82</v>
      </c>
      <c r="E103" s="20">
        <v>-0.22</v>
      </c>
      <c r="F103" s="26">
        <v>2907.37</v>
      </c>
      <c r="Q103" s="20">
        <v>10.199999999999999</v>
      </c>
      <c r="R103" s="20">
        <v>75.17</v>
      </c>
      <c r="S103" s="26">
        <v>77</v>
      </c>
      <c r="T103" s="20">
        <v>1.83</v>
      </c>
      <c r="U103" s="26">
        <v>-0.1</v>
      </c>
      <c r="V103" s="20">
        <v>2341.34</v>
      </c>
    </row>
    <row r="104" spans="1:22" ht="16.8" x14ac:dyDescent="0.3">
      <c r="A104" s="20">
        <v>10.3</v>
      </c>
      <c r="B104" s="20">
        <v>77</v>
      </c>
      <c r="C104" s="26">
        <v>65.45</v>
      </c>
      <c r="D104" s="20">
        <v>11.55</v>
      </c>
      <c r="E104" s="20">
        <v>-0.27</v>
      </c>
      <c r="F104" s="26">
        <v>2896.83</v>
      </c>
      <c r="Q104" s="20">
        <v>10.3</v>
      </c>
      <c r="R104" s="20">
        <v>75.290000000000006</v>
      </c>
      <c r="S104" s="26">
        <v>77</v>
      </c>
      <c r="T104" s="26">
        <v>1.71</v>
      </c>
      <c r="U104" s="20">
        <v>-0.11</v>
      </c>
      <c r="V104" s="26">
        <v>2313.58</v>
      </c>
    </row>
    <row r="105" spans="1:22" ht="16.8" x14ac:dyDescent="0.3">
      <c r="A105" s="20">
        <v>10.4</v>
      </c>
      <c r="B105" s="20">
        <v>77</v>
      </c>
      <c r="C105" s="20">
        <v>65.739999999999995</v>
      </c>
      <c r="D105" s="20">
        <v>11.26</v>
      </c>
      <c r="E105" s="20">
        <v>-0.28999999999999998</v>
      </c>
      <c r="F105" s="26">
        <v>2869.88</v>
      </c>
      <c r="Q105" s="20">
        <v>10.4</v>
      </c>
      <c r="R105" s="20">
        <v>75.36</v>
      </c>
      <c r="S105" s="26">
        <v>77</v>
      </c>
      <c r="T105" s="26">
        <v>1.64</v>
      </c>
      <c r="U105" s="26">
        <v>-7.0000000000000007E-2</v>
      </c>
      <c r="V105" s="20">
        <v>2338.1</v>
      </c>
    </row>
    <row r="106" spans="1:22" ht="16.8" x14ac:dyDescent="0.3">
      <c r="A106" s="20">
        <v>10.5</v>
      </c>
      <c r="B106" s="20">
        <v>77</v>
      </c>
      <c r="C106" s="26">
        <v>66</v>
      </c>
      <c r="D106" s="20">
        <v>11</v>
      </c>
      <c r="E106" s="20">
        <v>-0.26</v>
      </c>
      <c r="F106" s="26">
        <v>2800.14</v>
      </c>
      <c r="Q106" s="20">
        <v>10.5</v>
      </c>
      <c r="R106" s="20">
        <v>75.5</v>
      </c>
      <c r="S106" s="26">
        <v>77</v>
      </c>
      <c r="T106" s="26">
        <v>1.5</v>
      </c>
      <c r="U106" s="26">
        <v>-0.14000000000000001</v>
      </c>
      <c r="V106" s="26">
        <v>2266.5100000000002</v>
      </c>
    </row>
    <row r="107" spans="1:22" ht="16.8" x14ac:dyDescent="0.3">
      <c r="A107" s="20">
        <v>10.6</v>
      </c>
      <c r="B107" s="20">
        <v>77</v>
      </c>
      <c r="C107" s="26">
        <v>66.25</v>
      </c>
      <c r="D107" s="20">
        <v>10.75</v>
      </c>
      <c r="E107" s="20">
        <v>-0.24</v>
      </c>
      <c r="F107" s="20">
        <v>2742.16</v>
      </c>
      <c r="Q107" s="20">
        <v>10.6</v>
      </c>
      <c r="R107" s="20">
        <v>75.599999999999994</v>
      </c>
      <c r="S107" s="26">
        <v>77</v>
      </c>
      <c r="T107" s="26">
        <v>1.4</v>
      </c>
      <c r="U107" s="26">
        <v>-0.1</v>
      </c>
      <c r="V107" s="20">
        <v>2278.21</v>
      </c>
    </row>
    <row r="108" spans="1:22" ht="16.8" x14ac:dyDescent="0.3">
      <c r="A108" s="20">
        <v>10.7</v>
      </c>
      <c r="B108" s="20">
        <v>77</v>
      </c>
      <c r="C108" s="20">
        <v>66.489999999999995</v>
      </c>
      <c r="D108" s="20">
        <v>10.51</v>
      </c>
      <c r="E108" s="20">
        <v>-0.25</v>
      </c>
      <c r="F108" s="26">
        <v>2688.73</v>
      </c>
      <c r="Q108" s="20">
        <v>10.7</v>
      </c>
      <c r="R108" s="20">
        <v>75.62</v>
      </c>
      <c r="S108" s="26">
        <v>77</v>
      </c>
      <c r="T108" s="20">
        <v>1.38</v>
      </c>
      <c r="U108" s="26">
        <v>-0.02</v>
      </c>
      <c r="V108" s="26">
        <v>2350.83</v>
      </c>
    </row>
    <row r="109" spans="1:22" ht="16.8" x14ac:dyDescent="0.3">
      <c r="A109" s="20">
        <v>10.8</v>
      </c>
      <c r="B109" s="20">
        <v>77</v>
      </c>
      <c r="C109" s="26">
        <v>66.680000000000007</v>
      </c>
      <c r="D109" s="20">
        <v>10.32</v>
      </c>
      <c r="E109" s="20">
        <v>-0.19</v>
      </c>
      <c r="F109" s="20">
        <v>2631.35</v>
      </c>
      <c r="Q109" s="20">
        <v>10.8</v>
      </c>
      <c r="R109" s="20">
        <v>75.709999999999994</v>
      </c>
      <c r="S109" s="26">
        <v>77</v>
      </c>
      <c r="T109" s="26">
        <v>1.29</v>
      </c>
      <c r="U109" s="26">
        <v>-0.09</v>
      </c>
      <c r="V109" s="20">
        <v>2280.63</v>
      </c>
    </row>
    <row r="110" spans="1:22" ht="16.8" x14ac:dyDescent="0.3">
      <c r="A110" s="20">
        <v>10.9</v>
      </c>
      <c r="B110" s="20">
        <v>77</v>
      </c>
      <c r="C110" s="20">
        <v>66.91</v>
      </c>
      <c r="D110" s="20">
        <v>10.09</v>
      </c>
      <c r="E110" s="20">
        <v>-0.23</v>
      </c>
      <c r="F110" s="26">
        <v>2575.13</v>
      </c>
      <c r="Q110" s="20">
        <v>10.9</v>
      </c>
      <c r="R110" s="20">
        <v>75.819999999999993</v>
      </c>
      <c r="S110" s="26">
        <v>77</v>
      </c>
      <c r="T110" s="20">
        <v>1.18</v>
      </c>
      <c r="U110" s="26">
        <v>-0.11</v>
      </c>
      <c r="V110" s="26">
        <v>2244.79</v>
      </c>
    </row>
    <row r="111" spans="1:22" ht="16.8" x14ac:dyDescent="0.3">
      <c r="A111" s="20">
        <v>11</v>
      </c>
      <c r="B111" s="20">
        <v>77</v>
      </c>
      <c r="C111" s="26">
        <v>67.19</v>
      </c>
      <c r="D111" s="20">
        <v>9.81</v>
      </c>
      <c r="E111" s="20">
        <v>-0.27</v>
      </c>
      <c r="F111" s="26">
        <v>2550</v>
      </c>
      <c r="Q111" s="20">
        <v>11</v>
      </c>
      <c r="R111" s="20">
        <v>75.900000000000006</v>
      </c>
      <c r="S111" s="26">
        <v>77</v>
      </c>
      <c r="T111" s="26">
        <v>1.1000000000000001</v>
      </c>
      <c r="U111" s="26">
        <v>-0.08</v>
      </c>
      <c r="V111" s="20">
        <v>2259.86</v>
      </c>
    </row>
    <row r="112" spans="1:22" ht="16.8" x14ac:dyDescent="0.3">
      <c r="A112" s="20">
        <v>11.1</v>
      </c>
      <c r="B112" s="20">
        <v>77</v>
      </c>
      <c r="C112" s="26">
        <v>67.38</v>
      </c>
      <c r="D112" s="20">
        <v>9.6199999999999992</v>
      </c>
      <c r="E112" s="20">
        <v>-0.19</v>
      </c>
      <c r="F112" s="20">
        <v>2550</v>
      </c>
      <c r="Q112" s="20">
        <v>11.1</v>
      </c>
      <c r="R112" s="20">
        <v>75.97</v>
      </c>
      <c r="S112" s="26">
        <v>77</v>
      </c>
      <c r="T112" s="26">
        <v>1.03</v>
      </c>
      <c r="U112" s="26">
        <v>-7.0000000000000007E-2</v>
      </c>
      <c r="V112" s="26">
        <v>2256.65</v>
      </c>
    </row>
    <row r="113" spans="1:22" ht="16.8" x14ac:dyDescent="0.3">
      <c r="A113" s="20">
        <v>11.2</v>
      </c>
      <c r="B113" s="20">
        <v>77</v>
      </c>
      <c r="C113" s="20">
        <v>67.58</v>
      </c>
      <c r="D113" s="20">
        <v>9.42</v>
      </c>
      <c r="E113" s="20">
        <v>-0.19</v>
      </c>
      <c r="F113" s="26">
        <v>2550</v>
      </c>
      <c r="Q113" s="20">
        <v>11.2</v>
      </c>
      <c r="R113" s="20">
        <v>76.069999999999993</v>
      </c>
      <c r="S113" s="26">
        <v>77</v>
      </c>
      <c r="T113" s="26">
        <v>0.93</v>
      </c>
      <c r="U113" s="26">
        <v>-0.1</v>
      </c>
      <c r="V113" s="20">
        <v>2222.9</v>
      </c>
    </row>
    <row r="114" spans="1:22" ht="16.8" x14ac:dyDescent="0.3">
      <c r="A114" s="20">
        <v>11.3</v>
      </c>
      <c r="B114" s="20">
        <v>77</v>
      </c>
      <c r="C114" s="26">
        <v>67.8</v>
      </c>
      <c r="D114" s="20">
        <v>9.1999999999999993</v>
      </c>
      <c r="E114" s="20">
        <v>-0.22</v>
      </c>
      <c r="F114" s="20">
        <v>2550</v>
      </c>
      <c r="Q114" s="20">
        <v>11.3</v>
      </c>
      <c r="R114" s="20">
        <v>76.05</v>
      </c>
      <c r="S114" s="20">
        <v>77</v>
      </c>
      <c r="T114" s="26">
        <v>0.95</v>
      </c>
      <c r="U114" s="26">
        <v>0.02</v>
      </c>
      <c r="V114" s="20">
        <v>2319.42</v>
      </c>
    </row>
    <row r="115" spans="1:22" ht="16.8" x14ac:dyDescent="0.3">
      <c r="A115" s="20">
        <v>11.4</v>
      </c>
      <c r="B115" s="20">
        <v>77</v>
      </c>
      <c r="C115" s="26">
        <v>67.95</v>
      </c>
      <c r="D115" s="20">
        <v>9.0500000000000007</v>
      </c>
      <c r="E115" s="20">
        <v>-0.15</v>
      </c>
      <c r="F115" s="26">
        <v>2550</v>
      </c>
      <c r="Q115" s="20">
        <v>11.4</v>
      </c>
      <c r="R115" s="20">
        <v>76.14</v>
      </c>
      <c r="S115" s="26">
        <v>77</v>
      </c>
      <c r="T115" s="26">
        <v>0.86</v>
      </c>
      <c r="U115" s="26">
        <v>-0.09</v>
      </c>
      <c r="V115" s="26">
        <v>2221.9499999999998</v>
      </c>
    </row>
    <row r="116" spans="1:22" ht="16.8" x14ac:dyDescent="0.3">
      <c r="A116" s="20">
        <v>11.5</v>
      </c>
      <c r="B116" s="20">
        <v>77</v>
      </c>
      <c r="C116" s="20">
        <v>68.180000000000007</v>
      </c>
      <c r="D116" s="20">
        <v>8.82</v>
      </c>
      <c r="E116" s="20">
        <v>-0.23</v>
      </c>
      <c r="F116" s="26">
        <v>2550</v>
      </c>
      <c r="Q116" s="20">
        <v>11.5</v>
      </c>
      <c r="R116" s="20">
        <v>76.22</v>
      </c>
      <c r="S116" s="20">
        <v>77</v>
      </c>
      <c r="T116" s="26">
        <v>0.78</v>
      </c>
      <c r="U116" s="26">
        <v>-0.08</v>
      </c>
      <c r="V116" s="20">
        <v>2216.59</v>
      </c>
    </row>
    <row r="117" spans="1:22" ht="16.8" x14ac:dyDescent="0.3">
      <c r="A117" s="20">
        <v>11.6</v>
      </c>
      <c r="B117" s="20">
        <v>77</v>
      </c>
      <c r="C117" s="26">
        <v>68.349999999999994</v>
      </c>
      <c r="D117" s="20">
        <v>8.65</v>
      </c>
      <c r="E117" s="20">
        <v>-0.17</v>
      </c>
      <c r="F117" s="26">
        <v>2550</v>
      </c>
      <c r="Q117" s="20">
        <v>11.6</v>
      </c>
      <c r="R117" s="20">
        <v>76.290000000000006</v>
      </c>
      <c r="S117" s="26">
        <v>77</v>
      </c>
      <c r="T117" s="26">
        <v>0.71</v>
      </c>
      <c r="U117" s="26">
        <v>-7.0000000000000007E-2</v>
      </c>
      <c r="V117" s="26">
        <v>2212.4299999999998</v>
      </c>
    </row>
    <row r="118" spans="1:22" ht="16.8" x14ac:dyDescent="0.3">
      <c r="A118" s="20">
        <v>11.7</v>
      </c>
      <c r="B118" s="20">
        <v>77</v>
      </c>
      <c r="C118" s="20">
        <v>68.540000000000006</v>
      </c>
      <c r="D118" s="20">
        <v>8.4600000000000009</v>
      </c>
      <c r="E118" s="20">
        <v>-0.19</v>
      </c>
      <c r="F118" s="26">
        <v>2550</v>
      </c>
      <c r="Q118" s="20">
        <v>11.7</v>
      </c>
      <c r="R118" s="20">
        <v>76.36</v>
      </c>
      <c r="S118" s="26">
        <v>77</v>
      </c>
      <c r="T118" s="26">
        <v>0.64</v>
      </c>
      <c r="U118" s="26">
        <v>-0.06</v>
      </c>
      <c r="V118" s="20">
        <v>2209.5100000000002</v>
      </c>
    </row>
    <row r="119" spans="1:22" ht="16.8" x14ac:dyDescent="0.3">
      <c r="A119" s="20">
        <v>11.8</v>
      </c>
      <c r="B119" s="20">
        <v>77</v>
      </c>
      <c r="C119" s="26">
        <v>68.69</v>
      </c>
      <c r="D119" s="20">
        <v>8.31</v>
      </c>
      <c r="E119" s="20">
        <v>-0.15</v>
      </c>
      <c r="F119" s="26">
        <v>2550</v>
      </c>
      <c r="Q119" s="20">
        <v>11.8</v>
      </c>
      <c r="R119" s="20">
        <v>76.400000000000006</v>
      </c>
      <c r="S119" s="26">
        <v>77</v>
      </c>
      <c r="T119" s="26">
        <v>0.6</v>
      </c>
      <c r="U119" s="26">
        <v>-0.04</v>
      </c>
      <c r="V119" s="26">
        <v>2223.67</v>
      </c>
    </row>
    <row r="120" spans="1:22" ht="16.8" x14ac:dyDescent="0.3">
      <c r="A120" s="20">
        <v>11.9</v>
      </c>
      <c r="B120" s="20">
        <v>77</v>
      </c>
      <c r="C120" s="26">
        <v>68.88</v>
      </c>
      <c r="D120" s="20">
        <v>8.1199999999999992</v>
      </c>
      <c r="E120" s="20">
        <v>-0.19</v>
      </c>
      <c r="F120" s="26">
        <v>2550</v>
      </c>
      <c r="Q120" s="20">
        <v>11.9</v>
      </c>
      <c r="R120" s="20">
        <v>76.459999999999994</v>
      </c>
      <c r="S120" s="26">
        <v>77</v>
      </c>
      <c r="T120" s="26">
        <v>0.54</v>
      </c>
      <c r="U120" s="26">
        <v>-0.06</v>
      </c>
      <c r="V120" s="20">
        <v>2194.44</v>
      </c>
    </row>
    <row r="121" spans="1:22" ht="16.8" x14ac:dyDescent="0.3">
      <c r="A121" s="20">
        <v>12</v>
      </c>
      <c r="B121" s="20">
        <v>77</v>
      </c>
      <c r="C121" s="20">
        <v>69.010000000000005</v>
      </c>
      <c r="D121" s="20">
        <v>7.99</v>
      </c>
      <c r="E121" s="20">
        <v>-0.13</v>
      </c>
      <c r="F121" s="26">
        <v>2550</v>
      </c>
      <c r="Q121" s="20">
        <v>12</v>
      </c>
      <c r="R121" s="20">
        <v>76.5</v>
      </c>
      <c r="S121" s="26">
        <v>77</v>
      </c>
      <c r="T121" s="26">
        <v>0.5</v>
      </c>
      <c r="U121" s="26">
        <v>-0.03</v>
      </c>
      <c r="V121" s="26">
        <v>2216.2600000000002</v>
      </c>
    </row>
    <row r="122" spans="1:22" ht="16.8" x14ac:dyDescent="0.3">
      <c r="A122" s="20">
        <v>12.1</v>
      </c>
      <c r="B122" s="20">
        <v>77</v>
      </c>
      <c r="C122" s="26">
        <v>69.099999999999994</v>
      </c>
      <c r="D122" s="20">
        <v>7.9</v>
      </c>
      <c r="E122" s="20">
        <v>-0.09</v>
      </c>
      <c r="F122" s="26">
        <v>2550</v>
      </c>
      <c r="Q122" s="20">
        <v>12.1</v>
      </c>
      <c r="R122" s="20">
        <v>76.58</v>
      </c>
      <c r="S122" s="26">
        <v>77</v>
      </c>
      <c r="T122" s="26">
        <v>0.42</v>
      </c>
      <c r="U122" s="26">
        <v>-0.09</v>
      </c>
      <c r="V122" s="20">
        <v>2156.4699999999998</v>
      </c>
    </row>
    <row r="123" spans="1:22" ht="16.8" x14ac:dyDescent="0.3">
      <c r="A123" s="20">
        <v>12.2</v>
      </c>
      <c r="B123" s="20">
        <v>77</v>
      </c>
      <c r="C123" s="20">
        <v>69.260000000000005</v>
      </c>
      <c r="D123" s="20">
        <v>7.74</v>
      </c>
      <c r="E123" s="20">
        <v>-0.16</v>
      </c>
      <c r="F123" s="26">
        <v>2550</v>
      </c>
      <c r="Q123" s="20">
        <v>12.2</v>
      </c>
      <c r="R123" s="20">
        <v>76.599999999999994</v>
      </c>
      <c r="S123" s="26">
        <v>77</v>
      </c>
      <c r="T123" s="26">
        <v>0.4</v>
      </c>
      <c r="U123" s="26">
        <v>-0.02</v>
      </c>
      <c r="V123" s="26">
        <v>2213.2600000000002</v>
      </c>
    </row>
    <row r="124" spans="1:22" ht="16.8" x14ac:dyDescent="0.3">
      <c r="A124" s="20">
        <v>12.3</v>
      </c>
      <c r="B124" s="20">
        <v>77</v>
      </c>
      <c r="C124" s="26">
        <v>69.45</v>
      </c>
      <c r="D124" s="20">
        <v>7.55</v>
      </c>
      <c r="E124" s="20">
        <v>-0.19</v>
      </c>
      <c r="F124" s="26">
        <v>2550</v>
      </c>
      <c r="Q124" s="20">
        <v>12.3</v>
      </c>
      <c r="R124" s="20">
        <v>76.67</v>
      </c>
      <c r="S124" s="26">
        <v>77</v>
      </c>
      <c r="T124" s="26">
        <v>0.33</v>
      </c>
      <c r="U124" s="26">
        <v>-7.0000000000000007E-2</v>
      </c>
      <c r="V124" s="20">
        <v>2156.04</v>
      </c>
    </row>
    <row r="125" spans="1:22" ht="16.8" x14ac:dyDescent="0.3">
      <c r="A125" s="20">
        <v>12.4</v>
      </c>
      <c r="B125" s="20">
        <v>77</v>
      </c>
      <c r="C125" s="26">
        <v>69.61</v>
      </c>
      <c r="D125" s="20">
        <v>7.39</v>
      </c>
      <c r="E125" s="20">
        <v>-0.16</v>
      </c>
      <c r="F125" s="26">
        <v>2550</v>
      </c>
      <c r="Q125" s="20">
        <v>12.4</v>
      </c>
      <c r="R125" s="20">
        <v>76.680000000000007</v>
      </c>
      <c r="S125" s="26">
        <v>77</v>
      </c>
      <c r="T125" s="26">
        <v>0.32</v>
      </c>
      <c r="U125" s="26">
        <v>-0.01</v>
      </c>
      <c r="V125" s="26">
        <v>2207.52</v>
      </c>
    </row>
    <row r="126" spans="1:22" ht="16.8" x14ac:dyDescent="0.3">
      <c r="A126" s="20">
        <v>12.5</v>
      </c>
      <c r="B126" s="20">
        <v>77</v>
      </c>
      <c r="C126" s="20">
        <v>69.72</v>
      </c>
      <c r="D126" s="20">
        <v>7.28</v>
      </c>
      <c r="E126" s="20">
        <v>-0.12</v>
      </c>
      <c r="F126" s="26">
        <v>2550</v>
      </c>
      <c r="Q126" s="20">
        <v>12.5</v>
      </c>
      <c r="R126" s="20">
        <v>76.739999999999995</v>
      </c>
      <c r="S126" s="26">
        <v>77</v>
      </c>
      <c r="T126" s="26">
        <v>0.26</v>
      </c>
      <c r="U126" s="26">
        <v>-0.06</v>
      </c>
      <c r="V126" s="20">
        <v>2159.44</v>
      </c>
    </row>
    <row r="127" spans="1:22" ht="16.8" x14ac:dyDescent="0.3">
      <c r="A127" s="20">
        <v>12.6</v>
      </c>
      <c r="B127" s="20">
        <v>77</v>
      </c>
      <c r="C127" s="26">
        <v>69.86</v>
      </c>
      <c r="D127" s="20">
        <v>7.14</v>
      </c>
      <c r="E127" s="20">
        <v>-0.13</v>
      </c>
      <c r="F127" s="26">
        <v>2550</v>
      </c>
      <c r="Q127" s="20">
        <v>12.6</v>
      </c>
      <c r="R127" s="20">
        <v>76.78</v>
      </c>
      <c r="S127" s="26">
        <v>77</v>
      </c>
      <c r="T127" s="26">
        <v>0.22</v>
      </c>
      <c r="U127" s="26">
        <v>-0.04</v>
      </c>
      <c r="V127" s="20">
        <v>2166</v>
      </c>
    </row>
    <row r="128" spans="1:22" ht="16.8" x14ac:dyDescent="0.3">
      <c r="A128" s="20">
        <v>12.7</v>
      </c>
      <c r="B128" s="20">
        <v>77</v>
      </c>
      <c r="C128" s="20">
        <v>70.010000000000005</v>
      </c>
      <c r="D128" s="20">
        <v>6.99</v>
      </c>
      <c r="E128" s="20">
        <v>-0.15</v>
      </c>
      <c r="F128" s="20">
        <v>2550</v>
      </c>
      <c r="Q128" s="20">
        <v>12.7</v>
      </c>
      <c r="R128" s="20">
        <v>76.790000000000006</v>
      </c>
      <c r="S128" s="26">
        <v>77</v>
      </c>
      <c r="T128" s="20">
        <v>0.21</v>
      </c>
      <c r="U128" s="20">
        <v>-0.02</v>
      </c>
      <c r="V128" s="26">
        <v>2183.2600000000002</v>
      </c>
    </row>
    <row r="129" spans="1:22" ht="16.8" x14ac:dyDescent="0.3">
      <c r="A129" s="20">
        <v>12.8</v>
      </c>
      <c r="B129" s="20">
        <v>77</v>
      </c>
      <c r="C129" s="26">
        <v>70.2</v>
      </c>
      <c r="D129" s="20">
        <v>6.8</v>
      </c>
      <c r="E129" s="20">
        <v>-0.19</v>
      </c>
      <c r="F129" s="26">
        <v>2550</v>
      </c>
      <c r="Q129" s="20">
        <v>12.8</v>
      </c>
      <c r="R129" s="20">
        <v>76.83</v>
      </c>
      <c r="S129" s="26">
        <v>77</v>
      </c>
      <c r="T129" s="26">
        <v>0.17</v>
      </c>
      <c r="U129" s="26">
        <v>-0.04</v>
      </c>
      <c r="V129" s="20">
        <v>2157.21</v>
      </c>
    </row>
    <row r="130" spans="1:22" ht="16.8" x14ac:dyDescent="0.3">
      <c r="A130" s="20">
        <v>12.9</v>
      </c>
      <c r="B130" s="20">
        <v>77</v>
      </c>
      <c r="C130" s="26">
        <v>70.33</v>
      </c>
      <c r="D130" s="20">
        <v>6.67</v>
      </c>
      <c r="E130" s="20">
        <v>-0.13</v>
      </c>
      <c r="F130" s="20">
        <v>2550</v>
      </c>
      <c r="Q130" s="20">
        <v>12.9</v>
      </c>
      <c r="R130" s="20">
        <v>76.89</v>
      </c>
      <c r="S130" s="26">
        <v>77</v>
      </c>
      <c r="T130" s="20">
        <v>0.11</v>
      </c>
      <c r="U130" s="26">
        <v>-0.06</v>
      </c>
      <c r="V130" s="26">
        <v>2134.65</v>
      </c>
    </row>
    <row r="131" spans="1:22" ht="16.8" x14ac:dyDescent="0.3">
      <c r="A131" s="20">
        <v>13</v>
      </c>
      <c r="B131" s="20">
        <v>77</v>
      </c>
      <c r="C131" s="20">
        <v>70.42</v>
      </c>
      <c r="D131" s="20">
        <v>6.58</v>
      </c>
      <c r="E131" s="20">
        <v>-0.09</v>
      </c>
      <c r="F131" s="26">
        <v>2550</v>
      </c>
      <c r="Q131" s="20">
        <v>13</v>
      </c>
      <c r="R131" s="20">
        <v>76.89</v>
      </c>
      <c r="S131" s="26">
        <v>77</v>
      </c>
      <c r="T131" s="26">
        <v>0.11</v>
      </c>
      <c r="U131" s="26">
        <v>0</v>
      </c>
      <c r="V131" s="20">
        <v>2180.44</v>
      </c>
    </row>
    <row r="132" spans="1:22" ht="16.8" x14ac:dyDescent="0.3">
      <c r="A132" s="20">
        <v>13.1</v>
      </c>
      <c r="B132" s="20">
        <v>77</v>
      </c>
      <c r="C132" s="26">
        <v>70.599999999999994</v>
      </c>
      <c r="D132" s="20">
        <v>6.4</v>
      </c>
      <c r="E132" s="20">
        <v>-0.18</v>
      </c>
      <c r="F132" s="26">
        <v>2550</v>
      </c>
      <c r="Q132" s="20">
        <v>13.1</v>
      </c>
      <c r="R132" s="20">
        <v>76.91</v>
      </c>
      <c r="S132" s="26">
        <v>77</v>
      </c>
      <c r="T132" s="26">
        <v>0.09</v>
      </c>
      <c r="U132" s="26">
        <v>-0.02</v>
      </c>
      <c r="V132" s="26">
        <v>2164.9</v>
      </c>
    </row>
    <row r="133" spans="1:22" ht="16.8" x14ac:dyDescent="0.3">
      <c r="A133" s="20">
        <v>13.2</v>
      </c>
      <c r="B133" s="20">
        <v>77</v>
      </c>
      <c r="C133" s="26">
        <v>70.7</v>
      </c>
      <c r="D133" s="20">
        <v>6.3</v>
      </c>
      <c r="E133" s="20">
        <v>-0.1</v>
      </c>
      <c r="F133" s="20">
        <v>2550</v>
      </c>
      <c r="Q133" s="20">
        <v>13.2</v>
      </c>
      <c r="R133" s="20">
        <v>76.92</v>
      </c>
      <c r="S133" s="26">
        <v>77</v>
      </c>
      <c r="T133" s="26">
        <v>0.08</v>
      </c>
      <c r="U133" s="26">
        <v>-0.01</v>
      </c>
      <c r="V133" s="20">
        <v>2170.23</v>
      </c>
    </row>
    <row r="134" spans="1:22" ht="16.8" x14ac:dyDescent="0.3">
      <c r="A134" s="20">
        <v>13.3</v>
      </c>
      <c r="B134" s="20">
        <v>77</v>
      </c>
      <c r="C134" s="20">
        <v>70.81</v>
      </c>
      <c r="D134" s="20">
        <v>6.19</v>
      </c>
      <c r="E134" s="20">
        <v>-0.1</v>
      </c>
      <c r="F134" s="26">
        <v>2550</v>
      </c>
      <c r="Q134" s="20">
        <v>13.3</v>
      </c>
      <c r="R134" s="20">
        <v>77</v>
      </c>
      <c r="S134" s="26">
        <v>77</v>
      </c>
      <c r="T134" s="26">
        <v>0</v>
      </c>
      <c r="U134" s="26">
        <v>-0.09</v>
      </c>
      <c r="V134" s="26">
        <v>2089.7399999999998</v>
      </c>
    </row>
    <row r="135" spans="1:22" ht="16.8" x14ac:dyDescent="0.3">
      <c r="A135" s="20">
        <v>13.4</v>
      </c>
      <c r="B135" s="20">
        <v>77</v>
      </c>
      <c r="C135" s="26">
        <v>70.989999999999995</v>
      </c>
      <c r="D135" s="20">
        <v>6.01</v>
      </c>
      <c r="E135" s="20">
        <v>-0.18</v>
      </c>
      <c r="F135" s="26">
        <v>2550</v>
      </c>
      <c r="Q135" s="20">
        <v>13.4</v>
      </c>
      <c r="R135" s="20">
        <v>77.010000000000005</v>
      </c>
      <c r="S135" s="26">
        <v>77</v>
      </c>
      <c r="T135" s="26">
        <v>-0.01</v>
      </c>
      <c r="U135" s="26">
        <v>-0.01</v>
      </c>
      <c r="V135" s="20">
        <v>2153.25</v>
      </c>
    </row>
    <row r="136" spans="1:22" ht="16.8" x14ac:dyDescent="0.3">
      <c r="A136" s="20">
        <v>13.5</v>
      </c>
      <c r="B136" s="20">
        <v>77</v>
      </c>
      <c r="C136" s="20">
        <v>71.099999999999994</v>
      </c>
      <c r="D136" s="20">
        <v>5.9</v>
      </c>
      <c r="E136" s="20">
        <v>-0.12</v>
      </c>
      <c r="F136" s="26">
        <v>2550</v>
      </c>
      <c r="Q136" s="20">
        <v>13.5</v>
      </c>
      <c r="R136" s="20">
        <v>77.040000000000006</v>
      </c>
      <c r="S136" s="26">
        <v>77</v>
      </c>
      <c r="T136" s="26">
        <v>-0.04</v>
      </c>
      <c r="U136" s="26">
        <v>-0.02</v>
      </c>
      <c r="V136" s="26">
        <v>2135.91</v>
      </c>
    </row>
    <row r="137" spans="1:22" ht="16.8" x14ac:dyDescent="0.3">
      <c r="A137" s="20">
        <v>13.6</v>
      </c>
      <c r="B137" s="20">
        <v>77</v>
      </c>
      <c r="C137" s="26">
        <v>71.209999999999994</v>
      </c>
      <c r="D137" s="20">
        <v>5.79</v>
      </c>
      <c r="E137" s="20">
        <v>-0.1</v>
      </c>
      <c r="F137" s="26">
        <v>2550</v>
      </c>
      <c r="Q137" s="20">
        <v>13.6</v>
      </c>
      <c r="R137" s="20">
        <v>77.02</v>
      </c>
      <c r="S137" s="26">
        <v>77</v>
      </c>
      <c r="T137" s="26">
        <v>-0.02</v>
      </c>
      <c r="U137" s="26">
        <v>0.02</v>
      </c>
      <c r="V137" s="20">
        <v>2171.17</v>
      </c>
    </row>
    <row r="138" spans="1:22" ht="16.8" x14ac:dyDescent="0.3">
      <c r="A138" s="20">
        <v>13.7</v>
      </c>
      <c r="B138" s="20">
        <v>77</v>
      </c>
      <c r="C138" s="26">
        <v>71.31</v>
      </c>
      <c r="D138" s="20">
        <v>5.69</v>
      </c>
      <c r="E138" s="20">
        <v>-0.1</v>
      </c>
      <c r="F138" s="26">
        <v>2550</v>
      </c>
      <c r="Q138" s="20">
        <v>13.7</v>
      </c>
      <c r="R138" s="20">
        <v>77.02</v>
      </c>
      <c r="S138" s="26">
        <v>77</v>
      </c>
      <c r="T138" s="26">
        <v>-0.02</v>
      </c>
      <c r="U138" s="26">
        <v>0</v>
      </c>
      <c r="V138" s="26">
        <v>2158.11</v>
      </c>
    </row>
    <row r="139" spans="1:22" ht="16.8" x14ac:dyDescent="0.3">
      <c r="A139" s="20">
        <v>13.8</v>
      </c>
      <c r="B139" s="20">
        <v>77</v>
      </c>
      <c r="C139" s="20">
        <v>71.45</v>
      </c>
      <c r="D139" s="20">
        <v>5.55</v>
      </c>
      <c r="E139" s="20">
        <v>-0.14000000000000001</v>
      </c>
      <c r="F139" s="26">
        <v>2550</v>
      </c>
      <c r="Q139" s="20">
        <v>13.8</v>
      </c>
      <c r="R139" s="20">
        <v>77.08</v>
      </c>
      <c r="S139" s="26">
        <v>77</v>
      </c>
      <c r="T139" s="26">
        <v>-0.08</v>
      </c>
      <c r="U139" s="26">
        <v>-0.06</v>
      </c>
      <c r="V139" s="20">
        <v>2094.61</v>
      </c>
    </row>
    <row r="140" spans="1:22" ht="16.8" x14ac:dyDescent="0.3">
      <c r="A140" s="20">
        <v>13.9</v>
      </c>
      <c r="B140" s="20">
        <v>77</v>
      </c>
      <c r="C140" s="26">
        <v>71.58</v>
      </c>
      <c r="D140" s="20">
        <v>5.42</v>
      </c>
      <c r="E140" s="20">
        <v>-0.12</v>
      </c>
      <c r="F140" s="26">
        <v>2550</v>
      </c>
      <c r="Q140" s="20">
        <v>13.9</v>
      </c>
      <c r="R140" s="20">
        <v>77.069999999999993</v>
      </c>
      <c r="S140" s="26">
        <v>77</v>
      </c>
      <c r="T140" s="26">
        <v>-7.0000000000000007E-2</v>
      </c>
      <c r="U140" s="26">
        <v>0.02</v>
      </c>
      <c r="V140" s="20">
        <v>2162.19</v>
      </c>
    </row>
    <row r="141" spans="1:22" ht="16.8" x14ac:dyDescent="0.3">
      <c r="A141" s="20">
        <v>14</v>
      </c>
      <c r="B141" s="20">
        <v>77</v>
      </c>
      <c r="C141" s="20">
        <v>71.67</v>
      </c>
      <c r="D141" s="20">
        <v>5.33</v>
      </c>
      <c r="E141" s="20">
        <v>-0.1</v>
      </c>
      <c r="F141" s="26">
        <v>2550</v>
      </c>
      <c r="Q141" s="20">
        <v>14</v>
      </c>
      <c r="R141" s="20">
        <v>77.2</v>
      </c>
      <c r="S141" s="26">
        <v>77</v>
      </c>
      <c r="T141" s="26">
        <v>-0.2</v>
      </c>
      <c r="U141" s="26">
        <v>-0.13</v>
      </c>
      <c r="V141" s="26">
        <v>2022.14</v>
      </c>
    </row>
    <row r="142" spans="1:22" ht="16.8" x14ac:dyDescent="0.3">
      <c r="A142" s="20">
        <v>14.1</v>
      </c>
      <c r="B142" s="20">
        <v>77</v>
      </c>
      <c r="C142" s="26">
        <v>71.77</v>
      </c>
      <c r="D142" s="20">
        <v>5.23</v>
      </c>
      <c r="E142" s="20">
        <v>-0.1</v>
      </c>
      <c r="F142" s="26">
        <v>2550</v>
      </c>
      <c r="Q142" s="20">
        <v>14.1</v>
      </c>
      <c r="R142" s="20">
        <v>77.14</v>
      </c>
      <c r="S142" s="26">
        <v>77</v>
      </c>
      <c r="T142" s="20">
        <v>-0.14000000000000001</v>
      </c>
      <c r="U142" s="20">
        <v>0.06</v>
      </c>
      <c r="V142" s="20">
        <v>2181</v>
      </c>
    </row>
    <row r="143" spans="1:22" ht="16.8" x14ac:dyDescent="0.3">
      <c r="A143" s="20">
        <v>14.2</v>
      </c>
      <c r="B143" s="20">
        <v>77</v>
      </c>
      <c r="C143" s="26">
        <v>71.900000000000006</v>
      </c>
      <c r="D143" s="20">
        <v>5.0999999999999996</v>
      </c>
      <c r="E143" s="20">
        <v>-0.13</v>
      </c>
      <c r="F143" s="26">
        <v>2550</v>
      </c>
      <c r="Q143" s="20">
        <v>14.2</v>
      </c>
      <c r="R143" s="20">
        <v>77.19</v>
      </c>
      <c r="S143" s="26">
        <v>77</v>
      </c>
      <c r="T143" s="26">
        <v>-0.19</v>
      </c>
      <c r="U143" s="26">
        <v>-0.05</v>
      </c>
      <c r="V143" s="26">
        <v>2087.5300000000002</v>
      </c>
    </row>
    <row r="144" spans="1:22" ht="16.8" x14ac:dyDescent="0.3">
      <c r="A144" s="20">
        <v>14.3</v>
      </c>
      <c r="B144" s="20">
        <v>77</v>
      </c>
      <c r="C144" s="20">
        <v>72.040000000000006</v>
      </c>
      <c r="D144" s="20">
        <v>4.96</v>
      </c>
      <c r="E144" s="20">
        <v>-0.14000000000000001</v>
      </c>
      <c r="F144" s="20">
        <v>2550</v>
      </c>
      <c r="Q144" s="20">
        <v>14.3</v>
      </c>
      <c r="R144" s="20">
        <v>77.2</v>
      </c>
      <c r="S144" s="26">
        <v>77</v>
      </c>
      <c r="T144" s="26">
        <v>-0.2</v>
      </c>
      <c r="U144" s="26">
        <v>-0.01</v>
      </c>
      <c r="V144" s="20">
        <v>2118.04</v>
      </c>
    </row>
    <row r="145" spans="1:22" ht="16.8" x14ac:dyDescent="0.3">
      <c r="A145" s="45">
        <v>14.4</v>
      </c>
      <c r="B145" s="20">
        <v>77</v>
      </c>
      <c r="C145" s="26">
        <v>72.11</v>
      </c>
      <c r="D145" s="20">
        <v>4.8899999999999997</v>
      </c>
      <c r="E145" s="20">
        <v>-7.0000000000000007E-2</v>
      </c>
      <c r="F145" s="26">
        <v>2550</v>
      </c>
      <c r="Q145" s="20">
        <v>14.4</v>
      </c>
      <c r="R145" s="20">
        <v>77.209999999999994</v>
      </c>
      <c r="S145" s="26">
        <v>77</v>
      </c>
      <c r="T145" s="26">
        <v>-0.21</v>
      </c>
      <c r="U145" s="26">
        <v>-0.02</v>
      </c>
      <c r="V145" s="26">
        <v>2108.1</v>
      </c>
    </row>
    <row r="146" spans="1:22" ht="16.8" x14ac:dyDescent="0.3">
      <c r="A146" s="20">
        <v>14.5</v>
      </c>
      <c r="B146" s="20">
        <v>77</v>
      </c>
      <c r="C146" s="26">
        <v>72.16</v>
      </c>
      <c r="D146" s="20">
        <v>4.84</v>
      </c>
      <c r="E146" s="20">
        <v>-0.04</v>
      </c>
      <c r="F146" s="20">
        <v>2550</v>
      </c>
      <c r="Q146" s="20">
        <v>14.5</v>
      </c>
      <c r="R146" s="20">
        <v>77.23</v>
      </c>
      <c r="S146" s="26">
        <v>77</v>
      </c>
      <c r="T146" s="26">
        <v>-0.23</v>
      </c>
      <c r="U146" s="26">
        <v>-0.02</v>
      </c>
      <c r="V146" s="20">
        <v>2104.6</v>
      </c>
    </row>
    <row r="147" spans="1:22" ht="16.8" x14ac:dyDescent="0.3">
      <c r="A147" s="20">
        <v>14.6</v>
      </c>
      <c r="B147" s="20">
        <v>77</v>
      </c>
      <c r="C147" s="20">
        <v>72.290000000000006</v>
      </c>
      <c r="D147" s="20">
        <v>4.71</v>
      </c>
      <c r="E147" s="20">
        <v>-0.14000000000000001</v>
      </c>
      <c r="F147" s="26">
        <v>2550</v>
      </c>
      <c r="Q147" s="20">
        <v>14.6</v>
      </c>
      <c r="R147" s="20">
        <v>77.27</v>
      </c>
      <c r="S147" s="26">
        <v>77</v>
      </c>
      <c r="T147" s="26">
        <v>-0.27</v>
      </c>
      <c r="U147" s="26">
        <v>-0.04</v>
      </c>
      <c r="V147" s="20">
        <v>2077.2800000000002</v>
      </c>
    </row>
    <row r="148" spans="1:22" ht="16.8" x14ac:dyDescent="0.3">
      <c r="A148" s="20">
        <v>14.7</v>
      </c>
      <c r="B148" s="20">
        <v>77</v>
      </c>
      <c r="C148" s="26">
        <v>72.430000000000007</v>
      </c>
      <c r="D148" s="20">
        <v>4.57</v>
      </c>
      <c r="E148" s="20">
        <v>-0.14000000000000001</v>
      </c>
      <c r="F148" s="26">
        <v>2550</v>
      </c>
      <c r="Q148" s="20">
        <v>14.7</v>
      </c>
      <c r="R148" s="20">
        <v>77.25</v>
      </c>
      <c r="S148" s="26">
        <v>77</v>
      </c>
      <c r="T148" s="26">
        <v>-0.25</v>
      </c>
      <c r="U148" s="26">
        <v>0.02</v>
      </c>
      <c r="V148" s="26">
        <v>2124.85</v>
      </c>
    </row>
    <row r="149" spans="1:22" ht="16.8" x14ac:dyDescent="0.3">
      <c r="A149" s="20">
        <v>14.8</v>
      </c>
      <c r="B149" s="20">
        <v>77</v>
      </c>
      <c r="C149" s="26">
        <v>72.53</v>
      </c>
      <c r="D149" s="20">
        <v>4.47</v>
      </c>
      <c r="E149" s="20">
        <v>-0.09</v>
      </c>
      <c r="F149" s="26">
        <v>2550</v>
      </c>
      <c r="Q149" s="20">
        <v>14.8</v>
      </c>
      <c r="R149" s="20">
        <v>77.239999999999995</v>
      </c>
      <c r="S149" s="26">
        <v>77</v>
      </c>
      <c r="T149" s="26">
        <v>-0.24</v>
      </c>
      <c r="U149" s="26">
        <v>0.02</v>
      </c>
      <c r="V149" s="20">
        <v>2126.9699999999998</v>
      </c>
    </row>
    <row r="150" spans="1:22" ht="16.8" x14ac:dyDescent="0.3">
      <c r="A150" s="20">
        <v>14.9</v>
      </c>
      <c r="B150" s="20">
        <v>77</v>
      </c>
      <c r="C150" s="20">
        <v>72.569999999999993</v>
      </c>
      <c r="D150" s="20">
        <v>4.43</v>
      </c>
      <c r="E150" s="20">
        <v>-0.04</v>
      </c>
      <c r="F150" s="26">
        <v>2550</v>
      </c>
      <c r="Q150" s="20">
        <v>14.9</v>
      </c>
      <c r="R150" s="20">
        <v>77.25</v>
      </c>
      <c r="S150" s="26">
        <v>77</v>
      </c>
      <c r="T150" s="26">
        <v>-0.25</v>
      </c>
      <c r="U150" s="26">
        <v>-0.01</v>
      </c>
      <c r="V150" s="26">
        <v>2105.37</v>
      </c>
    </row>
    <row r="151" spans="1:22" ht="16.8" x14ac:dyDescent="0.3">
      <c r="A151" s="20">
        <v>15</v>
      </c>
      <c r="B151" s="20">
        <v>77</v>
      </c>
      <c r="C151" s="26">
        <v>72.73</v>
      </c>
      <c r="D151" s="20">
        <v>4.2699999999999996</v>
      </c>
      <c r="E151" s="20">
        <v>-0.16</v>
      </c>
      <c r="F151" s="26">
        <v>2550</v>
      </c>
      <c r="Q151" s="20">
        <v>15</v>
      </c>
      <c r="R151" s="20">
        <v>77.290000000000006</v>
      </c>
      <c r="S151" s="26">
        <v>77</v>
      </c>
      <c r="T151" s="26">
        <v>-0.28999999999999998</v>
      </c>
      <c r="U151" s="26">
        <v>-0.04</v>
      </c>
      <c r="V151" s="20">
        <v>2071.5</v>
      </c>
    </row>
    <row r="152" spans="1:22" ht="16.8" x14ac:dyDescent="0.3">
      <c r="A152" s="20">
        <v>15.1</v>
      </c>
      <c r="B152" s="20">
        <v>77</v>
      </c>
      <c r="C152" s="20">
        <v>72.790000000000006</v>
      </c>
      <c r="D152" s="20">
        <v>4.21</v>
      </c>
      <c r="E152" s="20">
        <v>-0.06</v>
      </c>
      <c r="F152" s="26">
        <v>2550</v>
      </c>
      <c r="Q152" s="20">
        <v>15.1</v>
      </c>
      <c r="R152" s="20">
        <v>77.23</v>
      </c>
      <c r="S152" s="26">
        <v>77</v>
      </c>
      <c r="T152" s="26">
        <v>-0.23</v>
      </c>
      <c r="U152" s="26">
        <v>0.06</v>
      </c>
      <c r="V152" s="26">
        <v>2158.66</v>
      </c>
    </row>
    <row r="153" spans="1:22" ht="16.8" x14ac:dyDescent="0.3">
      <c r="A153" s="20">
        <v>15.2</v>
      </c>
      <c r="B153" s="20">
        <v>77</v>
      </c>
      <c r="C153" s="26">
        <v>72.95</v>
      </c>
      <c r="D153" s="20">
        <v>4.05</v>
      </c>
      <c r="E153" s="20">
        <v>-0.16</v>
      </c>
      <c r="F153" s="26">
        <v>2550</v>
      </c>
      <c r="Q153" s="20">
        <v>15.2</v>
      </c>
      <c r="R153" s="20">
        <v>77.28</v>
      </c>
      <c r="S153" s="26">
        <v>77</v>
      </c>
      <c r="T153" s="26">
        <v>-0.28000000000000003</v>
      </c>
      <c r="U153" s="26">
        <v>-0.05</v>
      </c>
      <c r="V153" s="20">
        <v>2064.94</v>
      </c>
    </row>
    <row r="154" spans="1:22" ht="16.8" x14ac:dyDescent="0.3">
      <c r="A154" s="20">
        <v>15.3</v>
      </c>
      <c r="B154" s="20">
        <v>77</v>
      </c>
      <c r="C154" s="26">
        <v>73.040000000000006</v>
      </c>
      <c r="D154" s="20">
        <v>3.96</v>
      </c>
      <c r="E154" s="20">
        <v>-0.1</v>
      </c>
      <c r="F154" s="26">
        <v>2550</v>
      </c>
      <c r="Q154" s="20">
        <v>15.3</v>
      </c>
      <c r="R154" s="20">
        <v>77.33</v>
      </c>
      <c r="S154" s="26">
        <v>77</v>
      </c>
      <c r="T154" s="26">
        <v>-0.33</v>
      </c>
      <c r="U154" s="26">
        <v>-0.05</v>
      </c>
      <c r="V154" s="26">
        <v>2055.54</v>
      </c>
    </row>
    <row r="155" spans="1:22" ht="16.8" x14ac:dyDescent="0.3">
      <c r="A155" s="20">
        <v>15.4</v>
      </c>
      <c r="B155" s="20">
        <v>77</v>
      </c>
      <c r="C155" s="20">
        <v>73.099999999999994</v>
      </c>
      <c r="D155" s="20">
        <v>3.9</v>
      </c>
      <c r="E155" s="20">
        <v>-0.05</v>
      </c>
      <c r="F155" s="20">
        <v>2550</v>
      </c>
      <c r="Q155" s="20">
        <v>15.4</v>
      </c>
      <c r="R155" s="20">
        <v>77.319999999999993</v>
      </c>
      <c r="S155" s="26">
        <v>77</v>
      </c>
      <c r="T155" s="20">
        <v>-0.32</v>
      </c>
      <c r="U155" s="26">
        <v>0.01</v>
      </c>
      <c r="V155" s="20">
        <v>2101.4899999999998</v>
      </c>
    </row>
    <row r="156" spans="1:22" ht="16.8" x14ac:dyDescent="0.3">
      <c r="A156" s="20">
        <v>15.5</v>
      </c>
      <c r="B156" s="20">
        <v>77</v>
      </c>
      <c r="C156" s="26">
        <v>73.22</v>
      </c>
      <c r="D156" s="20">
        <v>3.78</v>
      </c>
      <c r="E156" s="20">
        <v>-0.12</v>
      </c>
      <c r="F156" s="26">
        <v>2550</v>
      </c>
      <c r="Q156" s="20">
        <v>15.5</v>
      </c>
      <c r="R156" s="20">
        <v>77.36</v>
      </c>
      <c r="S156" s="26">
        <v>77</v>
      </c>
      <c r="T156" s="26">
        <v>-0.36</v>
      </c>
      <c r="U156" s="26">
        <v>-0.04</v>
      </c>
      <c r="V156" s="26">
        <v>2054.44</v>
      </c>
    </row>
    <row r="157" spans="1:22" ht="16.8" x14ac:dyDescent="0.3">
      <c r="A157" s="20">
        <v>15.6</v>
      </c>
      <c r="B157" s="20">
        <v>77</v>
      </c>
      <c r="C157" s="26">
        <v>73.34</v>
      </c>
      <c r="D157" s="20">
        <v>3.66</v>
      </c>
      <c r="E157" s="20">
        <v>-0.12</v>
      </c>
      <c r="F157" s="26">
        <v>2550</v>
      </c>
      <c r="Q157" s="20">
        <v>15.6</v>
      </c>
      <c r="R157" s="20">
        <v>77.290000000000006</v>
      </c>
      <c r="S157" s="26">
        <v>77</v>
      </c>
      <c r="T157" s="20">
        <v>-0.28999999999999998</v>
      </c>
      <c r="U157" s="26">
        <v>0.06</v>
      </c>
      <c r="V157" s="20">
        <v>2149.29</v>
      </c>
    </row>
    <row r="158" spans="1:22" ht="16.8" x14ac:dyDescent="0.3">
      <c r="A158" s="20">
        <v>15.7</v>
      </c>
      <c r="B158" s="20">
        <v>77</v>
      </c>
      <c r="C158" s="20">
        <v>73.400000000000006</v>
      </c>
      <c r="D158" s="20">
        <v>3.6</v>
      </c>
      <c r="E158" s="20">
        <v>-0.06</v>
      </c>
      <c r="F158" s="26">
        <v>2550</v>
      </c>
      <c r="Q158" s="20">
        <v>15.7</v>
      </c>
      <c r="R158" s="20">
        <v>77.38</v>
      </c>
      <c r="S158" s="26">
        <v>77</v>
      </c>
      <c r="T158" s="26">
        <v>-0.38</v>
      </c>
      <c r="U158" s="26">
        <v>-0.09</v>
      </c>
      <c r="V158" s="20">
        <v>2009.27</v>
      </c>
    </row>
    <row r="159" spans="1:22" ht="16.8" x14ac:dyDescent="0.3">
      <c r="A159" s="20">
        <v>15.8</v>
      </c>
      <c r="B159" s="20">
        <v>77</v>
      </c>
      <c r="C159" s="26">
        <v>73.489999999999995</v>
      </c>
      <c r="D159" s="20">
        <v>3.51</v>
      </c>
      <c r="E159" s="20">
        <v>-0.09</v>
      </c>
      <c r="F159" s="26">
        <v>2550</v>
      </c>
      <c r="Q159" s="20">
        <v>15.8</v>
      </c>
      <c r="R159" s="20">
        <v>77.400000000000006</v>
      </c>
      <c r="S159" s="26">
        <v>77</v>
      </c>
      <c r="T159" s="26">
        <v>-0.4</v>
      </c>
      <c r="U159" s="26">
        <v>-0.02</v>
      </c>
      <c r="V159" s="26">
        <v>2063.73</v>
      </c>
    </row>
    <row r="160" spans="1:22" ht="16.8" x14ac:dyDescent="0.3">
      <c r="A160" s="20">
        <v>15.9</v>
      </c>
      <c r="B160" s="20">
        <v>77</v>
      </c>
      <c r="C160" s="26">
        <v>73.680000000000007</v>
      </c>
      <c r="D160" s="20">
        <v>3.32</v>
      </c>
      <c r="E160" s="20">
        <v>-0.2</v>
      </c>
      <c r="F160" s="26">
        <v>2550</v>
      </c>
      <c r="Q160" s="20">
        <v>15.9</v>
      </c>
      <c r="R160" s="20">
        <v>77.459999999999994</v>
      </c>
      <c r="S160" s="26">
        <v>77</v>
      </c>
      <c r="T160" s="26">
        <v>-0.46</v>
      </c>
      <c r="U160" s="26">
        <v>-0.06</v>
      </c>
      <c r="V160" s="20">
        <v>2012.15</v>
      </c>
    </row>
    <row r="161" spans="1:22" ht="16.8" x14ac:dyDescent="0.3">
      <c r="A161" s="20">
        <v>16</v>
      </c>
      <c r="B161" s="20">
        <v>77</v>
      </c>
      <c r="C161" s="20">
        <v>73.739999999999995</v>
      </c>
      <c r="D161" s="20">
        <v>3.26</v>
      </c>
      <c r="E161" s="20">
        <v>-0.06</v>
      </c>
      <c r="F161" s="26">
        <v>2550</v>
      </c>
      <c r="Q161" s="20">
        <v>16</v>
      </c>
      <c r="R161" s="20">
        <v>77.39</v>
      </c>
      <c r="S161" s="26">
        <v>77</v>
      </c>
      <c r="T161" s="26">
        <v>-0.39</v>
      </c>
      <c r="U161" s="26">
        <v>7.0000000000000007E-2</v>
      </c>
      <c r="V161" s="26">
        <v>2134.12</v>
      </c>
    </row>
    <row r="162" spans="1:22" ht="16.8" x14ac:dyDescent="0.3">
      <c r="A162" s="20">
        <v>16.100000000000001</v>
      </c>
      <c r="B162" s="20">
        <v>77</v>
      </c>
      <c r="C162" s="26">
        <v>73.86</v>
      </c>
      <c r="D162" s="20">
        <v>3.14</v>
      </c>
      <c r="E162" s="20">
        <v>-0.12</v>
      </c>
      <c r="F162" s="26">
        <v>2550</v>
      </c>
      <c r="Q162" s="20">
        <v>16.100000000000001</v>
      </c>
      <c r="R162" s="20">
        <v>77.41</v>
      </c>
      <c r="S162" s="26">
        <v>77</v>
      </c>
      <c r="T162" s="20">
        <v>-0.41</v>
      </c>
      <c r="U162" s="20">
        <v>-0.02</v>
      </c>
      <c r="V162" s="20">
        <v>2058.6799999999998</v>
      </c>
    </row>
    <row r="163" spans="1:22" ht="16.8" x14ac:dyDescent="0.3">
      <c r="A163" s="20">
        <v>16.2</v>
      </c>
      <c r="B163" s="20">
        <v>77</v>
      </c>
      <c r="C163" s="20">
        <v>73.97</v>
      </c>
      <c r="D163" s="20">
        <v>3.03</v>
      </c>
      <c r="E163" s="20">
        <v>-0.11</v>
      </c>
      <c r="F163" s="26">
        <v>2550</v>
      </c>
      <c r="Q163" s="20">
        <v>16.2</v>
      </c>
      <c r="R163" s="20">
        <v>77.400000000000006</v>
      </c>
      <c r="S163" s="26">
        <v>77</v>
      </c>
      <c r="T163" s="26">
        <v>-0.4</v>
      </c>
      <c r="U163" s="26">
        <v>0.01</v>
      </c>
      <c r="V163" s="26">
        <v>2078.41</v>
      </c>
    </row>
    <row r="164" spans="1:22" ht="16.8" x14ac:dyDescent="0.3">
      <c r="A164" s="20">
        <v>16.3</v>
      </c>
      <c r="B164" s="20">
        <v>77</v>
      </c>
      <c r="C164" s="26">
        <v>74.069999999999993</v>
      </c>
      <c r="D164" s="20">
        <v>2.93</v>
      </c>
      <c r="E164" s="20">
        <v>-0.1</v>
      </c>
      <c r="F164" s="26">
        <v>2639.96</v>
      </c>
      <c r="Q164" s="20">
        <v>16.3</v>
      </c>
      <c r="R164" s="20">
        <v>77.38</v>
      </c>
      <c r="S164" s="26">
        <v>77</v>
      </c>
      <c r="T164" s="20">
        <v>-0.38</v>
      </c>
      <c r="U164" s="20">
        <v>0.02</v>
      </c>
      <c r="V164" s="20">
        <v>2086.64</v>
      </c>
    </row>
    <row r="165" spans="1:22" ht="16.8" x14ac:dyDescent="0.3">
      <c r="A165" s="20">
        <v>16.399999999999999</v>
      </c>
      <c r="B165" s="20">
        <v>77</v>
      </c>
      <c r="C165" s="26">
        <v>74.22</v>
      </c>
      <c r="D165" s="20">
        <v>2.78</v>
      </c>
      <c r="E165" s="20">
        <v>-0.15</v>
      </c>
      <c r="F165" s="26">
        <v>2791.44</v>
      </c>
      <c r="Q165" s="20">
        <v>16.399999999999999</v>
      </c>
      <c r="R165" s="20">
        <v>77.45</v>
      </c>
      <c r="S165" s="26">
        <v>77</v>
      </c>
      <c r="T165" s="26">
        <v>-0.45</v>
      </c>
      <c r="U165" s="26">
        <v>-0.06</v>
      </c>
      <c r="V165" s="26">
        <v>2009.08</v>
      </c>
    </row>
    <row r="166" spans="1:22" ht="16.8" x14ac:dyDescent="0.3">
      <c r="A166" s="20">
        <v>16.5</v>
      </c>
      <c r="B166" s="20">
        <v>77</v>
      </c>
      <c r="C166" s="20">
        <v>74.28</v>
      </c>
      <c r="D166" s="20">
        <v>2.72</v>
      </c>
      <c r="E166" s="20">
        <v>-0.06</v>
      </c>
      <c r="F166" s="20">
        <v>2673.08</v>
      </c>
      <c r="Q166" s="20">
        <v>16.5</v>
      </c>
      <c r="R166" s="20">
        <v>77.44</v>
      </c>
      <c r="S166" s="26">
        <v>77</v>
      </c>
      <c r="T166" s="26">
        <v>-0.44</v>
      </c>
      <c r="U166" s="26">
        <v>0.01</v>
      </c>
      <c r="V166" s="20">
        <v>2067.6799999999998</v>
      </c>
    </row>
    <row r="167" spans="1:22" ht="16.8" x14ac:dyDescent="0.3">
      <c r="A167" s="20">
        <v>16.600000000000001</v>
      </c>
      <c r="B167" s="20">
        <v>77</v>
      </c>
      <c r="C167" s="26">
        <v>74.349999999999994</v>
      </c>
      <c r="D167" s="20">
        <v>2.65</v>
      </c>
      <c r="E167" s="20">
        <v>-7.0000000000000007E-2</v>
      </c>
      <c r="F167" s="26">
        <v>2698.47</v>
      </c>
      <c r="Q167" s="20">
        <v>16.600000000000001</v>
      </c>
      <c r="R167" s="20">
        <v>77.47</v>
      </c>
      <c r="S167" s="26">
        <v>77</v>
      </c>
      <c r="T167" s="26">
        <v>-0.47</v>
      </c>
      <c r="U167" s="26">
        <v>-0.03</v>
      </c>
      <c r="V167" s="20">
        <v>2028.19</v>
      </c>
    </row>
    <row r="168" spans="1:22" ht="16.8" x14ac:dyDescent="0.3">
      <c r="A168" s="20">
        <v>16.7</v>
      </c>
      <c r="B168" s="20">
        <v>77</v>
      </c>
      <c r="C168" s="20">
        <v>74.44</v>
      </c>
      <c r="D168" s="20">
        <v>2.56</v>
      </c>
      <c r="E168" s="20">
        <v>-0.09</v>
      </c>
      <c r="F168" s="26">
        <v>2747.19</v>
      </c>
      <c r="Q168" s="20">
        <v>16.7</v>
      </c>
      <c r="R168" s="20">
        <v>77.39</v>
      </c>
      <c r="S168" s="26">
        <v>77</v>
      </c>
      <c r="T168" s="26">
        <v>-0.39</v>
      </c>
      <c r="U168" s="26">
        <v>0.08</v>
      </c>
      <c r="V168" s="26">
        <v>2132.11</v>
      </c>
    </row>
    <row r="169" spans="1:22" ht="16.8" x14ac:dyDescent="0.3">
      <c r="A169" s="20">
        <v>16.8</v>
      </c>
      <c r="B169" s="20">
        <v>77</v>
      </c>
      <c r="C169" s="26">
        <v>74.52</v>
      </c>
      <c r="D169" s="20">
        <v>2.48</v>
      </c>
      <c r="E169" s="20">
        <v>-0.08</v>
      </c>
      <c r="F169" s="20">
        <v>2731.3</v>
      </c>
      <c r="Q169" s="20">
        <v>16.8</v>
      </c>
      <c r="R169" s="20">
        <v>77.37</v>
      </c>
      <c r="S169" s="26">
        <v>77</v>
      </c>
      <c r="T169" s="26">
        <v>-0.37</v>
      </c>
      <c r="U169" s="26">
        <v>0.02</v>
      </c>
      <c r="V169" s="20">
        <v>2089.8200000000002</v>
      </c>
    </row>
    <row r="170" spans="1:22" ht="16.8" x14ac:dyDescent="0.3">
      <c r="A170" s="20">
        <v>16.899999999999999</v>
      </c>
      <c r="B170" s="20">
        <v>77</v>
      </c>
      <c r="C170" s="26">
        <v>74.67</v>
      </c>
      <c r="D170" s="20">
        <v>2.33</v>
      </c>
      <c r="E170" s="20">
        <v>-0.15</v>
      </c>
      <c r="F170" s="26">
        <v>2863.26</v>
      </c>
      <c r="Q170" s="20">
        <v>16.899999999999999</v>
      </c>
      <c r="R170" s="20">
        <v>77.31</v>
      </c>
      <c r="S170" s="26">
        <v>77</v>
      </c>
      <c r="T170" s="26">
        <v>-0.31</v>
      </c>
      <c r="U170" s="26">
        <v>0.06</v>
      </c>
      <c r="V170" s="26">
        <v>2124.7600000000002</v>
      </c>
    </row>
    <row r="171" spans="1:22" ht="16.8" x14ac:dyDescent="0.3">
      <c r="A171" s="20">
        <v>17</v>
      </c>
      <c r="B171" s="20">
        <v>77</v>
      </c>
      <c r="C171" s="20">
        <v>74.72</v>
      </c>
      <c r="D171" s="20">
        <v>2.2799999999999998</v>
      </c>
      <c r="E171" s="20">
        <v>-0.04</v>
      </c>
      <c r="F171" s="20">
        <v>2670.81</v>
      </c>
      <c r="Q171" s="20">
        <v>17</v>
      </c>
      <c r="R171" s="20">
        <v>77.42</v>
      </c>
      <c r="S171" s="26">
        <v>77</v>
      </c>
      <c r="T171" s="26">
        <v>-0.42</v>
      </c>
      <c r="U171" s="26">
        <v>-0.11</v>
      </c>
      <c r="V171" s="20">
        <v>1967.4</v>
      </c>
    </row>
    <row r="172" spans="1:22" ht="16.8" x14ac:dyDescent="0.3">
      <c r="A172" s="20">
        <v>17.100000000000001</v>
      </c>
      <c r="B172" s="20">
        <v>77</v>
      </c>
      <c r="C172" s="26">
        <v>74.83</v>
      </c>
      <c r="D172" s="20">
        <v>2.17</v>
      </c>
      <c r="E172" s="20">
        <v>-0.12</v>
      </c>
      <c r="F172" s="26">
        <v>2812.02</v>
      </c>
      <c r="Q172" s="20">
        <v>17.100000000000001</v>
      </c>
      <c r="R172" s="20">
        <v>77.430000000000007</v>
      </c>
      <c r="S172" s="26">
        <v>77</v>
      </c>
      <c r="T172" s="26">
        <v>-0.43</v>
      </c>
      <c r="U172" s="26">
        <v>-0.01</v>
      </c>
      <c r="V172" s="26">
        <v>2049.16</v>
      </c>
    </row>
    <row r="173" spans="1:22" ht="16.8" x14ac:dyDescent="0.3">
      <c r="A173" s="20">
        <v>17.2</v>
      </c>
      <c r="B173" s="20">
        <v>77</v>
      </c>
      <c r="C173" s="26">
        <v>74.930000000000007</v>
      </c>
      <c r="D173" s="20">
        <v>2.0699999999999998</v>
      </c>
      <c r="E173" s="20">
        <v>-0.1</v>
      </c>
      <c r="F173" s="26">
        <v>2765.22</v>
      </c>
      <c r="Q173" s="20">
        <v>17.2</v>
      </c>
      <c r="R173" s="20">
        <v>77.400000000000006</v>
      </c>
      <c r="S173" s="26">
        <v>77</v>
      </c>
      <c r="T173" s="26">
        <v>-0.4</v>
      </c>
      <c r="U173" s="26">
        <v>0.03</v>
      </c>
      <c r="V173" s="20">
        <v>2086.13</v>
      </c>
    </row>
    <row r="174" spans="1:22" ht="16.8" x14ac:dyDescent="0.3">
      <c r="A174" s="20">
        <v>17.3</v>
      </c>
      <c r="B174" s="20">
        <v>77</v>
      </c>
      <c r="C174" s="20">
        <v>75.02</v>
      </c>
      <c r="D174" s="20">
        <v>1.98</v>
      </c>
      <c r="E174" s="20">
        <v>-0.09</v>
      </c>
      <c r="F174" s="26">
        <v>2749.96</v>
      </c>
      <c r="Q174" s="20">
        <v>17.3</v>
      </c>
      <c r="R174" s="20">
        <v>77.38</v>
      </c>
      <c r="S174" s="26">
        <v>77</v>
      </c>
      <c r="T174" s="26">
        <v>-0.38</v>
      </c>
      <c r="U174" s="26">
        <v>0.02</v>
      </c>
      <c r="V174" s="26">
        <v>2074.87</v>
      </c>
    </row>
    <row r="175" spans="1:22" ht="16.8" x14ac:dyDescent="0.3">
      <c r="A175" s="20">
        <v>17.399999999999999</v>
      </c>
      <c r="B175" s="20">
        <v>77</v>
      </c>
      <c r="C175" s="26">
        <v>75.150000000000006</v>
      </c>
      <c r="D175" s="20">
        <v>1.85</v>
      </c>
      <c r="E175" s="20">
        <v>-0.13</v>
      </c>
      <c r="F175" s="26">
        <v>2808.67</v>
      </c>
      <c r="Q175" s="20">
        <v>17.399999999999999</v>
      </c>
      <c r="R175" s="20">
        <v>77.37</v>
      </c>
      <c r="S175" s="26">
        <v>77</v>
      </c>
      <c r="T175" s="26">
        <v>-0.37</v>
      </c>
      <c r="U175" s="26">
        <v>0.02</v>
      </c>
      <c r="V175" s="20">
        <v>2076.61</v>
      </c>
    </row>
    <row r="176" spans="1:22" ht="16.8" x14ac:dyDescent="0.3">
      <c r="A176" s="20">
        <v>17.5</v>
      </c>
      <c r="B176" s="20">
        <v>77</v>
      </c>
      <c r="C176" s="20">
        <v>75.239999999999995</v>
      </c>
      <c r="D176" s="20">
        <v>1.76</v>
      </c>
      <c r="E176" s="20">
        <v>-0.08</v>
      </c>
      <c r="F176" s="26">
        <v>2724.12</v>
      </c>
      <c r="Q176" s="20">
        <v>17.5</v>
      </c>
      <c r="R176" s="20">
        <v>77.36</v>
      </c>
      <c r="S176" s="26">
        <v>77</v>
      </c>
      <c r="T176" s="26">
        <v>-0.36</v>
      </c>
      <c r="U176" s="26">
        <v>0.01</v>
      </c>
      <c r="V176" s="26">
        <v>2070.4899999999998</v>
      </c>
    </row>
    <row r="177" spans="1:22" ht="16.8" x14ac:dyDescent="0.3">
      <c r="A177" s="20">
        <v>17.600000000000001</v>
      </c>
      <c r="B177" s="20">
        <v>77</v>
      </c>
      <c r="C177" s="26">
        <v>75.34</v>
      </c>
      <c r="D177" s="20">
        <v>1.66</v>
      </c>
      <c r="E177" s="20">
        <v>-0.1</v>
      </c>
      <c r="F177" s="26">
        <v>2745.71</v>
      </c>
      <c r="Q177" s="20">
        <v>17.600000000000001</v>
      </c>
      <c r="R177" s="20">
        <v>77.41</v>
      </c>
      <c r="S177" s="26">
        <v>77</v>
      </c>
      <c r="T177" s="20">
        <v>-0.41</v>
      </c>
      <c r="U177" s="26">
        <v>-0.05</v>
      </c>
      <c r="V177" s="20">
        <v>2015.38</v>
      </c>
    </row>
    <row r="178" spans="1:22" ht="16.8" x14ac:dyDescent="0.3">
      <c r="A178" s="20">
        <v>17.7</v>
      </c>
      <c r="B178" s="20">
        <v>77</v>
      </c>
      <c r="C178" s="26">
        <v>75.48</v>
      </c>
      <c r="D178" s="20">
        <v>1.52</v>
      </c>
      <c r="E178" s="20">
        <v>-0.15</v>
      </c>
      <c r="F178" s="26">
        <v>2829.02</v>
      </c>
      <c r="Q178" s="20">
        <v>17.7</v>
      </c>
      <c r="R178" s="20">
        <v>77.349999999999994</v>
      </c>
      <c r="S178" s="26">
        <v>77</v>
      </c>
      <c r="T178" s="26">
        <v>-0.35</v>
      </c>
      <c r="U178" s="26">
        <v>0.06</v>
      </c>
      <c r="V178" s="20">
        <v>2108.6799999999998</v>
      </c>
    </row>
    <row r="179" spans="1:22" ht="16.8" x14ac:dyDescent="0.3">
      <c r="A179" s="20">
        <v>17.8</v>
      </c>
      <c r="B179" s="20">
        <v>77</v>
      </c>
      <c r="C179" s="20">
        <v>75.599999999999994</v>
      </c>
      <c r="D179" s="20">
        <v>1.4</v>
      </c>
      <c r="E179" s="20">
        <v>-0.12</v>
      </c>
      <c r="F179" s="26">
        <v>2781.14</v>
      </c>
      <c r="Q179" s="20">
        <v>17.8</v>
      </c>
      <c r="R179" s="20">
        <v>77.349999999999994</v>
      </c>
      <c r="S179" s="26">
        <v>77</v>
      </c>
      <c r="T179" s="20">
        <v>-0.35</v>
      </c>
      <c r="U179" s="26">
        <v>0</v>
      </c>
      <c r="V179" s="26">
        <v>2062.1999999999998</v>
      </c>
    </row>
    <row r="180" spans="1:22" ht="16.8" x14ac:dyDescent="0.3">
      <c r="A180" s="20">
        <v>17.899999999999999</v>
      </c>
      <c r="B180" s="20">
        <v>77</v>
      </c>
      <c r="C180" s="26">
        <v>75.69</v>
      </c>
      <c r="D180" s="20">
        <v>1.31</v>
      </c>
      <c r="E180" s="20">
        <v>-0.09</v>
      </c>
      <c r="F180" s="26">
        <v>2738.5</v>
      </c>
      <c r="Q180" s="20">
        <v>17.899999999999999</v>
      </c>
      <c r="R180" s="20">
        <v>77.33</v>
      </c>
      <c r="S180" s="26">
        <v>77</v>
      </c>
      <c r="T180" s="26">
        <v>-0.33</v>
      </c>
      <c r="U180" s="26">
        <v>0.02</v>
      </c>
      <c r="V180" s="20">
        <v>2084.9699999999998</v>
      </c>
    </row>
    <row r="181" spans="1:22" ht="16.8" x14ac:dyDescent="0.3">
      <c r="A181" s="20">
        <v>18</v>
      </c>
      <c r="B181" s="20">
        <v>77</v>
      </c>
      <c r="C181" s="20">
        <v>75.83</v>
      </c>
      <c r="D181" s="20">
        <v>1.17</v>
      </c>
      <c r="E181" s="20">
        <v>-0.14000000000000001</v>
      </c>
      <c r="F181" s="26">
        <v>2822.31</v>
      </c>
      <c r="Q181" s="20">
        <v>18</v>
      </c>
      <c r="R181" s="20">
        <v>77.42</v>
      </c>
      <c r="S181" s="26">
        <v>77</v>
      </c>
      <c r="T181" s="26">
        <v>-0.42</v>
      </c>
      <c r="U181" s="26">
        <v>-0.1</v>
      </c>
      <c r="V181" s="26">
        <v>1969.39</v>
      </c>
    </row>
    <row r="182" spans="1:22" ht="16.8" x14ac:dyDescent="0.3">
      <c r="A182" s="20">
        <v>18.100000000000001</v>
      </c>
      <c r="B182" s="20">
        <v>77</v>
      </c>
      <c r="C182" s="26">
        <v>75.98</v>
      </c>
      <c r="D182" s="20">
        <v>1.02</v>
      </c>
      <c r="E182" s="20">
        <v>-0.15</v>
      </c>
      <c r="F182" s="20">
        <v>2832.78</v>
      </c>
      <c r="Q182" s="20">
        <v>18.100000000000001</v>
      </c>
      <c r="R182" s="20">
        <v>77.34</v>
      </c>
      <c r="S182" s="26">
        <v>77</v>
      </c>
      <c r="T182" s="26">
        <v>-0.34</v>
      </c>
      <c r="U182" s="26">
        <v>0.08</v>
      </c>
      <c r="V182" s="20">
        <v>2125.4</v>
      </c>
    </row>
    <row r="183" spans="1:22" ht="16.8" x14ac:dyDescent="0.3">
      <c r="A183" s="20">
        <v>18.2</v>
      </c>
      <c r="B183" s="20">
        <v>77</v>
      </c>
      <c r="C183" s="26">
        <v>76.08</v>
      </c>
      <c r="D183" s="20">
        <v>0.92</v>
      </c>
      <c r="E183" s="20">
        <v>-0.11</v>
      </c>
      <c r="F183" s="26">
        <v>2787.7</v>
      </c>
      <c r="Q183" s="20">
        <v>18.2</v>
      </c>
      <c r="R183" s="20">
        <v>77.37</v>
      </c>
      <c r="S183" s="26">
        <v>77</v>
      </c>
      <c r="T183" s="26">
        <v>-0.37</v>
      </c>
      <c r="U183" s="26">
        <v>-0.03</v>
      </c>
      <c r="V183" s="26">
        <v>2027.74</v>
      </c>
    </row>
    <row r="184" spans="1:22" ht="16.8" x14ac:dyDescent="0.3">
      <c r="A184" s="20">
        <v>18.3</v>
      </c>
      <c r="B184" s="20">
        <v>77</v>
      </c>
      <c r="C184" s="20">
        <v>76.150000000000006</v>
      </c>
      <c r="D184" s="20">
        <v>0.85</v>
      </c>
      <c r="E184" s="20">
        <v>-7.0000000000000007E-2</v>
      </c>
      <c r="F184" s="20">
        <v>2719.31</v>
      </c>
      <c r="Q184" s="20">
        <v>18.3</v>
      </c>
      <c r="R184" s="20">
        <v>77.36</v>
      </c>
      <c r="S184" s="26">
        <v>77</v>
      </c>
      <c r="T184" s="20">
        <v>-0.36</v>
      </c>
      <c r="U184" s="26">
        <v>0.02</v>
      </c>
      <c r="V184" s="20">
        <v>2068.4899999999998</v>
      </c>
    </row>
    <row r="185" spans="1:22" ht="16.8" x14ac:dyDescent="0.3">
      <c r="A185" s="20">
        <v>18.399999999999999</v>
      </c>
      <c r="B185" s="20">
        <v>77</v>
      </c>
      <c r="C185" s="26">
        <v>76.260000000000005</v>
      </c>
      <c r="D185" s="20">
        <v>0.74</v>
      </c>
      <c r="E185" s="20">
        <v>-0.11</v>
      </c>
      <c r="F185" s="26">
        <v>2813.06</v>
      </c>
      <c r="Q185" s="20">
        <v>18.399999999999999</v>
      </c>
      <c r="R185" s="20">
        <v>77.319999999999993</v>
      </c>
      <c r="S185" s="26">
        <v>77</v>
      </c>
      <c r="T185" s="26">
        <v>-0.32</v>
      </c>
      <c r="U185" s="26">
        <v>0.04</v>
      </c>
      <c r="V185" s="26">
        <v>2094.1</v>
      </c>
    </row>
    <row r="186" spans="1:22" ht="16.8" x14ac:dyDescent="0.3">
      <c r="A186" s="20">
        <v>18.5</v>
      </c>
      <c r="B186" s="20">
        <v>77</v>
      </c>
      <c r="C186" s="26">
        <v>76.430000000000007</v>
      </c>
      <c r="D186" s="20">
        <v>0.56999999999999995</v>
      </c>
      <c r="E186" s="20">
        <v>-0.17</v>
      </c>
      <c r="F186" s="26">
        <v>2954.02</v>
      </c>
      <c r="Q186" s="20">
        <v>18.5</v>
      </c>
      <c r="R186" s="20">
        <v>77.239999999999995</v>
      </c>
      <c r="S186" s="26">
        <v>77</v>
      </c>
      <c r="T186" s="20">
        <v>-0.24</v>
      </c>
      <c r="U186" s="26">
        <v>0.08</v>
      </c>
      <c r="V186" s="20">
        <v>2140.0100000000002</v>
      </c>
    </row>
    <row r="187" spans="1:22" ht="16.8" x14ac:dyDescent="0.3">
      <c r="A187" s="20">
        <v>18.600000000000001</v>
      </c>
      <c r="B187" s="20">
        <v>77</v>
      </c>
      <c r="C187" s="20">
        <v>76.55</v>
      </c>
      <c r="D187" s="20">
        <v>0.45</v>
      </c>
      <c r="E187" s="20">
        <v>-0.12</v>
      </c>
      <c r="F187" s="20">
        <v>2850.47</v>
      </c>
      <c r="Q187" s="20">
        <v>18.600000000000001</v>
      </c>
      <c r="R187" s="20">
        <v>77.3</v>
      </c>
      <c r="S187" s="26">
        <v>77</v>
      </c>
      <c r="T187" s="26">
        <v>-0.3</v>
      </c>
      <c r="U187" s="26">
        <v>-0.06</v>
      </c>
      <c r="V187" s="20">
        <v>2010.93</v>
      </c>
    </row>
    <row r="188" spans="1:22" ht="16.8" x14ac:dyDescent="0.3">
      <c r="A188" s="20">
        <v>18.7</v>
      </c>
      <c r="B188" s="20">
        <v>77</v>
      </c>
      <c r="C188" s="26">
        <v>76.59</v>
      </c>
      <c r="D188" s="20">
        <v>0.41</v>
      </c>
      <c r="E188" s="20">
        <v>-0.04</v>
      </c>
      <c r="F188" s="26">
        <v>2665.23</v>
      </c>
      <c r="Q188" s="20">
        <v>18.7</v>
      </c>
      <c r="R188" s="20">
        <v>77.319999999999993</v>
      </c>
      <c r="S188" s="26">
        <v>77</v>
      </c>
      <c r="T188" s="26">
        <v>-0.32</v>
      </c>
      <c r="U188" s="26">
        <v>-0.02</v>
      </c>
      <c r="V188" s="26">
        <v>2046.15</v>
      </c>
    </row>
    <row r="189" spans="1:22" ht="16.8" x14ac:dyDescent="0.3">
      <c r="A189" s="20">
        <v>18.8</v>
      </c>
      <c r="B189" s="20">
        <v>77</v>
      </c>
      <c r="C189" s="20">
        <v>76.75</v>
      </c>
      <c r="D189" s="20">
        <v>0.25</v>
      </c>
      <c r="E189" s="20">
        <v>-0.16</v>
      </c>
      <c r="F189" s="26">
        <v>2813.23</v>
      </c>
      <c r="Q189" s="20">
        <v>18.8</v>
      </c>
      <c r="R189" s="20">
        <v>77.25</v>
      </c>
      <c r="S189" s="26">
        <v>77</v>
      </c>
      <c r="T189" s="26">
        <v>-0.25</v>
      </c>
      <c r="U189" s="26">
        <v>0.06</v>
      </c>
      <c r="V189" s="20">
        <v>2121.67</v>
      </c>
    </row>
    <row r="190" spans="1:22" ht="16.8" x14ac:dyDescent="0.3">
      <c r="A190" s="20">
        <v>18.899999999999999</v>
      </c>
      <c r="B190" s="20">
        <v>77</v>
      </c>
      <c r="C190" s="26">
        <v>76.8</v>
      </c>
      <c r="D190" s="20">
        <v>0.2</v>
      </c>
      <c r="E190" s="20">
        <v>-0.05</v>
      </c>
      <c r="F190" s="26">
        <v>2659.9</v>
      </c>
      <c r="Q190" s="20">
        <v>18.899999999999999</v>
      </c>
      <c r="R190" s="20">
        <v>77.25</v>
      </c>
      <c r="S190" s="26">
        <v>77</v>
      </c>
      <c r="T190" s="26">
        <v>-0.25</v>
      </c>
      <c r="U190" s="26">
        <v>0.01</v>
      </c>
      <c r="V190" s="26">
        <v>2076.89</v>
      </c>
    </row>
    <row r="191" spans="1:22" ht="16.8" x14ac:dyDescent="0.3">
      <c r="A191" s="20">
        <v>19</v>
      </c>
      <c r="B191" s="20">
        <v>77</v>
      </c>
      <c r="C191" s="26">
        <v>76.92</v>
      </c>
      <c r="D191" s="20">
        <v>0.08</v>
      </c>
      <c r="E191" s="20">
        <v>-0.12</v>
      </c>
      <c r="F191" s="26">
        <v>2648.54</v>
      </c>
      <c r="Q191" s="20">
        <v>19</v>
      </c>
      <c r="R191" s="20">
        <v>77.25</v>
      </c>
      <c r="S191" s="26">
        <v>77</v>
      </c>
      <c r="T191" s="26">
        <v>-0.25</v>
      </c>
      <c r="U191" s="26">
        <v>-0.01</v>
      </c>
      <c r="V191" s="20">
        <v>2061.7600000000002</v>
      </c>
    </row>
    <row r="192" spans="1:22" ht="16.8" x14ac:dyDescent="0.3">
      <c r="A192" s="20">
        <v>19.100000000000001</v>
      </c>
      <c r="B192" s="20">
        <v>77</v>
      </c>
      <c r="C192" s="20">
        <v>77.069999999999993</v>
      </c>
      <c r="D192" s="20">
        <v>-7.0000000000000007E-2</v>
      </c>
      <c r="E192" s="20">
        <v>-0.15</v>
      </c>
      <c r="F192" s="26">
        <v>2426.1</v>
      </c>
      <c r="Q192" s="20">
        <v>19.100000000000001</v>
      </c>
      <c r="R192" s="20">
        <v>77.19</v>
      </c>
      <c r="S192" s="26">
        <v>77</v>
      </c>
      <c r="T192" s="20">
        <v>-0.19</v>
      </c>
      <c r="U192" s="20">
        <v>0.06</v>
      </c>
      <c r="V192" s="26">
        <v>2130.96</v>
      </c>
    </row>
    <row r="193" spans="1:22" ht="16.8" x14ac:dyDescent="0.3">
      <c r="A193" s="20">
        <v>19.2</v>
      </c>
      <c r="B193" s="20">
        <v>77</v>
      </c>
      <c r="C193" s="26">
        <v>77.16</v>
      </c>
      <c r="D193" s="20">
        <v>-0.16</v>
      </c>
      <c r="E193" s="20">
        <v>-0.09</v>
      </c>
      <c r="F193" s="26">
        <v>2294.7199999999998</v>
      </c>
      <c r="Q193" s="20">
        <v>19.2</v>
      </c>
      <c r="R193" s="20">
        <v>77.260000000000005</v>
      </c>
      <c r="S193" s="26">
        <v>77</v>
      </c>
      <c r="T193" s="26">
        <v>-0.26</v>
      </c>
      <c r="U193" s="26">
        <v>-7.0000000000000007E-2</v>
      </c>
      <c r="V193" s="20">
        <v>2007.08</v>
      </c>
    </row>
    <row r="194" spans="1:22" ht="16.8" x14ac:dyDescent="0.3">
      <c r="A194" s="20">
        <v>19.3</v>
      </c>
      <c r="B194" s="20">
        <v>77</v>
      </c>
      <c r="C194" s="20">
        <v>77.260000000000005</v>
      </c>
      <c r="D194" s="20">
        <v>-0.26</v>
      </c>
      <c r="E194" s="20">
        <v>-0.1</v>
      </c>
      <c r="F194" s="26">
        <v>2180.7800000000002</v>
      </c>
      <c r="Q194" s="20">
        <v>19.3</v>
      </c>
      <c r="R194" s="20">
        <v>77.209999999999994</v>
      </c>
      <c r="S194" s="26">
        <v>77</v>
      </c>
      <c r="T194" s="26">
        <v>-0.21</v>
      </c>
      <c r="U194" s="26">
        <v>0.06</v>
      </c>
      <c r="V194" s="26">
        <v>2120.29</v>
      </c>
    </row>
    <row r="195" spans="1:22" ht="16.8" x14ac:dyDescent="0.3">
      <c r="A195" s="20">
        <v>19.399999999999999</v>
      </c>
      <c r="B195" s="20">
        <v>77</v>
      </c>
      <c r="C195" s="26">
        <v>77.33</v>
      </c>
      <c r="D195" s="20">
        <v>-0.33</v>
      </c>
      <c r="E195" s="20">
        <v>-0.06</v>
      </c>
      <c r="F195" s="26">
        <v>2143.7199999999998</v>
      </c>
      <c r="Q195" s="20">
        <v>19.399999999999999</v>
      </c>
      <c r="R195" s="20">
        <v>77.22</v>
      </c>
      <c r="S195" s="26">
        <v>77</v>
      </c>
      <c r="T195" s="26">
        <v>-0.22</v>
      </c>
      <c r="U195" s="26">
        <v>-0.02</v>
      </c>
      <c r="V195" s="20">
        <v>2058.37</v>
      </c>
    </row>
    <row r="196" spans="1:22" ht="16.8" x14ac:dyDescent="0.3">
      <c r="A196" s="20">
        <v>19.5</v>
      </c>
      <c r="B196" s="20">
        <v>77</v>
      </c>
      <c r="C196" s="26">
        <v>77.44</v>
      </c>
      <c r="D196" s="20">
        <v>-0.44</v>
      </c>
      <c r="E196" s="20">
        <v>-0.11</v>
      </c>
      <c r="F196" s="26">
        <v>1958.72</v>
      </c>
      <c r="Q196" s="20">
        <v>19.5</v>
      </c>
      <c r="R196" s="20">
        <v>77.239999999999995</v>
      </c>
      <c r="S196" s="26">
        <v>77</v>
      </c>
      <c r="T196" s="26">
        <v>-0.24</v>
      </c>
      <c r="U196" s="26">
        <v>-0.02</v>
      </c>
      <c r="V196" s="26">
        <v>2054.85</v>
      </c>
    </row>
    <row r="197" spans="1:22" ht="16.8" x14ac:dyDescent="0.3">
      <c r="A197" s="20">
        <v>19.600000000000001</v>
      </c>
      <c r="B197" s="20">
        <v>77</v>
      </c>
      <c r="C197" s="20">
        <v>77.52</v>
      </c>
      <c r="D197" s="20">
        <v>-0.52</v>
      </c>
      <c r="E197" s="20">
        <v>-0.08</v>
      </c>
      <c r="F197" s="26">
        <v>1855.08</v>
      </c>
      <c r="Q197" s="20">
        <v>19.600000000000001</v>
      </c>
      <c r="R197" s="20">
        <v>77.25</v>
      </c>
      <c r="S197" s="26">
        <v>77</v>
      </c>
      <c r="T197" s="20">
        <v>-0.25</v>
      </c>
      <c r="U197" s="26">
        <v>-0.01</v>
      </c>
      <c r="V197" s="20">
        <v>2059.23</v>
      </c>
    </row>
    <row r="198" spans="1:22" ht="16.8" x14ac:dyDescent="0.3">
      <c r="A198" s="20">
        <v>19.7</v>
      </c>
      <c r="B198" s="20">
        <v>77</v>
      </c>
      <c r="C198" s="26">
        <v>77.569999999999993</v>
      </c>
      <c r="D198" s="20">
        <v>-0.56999999999999995</v>
      </c>
      <c r="E198" s="20">
        <v>-0.05</v>
      </c>
      <c r="F198" s="26">
        <v>1771.65</v>
      </c>
      <c r="Q198" s="20">
        <v>19.7</v>
      </c>
      <c r="R198" s="20">
        <v>77.260000000000005</v>
      </c>
      <c r="S198" s="26">
        <v>77</v>
      </c>
      <c r="T198" s="26">
        <v>-0.26</v>
      </c>
      <c r="U198" s="26">
        <v>-0.02</v>
      </c>
      <c r="V198" s="26">
        <v>2049.16</v>
      </c>
    </row>
    <row r="199" spans="1:22" ht="16.8" x14ac:dyDescent="0.3">
      <c r="A199" s="20">
        <v>19.8</v>
      </c>
      <c r="B199" s="20">
        <v>77</v>
      </c>
      <c r="C199" s="26">
        <v>77.66</v>
      </c>
      <c r="D199" s="20">
        <v>-0.66</v>
      </c>
      <c r="E199" s="20">
        <v>-0.09</v>
      </c>
      <c r="F199" s="26">
        <v>1457.28</v>
      </c>
      <c r="Q199" s="20">
        <v>19.8</v>
      </c>
      <c r="R199" s="20">
        <v>77.290000000000006</v>
      </c>
      <c r="S199" s="26">
        <v>77</v>
      </c>
      <c r="T199" s="20">
        <v>-0.28999999999999998</v>
      </c>
      <c r="U199" s="26">
        <v>-0.02</v>
      </c>
      <c r="V199" s="20">
        <v>2037.59</v>
      </c>
    </row>
    <row r="200" spans="1:22" ht="16.8" x14ac:dyDescent="0.3">
      <c r="A200" s="20">
        <v>19.899999999999999</v>
      </c>
      <c r="B200" s="20">
        <v>77</v>
      </c>
      <c r="C200" s="20">
        <v>77.66</v>
      </c>
      <c r="D200" s="20">
        <v>-0.66</v>
      </c>
      <c r="E200" s="20">
        <v>0</v>
      </c>
      <c r="F200" s="20">
        <v>1544.59</v>
      </c>
      <c r="Q200" s="20">
        <v>19.899999999999999</v>
      </c>
      <c r="R200" s="20">
        <v>77.23</v>
      </c>
      <c r="S200" s="26">
        <v>77</v>
      </c>
      <c r="T200" s="26">
        <v>-0.23</v>
      </c>
      <c r="U200" s="26">
        <v>0.06</v>
      </c>
      <c r="V200" s="20">
        <v>2111.7600000000002</v>
      </c>
    </row>
    <row r="201" spans="1:22" ht="16.8" x14ac:dyDescent="0.3">
      <c r="A201" s="20">
        <v>20</v>
      </c>
      <c r="B201" s="20">
        <v>77</v>
      </c>
      <c r="C201" s="26">
        <v>77.73</v>
      </c>
      <c r="D201" s="20">
        <v>-0.73</v>
      </c>
      <c r="E201" s="20">
        <v>-7.0000000000000007E-2</v>
      </c>
      <c r="F201" s="26">
        <v>1137.18</v>
      </c>
      <c r="Q201" s="20">
        <v>20</v>
      </c>
      <c r="R201" s="20">
        <v>77.25</v>
      </c>
      <c r="S201" s="26">
        <v>77</v>
      </c>
      <c r="T201" s="26">
        <v>-0.25</v>
      </c>
      <c r="U201" s="26">
        <v>-0.02</v>
      </c>
      <c r="V201" s="26">
        <v>2049.77</v>
      </c>
    </row>
    <row r="202" spans="1:22" ht="16.8" x14ac:dyDescent="0.3">
      <c r="A202" s="20">
        <v>20.100000000000001</v>
      </c>
      <c r="B202" s="20">
        <v>77</v>
      </c>
      <c r="C202" s="20">
        <v>77.73</v>
      </c>
      <c r="D202" s="20">
        <v>-0.73</v>
      </c>
      <c r="E202" s="20">
        <v>0</v>
      </c>
      <c r="F202" s="26">
        <v>1197.07</v>
      </c>
      <c r="Q202" s="20">
        <v>20.100000000000001</v>
      </c>
      <c r="R202" s="20">
        <v>77.17</v>
      </c>
      <c r="S202" s="26">
        <v>77</v>
      </c>
      <c r="T202" s="26">
        <v>-0.17</v>
      </c>
      <c r="U202" s="26">
        <v>7.0000000000000007E-2</v>
      </c>
      <c r="V202" s="20">
        <v>2133.42</v>
      </c>
    </row>
    <row r="203" spans="1:22" ht="16.8" x14ac:dyDescent="0.3">
      <c r="A203" s="20">
        <v>20.2</v>
      </c>
      <c r="B203" s="20">
        <v>77</v>
      </c>
      <c r="C203" s="26">
        <v>77.75</v>
      </c>
      <c r="D203" s="20">
        <v>-0.75</v>
      </c>
      <c r="E203" s="20">
        <v>-0.02</v>
      </c>
      <c r="F203" s="26">
        <v>1032.67</v>
      </c>
      <c r="Q203" s="20">
        <v>20.2</v>
      </c>
      <c r="R203" s="20">
        <v>77.25</v>
      </c>
      <c r="S203" s="26">
        <v>77</v>
      </c>
      <c r="T203" s="26">
        <v>-0.25</v>
      </c>
      <c r="U203" s="26">
        <v>-0.08</v>
      </c>
      <c r="V203" s="26">
        <v>1995.16</v>
      </c>
    </row>
    <row r="204" spans="1:22" ht="16.8" x14ac:dyDescent="0.3">
      <c r="A204" s="20">
        <v>20.3</v>
      </c>
      <c r="B204" s="20">
        <v>77</v>
      </c>
      <c r="C204" s="26">
        <v>77.650000000000006</v>
      </c>
      <c r="D204" s="20">
        <v>-0.65</v>
      </c>
      <c r="E204" s="20">
        <v>0.1</v>
      </c>
      <c r="F204" s="26">
        <v>1589.72</v>
      </c>
      <c r="Q204" s="20">
        <v>20.3</v>
      </c>
      <c r="R204" s="20">
        <v>77.22</v>
      </c>
      <c r="S204" s="26">
        <v>77</v>
      </c>
      <c r="T204" s="20">
        <v>-0.22</v>
      </c>
      <c r="U204" s="26">
        <v>0.03</v>
      </c>
      <c r="V204" s="20">
        <v>2091.1</v>
      </c>
    </row>
    <row r="205" spans="1:22" ht="16.8" x14ac:dyDescent="0.3">
      <c r="A205" s="20">
        <v>20.399999999999999</v>
      </c>
      <c r="B205" s="20">
        <v>77</v>
      </c>
      <c r="C205" s="20">
        <v>77.680000000000007</v>
      </c>
      <c r="D205" s="20">
        <v>-0.68</v>
      </c>
      <c r="E205" s="20">
        <v>-0.03</v>
      </c>
      <c r="F205" s="20">
        <v>1429.7</v>
      </c>
      <c r="Q205" s="20">
        <v>20.399999999999999</v>
      </c>
      <c r="R205" s="20">
        <v>77.25</v>
      </c>
      <c r="S205" s="26">
        <v>77</v>
      </c>
      <c r="T205" s="26">
        <v>-0.25</v>
      </c>
      <c r="U205" s="26">
        <v>-0.03</v>
      </c>
      <c r="V205" s="26">
        <v>2032.75</v>
      </c>
    </row>
    <row r="206" spans="1:22" ht="16.8" x14ac:dyDescent="0.3">
      <c r="A206" s="20">
        <v>20.5</v>
      </c>
      <c r="B206" s="20">
        <v>77</v>
      </c>
      <c r="C206" s="26">
        <v>77.540000000000006</v>
      </c>
      <c r="D206" s="20">
        <v>-0.54</v>
      </c>
      <c r="E206" s="20">
        <v>0.15</v>
      </c>
      <c r="F206" s="26">
        <v>1890.51</v>
      </c>
      <c r="Q206" s="20">
        <v>20.5</v>
      </c>
      <c r="R206" s="20">
        <v>77.260000000000005</v>
      </c>
      <c r="S206" s="26">
        <v>77</v>
      </c>
      <c r="T206" s="20">
        <v>-0.26</v>
      </c>
      <c r="U206" s="26">
        <v>-0.01</v>
      </c>
      <c r="V206" s="20">
        <v>2050.0700000000002</v>
      </c>
    </row>
    <row r="207" spans="1:22" ht="16.8" x14ac:dyDescent="0.3">
      <c r="A207" s="20">
        <v>20.6</v>
      </c>
      <c r="B207" s="20">
        <v>77</v>
      </c>
      <c r="C207" s="20">
        <v>77.489999999999995</v>
      </c>
      <c r="D207" s="20">
        <v>-0.49</v>
      </c>
      <c r="E207" s="20">
        <v>0.05</v>
      </c>
      <c r="F207" s="20">
        <v>1979</v>
      </c>
      <c r="Q207" s="20">
        <v>20.6</v>
      </c>
      <c r="R207" s="20">
        <v>77.239999999999995</v>
      </c>
      <c r="S207" s="26">
        <v>77</v>
      </c>
      <c r="T207" s="26">
        <v>-0.24</v>
      </c>
      <c r="U207" s="26">
        <v>0.02</v>
      </c>
      <c r="V207" s="20">
        <v>2079.59</v>
      </c>
    </row>
    <row r="208" spans="1:22" ht="16.8" x14ac:dyDescent="0.3">
      <c r="A208" s="20">
        <v>20.7</v>
      </c>
      <c r="B208" s="20">
        <v>77</v>
      </c>
      <c r="C208" s="26">
        <v>77.41</v>
      </c>
      <c r="D208" s="20">
        <v>-0.41</v>
      </c>
      <c r="E208" s="20">
        <v>0.08</v>
      </c>
      <c r="F208" s="26">
        <v>2103.7399999999998</v>
      </c>
      <c r="Q208" s="20">
        <v>20.7</v>
      </c>
      <c r="R208" s="20">
        <v>77.23</v>
      </c>
      <c r="S208" s="26">
        <v>77</v>
      </c>
      <c r="T208" s="20">
        <v>-0.23</v>
      </c>
      <c r="U208" s="26">
        <v>0.01</v>
      </c>
      <c r="V208" s="26">
        <v>2067.35</v>
      </c>
    </row>
    <row r="209" spans="1:22" ht="16.8" x14ac:dyDescent="0.3">
      <c r="A209" s="20">
        <v>20.8</v>
      </c>
      <c r="B209" s="20">
        <v>77</v>
      </c>
      <c r="C209" s="26">
        <v>77.31</v>
      </c>
      <c r="D209" s="20">
        <v>-0.31</v>
      </c>
      <c r="E209" s="20">
        <v>0.1</v>
      </c>
      <c r="F209" s="26">
        <v>2223.71</v>
      </c>
      <c r="Q209" s="20">
        <v>20.8</v>
      </c>
      <c r="R209" s="20">
        <v>77.16</v>
      </c>
      <c r="S209" s="26">
        <v>77</v>
      </c>
      <c r="T209" s="26">
        <v>-0.16</v>
      </c>
      <c r="U209" s="26">
        <v>7.0000000000000007E-2</v>
      </c>
      <c r="V209" s="20">
        <v>2131.56</v>
      </c>
    </row>
    <row r="210" spans="1:22" ht="16.8" x14ac:dyDescent="0.3">
      <c r="A210" s="20">
        <v>20.9</v>
      </c>
      <c r="B210" s="20">
        <v>77</v>
      </c>
      <c r="C210" s="20">
        <v>77.16</v>
      </c>
      <c r="D210" s="20">
        <v>-0.16</v>
      </c>
      <c r="E210" s="20">
        <v>0.15</v>
      </c>
      <c r="F210" s="20">
        <v>2370.15</v>
      </c>
      <c r="Q210" s="20">
        <v>20.9</v>
      </c>
      <c r="R210" s="20">
        <v>77.180000000000007</v>
      </c>
      <c r="S210" s="26">
        <v>77</v>
      </c>
      <c r="T210" s="20">
        <v>-0.18</v>
      </c>
      <c r="U210" s="26">
        <v>-0.02</v>
      </c>
      <c r="V210" s="26">
        <v>2048.86</v>
      </c>
    </row>
    <row r="211" spans="1:22" ht="16.8" x14ac:dyDescent="0.3">
      <c r="A211" s="20">
        <v>21</v>
      </c>
      <c r="B211" s="20">
        <v>77</v>
      </c>
      <c r="C211" s="26">
        <v>77.099999999999994</v>
      </c>
      <c r="D211" s="20">
        <v>-0.1</v>
      </c>
      <c r="E211" s="20">
        <v>0.06</v>
      </c>
      <c r="F211" s="26">
        <v>2441.5300000000002</v>
      </c>
      <c r="Q211" s="20">
        <v>21</v>
      </c>
      <c r="R211" s="20">
        <v>77.17</v>
      </c>
      <c r="S211" s="26">
        <v>77</v>
      </c>
      <c r="T211" s="26">
        <v>-0.17</v>
      </c>
      <c r="U211" s="26">
        <v>0.01</v>
      </c>
      <c r="V211" s="20">
        <v>2075.75</v>
      </c>
    </row>
    <row r="212" spans="1:22" ht="16.8" x14ac:dyDescent="0.3">
      <c r="A212" s="20">
        <v>21.1</v>
      </c>
      <c r="B212" s="20">
        <v>77</v>
      </c>
      <c r="C212" s="26">
        <v>76.989999999999995</v>
      </c>
      <c r="D212" s="20">
        <v>0.01</v>
      </c>
      <c r="E212" s="20">
        <v>0.1</v>
      </c>
      <c r="F212" s="20">
        <v>2561.0100000000002</v>
      </c>
      <c r="Q212" s="20">
        <v>21.1</v>
      </c>
      <c r="R212" s="20">
        <v>77.180000000000007</v>
      </c>
      <c r="S212" s="26">
        <v>77</v>
      </c>
      <c r="T212" s="20">
        <v>-0.18</v>
      </c>
      <c r="U212" s="26">
        <v>-0.01</v>
      </c>
      <c r="V212" s="26">
        <v>2060.8200000000002</v>
      </c>
    </row>
    <row r="213" spans="1:22" ht="16.8" x14ac:dyDescent="0.3">
      <c r="A213" s="20">
        <v>21.2</v>
      </c>
      <c r="B213" s="20">
        <v>77</v>
      </c>
      <c r="C213" s="20">
        <v>76.88</v>
      </c>
      <c r="D213" s="20">
        <v>0.12</v>
      </c>
      <c r="E213" s="20">
        <v>0.11</v>
      </c>
      <c r="F213" s="26">
        <v>2686.3</v>
      </c>
      <c r="Q213" s="20">
        <v>21.2</v>
      </c>
      <c r="R213" s="20">
        <v>77.16</v>
      </c>
      <c r="S213" s="26">
        <v>77</v>
      </c>
      <c r="T213" s="20">
        <v>-0.16</v>
      </c>
      <c r="U213" s="26">
        <v>0.02</v>
      </c>
      <c r="V213" s="20">
        <v>2082.65</v>
      </c>
    </row>
    <row r="214" spans="1:22" ht="16.8" x14ac:dyDescent="0.3">
      <c r="A214" s="20">
        <v>21.3</v>
      </c>
      <c r="B214" s="20">
        <v>77</v>
      </c>
      <c r="C214" s="26">
        <v>76.790000000000006</v>
      </c>
      <c r="D214" s="20">
        <v>0.21</v>
      </c>
      <c r="E214" s="20">
        <v>0.09</v>
      </c>
      <c r="F214" s="26">
        <v>2736.74</v>
      </c>
      <c r="Q214" s="20">
        <v>21.3</v>
      </c>
      <c r="R214" s="20">
        <v>77.2</v>
      </c>
      <c r="S214" s="26">
        <v>77</v>
      </c>
      <c r="T214" s="26">
        <v>-0.2</v>
      </c>
      <c r="U214" s="26">
        <v>-0.03</v>
      </c>
      <c r="V214" s="26">
        <v>2037.46</v>
      </c>
    </row>
    <row r="215" spans="1:22" ht="16.8" x14ac:dyDescent="0.3">
      <c r="A215" s="20">
        <v>21.4</v>
      </c>
      <c r="B215" s="20">
        <v>77</v>
      </c>
      <c r="C215" s="20">
        <v>76.790000000000006</v>
      </c>
      <c r="D215" s="20">
        <v>0.21</v>
      </c>
      <c r="E215" s="20">
        <v>0.01</v>
      </c>
      <c r="F215" s="26">
        <v>2570.16</v>
      </c>
      <c r="Q215" s="20">
        <v>21.4</v>
      </c>
      <c r="R215" s="20">
        <v>77.17</v>
      </c>
      <c r="S215" s="26">
        <v>77</v>
      </c>
      <c r="T215" s="20">
        <v>-0.17</v>
      </c>
      <c r="U215" s="26">
        <v>0.02</v>
      </c>
      <c r="V215" s="20">
        <v>2086.66</v>
      </c>
    </row>
    <row r="216" spans="1:22" ht="16.8" x14ac:dyDescent="0.3">
      <c r="A216" s="20">
        <v>21.5</v>
      </c>
      <c r="B216" s="20">
        <v>77</v>
      </c>
      <c r="C216" s="26">
        <v>76.7</v>
      </c>
      <c r="D216" s="20">
        <v>0.3</v>
      </c>
      <c r="E216" s="20">
        <v>0.09</v>
      </c>
      <c r="F216" s="26">
        <v>2750.27</v>
      </c>
      <c r="Q216" s="20">
        <v>21.5</v>
      </c>
      <c r="R216" s="20">
        <v>77.180000000000007</v>
      </c>
      <c r="S216" s="26">
        <v>77</v>
      </c>
      <c r="T216" s="26">
        <v>-0.18</v>
      </c>
      <c r="U216" s="26">
        <v>-0.01</v>
      </c>
      <c r="V216" s="26">
        <v>2058.75</v>
      </c>
    </row>
    <row r="217" spans="1:22" ht="16.8" x14ac:dyDescent="0.3">
      <c r="A217" s="20">
        <v>21.6</v>
      </c>
      <c r="B217" s="20">
        <v>77</v>
      </c>
      <c r="C217" s="26">
        <v>76.66</v>
      </c>
      <c r="D217" s="20">
        <v>0.34</v>
      </c>
      <c r="E217" s="20">
        <v>0.04</v>
      </c>
      <c r="F217" s="26">
        <v>2645.56</v>
      </c>
      <c r="Q217" s="20">
        <v>21.6</v>
      </c>
      <c r="R217" s="20">
        <v>77.13</v>
      </c>
      <c r="S217" s="26">
        <v>77</v>
      </c>
      <c r="T217" s="20">
        <v>-0.13</v>
      </c>
      <c r="U217" s="26">
        <v>0.05</v>
      </c>
      <c r="V217" s="20">
        <v>2112.3000000000002</v>
      </c>
    </row>
    <row r="218" spans="1:22" ht="16.8" x14ac:dyDescent="0.3">
      <c r="A218" s="20">
        <v>21.7</v>
      </c>
      <c r="B218" s="20">
        <v>77</v>
      </c>
      <c r="C218" s="20">
        <v>76.69</v>
      </c>
      <c r="D218" s="20">
        <v>0.31</v>
      </c>
      <c r="E218" s="20">
        <v>-0.03</v>
      </c>
      <c r="F218" s="26">
        <v>2623.4</v>
      </c>
      <c r="Q218" s="20">
        <v>21.7</v>
      </c>
      <c r="R218" s="20">
        <v>77.150000000000006</v>
      </c>
      <c r="S218" s="26">
        <v>77</v>
      </c>
      <c r="T218" s="26">
        <v>-0.15</v>
      </c>
      <c r="U218" s="26">
        <v>-0.02</v>
      </c>
      <c r="V218" s="26">
        <v>2057.0700000000002</v>
      </c>
    </row>
    <row r="219" spans="1:22" ht="16.8" x14ac:dyDescent="0.3">
      <c r="A219" s="20">
        <v>21.8</v>
      </c>
      <c r="B219" s="20">
        <v>77</v>
      </c>
      <c r="C219" s="26">
        <v>76.69</v>
      </c>
      <c r="D219" s="20">
        <v>0.31</v>
      </c>
      <c r="E219" s="20">
        <v>0</v>
      </c>
      <c r="F219" s="26">
        <v>2561.06</v>
      </c>
      <c r="Q219" s="20">
        <v>21.8</v>
      </c>
      <c r="R219" s="20">
        <v>77.180000000000007</v>
      </c>
      <c r="S219" s="26">
        <v>77</v>
      </c>
      <c r="T219" s="26">
        <v>-0.18</v>
      </c>
      <c r="U219" s="26">
        <v>-0.03</v>
      </c>
      <c r="V219" s="20">
        <v>2037.93</v>
      </c>
    </row>
    <row r="220" spans="1:22" ht="16.8" x14ac:dyDescent="0.3">
      <c r="A220" s="20">
        <v>21.9</v>
      </c>
      <c r="B220" s="20">
        <v>77</v>
      </c>
      <c r="C220" s="20">
        <v>76.680000000000007</v>
      </c>
      <c r="D220" s="20">
        <v>0.32</v>
      </c>
      <c r="E220" s="20">
        <v>0.02</v>
      </c>
      <c r="F220" s="26">
        <v>2593.7800000000002</v>
      </c>
      <c r="Q220" s="20">
        <v>21.9</v>
      </c>
      <c r="R220" s="20">
        <v>77.08</v>
      </c>
      <c r="S220" s="26">
        <v>77</v>
      </c>
      <c r="T220" s="26">
        <v>-0.08</v>
      </c>
      <c r="U220" s="26">
        <v>0.1</v>
      </c>
      <c r="V220" s="20">
        <v>2166.4499999999998</v>
      </c>
    </row>
    <row r="221" spans="1:22" ht="16.8" x14ac:dyDescent="0.3">
      <c r="A221" s="20">
        <v>22</v>
      </c>
      <c r="B221" s="20">
        <v>77</v>
      </c>
      <c r="C221" s="26">
        <v>76.69</v>
      </c>
      <c r="D221" s="20">
        <v>0.31</v>
      </c>
      <c r="E221" s="20">
        <v>-0.02</v>
      </c>
      <c r="F221" s="26">
        <v>2592.9899999999998</v>
      </c>
      <c r="Q221" s="20">
        <v>22</v>
      </c>
      <c r="R221" s="20">
        <v>77.12</v>
      </c>
      <c r="S221" s="26">
        <v>77</v>
      </c>
      <c r="T221" s="26">
        <v>-0.12</v>
      </c>
      <c r="U221" s="26">
        <v>-0.04</v>
      </c>
      <c r="V221" s="26">
        <v>2042.16</v>
      </c>
    </row>
    <row r="222" spans="1:22" ht="16.8" x14ac:dyDescent="0.3">
      <c r="A222" s="20">
        <v>22.1</v>
      </c>
      <c r="B222" s="20">
        <v>77</v>
      </c>
      <c r="C222" s="26">
        <v>76.78</v>
      </c>
      <c r="D222" s="20">
        <v>0.22</v>
      </c>
      <c r="E222" s="20">
        <v>-0.08</v>
      </c>
      <c r="F222" s="26">
        <v>2731.4</v>
      </c>
      <c r="Q222" s="20">
        <v>22.1</v>
      </c>
      <c r="R222" s="20">
        <v>77.03</v>
      </c>
      <c r="S222" s="26">
        <v>77</v>
      </c>
      <c r="T222" s="26">
        <v>-0.03</v>
      </c>
      <c r="U222" s="26">
        <v>0.09</v>
      </c>
      <c r="V222" s="20">
        <v>2161.5100000000002</v>
      </c>
    </row>
    <row r="223" spans="1:22" ht="16.8" x14ac:dyDescent="0.3">
      <c r="A223" s="20">
        <v>22.2</v>
      </c>
      <c r="B223" s="20">
        <v>77</v>
      </c>
      <c r="C223" s="20">
        <v>76.790000000000006</v>
      </c>
      <c r="D223" s="20">
        <v>0.21</v>
      </c>
      <c r="E223" s="20">
        <v>-0.01</v>
      </c>
      <c r="F223" s="26">
        <v>2579.94</v>
      </c>
      <c r="Q223" s="20">
        <v>22.2</v>
      </c>
      <c r="R223" s="20">
        <v>77.09</v>
      </c>
      <c r="S223" s="26">
        <v>77</v>
      </c>
      <c r="T223" s="26">
        <v>-0.09</v>
      </c>
      <c r="U223" s="26">
        <v>-0.06</v>
      </c>
      <c r="V223" s="26">
        <v>2026.56</v>
      </c>
    </row>
    <row r="224" spans="1:22" ht="16.8" x14ac:dyDescent="0.3">
      <c r="A224" s="20">
        <v>22.3</v>
      </c>
      <c r="B224" s="20">
        <v>77</v>
      </c>
      <c r="C224" s="26">
        <v>76.84</v>
      </c>
      <c r="D224" s="20">
        <v>0.16</v>
      </c>
      <c r="E224" s="20">
        <v>-0.05</v>
      </c>
      <c r="F224" s="26">
        <v>2665.56</v>
      </c>
      <c r="Q224" s="20">
        <v>22.3</v>
      </c>
      <c r="R224" s="20">
        <v>77.11</v>
      </c>
      <c r="S224" s="26">
        <v>77</v>
      </c>
      <c r="T224" s="20">
        <v>-0.11</v>
      </c>
      <c r="U224" s="26">
        <v>-0.02</v>
      </c>
      <c r="V224" s="20">
        <v>2062.39</v>
      </c>
    </row>
    <row r="225" spans="1:22" ht="16.8" x14ac:dyDescent="0.3">
      <c r="A225" s="20">
        <v>22.4</v>
      </c>
      <c r="B225" s="20">
        <v>77</v>
      </c>
      <c r="C225" s="26">
        <v>76.92</v>
      </c>
      <c r="D225" s="20">
        <v>0.08</v>
      </c>
      <c r="E225" s="20">
        <v>-7.0000000000000007E-2</v>
      </c>
      <c r="F225" s="20">
        <v>2649.79</v>
      </c>
      <c r="Q225" s="20">
        <v>22.4</v>
      </c>
      <c r="R225" s="20">
        <v>77.05</v>
      </c>
      <c r="S225" s="26">
        <v>77</v>
      </c>
      <c r="T225" s="26">
        <v>-0.05</v>
      </c>
      <c r="U225" s="26">
        <v>0.06</v>
      </c>
      <c r="V225" s="26">
        <v>2130.5700000000002</v>
      </c>
    </row>
    <row r="226" spans="1:22" ht="16.8" x14ac:dyDescent="0.3">
      <c r="A226" s="20">
        <v>22.5</v>
      </c>
      <c r="B226" s="20">
        <v>77</v>
      </c>
      <c r="C226" s="20">
        <v>76.959999999999994</v>
      </c>
      <c r="D226" s="20">
        <v>0.04</v>
      </c>
      <c r="E226" s="20">
        <v>-0.04</v>
      </c>
      <c r="F226" s="26">
        <v>2604.02</v>
      </c>
      <c r="Q226" s="20">
        <v>22.5</v>
      </c>
      <c r="R226" s="20">
        <v>77.14</v>
      </c>
      <c r="S226" s="20">
        <v>77</v>
      </c>
      <c r="T226" s="26">
        <v>-0.14000000000000001</v>
      </c>
      <c r="U226" s="26">
        <v>-0.09</v>
      </c>
      <c r="V226" s="20">
        <v>1997.74</v>
      </c>
    </row>
    <row r="227" spans="1:22" ht="16.8" x14ac:dyDescent="0.3">
      <c r="A227" s="20">
        <v>22.6</v>
      </c>
      <c r="B227" s="20">
        <v>77</v>
      </c>
      <c r="C227" s="26">
        <v>77</v>
      </c>
      <c r="D227" s="20">
        <v>0</v>
      </c>
      <c r="E227" s="20">
        <v>-0.05</v>
      </c>
      <c r="F227" s="26">
        <v>2543.4699999999998</v>
      </c>
      <c r="Q227" s="20">
        <v>22.6</v>
      </c>
      <c r="R227" s="20">
        <v>77.12</v>
      </c>
      <c r="S227" s="26">
        <v>77</v>
      </c>
      <c r="T227" s="26">
        <v>-0.12</v>
      </c>
      <c r="U227" s="26">
        <v>0.02</v>
      </c>
      <c r="V227" s="26">
        <v>2092.5500000000002</v>
      </c>
    </row>
    <row r="228" spans="1:22" ht="16.8" x14ac:dyDescent="0.3">
      <c r="A228" s="20">
        <v>22.7</v>
      </c>
      <c r="B228" s="20">
        <v>77</v>
      </c>
      <c r="C228" s="20">
        <v>77.09</v>
      </c>
      <c r="D228" s="20">
        <v>-0.09</v>
      </c>
      <c r="E228" s="20">
        <v>-0.08</v>
      </c>
      <c r="F228" s="26">
        <v>2401.7600000000002</v>
      </c>
      <c r="Q228" s="20">
        <v>22.7</v>
      </c>
      <c r="R228" s="20">
        <v>77.09</v>
      </c>
      <c r="S228" s="26">
        <v>77</v>
      </c>
      <c r="T228" s="26">
        <v>-0.09</v>
      </c>
      <c r="U228" s="26">
        <v>0.02</v>
      </c>
      <c r="V228" s="20">
        <v>2096.52</v>
      </c>
    </row>
    <row r="229" spans="1:22" ht="16.8" x14ac:dyDescent="0.3">
      <c r="A229" s="20">
        <v>22.8</v>
      </c>
      <c r="B229" s="20">
        <v>77</v>
      </c>
      <c r="C229" s="26">
        <v>77.2</v>
      </c>
      <c r="D229" s="20">
        <v>-0.2</v>
      </c>
      <c r="E229" s="20">
        <v>-0.11</v>
      </c>
      <c r="F229" s="26">
        <v>2241.48</v>
      </c>
      <c r="Q229" s="20">
        <v>22.8</v>
      </c>
      <c r="R229" s="20">
        <v>77.14</v>
      </c>
      <c r="S229" s="26">
        <v>77</v>
      </c>
      <c r="T229" s="26">
        <v>-0.14000000000000001</v>
      </c>
      <c r="U229" s="26">
        <v>-0.05</v>
      </c>
      <c r="V229" s="20">
        <v>2029.2</v>
      </c>
    </row>
    <row r="230" spans="1:22" ht="16.8" x14ac:dyDescent="0.3">
      <c r="A230" s="20">
        <v>22.9</v>
      </c>
      <c r="B230" s="20">
        <v>77</v>
      </c>
      <c r="C230" s="26">
        <v>77.19</v>
      </c>
      <c r="D230" s="20">
        <v>-0.19</v>
      </c>
      <c r="E230" s="20">
        <v>0.01</v>
      </c>
      <c r="F230" s="20">
        <v>2345.87</v>
      </c>
      <c r="Q230" s="20">
        <v>22.9</v>
      </c>
      <c r="R230" s="20">
        <v>77.03</v>
      </c>
      <c r="S230" s="26">
        <v>77</v>
      </c>
      <c r="T230" s="26">
        <v>-0.03</v>
      </c>
      <c r="U230" s="26">
        <v>0.11</v>
      </c>
      <c r="V230" s="26">
        <v>2178.75</v>
      </c>
    </row>
    <row r="231" spans="1:22" ht="16.8" x14ac:dyDescent="0.3">
      <c r="A231" s="20">
        <v>23</v>
      </c>
      <c r="B231" s="20">
        <v>77</v>
      </c>
      <c r="C231" s="20">
        <v>77.31</v>
      </c>
      <c r="D231" s="20">
        <v>-0.31</v>
      </c>
      <c r="E231" s="20">
        <v>-0.12</v>
      </c>
      <c r="F231" s="26">
        <v>2112.1</v>
      </c>
      <c r="Q231" s="20">
        <v>23</v>
      </c>
      <c r="R231" s="20">
        <v>77.06</v>
      </c>
      <c r="S231" s="26">
        <v>77</v>
      </c>
      <c r="T231" s="26">
        <v>-0.06</v>
      </c>
      <c r="U231" s="26">
        <v>-0.03</v>
      </c>
      <c r="V231" s="20">
        <v>2056.04</v>
      </c>
    </row>
    <row r="232" spans="1:22" ht="16.8" x14ac:dyDescent="0.3">
      <c r="A232" s="20">
        <v>23.1</v>
      </c>
      <c r="B232" s="20">
        <v>77</v>
      </c>
      <c r="C232" s="26">
        <v>77.319999999999993</v>
      </c>
      <c r="D232" s="20">
        <v>-0.32</v>
      </c>
      <c r="E232" s="20">
        <v>-0.01</v>
      </c>
      <c r="F232" s="26">
        <v>2203.12</v>
      </c>
      <c r="Q232" s="20">
        <v>23.1</v>
      </c>
      <c r="R232" s="20">
        <v>77.06</v>
      </c>
      <c r="S232" s="26">
        <v>77</v>
      </c>
      <c r="T232" s="20">
        <v>-0.06</v>
      </c>
      <c r="U232" s="26">
        <v>0</v>
      </c>
      <c r="V232" s="26">
        <v>2081.84</v>
      </c>
    </row>
    <row r="233" spans="1:22" ht="16.8" x14ac:dyDescent="0.3">
      <c r="A233" s="20">
        <v>23.2</v>
      </c>
      <c r="B233" s="20">
        <v>77</v>
      </c>
      <c r="C233" s="26">
        <v>77.459999999999994</v>
      </c>
      <c r="D233" s="20">
        <v>-0.46</v>
      </c>
      <c r="E233" s="20">
        <v>-0.14000000000000001</v>
      </c>
      <c r="F233" s="20">
        <v>1905.16</v>
      </c>
      <c r="Q233" s="20">
        <v>23.2</v>
      </c>
      <c r="R233" s="20">
        <v>77.08</v>
      </c>
      <c r="S233" s="20">
        <v>77</v>
      </c>
      <c r="T233" s="26">
        <v>-0.08</v>
      </c>
      <c r="U233" s="26">
        <v>-0.02</v>
      </c>
      <c r="V233" s="20">
        <v>2057.88</v>
      </c>
    </row>
    <row r="234" spans="1:22" ht="16.8" x14ac:dyDescent="0.3">
      <c r="A234" s="20">
        <v>23.3</v>
      </c>
      <c r="B234" s="20">
        <v>77</v>
      </c>
      <c r="C234" s="20">
        <v>77.430000000000007</v>
      </c>
      <c r="D234" s="20">
        <v>-0.43</v>
      </c>
      <c r="E234" s="20">
        <v>0.03</v>
      </c>
      <c r="F234" s="26">
        <v>2076.67</v>
      </c>
      <c r="Q234" s="20">
        <v>23.3</v>
      </c>
      <c r="R234" s="20">
        <v>77.02</v>
      </c>
      <c r="S234" s="26">
        <v>77</v>
      </c>
      <c r="T234" s="26">
        <v>-0.02</v>
      </c>
      <c r="U234" s="26">
        <v>0.06</v>
      </c>
      <c r="V234" s="26">
        <v>2140.5700000000002</v>
      </c>
    </row>
    <row r="235" spans="1:22" ht="16.8" x14ac:dyDescent="0.3">
      <c r="A235" s="20">
        <v>23.4</v>
      </c>
      <c r="B235" s="20">
        <v>77</v>
      </c>
      <c r="C235" s="26">
        <v>77.55</v>
      </c>
      <c r="D235" s="20">
        <v>-0.55000000000000004</v>
      </c>
      <c r="E235" s="20">
        <v>-0.12</v>
      </c>
      <c r="F235" s="20">
        <v>1763.1</v>
      </c>
      <c r="Q235" s="20">
        <v>23.4</v>
      </c>
      <c r="R235" s="20">
        <v>77.069999999999993</v>
      </c>
      <c r="S235" s="20">
        <v>77</v>
      </c>
      <c r="T235" s="26">
        <v>-7.0000000000000007E-2</v>
      </c>
      <c r="U235" s="26">
        <v>-0.05</v>
      </c>
      <c r="V235" s="20">
        <v>2040.95</v>
      </c>
    </row>
    <row r="236" spans="1:22" ht="16.8" x14ac:dyDescent="0.3">
      <c r="A236" s="20">
        <v>23.5</v>
      </c>
      <c r="B236" s="20">
        <v>77</v>
      </c>
      <c r="C236" s="26">
        <v>77.62</v>
      </c>
      <c r="D236" s="20">
        <v>-0.62</v>
      </c>
      <c r="E236" s="20">
        <v>-7.0000000000000007E-2</v>
      </c>
      <c r="F236" s="26">
        <v>1641.45</v>
      </c>
      <c r="Q236" s="20">
        <v>23.5</v>
      </c>
      <c r="R236" s="20">
        <v>77.03</v>
      </c>
      <c r="S236" s="26">
        <v>77</v>
      </c>
      <c r="T236" s="26">
        <v>-0.03</v>
      </c>
      <c r="U236" s="26">
        <v>0.04</v>
      </c>
      <c r="V236" s="26">
        <v>2119.38</v>
      </c>
    </row>
    <row r="237" spans="1:22" ht="16.8" x14ac:dyDescent="0.3">
      <c r="A237" s="20">
        <v>23.6</v>
      </c>
      <c r="B237" s="20">
        <v>77</v>
      </c>
      <c r="C237" s="20">
        <v>77.58</v>
      </c>
      <c r="D237" s="20">
        <v>-0.57999999999999996</v>
      </c>
      <c r="E237" s="20">
        <v>0.04</v>
      </c>
      <c r="F237" s="26">
        <v>1811.69</v>
      </c>
      <c r="Q237" s="20">
        <v>23.6</v>
      </c>
      <c r="R237" s="20">
        <v>77.06</v>
      </c>
      <c r="S237" s="26">
        <v>77</v>
      </c>
      <c r="T237" s="26">
        <v>-0.06</v>
      </c>
      <c r="U237" s="26">
        <v>-0.03</v>
      </c>
      <c r="V237" s="20">
        <v>2055.11</v>
      </c>
    </row>
    <row r="238" spans="1:22" ht="16.8" x14ac:dyDescent="0.3">
      <c r="A238" s="20">
        <v>23.7</v>
      </c>
      <c r="B238" s="20">
        <v>77</v>
      </c>
      <c r="C238" s="26">
        <v>77.62</v>
      </c>
      <c r="D238" s="20">
        <v>-0.62</v>
      </c>
      <c r="E238" s="20">
        <v>-0.04</v>
      </c>
      <c r="F238" s="26">
        <v>1667.95</v>
      </c>
      <c r="Q238" s="20">
        <v>23.7</v>
      </c>
      <c r="R238" s="20">
        <v>77.040000000000006</v>
      </c>
      <c r="S238" s="26">
        <v>77</v>
      </c>
      <c r="T238" s="26">
        <v>-0.04</v>
      </c>
      <c r="U238" s="26">
        <v>0.02</v>
      </c>
      <c r="V238" s="20">
        <v>2096.77</v>
      </c>
    </row>
    <row r="239" spans="1:22" ht="16.8" x14ac:dyDescent="0.3">
      <c r="A239" s="20">
        <v>23.8</v>
      </c>
      <c r="B239" s="20">
        <v>77</v>
      </c>
      <c r="C239" s="26">
        <v>77.66</v>
      </c>
      <c r="D239" s="20">
        <v>-0.66</v>
      </c>
      <c r="E239" s="20">
        <v>-0.04</v>
      </c>
      <c r="F239" s="26">
        <v>1517.41</v>
      </c>
      <c r="Q239" s="20">
        <v>23.8</v>
      </c>
      <c r="R239" s="20">
        <v>77.040000000000006</v>
      </c>
      <c r="S239" s="26">
        <v>77</v>
      </c>
      <c r="T239" s="20">
        <v>-0.04</v>
      </c>
      <c r="U239" s="26">
        <v>0.01</v>
      </c>
      <c r="V239" s="26">
        <v>2091.58</v>
      </c>
    </row>
    <row r="240" spans="1:22" ht="16.8" x14ac:dyDescent="0.3">
      <c r="A240" s="20">
        <v>23.9</v>
      </c>
      <c r="B240" s="20">
        <v>77</v>
      </c>
      <c r="C240" s="20">
        <v>77.62</v>
      </c>
      <c r="D240" s="20">
        <v>-0.62</v>
      </c>
      <c r="E240" s="20">
        <v>0.04</v>
      </c>
      <c r="F240" s="26">
        <v>1706.61</v>
      </c>
      <c r="Q240" s="20">
        <v>23.9</v>
      </c>
      <c r="R240" s="20">
        <v>77.069999999999993</v>
      </c>
      <c r="S240" s="26">
        <v>77</v>
      </c>
      <c r="T240" s="26">
        <v>-7.0000000000000007E-2</v>
      </c>
      <c r="U240" s="26">
        <v>-0.03</v>
      </c>
      <c r="V240" s="20">
        <v>2053.27</v>
      </c>
    </row>
    <row r="241" spans="1:22" ht="16.8" x14ac:dyDescent="0.3">
      <c r="A241" s="20">
        <v>24</v>
      </c>
      <c r="B241" s="20">
        <v>77</v>
      </c>
      <c r="C241" s="26">
        <v>77.650000000000006</v>
      </c>
      <c r="D241" s="20">
        <v>-0.65</v>
      </c>
      <c r="E241" s="20">
        <v>-0.04</v>
      </c>
      <c r="F241" s="20">
        <v>1554.7</v>
      </c>
      <c r="Q241" s="20">
        <v>24</v>
      </c>
      <c r="R241" s="20">
        <v>77.040000000000006</v>
      </c>
      <c r="S241" s="26">
        <v>77</v>
      </c>
      <c r="T241" s="20">
        <v>-0.04</v>
      </c>
      <c r="U241" s="26">
        <v>0.03</v>
      </c>
      <c r="V241" s="26">
        <v>2110.77</v>
      </c>
    </row>
    <row r="242" spans="1:22" ht="16.8" x14ac:dyDescent="0.3">
      <c r="A242" s="20">
        <v>24.1</v>
      </c>
      <c r="B242" s="20">
        <v>77</v>
      </c>
      <c r="C242" s="26">
        <v>77.599999999999994</v>
      </c>
      <c r="D242" s="20">
        <v>-0.6</v>
      </c>
      <c r="E242" s="20">
        <v>0.05</v>
      </c>
      <c r="F242" s="26">
        <v>1740.46</v>
      </c>
      <c r="Q242" s="20">
        <v>24.1</v>
      </c>
      <c r="R242" s="20">
        <v>77.09</v>
      </c>
      <c r="S242" s="26">
        <v>77</v>
      </c>
      <c r="T242" s="26">
        <v>-0.09</v>
      </c>
      <c r="U242" s="26">
        <v>-0.06</v>
      </c>
      <c r="V242" s="20">
        <v>2029.18</v>
      </c>
    </row>
    <row r="243" spans="1:22" ht="16.8" x14ac:dyDescent="0.3">
      <c r="A243" s="20">
        <v>24.2</v>
      </c>
      <c r="B243" s="20">
        <v>77</v>
      </c>
      <c r="C243" s="20">
        <v>77.52</v>
      </c>
      <c r="D243" s="20">
        <v>-0.52</v>
      </c>
      <c r="E243" s="20">
        <v>0.09</v>
      </c>
      <c r="F243" s="26">
        <v>1936.79</v>
      </c>
      <c r="Q243" s="20">
        <v>24.2</v>
      </c>
      <c r="R243" s="20">
        <v>76.989999999999995</v>
      </c>
      <c r="S243" s="26">
        <v>77</v>
      </c>
      <c r="T243" s="26">
        <v>0.01</v>
      </c>
      <c r="U243" s="26">
        <v>0.1</v>
      </c>
      <c r="V243" s="20">
        <v>2177.46</v>
      </c>
    </row>
    <row r="244" spans="1:22" ht="16.8" x14ac:dyDescent="0.3">
      <c r="A244" s="20">
        <v>24.3</v>
      </c>
      <c r="B244" s="20">
        <v>77</v>
      </c>
      <c r="C244" s="26">
        <v>77.47</v>
      </c>
      <c r="D244" s="20">
        <v>-0.47</v>
      </c>
      <c r="E244" s="20">
        <v>0.04</v>
      </c>
      <c r="F244" s="26">
        <v>2011.59</v>
      </c>
      <c r="Q244" s="20">
        <v>24.3</v>
      </c>
      <c r="R244" s="20">
        <v>77.02</v>
      </c>
      <c r="S244" s="26">
        <v>77</v>
      </c>
      <c r="T244" s="20">
        <v>-0.02</v>
      </c>
      <c r="U244" s="26">
        <v>-0.03</v>
      </c>
      <c r="V244" s="26">
        <v>2061.35</v>
      </c>
    </row>
    <row r="245" spans="1:22" ht="16.8" x14ac:dyDescent="0.3">
      <c r="A245" s="20">
        <v>24.4</v>
      </c>
      <c r="B245" s="20">
        <v>77</v>
      </c>
      <c r="C245" s="20">
        <v>77.45</v>
      </c>
      <c r="D245" s="20">
        <v>-0.45</v>
      </c>
      <c r="E245" s="20">
        <v>0.02</v>
      </c>
      <c r="F245" s="26">
        <v>2048.13</v>
      </c>
      <c r="Q245" s="20">
        <v>24.4</v>
      </c>
      <c r="R245" s="20">
        <v>76.989999999999995</v>
      </c>
      <c r="S245" s="26">
        <v>77</v>
      </c>
      <c r="T245" s="26">
        <v>0.01</v>
      </c>
      <c r="U245" s="26">
        <v>0.03</v>
      </c>
      <c r="V245" s="20">
        <v>2118.98</v>
      </c>
    </row>
    <row r="246" spans="1:22" ht="16.8" x14ac:dyDescent="0.3">
      <c r="A246" s="20">
        <v>24.5</v>
      </c>
      <c r="B246" s="20">
        <v>77</v>
      </c>
      <c r="C246" s="26">
        <v>77.41</v>
      </c>
      <c r="D246" s="20">
        <v>-0.41</v>
      </c>
      <c r="E246" s="20">
        <v>0.03</v>
      </c>
      <c r="F246" s="26">
        <v>2093.09</v>
      </c>
      <c r="Q246" s="20">
        <v>24.5</v>
      </c>
      <c r="R246" s="20">
        <v>76.95</v>
      </c>
      <c r="S246" s="26">
        <v>77</v>
      </c>
      <c r="T246" s="20">
        <v>0.05</v>
      </c>
      <c r="U246" s="26">
        <v>0.04</v>
      </c>
      <c r="V246" s="26">
        <v>2132.69</v>
      </c>
    </row>
    <row r="247" spans="1:22" ht="16.8" x14ac:dyDescent="0.3">
      <c r="A247" s="20">
        <v>24.6</v>
      </c>
      <c r="B247" s="20">
        <v>77</v>
      </c>
      <c r="C247" s="26">
        <v>77.34</v>
      </c>
      <c r="D247" s="20">
        <v>-0.34</v>
      </c>
      <c r="E247" s="20">
        <v>7.0000000000000007E-2</v>
      </c>
      <c r="F247" s="26">
        <v>2182.9299999999998</v>
      </c>
      <c r="Q247" s="20">
        <v>24.6</v>
      </c>
      <c r="R247" s="20">
        <v>77.05</v>
      </c>
      <c r="S247" s="26">
        <v>77</v>
      </c>
      <c r="T247" s="26">
        <v>-0.05</v>
      </c>
      <c r="U247" s="26">
        <v>-0.1</v>
      </c>
      <c r="V247" s="20">
        <v>1997.27</v>
      </c>
    </row>
    <row r="248" spans="1:22" ht="16.8" x14ac:dyDescent="0.3">
      <c r="A248" s="20">
        <v>24.7</v>
      </c>
      <c r="B248" s="20">
        <v>77</v>
      </c>
      <c r="C248" s="20">
        <v>77.290000000000006</v>
      </c>
      <c r="D248" s="20">
        <v>-0.28999999999999998</v>
      </c>
      <c r="E248" s="20">
        <v>0.05</v>
      </c>
      <c r="F248" s="20">
        <v>2241.1999999999998</v>
      </c>
      <c r="Q248" s="20">
        <v>24.7</v>
      </c>
      <c r="R248" s="20">
        <v>76.98</v>
      </c>
      <c r="S248" s="26">
        <v>77</v>
      </c>
      <c r="T248" s="20">
        <v>0.02</v>
      </c>
      <c r="U248" s="26">
        <v>7.0000000000000007E-2</v>
      </c>
      <c r="V248" s="26">
        <v>2152.9499999999998</v>
      </c>
    </row>
    <row r="249" spans="1:22" ht="16.8" x14ac:dyDescent="0.3">
      <c r="A249" s="20">
        <v>24.8</v>
      </c>
      <c r="B249" s="20">
        <v>77</v>
      </c>
      <c r="C249" s="26">
        <v>77.180000000000007</v>
      </c>
      <c r="D249" s="20">
        <v>-0.18</v>
      </c>
      <c r="E249" s="20">
        <v>0.11</v>
      </c>
      <c r="F249" s="26">
        <v>2357.84</v>
      </c>
      <c r="Q249" s="20">
        <v>24.8</v>
      </c>
      <c r="R249" s="20">
        <v>77.03</v>
      </c>
      <c r="S249" s="26">
        <v>77</v>
      </c>
      <c r="T249" s="26">
        <v>-0.03</v>
      </c>
      <c r="U249" s="26">
        <v>-0.05</v>
      </c>
      <c r="V249" s="20">
        <v>2046.94</v>
      </c>
    </row>
    <row r="250" spans="1:22" ht="16.8" x14ac:dyDescent="0.3">
      <c r="A250" s="20">
        <v>24.9</v>
      </c>
      <c r="B250" s="20">
        <v>77</v>
      </c>
      <c r="C250" s="20">
        <v>77.14</v>
      </c>
      <c r="D250" s="20">
        <v>-0.14000000000000001</v>
      </c>
      <c r="E250" s="20">
        <v>0.04</v>
      </c>
      <c r="F250" s="26">
        <v>2399.4699999999998</v>
      </c>
      <c r="Q250" s="20">
        <v>24.9</v>
      </c>
      <c r="R250" s="20">
        <v>76.989999999999995</v>
      </c>
      <c r="S250" s="26">
        <v>77</v>
      </c>
      <c r="T250" s="26">
        <v>0.01</v>
      </c>
      <c r="U250" s="26">
        <v>0.04</v>
      </c>
      <c r="V250" s="26">
        <v>2125.5</v>
      </c>
    </row>
    <row r="251" spans="1:22" ht="16.8" x14ac:dyDescent="0.3">
      <c r="A251" s="20">
        <v>25</v>
      </c>
      <c r="B251" s="20">
        <v>77</v>
      </c>
      <c r="C251" s="26">
        <v>77.12</v>
      </c>
      <c r="D251" s="20">
        <v>-0.12</v>
      </c>
      <c r="E251" s="20">
        <v>0.02</v>
      </c>
      <c r="F251" s="26">
        <v>2420.37</v>
      </c>
      <c r="Q251" s="20">
        <v>25</v>
      </c>
      <c r="R251" s="20">
        <v>77.040000000000006</v>
      </c>
      <c r="S251" s="26">
        <v>77</v>
      </c>
      <c r="T251" s="26">
        <v>-0.04</v>
      </c>
      <c r="U251" s="26">
        <v>-0.06</v>
      </c>
      <c r="V251" s="20">
        <v>2037.55</v>
      </c>
    </row>
    <row r="252" spans="1:22" ht="16.8" x14ac:dyDescent="0.3">
      <c r="A252" s="20">
        <v>25.1</v>
      </c>
      <c r="B252" s="20">
        <v>77</v>
      </c>
      <c r="C252" s="26">
        <v>77.09</v>
      </c>
      <c r="D252" s="20">
        <v>-0.09</v>
      </c>
      <c r="E252" s="20">
        <v>0.02</v>
      </c>
      <c r="F252" s="26">
        <v>2445.84</v>
      </c>
      <c r="Q252" s="20">
        <v>25.1</v>
      </c>
      <c r="R252" s="20">
        <v>77.03</v>
      </c>
      <c r="S252" s="26">
        <v>77</v>
      </c>
      <c r="T252" s="26">
        <v>-0.03</v>
      </c>
      <c r="U252" s="26">
        <v>0.02</v>
      </c>
      <c r="V252" s="26">
        <v>2098.7399999999998</v>
      </c>
    </row>
    <row r="253" spans="1:22" ht="16.8" x14ac:dyDescent="0.3">
      <c r="A253" s="20">
        <v>25.2</v>
      </c>
      <c r="B253" s="20">
        <v>77</v>
      </c>
      <c r="C253" s="20">
        <v>76.97</v>
      </c>
      <c r="D253" s="20">
        <v>0.03</v>
      </c>
      <c r="E253" s="20">
        <v>0.12</v>
      </c>
      <c r="F253" s="20">
        <v>2587.0100000000002</v>
      </c>
      <c r="Q253" s="20">
        <v>25.2</v>
      </c>
      <c r="R253" s="20">
        <v>77.010000000000005</v>
      </c>
      <c r="S253" s="20">
        <v>77</v>
      </c>
      <c r="T253" s="26">
        <v>-0.01</v>
      </c>
      <c r="U253" s="26">
        <v>0.02</v>
      </c>
      <c r="V253" s="20">
        <v>2101.5500000000002</v>
      </c>
    </row>
    <row r="254" spans="1:22" ht="16.8" x14ac:dyDescent="0.3">
      <c r="A254" s="20">
        <v>25.3</v>
      </c>
      <c r="B254" s="20">
        <v>77</v>
      </c>
      <c r="C254" s="26">
        <v>77.06</v>
      </c>
      <c r="D254" s="20">
        <v>-0.06</v>
      </c>
      <c r="E254" s="20">
        <v>-0.08</v>
      </c>
      <c r="F254" s="26">
        <v>2452.91</v>
      </c>
      <c r="Q254" s="20">
        <v>25.3</v>
      </c>
      <c r="R254" s="20">
        <v>77.05</v>
      </c>
      <c r="S254" s="26">
        <v>77</v>
      </c>
      <c r="T254" s="26">
        <v>-0.05</v>
      </c>
      <c r="U254" s="26">
        <v>-0.04</v>
      </c>
      <c r="V254" s="20">
        <v>2048.86</v>
      </c>
    </row>
    <row r="255" spans="1:22" ht="16.8" x14ac:dyDescent="0.3">
      <c r="A255" s="20">
        <v>25.4</v>
      </c>
      <c r="B255" s="20">
        <v>77</v>
      </c>
      <c r="C255" s="20">
        <v>76.97</v>
      </c>
      <c r="D255" s="20">
        <v>0.03</v>
      </c>
      <c r="E255" s="20">
        <v>0.08</v>
      </c>
      <c r="F255" s="26">
        <v>2585.92</v>
      </c>
      <c r="Q255" s="20">
        <v>25.4</v>
      </c>
      <c r="R255" s="20">
        <v>77</v>
      </c>
      <c r="S255" s="26">
        <v>77</v>
      </c>
      <c r="T255" s="26">
        <v>0</v>
      </c>
      <c r="U255" s="26">
        <v>0.06</v>
      </c>
      <c r="V255" s="26">
        <v>2136.6999999999998</v>
      </c>
    </row>
    <row r="256" spans="1:22" ht="16.8" x14ac:dyDescent="0.3">
      <c r="A256" s="20">
        <v>25.5</v>
      </c>
      <c r="B256" s="20">
        <v>77</v>
      </c>
      <c r="C256" s="26">
        <v>77.010000000000005</v>
      </c>
      <c r="D256" s="20">
        <v>-0.01</v>
      </c>
      <c r="E256" s="20">
        <v>-0.04</v>
      </c>
      <c r="F256" s="26">
        <v>2529.31</v>
      </c>
      <c r="Q256" s="20">
        <v>25.5</v>
      </c>
      <c r="R256" s="20">
        <v>77.010000000000005</v>
      </c>
      <c r="S256" s="26">
        <v>77</v>
      </c>
      <c r="T256" s="26">
        <v>-0.01</v>
      </c>
      <c r="U256" s="26">
        <v>-0.02</v>
      </c>
      <c r="V256" s="20">
        <v>2075.39</v>
      </c>
    </row>
    <row r="257" spans="1:22" ht="16.8" x14ac:dyDescent="0.3">
      <c r="A257" s="20">
        <v>25.6</v>
      </c>
      <c r="B257" s="20">
        <v>77</v>
      </c>
      <c r="C257" s="26">
        <v>76.95</v>
      </c>
      <c r="D257" s="20">
        <v>0.05</v>
      </c>
      <c r="E257" s="20">
        <v>0.06</v>
      </c>
      <c r="F257" s="26">
        <v>2609.09</v>
      </c>
      <c r="Q257" s="20">
        <v>25.6</v>
      </c>
      <c r="R257" s="20">
        <v>76.95</v>
      </c>
      <c r="S257" s="26">
        <v>77</v>
      </c>
      <c r="T257" s="26">
        <v>0.05</v>
      </c>
      <c r="U257" s="26">
        <v>0.06</v>
      </c>
      <c r="V257" s="26">
        <v>2151.7800000000002</v>
      </c>
    </row>
    <row r="258" spans="1:22" ht="16.8" x14ac:dyDescent="0.3">
      <c r="A258" s="20">
        <v>25.7</v>
      </c>
      <c r="B258" s="20">
        <v>77</v>
      </c>
      <c r="C258" s="20">
        <v>77</v>
      </c>
      <c r="D258" s="20">
        <v>0</v>
      </c>
      <c r="E258" s="20">
        <v>-0.05</v>
      </c>
      <c r="F258" s="26">
        <v>2550.4699999999998</v>
      </c>
      <c r="Q258" s="20">
        <v>25.7</v>
      </c>
      <c r="R258" s="20">
        <v>76.97</v>
      </c>
      <c r="S258" s="26">
        <v>77</v>
      </c>
      <c r="T258" s="26">
        <v>0.03</v>
      </c>
      <c r="U258" s="26">
        <v>-0.02</v>
      </c>
      <c r="V258" s="20">
        <v>2076.1799999999998</v>
      </c>
    </row>
    <row r="259" spans="1:22" ht="16.8" x14ac:dyDescent="0.3">
      <c r="A259" s="20">
        <v>25.8</v>
      </c>
      <c r="B259" s="20">
        <v>77</v>
      </c>
      <c r="C259" s="26">
        <v>77.02</v>
      </c>
      <c r="D259" s="20">
        <v>-0.02</v>
      </c>
      <c r="E259" s="20">
        <v>-0.02</v>
      </c>
      <c r="F259" s="26">
        <v>2508.56</v>
      </c>
      <c r="Q259" s="20">
        <v>25.8</v>
      </c>
      <c r="R259" s="20">
        <v>77.040000000000006</v>
      </c>
      <c r="S259" s="26">
        <v>77</v>
      </c>
      <c r="T259" s="26">
        <v>-0.04</v>
      </c>
      <c r="U259" s="26">
        <v>-0.06</v>
      </c>
      <c r="V259" s="26">
        <v>2032.3</v>
      </c>
    </row>
    <row r="260" spans="1:22" ht="16.8" x14ac:dyDescent="0.3">
      <c r="A260" s="20">
        <v>25.9</v>
      </c>
      <c r="B260" s="20">
        <v>77</v>
      </c>
      <c r="C260" s="20">
        <v>77.040000000000006</v>
      </c>
      <c r="D260" s="20">
        <v>-0.04</v>
      </c>
      <c r="E260" s="20">
        <v>-0.02</v>
      </c>
      <c r="F260" s="26">
        <v>2486.86</v>
      </c>
      <c r="Q260" s="20">
        <v>25.9</v>
      </c>
      <c r="R260" s="20">
        <v>76.510000000000005</v>
      </c>
      <c r="S260" s="26">
        <v>77</v>
      </c>
      <c r="T260" s="26">
        <v>0.49</v>
      </c>
      <c r="U260" s="26">
        <v>0.52</v>
      </c>
      <c r="V260" s="20">
        <v>2599.6</v>
      </c>
    </row>
    <row r="261" spans="1:22" ht="16.8" x14ac:dyDescent="0.3">
      <c r="A261" s="20">
        <v>26</v>
      </c>
      <c r="B261" s="20">
        <v>77</v>
      </c>
      <c r="C261" s="26">
        <v>77.06</v>
      </c>
      <c r="D261" s="20">
        <v>-0.06</v>
      </c>
      <c r="E261" s="20">
        <v>-0.02</v>
      </c>
      <c r="F261" s="26">
        <v>2452.14</v>
      </c>
      <c r="Q261" s="20">
        <v>26</v>
      </c>
      <c r="R261" s="20">
        <v>76.930000000000007</v>
      </c>
      <c r="S261" s="26">
        <v>77</v>
      </c>
      <c r="T261" s="20">
        <v>7.0000000000000007E-2</v>
      </c>
      <c r="U261" s="20">
        <v>-0.42</v>
      </c>
      <c r="V261" s="20">
        <v>1766.48</v>
      </c>
    </row>
    <row r="262" spans="1:22" ht="16.8" x14ac:dyDescent="0.3">
      <c r="A262" s="20">
        <v>26.1</v>
      </c>
      <c r="B262" s="20">
        <v>77</v>
      </c>
      <c r="C262" s="26">
        <v>77.099999999999994</v>
      </c>
      <c r="D262" s="20">
        <v>-0.1</v>
      </c>
      <c r="E262" s="20">
        <v>-0.03</v>
      </c>
      <c r="F262" s="26">
        <v>2410.12</v>
      </c>
      <c r="Q262" s="20">
        <v>26.1</v>
      </c>
      <c r="R262" s="20">
        <v>76.290000000000006</v>
      </c>
      <c r="S262" s="26">
        <v>77</v>
      </c>
      <c r="T262" s="26">
        <v>0.71</v>
      </c>
      <c r="U262" s="26">
        <v>0.64</v>
      </c>
      <c r="V262" s="26">
        <v>2730.86</v>
      </c>
    </row>
    <row r="263" spans="1:22" ht="16.8" x14ac:dyDescent="0.3">
      <c r="A263" s="20">
        <v>26.2</v>
      </c>
      <c r="B263" s="20">
        <v>77</v>
      </c>
      <c r="C263" s="20">
        <v>77.08</v>
      </c>
      <c r="D263" s="20">
        <v>-0.08</v>
      </c>
      <c r="E263" s="20">
        <v>0.02</v>
      </c>
      <c r="F263" s="26">
        <v>2463.14</v>
      </c>
      <c r="Q263" s="20">
        <v>26.2</v>
      </c>
      <c r="R263" s="20">
        <v>77</v>
      </c>
      <c r="S263" s="26">
        <v>77</v>
      </c>
      <c r="T263" s="20">
        <v>0</v>
      </c>
      <c r="U263" s="26">
        <v>-0.71</v>
      </c>
      <c r="V263" s="20">
        <v>1521.99</v>
      </c>
    </row>
    <row r="264" spans="1:22" ht="16.8" x14ac:dyDescent="0.3">
      <c r="A264" s="20">
        <v>26.3</v>
      </c>
      <c r="B264" s="20">
        <v>77</v>
      </c>
      <c r="C264" s="26">
        <v>77.17</v>
      </c>
      <c r="D264" s="20">
        <v>-0.17</v>
      </c>
      <c r="E264" s="20">
        <v>-0.1</v>
      </c>
      <c r="F264" s="26">
        <v>2276.9499999999998</v>
      </c>
      <c r="Q264" s="20">
        <v>26.3</v>
      </c>
      <c r="R264" s="20">
        <v>76.33</v>
      </c>
      <c r="S264" s="26">
        <v>77</v>
      </c>
      <c r="T264" s="26">
        <v>0.67</v>
      </c>
      <c r="U264" s="26">
        <v>0.68</v>
      </c>
      <c r="V264" s="26">
        <v>2759.65</v>
      </c>
    </row>
    <row r="265" spans="1:22" ht="16.8" x14ac:dyDescent="0.3">
      <c r="A265" s="20">
        <v>26.4</v>
      </c>
      <c r="B265" s="20">
        <v>77</v>
      </c>
      <c r="C265" s="20">
        <v>77.150000000000006</v>
      </c>
      <c r="D265" s="20">
        <v>-0.15</v>
      </c>
      <c r="E265" s="20">
        <v>0.02</v>
      </c>
      <c r="F265" s="26">
        <v>2382.91</v>
      </c>
      <c r="Q265" s="20">
        <v>26.4</v>
      </c>
      <c r="R265" s="20">
        <v>77.040000000000006</v>
      </c>
      <c r="S265" s="26">
        <v>77</v>
      </c>
      <c r="T265" s="26">
        <v>-0.04</v>
      </c>
      <c r="U265" s="26">
        <v>-0.71</v>
      </c>
      <c r="V265" s="20">
        <v>1518.18</v>
      </c>
    </row>
    <row r="266" spans="1:22" ht="16.8" x14ac:dyDescent="0.3">
      <c r="A266" s="20">
        <v>26.5</v>
      </c>
      <c r="B266" s="20">
        <v>77</v>
      </c>
      <c r="C266" s="26">
        <v>77.17</v>
      </c>
      <c r="D266" s="20">
        <v>-0.17</v>
      </c>
      <c r="E266" s="20">
        <v>-0.02</v>
      </c>
      <c r="F266" s="26">
        <v>2343.54</v>
      </c>
      <c r="Q266" s="20">
        <v>26.5</v>
      </c>
      <c r="R266" s="20">
        <v>76.36</v>
      </c>
      <c r="S266" s="26">
        <v>77</v>
      </c>
      <c r="T266" s="26">
        <v>0.64</v>
      </c>
      <c r="U266" s="26">
        <v>0.68</v>
      </c>
      <c r="V266" s="26">
        <v>2755.77</v>
      </c>
    </row>
    <row r="267" spans="1:22" ht="16.8" x14ac:dyDescent="0.3">
      <c r="A267" s="20">
        <v>26.6</v>
      </c>
      <c r="B267" s="20">
        <v>77</v>
      </c>
      <c r="C267" s="26">
        <v>77.22</v>
      </c>
      <c r="D267" s="20">
        <v>-0.22</v>
      </c>
      <c r="E267" s="20">
        <v>-0.05</v>
      </c>
      <c r="F267" s="26">
        <v>2268.85</v>
      </c>
      <c r="Q267" s="20">
        <v>26.6</v>
      </c>
      <c r="R267" s="20">
        <v>77.05</v>
      </c>
      <c r="S267" s="26">
        <v>77</v>
      </c>
      <c r="T267" s="26">
        <v>-0.05</v>
      </c>
      <c r="U267" s="26">
        <v>-0.69</v>
      </c>
      <c r="V267" s="20">
        <v>1530.06</v>
      </c>
    </row>
    <row r="268" spans="1:22" ht="16.8" x14ac:dyDescent="0.3">
      <c r="A268" s="20">
        <v>26.7</v>
      </c>
      <c r="B268" s="20">
        <v>77</v>
      </c>
      <c r="C268" s="20">
        <v>77.33</v>
      </c>
      <c r="D268" s="20">
        <v>-0.33</v>
      </c>
      <c r="E268" s="20">
        <v>-0.11</v>
      </c>
      <c r="F268" s="26">
        <v>2092</v>
      </c>
      <c r="Q268" s="20">
        <v>26.7</v>
      </c>
      <c r="R268" s="20">
        <v>76.319999999999993</v>
      </c>
      <c r="S268" s="26">
        <v>77</v>
      </c>
      <c r="T268" s="26">
        <v>0.68</v>
      </c>
      <c r="U268" s="26">
        <v>0.73</v>
      </c>
      <c r="V268" s="26">
        <v>2810.11</v>
      </c>
    </row>
    <row r="269" spans="1:22" ht="16.8" x14ac:dyDescent="0.3">
      <c r="A269" s="20">
        <v>26.8</v>
      </c>
      <c r="B269" s="20">
        <v>77</v>
      </c>
      <c r="C269" s="26">
        <v>77.37</v>
      </c>
      <c r="D269" s="20">
        <v>-0.37</v>
      </c>
      <c r="E269" s="20">
        <v>-0.03</v>
      </c>
      <c r="F269" s="26">
        <v>2125.48</v>
      </c>
      <c r="Q269" s="20">
        <v>26.8</v>
      </c>
      <c r="R269" s="20">
        <v>77.13</v>
      </c>
      <c r="S269" s="26">
        <v>77</v>
      </c>
      <c r="T269" s="26">
        <v>-0.13</v>
      </c>
      <c r="U269" s="26">
        <v>-0.81</v>
      </c>
      <c r="V269" s="20">
        <v>1420.13</v>
      </c>
    </row>
    <row r="270" spans="1:22" ht="16.8" x14ac:dyDescent="0.3">
      <c r="A270" s="20">
        <v>26.9</v>
      </c>
      <c r="B270" s="20">
        <v>77</v>
      </c>
      <c r="C270" s="26">
        <v>77.41</v>
      </c>
      <c r="D270" s="20">
        <v>-0.41</v>
      </c>
      <c r="E270" s="20">
        <v>-0.04</v>
      </c>
      <c r="F270" s="26">
        <v>2067.4699999999998</v>
      </c>
      <c r="Q270" s="20">
        <v>26.9</v>
      </c>
      <c r="R270" s="20">
        <v>76.34</v>
      </c>
      <c r="S270" s="26">
        <v>77</v>
      </c>
      <c r="T270" s="26">
        <v>0.66</v>
      </c>
      <c r="U270" s="26">
        <v>0.79</v>
      </c>
      <c r="V270" s="20">
        <v>2852.85</v>
      </c>
    </row>
    <row r="271" spans="1:22" ht="16.8" x14ac:dyDescent="0.3">
      <c r="A271" s="20">
        <v>27</v>
      </c>
      <c r="B271" s="20">
        <v>77</v>
      </c>
      <c r="C271" s="20">
        <v>77.430000000000007</v>
      </c>
      <c r="D271" s="20">
        <v>-0.43</v>
      </c>
      <c r="E271" s="20">
        <v>-0.02</v>
      </c>
      <c r="F271" s="20">
        <v>2058.4</v>
      </c>
      <c r="Q271" s="20">
        <v>27</v>
      </c>
      <c r="R271" s="20">
        <v>77.05</v>
      </c>
      <c r="S271" s="26">
        <v>77</v>
      </c>
      <c r="T271" s="26">
        <v>-0.05</v>
      </c>
      <c r="U271" s="26">
        <v>-0.71</v>
      </c>
      <c r="V271" s="26">
        <v>1520.42</v>
      </c>
    </row>
    <row r="272" spans="1:22" ht="16.8" x14ac:dyDescent="0.3">
      <c r="A272" s="20">
        <v>27.1</v>
      </c>
      <c r="B272" s="20">
        <v>77</v>
      </c>
      <c r="C272" s="26">
        <v>77.430000000000007</v>
      </c>
      <c r="D272" s="20">
        <v>-0.43</v>
      </c>
      <c r="E272" s="20">
        <v>0</v>
      </c>
      <c r="F272" s="26">
        <v>2067.4</v>
      </c>
      <c r="Q272" s="20">
        <v>27.1</v>
      </c>
      <c r="R272" s="20">
        <v>76.400000000000006</v>
      </c>
      <c r="S272" s="26">
        <v>77</v>
      </c>
      <c r="T272" s="26">
        <v>0.6</v>
      </c>
      <c r="U272" s="26">
        <v>0.65</v>
      </c>
      <c r="V272" s="20">
        <v>2734.16</v>
      </c>
    </row>
    <row r="273" spans="1:22" ht="16.8" x14ac:dyDescent="0.3">
      <c r="A273" s="20">
        <v>27.2</v>
      </c>
      <c r="B273" s="20">
        <v>77</v>
      </c>
      <c r="C273" s="26">
        <v>77.47</v>
      </c>
      <c r="D273" s="20">
        <v>-0.47</v>
      </c>
      <c r="E273" s="20">
        <v>-0.04</v>
      </c>
      <c r="F273" s="20">
        <v>1984.79</v>
      </c>
      <c r="Q273" s="20">
        <v>27.2</v>
      </c>
      <c r="R273" s="20">
        <v>77.14</v>
      </c>
      <c r="S273" s="26">
        <v>77</v>
      </c>
      <c r="T273" s="26">
        <v>-0.14000000000000001</v>
      </c>
      <c r="U273" s="26">
        <v>-0.74</v>
      </c>
      <c r="V273" s="26">
        <v>1480.27</v>
      </c>
    </row>
    <row r="274" spans="1:22" ht="16.8" x14ac:dyDescent="0.3">
      <c r="A274" s="20">
        <v>27.3</v>
      </c>
      <c r="B274" s="20">
        <v>77</v>
      </c>
      <c r="C274" s="20">
        <v>77.48</v>
      </c>
      <c r="D274" s="20">
        <v>-0.48</v>
      </c>
      <c r="E274" s="20">
        <v>-0.01</v>
      </c>
      <c r="F274" s="26">
        <v>1997.87</v>
      </c>
      <c r="Q274" s="20">
        <v>27.3</v>
      </c>
      <c r="R274" s="20">
        <v>76.42</v>
      </c>
      <c r="S274" s="26">
        <v>77</v>
      </c>
      <c r="T274" s="26">
        <v>0.57999999999999996</v>
      </c>
      <c r="U274" s="26">
        <v>0.72</v>
      </c>
      <c r="V274" s="20">
        <v>2783.14</v>
      </c>
    </row>
    <row r="275" spans="1:22" ht="16.8" x14ac:dyDescent="0.3">
      <c r="A275" s="20">
        <v>27.4</v>
      </c>
      <c r="B275" s="20">
        <v>77</v>
      </c>
      <c r="C275" s="26">
        <v>77.489999999999995</v>
      </c>
      <c r="D275" s="20">
        <v>-0.49</v>
      </c>
      <c r="E275" s="20">
        <v>-0.01</v>
      </c>
      <c r="F275" s="26">
        <v>1974.56</v>
      </c>
      <c r="Q275" s="20">
        <v>27.4</v>
      </c>
      <c r="R275" s="20">
        <v>77.14</v>
      </c>
      <c r="S275" s="26">
        <v>77</v>
      </c>
      <c r="T275" s="26">
        <v>-0.14000000000000001</v>
      </c>
      <c r="U275" s="26">
        <v>-0.72</v>
      </c>
      <c r="V275" s="26">
        <v>1501.02</v>
      </c>
    </row>
    <row r="276" spans="1:22" ht="16.8" x14ac:dyDescent="0.3">
      <c r="A276" s="20">
        <v>27.5</v>
      </c>
      <c r="B276" s="20">
        <v>77</v>
      </c>
      <c r="C276" s="20">
        <v>77.430000000000007</v>
      </c>
      <c r="D276" s="20">
        <v>-0.43</v>
      </c>
      <c r="E276" s="20">
        <v>0.05</v>
      </c>
      <c r="F276" s="26">
        <v>2065.42</v>
      </c>
      <c r="Q276" s="20">
        <v>27.5</v>
      </c>
      <c r="R276" s="20">
        <v>76.400000000000006</v>
      </c>
      <c r="S276" s="26">
        <v>77</v>
      </c>
      <c r="T276" s="20">
        <v>0.6</v>
      </c>
      <c r="U276" s="26">
        <v>0.74</v>
      </c>
      <c r="V276" s="20">
        <v>2808.19</v>
      </c>
    </row>
    <row r="277" spans="1:22" ht="16.8" x14ac:dyDescent="0.3">
      <c r="A277" s="20">
        <v>27.6</v>
      </c>
      <c r="B277" s="20">
        <v>77</v>
      </c>
      <c r="C277" s="26">
        <v>77.459999999999994</v>
      </c>
      <c r="D277" s="20">
        <v>-0.46</v>
      </c>
      <c r="E277" s="20">
        <v>-0.02</v>
      </c>
      <c r="F277" s="26">
        <v>2008.1</v>
      </c>
      <c r="Q277" s="20">
        <v>27.6</v>
      </c>
      <c r="R277" s="20">
        <v>77.209999999999994</v>
      </c>
      <c r="S277" s="26">
        <v>77</v>
      </c>
      <c r="T277" s="26">
        <v>-0.21</v>
      </c>
      <c r="U277" s="26">
        <v>-0.81</v>
      </c>
      <c r="V277" s="26">
        <v>1411.49</v>
      </c>
    </row>
    <row r="278" spans="1:22" ht="16.8" x14ac:dyDescent="0.3">
      <c r="A278" s="20">
        <v>27.7</v>
      </c>
      <c r="B278" s="20">
        <v>77</v>
      </c>
      <c r="C278" s="26">
        <v>77.510000000000005</v>
      </c>
      <c r="D278" s="20">
        <v>-0.51</v>
      </c>
      <c r="E278" s="20">
        <v>-0.05</v>
      </c>
      <c r="F278" s="26">
        <v>1895.6</v>
      </c>
      <c r="Q278" s="20">
        <v>27.7</v>
      </c>
      <c r="R278" s="20">
        <v>76.41</v>
      </c>
      <c r="S278" s="26">
        <v>77</v>
      </c>
      <c r="T278" s="26">
        <v>0.59</v>
      </c>
      <c r="U278" s="26">
        <v>0.81</v>
      </c>
      <c r="V278" s="20">
        <v>2859.85</v>
      </c>
    </row>
    <row r="279" spans="1:22" ht="16.8" x14ac:dyDescent="0.3">
      <c r="A279" s="20">
        <v>27.8</v>
      </c>
      <c r="B279" s="20">
        <v>77</v>
      </c>
      <c r="C279" s="20">
        <v>77.459999999999994</v>
      </c>
      <c r="D279" s="20">
        <v>-0.46</v>
      </c>
      <c r="E279" s="20">
        <v>0.05</v>
      </c>
      <c r="F279" s="26">
        <v>2024.09</v>
      </c>
      <c r="Q279" s="20">
        <v>27.8</v>
      </c>
      <c r="R279" s="20">
        <v>77.16</v>
      </c>
      <c r="S279" s="20">
        <v>77</v>
      </c>
      <c r="T279" s="26">
        <v>-0.16</v>
      </c>
      <c r="U279" s="26">
        <v>-0.76</v>
      </c>
      <c r="V279" s="20">
        <v>1466.66</v>
      </c>
    </row>
    <row r="280" spans="1:22" ht="16.8" x14ac:dyDescent="0.3">
      <c r="A280" s="20">
        <v>27.9</v>
      </c>
      <c r="B280" s="20">
        <v>77</v>
      </c>
      <c r="C280" s="26">
        <v>77.48</v>
      </c>
      <c r="D280" s="20">
        <v>-0.48</v>
      </c>
      <c r="E280" s="20">
        <v>-0.02</v>
      </c>
      <c r="F280" s="26">
        <v>1973.76</v>
      </c>
      <c r="Q280" s="20">
        <v>27.9</v>
      </c>
      <c r="R280" s="20">
        <v>76.44</v>
      </c>
      <c r="S280" s="26">
        <v>77</v>
      </c>
      <c r="T280" s="26">
        <v>0.56000000000000005</v>
      </c>
      <c r="U280" s="26">
        <v>0.73</v>
      </c>
      <c r="V280" s="26">
        <v>2790.4</v>
      </c>
    </row>
    <row r="281" spans="1:22" ht="16.8" x14ac:dyDescent="0.3">
      <c r="A281" s="20">
        <v>28</v>
      </c>
      <c r="B281" s="20">
        <v>77</v>
      </c>
      <c r="C281" s="26">
        <v>77.41</v>
      </c>
      <c r="D281" s="20">
        <v>-0.41</v>
      </c>
      <c r="E281" s="20">
        <v>7.0000000000000007E-2</v>
      </c>
      <c r="F281" s="26">
        <v>2098.44</v>
      </c>
      <c r="Q281" s="20">
        <v>28</v>
      </c>
      <c r="R281" s="20">
        <v>77.209999999999994</v>
      </c>
      <c r="S281" s="26">
        <v>77</v>
      </c>
      <c r="T281" s="20">
        <v>-0.21</v>
      </c>
      <c r="U281" s="26">
        <v>-0.77</v>
      </c>
      <c r="V281" s="20">
        <v>1446.21</v>
      </c>
    </row>
    <row r="282" spans="1:22" ht="16.8" x14ac:dyDescent="0.3">
      <c r="A282" s="20">
        <v>28.1</v>
      </c>
      <c r="B282" s="20">
        <v>77</v>
      </c>
      <c r="C282" s="20">
        <v>77.400000000000006</v>
      </c>
      <c r="D282" s="20">
        <v>-0.4</v>
      </c>
      <c r="E282" s="20">
        <v>0.01</v>
      </c>
      <c r="F282" s="26">
        <v>2109.0300000000002</v>
      </c>
      <c r="Q282" s="20">
        <v>28.1</v>
      </c>
      <c r="R282" s="20">
        <v>76.5</v>
      </c>
      <c r="S282" s="26">
        <v>77</v>
      </c>
      <c r="T282" s="26">
        <v>0.5</v>
      </c>
      <c r="U282" s="26">
        <v>0.72</v>
      </c>
      <c r="V282" s="26">
        <v>2774.87</v>
      </c>
    </row>
    <row r="283" spans="1:22" ht="16.8" x14ac:dyDescent="0.3">
      <c r="A283" s="20">
        <v>28.2</v>
      </c>
      <c r="B283" s="20">
        <v>77</v>
      </c>
      <c r="C283" s="26">
        <v>77.400000000000006</v>
      </c>
      <c r="D283" s="20">
        <v>-0.4</v>
      </c>
      <c r="E283" s="20">
        <v>0</v>
      </c>
      <c r="F283" s="26">
        <v>2109.0300000000002</v>
      </c>
      <c r="Q283" s="20">
        <v>28.2</v>
      </c>
      <c r="R283" s="20">
        <v>77.19</v>
      </c>
      <c r="S283" s="26">
        <v>77</v>
      </c>
      <c r="T283" s="20">
        <v>-0.19</v>
      </c>
      <c r="U283" s="26">
        <v>-0.69</v>
      </c>
      <c r="V283" s="20">
        <v>1516.31</v>
      </c>
    </row>
    <row r="284" spans="1:22" ht="16.8" x14ac:dyDescent="0.3">
      <c r="A284" s="20">
        <v>28.3</v>
      </c>
      <c r="B284" s="20">
        <v>77</v>
      </c>
      <c r="C284" s="20">
        <v>77.36</v>
      </c>
      <c r="D284" s="20">
        <v>-0.36</v>
      </c>
      <c r="E284" s="20">
        <v>0.04</v>
      </c>
      <c r="F284" s="20">
        <v>2159.23</v>
      </c>
      <c r="Q284" s="20">
        <v>28.3</v>
      </c>
      <c r="R284" s="20">
        <v>76.430000000000007</v>
      </c>
      <c r="S284" s="26">
        <v>77</v>
      </c>
      <c r="T284" s="26">
        <v>0.56999999999999995</v>
      </c>
      <c r="U284" s="26">
        <v>0.76</v>
      </c>
      <c r="V284" s="26">
        <v>2819.74</v>
      </c>
    </row>
    <row r="285" spans="1:22" ht="16.8" x14ac:dyDescent="0.3">
      <c r="A285" s="20">
        <v>28.4</v>
      </c>
      <c r="B285" s="20">
        <v>77</v>
      </c>
      <c r="C285" s="26">
        <v>77.290000000000006</v>
      </c>
      <c r="D285" s="20">
        <v>-0.28999999999999998</v>
      </c>
      <c r="E285" s="20">
        <v>7.0000000000000007E-2</v>
      </c>
      <c r="F285" s="26">
        <v>2241.1999999999998</v>
      </c>
      <c r="Q285" s="20">
        <v>28.4</v>
      </c>
      <c r="R285" s="20">
        <v>77.260000000000005</v>
      </c>
      <c r="S285" s="26">
        <v>77</v>
      </c>
      <c r="T285" s="20">
        <v>-0.26</v>
      </c>
      <c r="U285" s="26">
        <v>-0.83</v>
      </c>
      <c r="V285" s="20">
        <v>1394.08</v>
      </c>
    </row>
    <row r="286" spans="1:22" ht="16.8" x14ac:dyDescent="0.3">
      <c r="A286" s="20">
        <v>28.5</v>
      </c>
      <c r="B286" s="20">
        <v>77</v>
      </c>
      <c r="C286" s="26">
        <v>77.319999999999993</v>
      </c>
      <c r="D286" s="20">
        <v>-0.32</v>
      </c>
      <c r="E286" s="20">
        <v>-0.03</v>
      </c>
      <c r="F286" s="26">
        <v>2185</v>
      </c>
      <c r="Q286" s="20">
        <v>28.5</v>
      </c>
      <c r="R286" s="20">
        <v>76.510000000000005</v>
      </c>
      <c r="S286" s="26">
        <v>77</v>
      </c>
      <c r="T286" s="26">
        <v>0.49</v>
      </c>
      <c r="U286" s="26">
        <v>0.75</v>
      </c>
      <c r="V286" s="26">
        <v>2799.79</v>
      </c>
    </row>
    <row r="287" spans="1:22" ht="16.8" x14ac:dyDescent="0.3">
      <c r="A287" s="20">
        <v>28.6</v>
      </c>
      <c r="B287" s="20">
        <v>77</v>
      </c>
      <c r="C287" s="20">
        <v>77.3</v>
      </c>
      <c r="D287" s="20">
        <v>-0.3</v>
      </c>
      <c r="E287" s="20">
        <v>0.02</v>
      </c>
      <c r="F287" s="26">
        <v>2232.5100000000002</v>
      </c>
      <c r="Q287" s="20">
        <v>28.6</v>
      </c>
      <c r="R287" s="20">
        <v>77.260000000000005</v>
      </c>
      <c r="S287" s="26">
        <v>77</v>
      </c>
      <c r="T287" s="20">
        <v>-0.26</v>
      </c>
      <c r="U287" s="26">
        <v>-0.75</v>
      </c>
      <c r="V287" s="20">
        <v>1459.69</v>
      </c>
    </row>
    <row r="288" spans="1:22" ht="16.8" x14ac:dyDescent="0.3">
      <c r="A288" s="20">
        <v>28.7</v>
      </c>
      <c r="B288" s="20">
        <v>77</v>
      </c>
      <c r="C288" s="26">
        <v>77.22</v>
      </c>
      <c r="D288" s="20">
        <v>-0.22</v>
      </c>
      <c r="E288" s="20">
        <v>0.08</v>
      </c>
      <c r="F288" s="26">
        <v>2312.96</v>
      </c>
      <c r="Q288" s="20">
        <v>28.7</v>
      </c>
      <c r="R288" s="20">
        <v>76.510000000000005</v>
      </c>
      <c r="S288" s="26">
        <v>77</v>
      </c>
      <c r="T288" s="26">
        <v>0.49</v>
      </c>
      <c r="U288" s="26">
        <v>0.75</v>
      </c>
      <c r="V288" s="26">
        <v>2800.45</v>
      </c>
    </row>
    <row r="289" spans="1:22" ht="16.8" x14ac:dyDescent="0.3">
      <c r="A289" s="20">
        <v>28.8</v>
      </c>
      <c r="B289" s="20">
        <v>77</v>
      </c>
      <c r="C289" s="26">
        <v>77.239999999999995</v>
      </c>
      <c r="D289" s="20">
        <v>-0.24</v>
      </c>
      <c r="E289" s="20">
        <v>-0.02</v>
      </c>
      <c r="F289" s="20">
        <v>2281.6799999999998</v>
      </c>
      <c r="Q289" s="20">
        <v>28.8</v>
      </c>
      <c r="R289" s="20">
        <v>77.23</v>
      </c>
      <c r="S289" s="26">
        <v>77</v>
      </c>
      <c r="T289" s="26">
        <v>-0.23</v>
      </c>
      <c r="U289" s="26">
        <v>-0.72</v>
      </c>
      <c r="V289" s="20">
        <v>1492.06</v>
      </c>
    </row>
    <row r="290" spans="1:22" ht="16.8" x14ac:dyDescent="0.3">
      <c r="A290" s="20">
        <v>28.9</v>
      </c>
      <c r="B290" s="20">
        <v>77</v>
      </c>
      <c r="C290" s="20">
        <v>77.16</v>
      </c>
      <c r="D290" s="20">
        <v>-0.16</v>
      </c>
      <c r="E290" s="20">
        <v>7.0000000000000007E-2</v>
      </c>
      <c r="F290" s="26">
        <v>2370.5300000000002</v>
      </c>
      <c r="Q290" s="20">
        <v>28.9</v>
      </c>
      <c r="R290" s="20">
        <v>76.5</v>
      </c>
      <c r="S290" s="26">
        <v>77</v>
      </c>
      <c r="T290" s="26">
        <v>0.5</v>
      </c>
      <c r="U290" s="26">
        <v>0.73</v>
      </c>
      <c r="V290" s="26">
        <v>2783.15</v>
      </c>
    </row>
    <row r="291" spans="1:22" ht="16.8" x14ac:dyDescent="0.3">
      <c r="A291" s="20">
        <v>29</v>
      </c>
      <c r="B291" s="20">
        <v>77</v>
      </c>
      <c r="C291" s="26">
        <v>77.19</v>
      </c>
      <c r="D291" s="20">
        <v>-0.19</v>
      </c>
      <c r="E291" s="20">
        <v>-0.02</v>
      </c>
      <c r="F291" s="26">
        <v>2323.5</v>
      </c>
      <c r="Q291" s="20">
        <v>29</v>
      </c>
      <c r="R291" s="20">
        <v>77.260000000000005</v>
      </c>
      <c r="S291" s="26">
        <v>77</v>
      </c>
      <c r="T291" s="26">
        <v>-0.26</v>
      </c>
      <c r="U291" s="26">
        <v>-0.76</v>
      </c>
      <c r="V291" s="20">
        <v>1454.62</v>
      </c>
    </row>
    <row r="292" spans="1:22" ht="16.8" x14ac:dyDescent="0.3">
      <c r="A292" s="20">
        <v>29.1</v>
      </c>
      <c r="B292" s="20">
        <v>77</v>
      </c>
      <c r="C292" s="20">
        <v>77.150000000000006</v>
      </c>
      <c r="D292" s="20">
        <v>-0.15</v>
      </c>
      <c r="E292" s="20">
        <v>0.04</v>
      </c>
      <c r="F292" s="26">
        <v>2387.0300000000002</v>
      </c>
      <c r="Q292" s="20">
        <v>29.1</v>
      </c>
      <c r="R292" s="20">
        <v>76.52</v>
      </c>
      <c r="S292" s="26">
        <v>77</v>
      </c>
      <c r="T292" s="20">
        <v>0.48</v>
      </c>
      <c r="U292" s="26">
        <v>0.74</v>
      </c>
      <c r="V292" s="20">
        <v>2793.95</v>
      </c>
    </row>
    <row r="293" spans="1:22" ht="16.8" x14ac:dyDescent="0.3">
      <c r="A293" s="20">
        <v>29.2</v>
      </c>
      <c r="B293" s="20">
        <v>77</v>
      </c>
      <c r="C293" s="26">
        <v>77.19</v>
      </c>
      <c r="D293" s="20">
        <v>-0.19</v>
      </c>
      <c r="E293" s="20">
        <v>-0.04</v>
      </c>
      <c r="F293" s="26">
        <v>2308.6799999999998</v>
      </c>
      <c r="Q293" s="20">
        <v>29.2</v>
      </c>
      <c r="R293" s="20">
        <v>77.239999999999995</v>
      </c>
      <c r="S293" s="26">
        <v>77</v>
      </c>
      <c r="T293" s="26">
        <v>-0.24</v>
      </c>
      <c r="U293" s="26">
        <v>-0.72</v>
      </c>
      <c r="V293" s="26">
        <v>1492.03</v>
      </c>
    </row>
    <row r="294" spans="1:22" ht="16.8" x14ac:dyDescent="0.3">
      <c r="A294" s="20">
        <v>29.3</v>
      </c>
      <c r="B294" s="20">
        <v>77</v>
      </c>
      <c r="C294" s="26">
        <v>77.14</v>
      </c>
      <c r="D294" s="20">
        <v>-0.14000000000000001</v>
      </c>
      <c r="E294" s="20">
        <v>0.05</v>
      </c>
      <c r="F294" s="26">
        <v>2395.3200000000002</v>
      </c>
      <c r="Q294" s="20">
        <v>29.3</v>
      </c>
      <c r="R294" s="20">
        <v>76.52</v>
      </c>
      <c r="S294" s="26">
        <v>77</v>
      </c>
      <c r="T294" s="26">
        <v>0.48</v>
      </c>
      <c r="U294" s="26">
        <v>0.72</v>
      </c>
      <c r="V294" s="20">
        <v>2775.17</v>
      </c>
    </row>
    <row r="295" spans="1:22" ht="16.8" x14ac:dyDescent="0.3">
      <c r="A295" s="20">
        <v>29.4</v>
      </c>
      <c r="B295" s="20">
        <v>77</v>
      </c>
      <c r="C295" s="20">
        <v>77.19</v>
      </c>
      <c r="D295" s="20">
        <v>-0.19</v>
      </c>
      <c r="E295" s="20">
        <v>-0.05</v>
      </c>
      <c r="F295" s="26">
        <v>2301.2199999999998</v>
      </c>
      <c r="Q295" s="20">
        <v>29.4</v>
      </c>
      <c r="R295" s="20">
        <v>77.23</v>
      </c>
      <c r="S295" s="26">
        <v>77</v>
      </c>
      <c r="T295" s="26">
        <v>-0.23</v>
      </c>
      <c r="U295" s="26">
        <v>-0.71</v>
      </c>
      <c r="V295" s="26">
        <v>1500.66</v>
      </c>
    </row>
    <row r="296" spans="1:22" ht="16.8" x14ac:dyDescent="0.3">
      <c r="A296" s="20">
        <v>29.5</v>
      </c>
      <c r="B296" s="20">
        <v>77</v>
      </c>
      <c r="C296" s="26">
        <v>77.19</v>
      </c>
      <c r="D296" s="20">
        <v>-0.19</v>
      </c>
      <c r="E296" s="20">
        <v>0</v>
      </c>
      <c r="F296" s="26">
        <v>2338.0300000000002</v>
      </c>
      <c r="Q296" s="20">
        <v>29.5</v>
      </c>
      <c r="R296" s="20">
        <v>76.53</v>
      </c>
      <c r="S296" s="26">
        <v>77</v>
      </c>
      <c r="T296" s="26">
        <v>0.47</v>
      </c>
      <c r="U296" s="26">
        <v>0.7</v>
      </c>
      <c r="V296" s="20">
        <v>2761.48</v>
      </c>
    </row>
    <row r="297" spans="1:22" ht="16.8" x14ac:dyDescent="0.3">
      <c r="A297" s="20">
        <v>29.6</v>
      </c>
      <c r="B297" s="20">
        <v>77</v>
      </c>
      <c r="C297" s="26">
        <v>77.180000000000007</v>
      </c>
      <c r="D297" s="20">
        <v>-0.18</v>
      </c>
      <c r="E297" s="20">
        <v>0.01</v>
      </c>
      <c r="F297" s="26">
        <v>2354.11</v>
      </c>
      <c r="Q297" s="20">
        <v>29.6</v>
      </c>
      <c r="R297" s="20">
        <v>77.260000000000005</v>
      </c>
      <c r="S297" s="26">
        <v>77</v>
      </c>
      <c r="T297" s="26">
        <v>-0.26</v>
      </c>
      <c r="U297" s="26">
        <v>-0.73</v>
      </c>
      <c r="V297" s="26">
        <v>1476.14</v>
      </c>
    </row>
    <row r="298" spans="1:22" ht="16.8" x14ac:dyDescent="0.3">
      <c r="A298" s="20">
        <v>29.7</v>
      </c>
      <c r="B298" s="20">
        <v>77</v>
      </c>
      <c r="C298" s="20">
        <v>77.22</v>
      </c>
      <c r="D298" s="20">
        <v>-0.22</v>
      </c>
      <c r="E298" s="20">
        <v>-0.04</v>
      </c>
      <c r="F298" s="26">
        <v>2283.89</v>
      </c>
      <c r="Q298" s="20">
        <v>29.7</v>
      </c>
      <c r="R298" s="20">
        <v>76.52</v>
      </c>
      <c r="S298" s="26">
        <v>77</v>
      </c>
      <c r="T298" s="26">
        <v>0.48</v>
      </c>
      <c r="U298" s="26">
        <v>0.74</v>
      </c>
      <c r="V298" s="20">
        <v>2795.99</v>
      </c>
    </row>
    <row r="299" spans="1:22" ht="16.8" x14ac:dyDescent="0.3">
      <c r="A299" s="20">
        <v>29.8</v>
      </c>
      <c r="B299" s="20">
        <v>77</v>
      </c>
      <c r="C299" s="26">
        <v>77.14</v>
      </c>
      <c r="D299" s="20">
        <v>-0.14000000000000001</v>
      </c>
      <c r="E299" s="20">
        <v>0.08</v>
      </c>
      <c r="F299" s="26">
        <v>2395.3200000000002</v>
      </c>
      <c r="Q299" s="20">
        <v>29.8</v>
      </c>
      <c r="R299" s="20">
        <v>77.239999999999995</v>
      </c>
      <c r="S299" s="26">
        <v>77</v>
      </c>
      <c r="T299" s="26">
        <v>-0.24</v>
      </c>
      <c r="U299" s="26">
        <v>-0.72</v>
      </c>
      <c r="V299" s="26">
        <v>1494.07</v>
      </c>
    </row>
    <row r="300" spans="1:22" ht="16.8" x14ac:dyDescent="0.3">
      <c r="A300" s="20">
        <v>29.9</v>
      </c>
      <c r="B300" s="20">
        <v>77</v>
      </c>
      <c r="C300" s="26">
        <v>77.239999999999995</v>
      </c>
      <c r="D300" s="20">
        <v>-0.24</v>
      </c>
      <c r="E300" s="20">
        <v>-0.1</v>
      </c>
      <c r="F300" s="26">
        <v>2208.98</v>
      </c>
      <c r="Q300" s="20">
        <v>29.9</v>
      </c>
      <c r="R300" s="20">
        <v>76.489999999999995</v>
      </c>
      <c r="S300" s="26">
        <v>77</v>
      </c>
      <c r="T300" s="26">
        <v>0.51</v>
      </c>
      <c r="U300" s="26">
        <v>0.75</v>
      </c>
      <c r="V300" s="20">
        <v>2808.92</v>
      </c>
    </row>
    <row r="301" spans="1:22" ht="16.8" x14ac:dyDescent="0.3">
      <c r="A301" s="20">
        <v>30</v>
      </c>
      <c r="B301" s="20">
        <v>77</v>
      </c>
      <c r="C301" s="20">
        <v>77.23</v>
      </c>
      <c r="D301" s="20">
        <v>-0.23</v>
      </c>
      <c r="E301" s="20">
        <v>0.01</v>
      </c>
      <c r="F301" s="26">
        <v>2304.6799999999998</v>
      </c>
      <c r="Q301" s="20">
        <v>30</v>
      </c>
      <c r="R301" s="20">
        <v>77.31</v>
      </c>
      <c r="S301" s="26">
        <v>77</v>
      </c>
      <c r="T301" s="26">
        <v>-0.31</v>
      </c>
      <c r="U301" s="26">
        <v>-0.82</v>
      </c>
      <c r="V301" s="20">
        <v>1397.52</v>
      </c>
    </row>
    <row r="302" spans="1:22" ht="16.8" x14ac:dyDescent="0.3">
      <c r="A302" s="20">
        <v>30.1</v>
      </c>
      <c r="B302" s="20">
        <v>77</v>
      </c>
      <c r="C302" s="26">
        <v>77.25</v>
      </c>
      <c r="D302" s="20">
        <v>-0.25</v>
      </c>
      <c r="E302" s="20">
        <v>-0.02</v>
      </c>
      <c r="F302" s="20">
        <v>2265.5700000000002</v>
      </c>
      <c r="Q302" s="20">
        <v>30.1</v>
      </c>
      <c r="R302" s="20">
        <v>76.58</v>
      </c>
      <c r="S302" s="26">
        <v>77</v>
      </c>
      <c r="T302" s="26">
        <v>0.42</v>
      </c>
      <c r="U302" s="26">
        <v>0.73</v>
      </c>
      <c r="V302" s="26">
        <v>2780.75</v>
      </c>
    </row>
    <row r="303" spans="1:22" ht="16.8" x14ac:dyDescent="0.3">
      <c r="A303" s="20">
        <v>30.2</v>
      </c>
      <c r="B303" s="20">
        <v>77</v>
      </c>
      <c r="C303" s="20">
        <v>77.290000000000006</v>
      </c>
      <c r="D303" s="20">
        <v>-0.28999999999999998</v>
      </c>
      <c r="E303" s="20">
        <v>-0.04</v>
      </c>
      <c r="F303" s="26">
        <v>2212.92</v>
      </c>
      <c r="Q303" s="20">
        <v>30.2</v>
      </c>
      <c r="R303" s="20">
        <v>77.34</v>
      </c>
      <c r="S303" s="26">
        <v>77</v>
      </c>
      <c r="T303" s="26">
        <v>-0.34</v>
      </c>
      <c r="U303" s="26">
        <v>-0.77</v>
      </c>
      <c r="V303" s="20">
        <v>1437.58</v>
      </c>
    </row>
    <row r="304" spans="1:22" ht="16.8" x14ac:dyDescent="0.3">
      <c r="A304" s="20">
        <v>30.3</v>
      </c>
      <c r="B304" s="20">
        <v>77</v>
      </c>
      <c r="C304" s="26">
        <v>77.27</v>
      </c>
      <c r="D304" s="20">
        <v>-0.27</v>
      </c>
      <c r="E304" s="20">
        <v>0.02</v>
      </c>
      <c r="F304" s="26">
        <v>2266.94</v>
      </c>
      <c r="Q304" s="20">
        <v>30.3</v>
      </c>
      <c r="R304" s="20">
        <v>76.62</v>
      </c>
      <c r="S304" s="26">
        <v>77</v>
      </c>
      <c r="T304" s="26">
        <v>0.38</v>
      </c>
      <c r="U304" s="26">
        <v>0.72</v>
      </c>
      <c r="V304" s="26">
        <v>2759.37</v>
      </c>
    </row>
    <row r="305" spans="1:22" ht="16.8" x14ac:dyDescent="0.3">
      <c r="A305" s="20">
        <v>30.4</v>
      </c>
      <c r="B305" s="20">
        <v>77</v>
      </c>
      <c r="C305" s="26">
        <v>77.33</v>
      </c>
      <c r="D305" s="20">
        <v>-0.33</v>
      </c>
      <c r="E305" s="20">
        <v>-7.0000000000000007E-2</v>
      </c>
      <c r="F305" s="26">
        <v>2130.9899999999998</v>
      </c>
      <c r="Q305" s="20">
        <v>30.4</v>
      </c>
      <c r="R305" s="20">
        <v>77.33</v>
      </c>
      <c r="S305" s="26">
        <v>77</v>
      </c>
      <c r="T305" s="26">
        <v>-0.33</v>
      </c>
      <c r="U305" s="26">
        <v>-0.7</v>
      </c>
      <c r="V305" s="20">
        <v>1492.51</v>
      </c>
    </row>
    <row r="306" spans="1:22" ht="16.8" x14ac:dyDescent="0.3">
      <c r="A306" s="20">
        <v>30.5</v>
      </c>
      <c r="B306" s="20">
        <v>77</v>
      </c>
      <c r="C306" s="20">
        <v>77.31</v>
      </c>
      <c r="D306" s="20">
        <v>-0.31</v>
      </c>
      <c r="E306" s="20">
        <v>0.02</v>
      </c>
      <c r="F306" s="26">
        <v>2214.8000000000002</v>
      </c>
      <c r="Q306" s="20">
        <v>30.5</v>
      </c>
      <c r="R306" s="20">
        <v>76.66</v>
      </c>
      <c r="S306" s="26">
        <v>77</v>
      </c>
      <c r="T306" s="26">
        <v>0.34</v>
      </c>
      <c r="U306" s="26">
        <v>0.67</v>
      </c>
      <c r="V306" s="26">
        <v>2714.81</v>
      </c>
    </row>
    <row r="307" spans="1:22" ht="16.8" x14ac:dyDescent="0.3">
      <c r="A307" s="20">
        <v>30.6</v>
      </c>
      <c r="B307" s="20">
        <v>77</v>
      </c>
      <c r="C307" s="26">
        <v>77.290000000000006</v>
      </c>
      <c r="D307" s="20">
        <v>-0.28999999999999998</v>
      </c>
      <c r="E307" s="20">
        <v>0.02</v>
      </c>
      <c r="F307" s="20">
        <v>2236.87</v>
      </c>
      <c r="Q307" s="20">
        <v>30.6</v>
      </c>
      <c r="R307" s="20">
        <v>77.37</v>
      </c>
      <c r="S307" s="26">
        <v>77</v>
      </c>
      <c r="T307" s="20">
        <v>-0.37</v>
      </c>
      <c r="U307" s="26">
        <v>-0.72</v>
      </c>
      <c r="V307" s="20">
        <v>1470.97</v>
      </c>
    </row>
    <row r="308" spans="1:22" ht="16.8" x14ac:dyDescent="0.3">
      <c r="A308" s="20">
        <v>30.7</v>
      </c>
      <c r="B308" s="20">
        <v>77</v>
      </c>
      <c r="C308" s="26">
        <v>77.36</v>
      </c>
      <c r="D308" s="20">
        <v>-0.36</v>
      </c>
      <c r="E308" s="20">
        <v>-7.0000000000000007E-2</v>
      </c>
      <c r="F308" s="26">
        <v>2098.06</v>
      </c>
      <c r="Q308" s="20">
        <v>30.7</v>
      </c>
      <c r="R308" s="20">
        <v>76.59</v>
      </c>
      <c r="S308" s="26">
        <v>77</v>
      </c>
      <c r="T308" s="26">
        <v>0.41</v>
      </c>
      <c r="U308" s="26">
        <v>0.78</v>
      </c>
      <c r="V308" s="20">
        <v>2817.12</v>
      </c>
    </row>
    <row r="309" spans="1:22" ht="16.8" x14ac:dyDescent="0.3">
      <c r="A309" s="20">
        <v>30.8</v>
      </c>
      <c r="B309" s="20">
        <v>77</v>
      </c>
      <c r="C309" s="20">
        <v>77.39</v>
      </c>
      <c r="D309" s="20">
        <v>-0.39</v>
      </c>
      <c r="E309" s="20">
        <v>-0.02</v>
      </c>
      <c r="F309" s="20">
        <v>2107.83</v>
      </c>
      <c r="Q309" s="20">
        <v>30.8</v>
      </c>
      <c r="R309" s="20">
        <v>77.33</v>
      </c>
      <c r="S309" s="26">
        <v>77</v>
      </c>
      <c r="T309" s="26">
        <v>-0.33</v>
      </c>
      <c r="U309" s="26">
        <v>-0.74</v>
      </c>
      <c r="V309" s="26">
        <v>1458.74</v>
      </c>
    </row>
    <row r="310" spans="1:22" ht="16.8" x14ac:dyDescent="0.3">
      <c r="A310" s="20">
        <v>30.9</v>
      </c>
      <c r="B310" s="20">
        <v>77</v>
      </c>
      <c r="C310" s="26">
        <v>77.33</v>
      </c>
      <c r="D310" s="20">
        <v>-0.33</v>
      </c>
      <c r="E310" s="20">
        <v>0.05</v>
      </c>
      <c r="F310" s="26">
        <v>2192.16</v>
      </c>
      <c r="Q310" s="20">
        <v>30.9</v>
      </c>
      <c r="R310" s="20">
        <v>76.61</v>
      </c>
      <c r="S310" s="26">
        <v>77</v>
      </c>
      <c r="T310" s="26">
        <v>0.39</v>
      </c>
      <c r="U310" s="26">
        <v>0.73</v>
      </c>
      <c r="V310" s="20">
        <v>2769.01</v>
      </c>
    </row>
    <row r="311" spans="1:22" ht="16.8" x14ac:dyDescent="0.3">
      <c r="A311" s="20">
        <v>31</v>
      </c>
      <c r="B311" s="20">
        <v>77</v>
      </c>
      <c r="C311" s="26">
        <v>77.33</v>
      </c>
      <c r="D311" s="20">
        <v>-0.33</v>
      </c>
      <c r="E311" s="20">
        <v>0</v>
      </c>
      <c r="F311" s="26">
        <v>2196.7600000000002</v>
      </c>
      <c r="Q311" s="20">
        <v>31</v>
      </c>
      <c r="R311" s="20">
        <v>77.39</v>
      </c>
      <c r="S311" s="26">
        <v>77</v>
      </c>
      <c r="T311" s="26">
        <v>-0.39</v>
      </c>
      <c r="U311" s="26">
        <v>-0.78</v>
      </c>
      <c r="V311" s="26">
        <v>1416.38</v>
      </c>
    </row>
    <row r="312" spans="1:22" ht="16.8" x14ac:dyDescent="0.3">
      <c r="A312" s="20">
        <v>31.1</v>
      </c>
      <c r="B312" s="20">
        <v>77</v>
      </c>
      <c r="C312" s="20">
        <v>77.39</v>
      </c>
      <c r="D312" s="20">
        <v>-0.39</v>
      </c>
      <c r="E312" s="20">
        <v>-0.06</v>
      </c>
      <c r="F312" s="20">
        <v>2070.36</v>
      </c>
      <c r="Q312" s="20">
        <v>31.1</v>
      </c>
      <c r="R312" s="20">
        <v>76.599999999999994</v>
      </c>
      <c r="S312" s="26">
        <v>77</v>
      </c>
      <c r="T312" s="20">
        <v>0.4</v>
      </c>
      <c r="U312" s="26">
        <v>0.79</v>
      </c>
      <c r="V312" s="20">
        <v>2822.41</v>
      </c>
    </row>
    <row r="313" spans="1:22" ht="16.8" x14ac:dyDescent="0.3">
      <c r="A313" s="20">
        <v>31.2</v>
      </c>
      <c r="B313" s="20">
        <v>77</v>
      </c>
      <c r="C313" s="26">
        <v>77.36</v>
      </c>
      <c r="D313" s="20">
        <v>-0.36</v>
      </c>
      <c r="E313" s="20">
        <v>0.03</v>
      </c>
      <c r="F313" s="26">
        <v>2159.23</v>
      </c>
      <c r="Q313" s="20">
        <v>31.2</v>
      </c>
      <c r="R313" s="20">
        <v>77.37</v>
      </c>
      <c r="S313" s="26">
        <v>77</v>
      </c>
      <c r="T313" s="26">
        <v>-0.37</v>
      </c>
      <c r="U313" s="26">
        <v>-0.77</v>
      </c>
      <c r="V313" s="26">
        <v>1425.79</v>
      </c>
    </row>
    <row r="314" spans="1:22" ht="16.8" x14ac:dyDescent="0.3">
      <c r="A314" s="20">
        <v>31.3</v>
      </c>
      <c r="B314" s="20">
        <v>77</v>
      </c>
      <c r="C314" s="20">
        <v>77.39</v>
      </c>
      <c r="D314" s="20">
        <v>-0.39</v>
      </c>
      <c r="E314" s="20">
        <v>-0.02</v>
      </c>
      <c r="F314" s="26">
        <v>2107.83</v>
      </c>
      <c r="Q314" s="20">
        <v>31.3</v>
      </c>
      <c r="R314" s="20">
        <v>76.569999999999993</v>
      </c>
      <c r="S314" s="26">
        <v>77</v>
      </c>
      <c r="T314" s="20">
        <v>0.43</v>
      </c>
      <c r="U314" s="26">
        <v>0.81</v>
      </c>
      <c r="V314" s="20">
        <v>2841.2</v>
      </c>
    </row>
    <row r="315" spans="1:22" ht="16.8" x14ac:dyDescent="0.3">
      <c r="A315" s="20">
        <v>31.4</v>
      </c>
      <c r="B315" s="20">
        <v>77</v>
      </c>
      <c r="C315" s="26">
        <v>77.34</v>
      </c>
      <c r="D315" s="20">
        <v>-0.34</v>
      </c>
      <c r="E315" s="20">
        <v>0.04</v>
      </c>
      <c r="F315" s="26">
        <v>2182.9299999999998</v>
      </c>
      <c r="Q315" s="20">
        <v>31.4</v>
      </c>
      <c r="R315" s="20">
        <v>77.34</v>
      </c>
      <c r="S315" s="20">
        <v>77</v>
      </c>
      <c r="T315" s="26">
        <v>-0.34</v>
      </c>
      <c r="U315" s="26">
        <v>-0.77</v>
      </c>
      <c r="V315" s="20">
        <v>1431.68</v>
      </c>
    </row>
    <row r="316" spans="1:22" ht="16.8" x14ac:dyDescent="0.3">
      <c r="A316" s="20">
        <v>31.5</v>
      </c>
      <c r="B316" s="20">
        <v>77</v>
      </c>
      <c r="C316" s="26">
        <v>77.33</v>
      </c>
      <c r="D316" s="20">
        <v>-0.33</v>
      </c>
      <c r="E316" s="20">
        <v>0.01</v>
      </c>
      <c r="F316" s="26">
        <v>2192.16</v>
      </c>
      <c r="Q316" s="20">
        <v>31.5</v>
      </c>
      <c r="R316" s="20">
        <v>76.58</v>
      </c>
      <c r="S316" s="26">
        <v>77</v>
      </c>
      <c r="T316" s="26">
        <v>0.42</v>
      </c>
      <c r="U316" s="26">
        <v>0.77</v>
      </c>
      <c r="V316" s="26">
        <v>2807.56</v>
      </c>
    </row>
    <row r="317" spans="1:22" ht="16.8" x14ac:dyDescent="0.3">
      <c r="A317" s="20">
        <v>31.6</v>
      </c>
      <c r="B317" s="20">
        <v>77</v>
      </c>
      <c r="C317" s="20">
        <v>77.37</v>
      </c>
      <c r="D317" s="20">
        <v>-0.37</v>
      </c>
      <c r="E317" s="20">
        <v>-0.04</v>
      </c>
      <c r="F317" s="26">
        <v>2117</v>
      </c>
      <c r="Q317" s="20">
        <v>31.6</v>
      </c>
      <c r="R317" s="20">
        <v>77.36</v>
      </c>
      <c r="S317" s="20">
        <v>77</v>
      </c>
      <c r="T317" s="26">
        <v>-0.36</v>
      </c>
      <c r="U317" s="26">
        <v>-0.78</v>
      </c>
      <c r="V317" s="20">
        <v>1422.56</v>
      </c>
    </row>
    <row r="318" spans="1:22" ht="16.8" x14ac:dyDescent="0.3">
      <c r="A318" s="20">
        <v>31.7</v>
      </c>
      <c r="B318" s="20">
        <v>77</v>
      </c>
      <c r="C318" s="26">
        <v>77.36</v>
      </c>
      <c r="D318" s="20">
        <v>-0.36</v>
      </c>
      <c r="E318" s="20">
        <v>0.01</v>
      </c>
      <c r="F318" s="26">
        <v>2159.23</v>
      </c>
      <c r="Q318" s="20">
        <v>31.7</v>
      </c>
      <c r="R318" s="20">
        <v>76.66</v>
      </c>
      <c r="S318" s="26">
        <v>77</v>
      </c>
      <c r="T318" s="26">
        <v>0.34</v>
      </c>
      <c r="U318" s="26">
        <v>0.7</v>
      </c>
      <c r="V318" s="26">
        <v>2741.43</v>
      </c>
    </row>
    <row r="319" spans="1:22" ht="16.8" x14ac:dyDescent="0.3">
      <c r="A319" s="20">
        <v>31.8</v>
      </c>
      <c r="B319" s="20">
        <v>77</v>
      </c>
      <c r="C319" s="26">
        <v>77.31</v>
      </c>
      <c r="D319" s="20">
        <v>-0.31</v>
      </c>
      <c r="E319" s="20">
        <v>0.06</v>
      </c>
      <c r="F319" s="26">
        <v>2223.71</v>
      </c>
      <c r="Q319" s="20">
        <v>31.8</v>
      </c>
      <c r="R319" s="20">
        <v>77.37</v>
      </c>
      <c r="S319" s="26">
        <v>77</v>
      </c>
      <c r="T319" s="26">
        <v>-0.37</v>
      </c>
      <c r="U319" s="26">
        <v>-0.72</v>
      </c>
      <c r="V319" s="20">
        <v>1471.61</v>
      </c>
    </row>
    <row r="320" spans="1:22" ht="16.8" x14ac:dyDescent="0.3">
      <c r="A320" s="20">
        <v>31.9</v>
      </c>
      <c r="B320" s="20">
        <v>77</v>
      </c>
      <c r="C320" s="20">
        <v>77.349999999999994</v>
      </c>
      <c r="D320" s="20">
        <v>-0.35</v>
      </c>
      <c r="E320" s="20">
        <v>-0.04</v>
      </c>
      <c r="F320" s="20">
        <v>2142.1999999999998</v>
      </c>
      <c r="Q320" s="20">
        <v>31.9</v>
      </c>
      <c r="R320" s="20">
        <v>76.59</v>
      </c>
      <c r="S320" s="26">
        <v>77</v>
      </c>
      <c r="T320" s="26">
        <v>0.41</v>
      </c>
      <c r="U320" s="26">
        <v>0.78</v>
      </c>
      <c r="V320" s="26">
        <v>2817.77</v>
      </c>
    </row>
    <row r="321" spans="1:22" ht="16.8" x14ac:dyDescent="0.3">
      <c r="A321" s="20">
        <v>32</v>
      </c>
      <c r="B321" s="20">
        <v>77</v>
      </c>
      <c r="C321" s="26">
        <v>77.33</v>
      </c>
      <c r="D321" s="20">
        <v>-0.33</v>
      </c>
      <c r="E321" s="20">
        <v>0.02</v>
      </c>
      <c r="F321" s="26">
        <v>2201.3200000000002</v>
      </c>
      <c r="Q321" s="20">
        <v>32</v>
      </c>
      <c r="R321" s="20">
        <v>77.39</v>
      </c>
      <c r="S321" s="26">
        <v>77</v>
      </c>
      <c r="T321" s="26">
        <v>-0.39</v>
      </c>
      <c r="U321" s="26">
        <v>-0.8</v>
      </c>
      <c r="V321" s="20">
        <v>1403.88</v>
      </c>
    </row>
    <row r="322" spans="1:22" ht="16.8" x14ac:dyDescent="0.3">
      <c r="A322" s="20">
        <v>32.1</v>
      </c>
      <c r="B322" s="20">
        <v>77</v>
      </c>
      <c r="C322" s="20">
        <v>77.25</v>
      </c>
      <c r="D322" s="20">
        <v>-0.25</v>
      </c>
      <c r="E322" s="20">
        <v>7.0000000000000007E-2</v>
      </c>
      <c r="F322" s="26">
        <v>2279.64</v>
      </c>
      <c r="Q322" s="20">
        <v>32.1</v>
      </c>
      <c r="R322" s="20">
        <v>76.62</v>
      </c>
      <c r="S322" s="26">
        <v>77</v>
      </c>
      <c r="T322" s="26">
        <v>0.38</v>
      </c>
      <c r="U322" s="26">
        <v>0.77</v>
      </c>
      <c r="V322" s="20">
        <v>2807.03</v>
      </c>
    </row>
    <row r="323" spans="1:22" ht="16.8" x14ac:dyDescent="0.3">
      <c r="A323" s="20">
        <v>32.200000000000003</v>
      </c>
      <c r="B323" s="20">
        <v>77</v>
      </c>
      <c r="C323" s="26">
        <v>77.260000000000005</v>
      </c>
      <c r="D323" s="20">
        <v>-0.26</v>
      </c>
      <c r="E323" s="20">
        <v>0</v>
      </c>
      <c r="F323" s="20">
        <v>2271.77</v>
      </c>
      <c r="Q323" s="20">
        <v>32.200000000000003</v>
      </c>
      <c r="R323" s="20">
        <v>77.37</v>
      </c>
      <c r="S323" s="26">
        <v>77</v>
      </c>
      <c r="T323" s="26">
        <v>-0.37</v>
      </c>
      <c r="U323" s="26">
        <v>-0.75</v>
      </c>
      <c r="V323" s="26">
        <v>1447.13</v>
      </c>
    </row>
    <row r="324" spans="1:22" ht="16.8" x14ac:dyDescent="0.3">
      <c r="A324" s="20">
        <v>32.299999999999997</v>
      </c>
      <c r="B324" s="20">
        <v>77</v>
      </c>
      <c r="C324" s="26">
        <v>77.260000000000005</v>
      </c>
      <c r="D324" s="20">
        <v>-0.26</v>
      </c>
      <c r="E324" s="20">
        <v>0</v>
      </c>
      <c r="F324" s="26">
        <v>2275.42</v>
      </c>
      <c r="Q324" s="20">
        <v>32.299999999999997</v>
      </c>
      <c r="R324" s="20">
        <v>76.62</v>
      </c>
      <c r="S324" s="26">
        <v>77</v>
      </c>
      <c r="T324" s="26">
        <v>0.38</v>
      </c>
      <c r="U324" s="26">
        <v>0.74</v>
      </c>
      <c r="V324" s="20">
        <v>2779.64</v>
      </c>
    </row>
    <row r="325" spans="1:22" ht="16.8" x14ac:dyDescent="0.3">
      <c r="A325" s="20">
        <v>32.4</v>
      </c>
      <c r="B325" s="20">
        <v>77</v>
      </c>
      <c r="C325" s="20">
        <v>77.28</v>
      </c>
      <c r="D325" s="20">
        <v>-0.28000000000000003</v>
      </c>
      <c r="E325" s="20">
        <v>-0.02</v>
      </c>
      <c r="F325" s="20">
        <v>2228.09</v>
      </c>
      <c r="Q325" s="20">
        <v>32.4</v>
      </c>
      <c r="R325" s="20">
        <v>77.37</v>
      </c>
      <c r="S325" s="26">
        <v>77</v>
      </c>
      <c r="T325" s="20">
        <v>-0.37</v>
      </c>
      <c r="U325" s="26">
        <v>-0.75</v>
      </c>
      <c r="V325" s="26">
        <v>1445.74</v>
      </c>
    </row>
    <row r="326" spans="1:22" ht="16.8" x14ac:dyDescent="0.3">
      <c r="A326" s="20">
        <v>32.5</v>
      </c>
      <c r="B326" s="20">
        <v>77</v>
      </c>
      <c r="C326" s="26">
        <v>77.239999999999995</v>
      </c>
      <c r="D326" s="20">
        <v>-0.24</v>
      </c>
      <c r="E326" s="20">
        <v>0.04</v>
      </c>
      <c r="F326" s="26">
        <v>2296.34</v>
      </c>
      <c r="Q326" s="20">
        <v>32.5</v>
      </c>
      <c r="R326" s="20">
        <v>76.64</v>
      </c>
      <c r="S326" s="20">
        <v>77</v>
      </c>
      <c r="T326" s="26">
        <v>0.36</v>
      </c>
      <c r="U326" s="26">
        <v>0.73</v>
      </c>
      <c r="V326" s="20">
        <v>2770.28</v>
      </c>
    </row>
    <row r="327" spans="1:22" ht="16.8" x14ac:dyDescent="0.3">
      <c r="A327" s="20">
        <v>32.6</v>
      </c>
      <c r="B327" s="20">
        <v>77</v>
      </c>
      <c r="C327" s="26">
        <v>77.239999999999995</v>
      </c>
      <c r="D327" s="20">
        <v>-0.24</v>
      </c>
      <c r="E327" s="20">
        <v>0</v>
      </c>
      <c r="F327" s="26">
        <v>2296.34</v>
      </c>
      <c r="Q327" s="20">
        <v>32.6</v>
      </c>
      <c r="R327" s="20">
        <v>77.38</v>
      </c>
      <c r="S327" s="26">
        <v>77</v>
      </c>
      <c r="T327" s="26">
        <v>-0.38</v>
      </c>
      <c r="U327" s="26">
        <v>-0.74</v>
      </c>
      <c r="V327" s="26">
        <v>1450.75</v>
      </c>
    </row>
    <row r="328" spans="1:22" ht="16.8" x14ac:dyDescent="0.3">
      <c r="A328" s="20">
        <v>32.700000000000003</v>
      </c>
      <c r="B328" s="20">
        <v>77</v>
      </c>
      <c r="C328" s="20">
        <v>77.209999999999994</v>
      </c>
      <c r="D328" s="20">
        <v>-0.21</v>
      </c>
      <c r="E328" s="20">
        <v>0.02</v>
      </c>
      <c r="F328" s="26">
        <v>2321.1999999999998</v>
      </c>
      <c r="Q328" s="20">
        <v>32.700000000000003</v>
      </c>
      <c r="R328" s="20">
        <v>76.64</v>
      </c>
      <c r="S328" s="26">
        <v>77</v>
      </c>
      <c r="T328" s="26">
        <v>0.36</v>
      </c>
      <c r="U328" s="26">
        <v>0.74</v>
      </c>
      <c r="V328" s="20">
        <v>2776.71</v>
      </c>
    </row>
    <row r="329" spans="1:22" ht="16.8" x14ac:dyDescent="0.3">
      <c r="A329" s="20">
        <v>32.799999999999997</v>
      </c>
      <c r="B329" s="20">
        <v>77</v>
      </c>
      <c r="C329" s="26">
        <v>77.23</v>
      </c>
      <c r="D329" s="20">
        <v>-0.23</v>
      </c>
      <c r="E329" s="20">
        <v>-0.02</v>
      </c>
      <c r="F329" s="26">
        <v>2282.16</v>
      </c>
      <c r="Q329" s="20">
        <v>32.799999999999997</v>
      </c>
      <c r="R329" s="20">
        <v>77.430000000000007</v>
      </c>
      <c r="S329" s="26">
        <v>77</v>
      </c>
      <c r="T329" s="26">
        <v>-0.43</v>
      </c>
      <c r="U329" s="26">
        <v>-0.79</v>
      </c>
      <c r="V329" s="26">
        <v>1403.09</v>
      </c>
    </row>
    <row r="330" spans="1:22" ht="16.8" x14ac:dyDescent="0.3">
      <c r="A330" s="20">
        <v>32.9</v>
      </c>
      <c r="B330" s="20">
        <v>77</v>
      </c>
      <c r="C330" s="26">
        <v>77.209999999999994</v>
      </c>
      <c r="D330" s="20">
        <v>-0.21</v>
      </c>
      <c r="E330" s="20">
        <v>0.03</v>
      </c>
      <c r="F330" s="26">
        <v>2329.46</v>
      </c>
      <c r="Q330" s="20">
        <v>32.9</v>
      </c>
      <c r="R330" s="20">
        <v>76.63</v>
      </c>
      <c r="S330" s="26">
        <v>77</v>
      </c>
      <c r="T330" s="26">
        <v>0.37</v>
      </c>
      <c r="U330" s="26">
        <v>0.8</v>
      </c>
      <c r="V330" s="20">
        <v>2823.41</v>
      </c>
    </row>
    <row r="331" spans="1:22" ht="16.8" x14ac:dyDescent="0.3">
      <c r="A331" s="20">
        <v>33</v>
      </c>
      <c r="B331" s="20">
        <v>77</v>
      </c>
      <c r="C331" s="20">
        <v>77.22</v>
      </c>
      <c r="D331" s="20">
        <v>-0.22</v>
      </c>
      <c r="E331" s="20">
        <v>-0.01</v>
      </c>
      <c r="F331" s="26">
        <v>2306</v>
      </c>
      <c r="Q331" s="20">
        <v>33</v>
      </c>
      <c r="R331" s="20">
        <v>77.39</v>
      </c>
      <c r="S331" s="26">
        <v>77</v>
      </c>
      <c r="T331" s="26">
        <v>-0.39</v>
      </c>
      <c r="U331" s="26">
        <v>-0.76</v>
      </c>
      <c r="V331" s="26">
        <v>1436.06</v>
      </c>
    </row>
    <row r="332" spans="1:22" ht="16.8" x14ac:dyDescent="0.3">
      <c r="A332" s="20">
        <v>33.1</v>
      </c>
      <c r="B332" s="20">
        <v>77</v>
      </c>
      <c r="C332" s="26">
        <v>77.31</v>
      </c>
      <c r="D332" s="20">
        <v>-0.31</v>
      </c>
      <c r="E332" s="20">
        <v>-0.09</v>
      </c>
      <c r="F332" s="26">
        <v>2144.62</v>
      </c>
      <c r="Q332" s="20">
        <v>33.1</v>
      </c>
      <c r="R332" s="20">
        <v>76.64</v>
      </c>
      <c r="S332" s="26">
        <v>77</v>
      </c>
      <c r="T332" s="26">
        <v>0.36</v>
      </c>
      <c r="U332" s="26">
        <v>0.75</v>
      </c>
      <c r="V332" s="20">
        <v>2782.94</v>
      </c>
    </row>
    <row r="333" spans="1:22" ht="16.8" x14ac:dyDescent="0.3">
      <c r="A333" s="20">
        <v>33.200000000000003</v>
      </c>
      <c r="B333" s="20">
        <v>77</v>
      </c>
      <c r="C333" s="20">
        <v>77.23</v>
      </c>
      <c r="D333" s="20">
        <v>-0.23</v>
      </c>
      <c r="E333" s="20">
        <v>0.08</v>
      </c>
      <c r="F333" s="26">
        <v>2308.81</v>
      </c>
      <c r="Q333" s="20">
        <v>33.200000000000003</v>
      </c>
      <c r="R333" s="20">
        <v>77.37</v>
      </c>
      <c r="S333" s="26">
        <v>77</v>
      </c>
      <c r="T333" s="26">
        <v>-0.37</v>
      </c>
      <c r="U333" s="26">
        <v>-0.73</v>
      </c>
      <c r="V333" s="26">
        <v>1458.33</v>
      </c>
    </row>
    <row r="334" spans="1:22" ht="16.8" x14ac:dyDescent="0.3">
      <c r="A334" s="20">
        <v>33.299999999999997</v>
      </c>
      <c r="B334" s="20">
        <v>77</v>
      </c>
      <c r="C334" s="26">
        <v>77.290000000000006</v>
      </c>
      <c r="D334" s="20">
        <v>-0.28999999999999998</v>
      </c>
      <c r="E334" s="20">
        <v>-7.0000000000000007E-2</v>
      </c>
      <c r="F334" s="20">
        <v>2175.52</v>
      </c>
      <c r="Q334" s="20">
        <v>33.299999999999997</v>
      </c>
      <c r="R334" s="20">
        <v>76.64</v>
      </c>
      <c r="S334" s="26">
        <v>77</v>
      </c>
      <c r="T334" s="20">
        <v>0.36</v>
      </c>
      <c r="U334" s="26">
        <v>0.73</v>
      </c>
      <c r="V334" s="20">
        <v>2769.9</v>
      </c>
    </row>
    <row r="335" spans="1:22" ht="16.8" x14ac:dyDescent="0.3">
      <c r="A335" s="20">
        <v>33.4</v>
      </c>
      <c r="B335" s="20">
        <v>77</v>
      </c>
      <c r="C335" s="26">
        <v>77.239999999999995</v>
      </c>
      <c r="D335" s="20">
        <v>-0.24</v>
      </c>
      <c r="E335" s="20">
        <v>0.06</v>
      </c>
      <c r="F335" s="26">
        <v>2296.34</v>
      </c>
      <c r="Q335" s="20">
        <v>33.4</v>
      </c>
      <c r="R335" s="20">
        <v>77.349999999999994</v>
      </c>
      <c r="S335" s="26">
        <v>77</v>
      </c>
      <c r="T335" s="26">
        <v>-0.35</v>
      </c>
      <c r="U335" s="26">
        <v>-0.71</v>
      </c>
      <c r="V335" s="26">
        <v>1482.07</v>
      </c>
    </row>
    <row r="336" spans="1:22" ht="16.8" x14ac:dyDescent="0.3">
      <c r="A336" s="20">
        <v>33.5</v>
      </c>
      <c r="B336" s="20">
        <v>77</v>
      </c>
      <c r="C336" s="20">
        <v>77.31</v>
      </c>
      <c r="D336" s="20">
        <v>-0.31</v>
      </c>
      <c r="E336" s="20">
        <v>-7.0000000000000007E-2</v>
      </c>
      <c r="F336" s="26">
        <v>2162.44</v>
      </c>
      <c r="Q336" s="20">
        <v>33.5</v>
      </c>
      <c r="R336" s="20">
        <v>76.62</v>
      </c>
      <c r="S336" s="26">
        <v>77</v>
      </c>
      <c r="T336" s="26">
        <v>0.38</v>
      </c>
      <c r="U336" s="26">
        <v>0.73</v>
      </c>
      <c r="V336" s="20">
        <v>2774.24</v>
      </c>
    </row>
    <row r="337" spans="1:22" ht="16.8" x14ac:dyDescent="0.3">
      <c r="A337" s="20">
        <v>33.6</v>
      </c>
      <c r="B337" s="20">
        <v>77</v>
      </c>
      <c r="C337" s="26">
        <v>77.31</v>
      </c>
      <c r="D337" s="20">
        <v>-0.31</v>
      </c>
      <c r="E337" s="20">
        <v>-0.01</v>
      </c>
      <c r="F337" s="26">
        <v>2207.5700000000002</v>
      </c>
      <c r="Q337" s="20">
        <v>33.6</v>
      </c>
      <c r="R337" s="20">
        <v>77.42</v>
      </c>
      <c r="S337" s="26">
        <v>77</v>
      </c>
      <c r="T337" s="26">
        <v>-0.42</v>
      </c>
      <c r="U337" s="26">
        <v>-0.81</v>
      </c>
      <c r="V337" s="20">
        <v>1391.31</v>
      </c>
    </row>
    <row r="338" spans="1:22" ht="16.8" x14ac:dyDescent="0.3">
      <c r="A338" s="20">
        <v>33.700000000000003</v>
      </c>
      <c r="B338" s="20">
        <v>77</v>
      </c>
      <c r="C338" s="26">
        <v>77.33</v>
      </c>
      <c r="D338" s="20">
        <v>-0.33</v>
      </c>
      <c r="E338" s="20">
        <v>-0.02</v>
      </c>
      <c r="F338" s="26">
        <v>2182.3000000000002</v>
      </c>
      <c r="Q338" s="20">
        <v>33.700000000000003</v>
      </c>
      <c r="R338" s="20">
        <v>76.599999999999994</v>
      </c>
      <c r="S338" s="26">
        <v>77</v>
      </c>
      <c r="T338" s="26">
        <v>0.4</v>
      </c>
      <c r="U338" s="26">
        <v>0.82</v>
      </c>
      <c r="V338" s="26">
        <v>2848.43</v>
      </c>
    </row>
    <row r="339" spans="1:22" ht="16.8" x14ac:dyDescent="0.3">
      <c r="A339" s="20">
        <v>33.799999999999997</v>
      </c>
      <c r="B339" s="20">
        <v>77</v>
      </c>
      <c r="C339" s="20">
        <v>77.33</v>
      </c>
      <c r="D339" s="20">
        <v>-0.33</v>
      </c>
      <c r="E339" s="20">
        <v>0</v>
      </c>
      <c r="F339" s="26">
        <v>2196.7600000000002</v>
      </c>
      <c r="Q339" s="20">
        <v>33.799999999999997</v>
      </c>
      <c r="R339" s="20">
        <v>77.37</v>
      </c>
      <c r="S339" s="26">
        <v>77</v>
      </c>
      <c r="T339" s="26">
        <v>-0.37</v>
      </c>
      <c r="U339" s="26">
        <v>-0.77</v>
      </c>
      <c r="V339" s="20">
        <v>1425.84</v>
      </c>
    </row>
    <row r="340" spans="1:22" ht="16.8" x14ac:dyDescent="0.3">
      <c r="A340" s="20">
        <v>33.9</v>
      </c>
      <c r="B340" s="20">
        <v>77</v>
      </c>
      <c r="C340" s="26">
        <v>77.33</v>
      </c>
      <c r="D340" s="20">
        <v>-0.33</v>
      </c>
      <c r="E340" s="20">
        <v>0</v>
      </c>
      <c r="F340" s="26">
        <v>2188.54</v>
      </c>
      <c r="Q340" s="20">
        <v>33.9</v>
      </c>
      <c r="R340" s="20">
        <v>76.59</v>
      </c>
      <c r="S340" s="26">
        <v>77</v>
      </c>
      <c r="T340" s="26">
        <v>0.41</v>
      </c>
      <c r="U340" s="26">
        <v>0.78</v>
      </c>
      <c r="V340" s="26">
        <v>2817.46</v>
      </c>
    </row>
    <row r="341" spans="1:22" ht="16.8" x14ac:dyDescent="0.3">
      <c r="A341" s="20">
        <v>34</v>
      </c>
      <c r="B341" s="20">
        <v>77</v>
      </c>
      <c r="C341" s="20">
        <v>77.34</v>
      </c>
      <c r="D341" s="20">
        <v>-0.34</v>
      </c>
      <c r="E341" s="20">
        <v>-0.01</v>
      </c>
      <c r="F341" s="26">
        <v>2175.71</v>
      </c>
      <c r="Q341" s="20">
        <v>34</v>
      </c>
      <c r="R341" s="20">
        <v>77.37</v>
      </c>
      <c r="S341" s="26">
        <v>77</v>
      </c>
      <c r="T341" s="26">
        <v>-0.37</v>
      </c>
      <c r="U341" s="26">
        <v>-0.78</v>
      </c>
      <c r="V341" s="20">
        <v>1419.44</v>
      </c>
    </row>
    <row r="342" spans="1:22" ht="16.8" x14ac:dyDescent="0.3">
      <c r="A342" s="20">
        <v>34.1</v>
      </c>
      <c r="B342" s="20">
        <v>77</v>
      </c>
      <c r="C342" s="26">
        <v>77.27</v>
      </c>
      <c r="D342" s="20">
        <v>-0.27</v>
      </c>
      <c r="E342" s="20">
        <v>7.0000000000000007E-2</v>
      </c>
      <c r="F342" s="26">
        <v>2258.46</v>
      </c>
      <c r="Q342" s="20">
        <v>34.1</v>
      </c>
      <c r="R342" s="20">
        <v>76.59</v>
      </c>
      <c r="S342" s="26">
        <v>77</v>
      </c>
      <c r="T342" s="26">
        <v>0.41</v>
      </c>
      <c r="U342" s="26">
        <v>0.78</v>
      </c>
      <c r="V342" s="26">
        <v>2817.56</v>
      </c>
    </row>
    <row r="343" spans="1:22" ht="16.8" x14ac:dyDescent="0.3">
      <c r="A343" s="20">
        <v>34.200000000000003</v>
      </c>
      <c r="B343" s="20">
        <v>77</v>
      </c>
      <c r="C343" s="26">
        <v>77.319999999999993</v>
      </c>
      <c r="D343" s="20">
        <v>-0.32</v>
      </c>
      <c r="E343" s="20">
        <v>-0.04</v>
      </c>
      <c r="F343" s="26">
        <v>2170.62</v>
      </c>
      <c r="Q343" s="20">
        <v>34.200000000000003</v>
      </c>
      <c r="R343" s="20">
        <v>77.36</v>
      </c>
      <c r="S343" s="26">
        <v>77</v>
      </c>
      <c r="T343" s="26">
        <v>-0.36</v>
      </c>
      <c r="U343" s="26">
        <v>-0.77</v>
      </c>
      <c r="V343" s="20">
        <v>1435.39</v>
      </c>
    </row>
    <row r="344" spans="1:22" ht="16.8" x14ac:dyDescent="0.3">
      <c r="A344" s="20">
        <v>34.299999999999997</v>
      </c>
      <c r="B344" s="20">
        <v>77</v>
      </c>
      <c r="C344" s="20">
        <v>77.3</v>
      </c>
      <c r="D344" s="20">
        <v>-0.3</v>
      </c>
      <c r="E344" s="20">
        <v>0.02</v>
      </c>
      <c r="F344" s="26">
        <v>2228.13</v>
      </c>
      <c r="Q344" s="20">
        <v>34.299999999999997</v>
      </c>
      <c r="R344" s="20">
        <v>76.66</v>
      </c>
      <c r="S344" s="26">
        <v>77</v>
      </c>
      <c r="T344" s="26">
        <v>0.34</v>
      </c>
      <c r="U344" s="20">
        <v>0.7</v>
      </c>
      <c r="V344" s="20">
        <v>2741.27</v>
      </c>
    </row>
    <row r="345" spans="1:22" ht="16.8" x14ac:dyDescent="0.3">
      <c r="A345" s="20">
        <v>34.4</v>
      </c>
      <c r="B345" s="20">
        <v>77</v>
      </c>
      <c r="C345" s="26">
        <v>77.33</v>
      </c>
      <c r="D345" s="20">
        <v>-0.33</v>
      </c>
      <c r="E345" s="20">
        <v>-0.03</v>
      </c>
      <c r="F345" s="20">
        <v>2163.25</v>
      </c>
      <c r="Q345" s="20">
        <v>34.4</v>
      </c>
      <c r="R345" s="20">
        <v>77.349999999999994</v>
      </c>
      <c r="S345" s="26">
        <v>77</v>
      </c>
      <c r="T345" s="26">
        <v>-0.35</v>
      </c>
      <c r="U345" s="26">
        <v>-0.69</v>
      </c>
      <c r="V345" s="26">
        <v>1495.24</v>
      </c>
    </row>
    <row r="346" spans="1:22" ht="16.8" x14ac:dyDescent="0.3">
      <c r="A346" s="20">
        <v>34.5</v>
      </c>
      <c r="B346" s="20">
        <v>77</v>
      </c>
      <c r="C346" s="26">
        <v>77.33</v>
      </c>
      <c r="D346" s="20">
        <v>-0.33</v>
      </c>
      <c r="E346" s="20">
        <v>0</v>
      </c>
      <c r="F346" s="26">
        <v>2192.16</v>
      </c>
      <c r="Q346" s="20">
        <v>34.5</v>
      </c>
      <c r="R346" s="20">
        <v>76.62</v>
      </c>
      <c r="S346" s="26">
        <v>77</v>
      </c>
      <c r="T346" s="26">
        <v>0.38</v>
      </c>
      <c r="U346" s="26">
        <v>0.73</v>
      </c>
      <c r="V346" s="20">
        <v>2774.41</v>
      </c>
    </row>
    <row r="347" spans="1:22" ht="16.8" x14ac:dyDescent="0.3">
      <c r="A347" s="20">
        <v>34.6</v>
      </c>
      <c r="B347" s="20">
        <v>77</v>
      </c>
      <c r="C347" s="20">
        <v>77.349999999999994</v>
      </c>
      <c r="D347" s="20">
        <v>-0.35</v>
      </c>
      <c r="E347" s="20">
        <v>-0.02</v>
      </c>
      <c r="F347" s="20">
        <v>2150.7399999999998</v>
      </c>
      <c r="Q347" s="20">
        <v>34.6</v>
      </c>
      <c r="R347" s="20">
        <v>77.37</v>
      </c>
      <c r="S347" s="26">
        <v>77</v>
      </c>
      <c r="T347" s="26">
        <v>-0.37</v>
      </c>
      <c r="U347" s="26">
        <v>-0.76</v>
      </c>
      <c r="V347" s="26">
        <v>1439.07</v>
      </c>
    </row>
    <row r="348" spans="1:22" ht="16.8" x14ac:dyDescent="0.3">
      <c r="A348" s="20">
        <v>34.700000000000003</v>
      </c>
      <c r="B348" s="20">
        <v>77</v>
      </c>
      <c r="C348" s="26">
        <v>77.28</v>
      </c>
      <c r="D348" s="20">
        <v>-0.28000000000000003</v>
      </c>
      <c r="E348" s="20">
        <v>0.08</v>
      </c>
      <c r="F348" s="26">
        <v>2254.17</v>
      </c>
      <c r="Q348" s="20">
        <v>34.700000000000003</v>
      </c>
      <c r="R348" s="20">
        <v>76.62</v>
      </c>
      <c r="S348" s="26">
        <v>77</v>
      </c>
      <c r="T348" s="26">
        <v>0.38</v>
      </c>
      <c r="U348" s="26">
        <v>0.76</v>
      </c>
      <c r="V348" s="20">
        <v>2793.92</v>
      </c>
    </row>
    <row r="349" spans="1:22" ht="16.8" x14ac:dyDescent="0.3">
      <c r="A349" s="20">
        <v>34.799999999999997</v>
      </c>
      <c r="B349" s="20">
        <v>77</v>
      </c>
      <c r="C349" s="20">
        <v>77.28</v>
      </c>
      <c r="D349" s="20">
        <v>-0.28000000000000003</v>
      </c>
      <c r="E349" s="20">
        <v>0</v>
      </c>
      <c r="F349" s="26">
        <v>2246.27</v>
      </c>
      <c r="Q349" s="20">
        <v>34.799999999999997</v>
      </c>
      <c r="R349" s="20">
        <v>77.37</v>
      </c>
      <c r="S349" s="26">
        <v>77</v>
      </c>
      <c r="T349" s="26">
        <v>-0.37</v>
      </c>
      <c r="U349" s="26">
        <v>-0.75</v>
      </c>
      <c r="V349" s="26">
        <v>1447.02</v>
      </c>
    </row>
    <row r="350" spans="1:22" ht="16.8" x14ac:dyDescent="0.3">
      <c r="A350" s="20">
        <v>34.9</v>
      </c>
      <c r="B350" s="20">
        <v>77</v>
      </c>
      <c r="C350" s="26">
        <v>77.31</v>
      </c>
      <c r="D350" s="20">
        <v>-0.31</v>
      </c>
      <c r="E350" s="20">
        <v>-0.03</v>
      </c>
      <c r="F350" s="20">
        <v>2185.86</v>
      </c>
      <c r="Q350" s="20">
        <v>34.9</v>
      </c>
      <c r="R350" s="20">
        <v>76.67</v>
      </c>
      <c r="S350" s="26">
        <v>77</v>
      </c>
      <c r="T350" s="26">
        <v>0.33</v>
      </c>
      <c r="U350" s="26">
        <v>0.7</v>
      </c>
      <c r="V350" s="20">
        <v>2739.89</v>
      </c>
    </row>
    <row r="351" spans="1:22" ht="16.8" x14ac:dyDescent="0.3">
      <c r="A351" s="20">
        <v>35</v>
      </c>
      <c r="B351" s="20">
        <v>77</v>
      </c>
      <c r="C351" s="26">
        <v>77.33</v>
      </c>
      <c r="D351" s="20">
        <v>-0.33</v>
      </c>
      <c r="E351" s="20">
        <v>-0.02</v>
      </c>
      <c r="F351" s="26">
        <v>2182.3000000000002</v>
      </c>
      <c r="Q351" s="20">
        <v>35</v>
      </c>
      <c r="R351" s="20">
        <v>76.86</v>
      </c>
      <c r="S351" s="26">
        <v>77</v>
      </c>
      <c r="T351" s="26">
        <v>0.14000000000000001</v>
      </c>
      <c r="U351" s="26">
        <v>-0.19</v>
      </c>
      <c r="V351" s="26">
        <v>1985.48</v>
      </c>
    </row>
    <row r="352" spans="1:22" ht="16.8" x14ac:dyDescent="0.3">
      <c r="A352" s="20">
        <v>35.1</v>
      </c>
      <c r="B352" s="20">
        <v>77</v>
      </c>
      <c r="C352" s="20">
        <v>77.31</v>
      </c>
      <c r="D352" s="20">
        <v>-0.31</v>
      </c>
      <c r="E352" s="20">
        <v>0.02</v>
      </c>
      <c r="F352" s="20">
        <v>2223.71</v>
      </c>
      <c r="Q352" s="20">
        <v>35.1</v>
      </c>
      <c r="R352" s="20">
        <v>76.7</v>
      </c>
      <c r="S352" s="26">
        <v>77</v>
      </c>
      <c r="T352" s="20">
        <v>0.3</v>
      </c>
      <c r="U352" s="20">
        <v>0.16</v>
      </c>
      <c r="V352" s="20">
        <v>2300.36</v>
      </c>
    </row>
    <row r="353" spans="1:22" ht="16.8" x14ac:dyDescent="0.3">
      <c r="A353" s="20">
        <v>35.200000000000003</v>
      </c>
      <c r="B353" s="20">
        <v>77</v>
      </c>
      <c r="C353" s="26">
        <v>77.31</v>
      </c>
      <c r="D353" s="20">
        <v>-0.31</v>
      </c>
      <c r="E353" s="20">
        <v>0</v>
      </c>
      <c r="F353" s="26">
        <v>2215.63</v>
      </c>
      <c r="Q353" s="20">
        <v>35.200000000000003</v>
      </c>
      <c r="R353" s="20">
        <v>76.67</v>
      </c>
      <c r="S353" s="26">
        <v>77</v>
      </c>
      <c r="T353" s="26">
        <v>0.33</v>
      </c>
      <c r="U353" s="26">
        <v>0.02</v>
      </c>
      <c r="V353" s="26">
        <v>2195.11</v>
      </c>
    </row>
    <row r="354" spans="1:22" ht="16.8" x14ac:dyDescent="0.3">
      <c r="A354" s="20">
        <v>35.299999999999997</v>
      </c>
      <c r="B354" s="20">
        <v>77</v>
      </c>
      <c r="C354" s="20">
        <v>77.25</v>
      </c>
      <c r="D354" s="20">
        <v>-0.25</v>
      </c>
      <c r="E354" s="20">
        <v>0.06</v>
      </c>
      <c r="F354" s="26">
        <v>2283.84</v>
      </c>
      <c r="Q354" s="20">
        <v>35.299999999999997</v>
      </c>
      <c r="R354" s="20">
        <v>76.64</v>
      </c>
      <c r="S354" s="26">
        <v>77</v>
      </c>
      <c r="T354" s="20">
        <v>0.36</v>
      </c>
      <c r="U354" s="26">
        <v>0.03</v>
      </c>
      <c r="V354" s="20">
        <v>2208.3000000000002</v>
      </c>
    </row>
    <row r="355" spans="1:22" ht="16.8" x14ac:dyDescent="0.3">
      <c r="A355" s="20">
        <v>35.4</v>
      </c>
      <c r="B355" s="20">
        <v>77</v>
      </c>
      <c r="C355" s="26">
        <v>77.260000000000005</v>
      </c>
      <c r="D355" s="20">
        <v>-0.26</v>
      </c>
      <c r="E355" s="20">
        <v>-0.01</v>
      </c>
      <c r="F355" s="26">
        <v>2260.29</v>
      </c>
      <c r="Q355" s="20">
        <v>35.4</v>
      </c>
      <c r="R355" s="20">
        <v>76.67</v>
      </c>
      <c r="S355" s="26">
        <v>77</v>
      </c>
      <c r="T355" s="26">
        <v>0.33</v>
      </c>
      <c r="U355" s="26">
        <v>-0.03</v>
      </c>
      <c r="V355" s="26">
        <v>2151.64</v>
      </c>
    </row>
    <row r="356" spans="1:22" ht="16.8" x14ac:dyDescent="0.3">
      <c r="A356" s="20">
        <v>35.5</v>
      </c>
      <c r="B356" s="20">
        <v>77</v>
      </c>
      <c r="C356" s="26">
        <v>77.28</v>
      </c>
      <c r="D356" s="20">
        <v>-0.28000000000000003</v>
      </c>
      <c r="E356" s="20">
        <v>-0.02</v>
      </c>
      <c r="F356" s="26">
        <v>2239.64</v>
      </c>
      <c r="Q356" s="20">
        <v>35.5</v>
      </c>
      <c r="R356" s="20">
        <v>76.69</v>
      </c>
      <c r="S356" s="26">
        <v>77</v>
      </c>
      <c r="T356" s="26">
        <v>0.31</v>
      </c>
      <c r="U356" s="26">
        <v>-0.02</v>
      </c>
      <c r="V356" s="20">
        <v>2162.71</v>
      </c>
    </row>
    <row r="357" spans="1:22" ht="16.8" x14ac:dyDescent="0.3">
      <c r="A357" s="20">
        <v>35.6</v>
      </c>
      <c r="B357" s="20">
        <v>77</v>
      </c>
      <c r="C357" s="20">
        <v>77.27</v>
      </c>
      <c r="D357" s="20">
        <v>-0.27</v>
      </c>
      <c r="E357" s="20">
        <v>0.01</v>
      </c>
      <c r="F357" s="26">
        <v>2262.6999999999998</v>
      </c>
      <c r="Q357" s="20">
        <v>35.6</v>
      </c>
      <c r="R357" s="20">
        <v>76.709999999999994</v>
      </c>
      <c r="S357" s="26">
        <v>77</v>
      </c>
      <c r="T357" s="26">
        <v>0.28999999999999998</v>
      </c>
      <c r="U357" s="20">
        <v>-0.02</v>
      </c>
      <c r="V357" s="26">
        <v>2152.8200000000002</v>
      </c>
    </row>
    <row r="358" spans="1:22" ht="16.8" x14ac:dyDescent="0.3">
      <c r="A358" s="20">
        <v>35.700000000000003</v>
      </c>
      <c r="B358" s="20">
        <v>77</v>
      </c>
      <c r="C358" s="26">
        <v>77.27</v>
      </c>
      <c r="D358" s="20">
        <v>-0.27</v>
      </c>
      <c r="E358" s="20">
        <v>0</v>
      </c>
      <c r="F358" s="20">
        <v>2262.6999999999998</v>
      </c>
      <c r="Q358" s="20">
        <v>35.700000000000003</v>
      </c>
      <c r="R358" s="20">
        <v>76.709999999999994</v>
      </c>
      <c r="S358" s="26">
        <v>77</v>
      </c>
      <c r="T358" s="26">
        <v>0.28999999999999998</v>
      </c>
      <c r="U358" s="26">
        <v>0</v>
      </c>
      <c r="V358" s="20">
        <v>2173.13</v>
      </c>
    </row>
    <row r="359" spans="1:22" ht="16.8" x14ac:dyDescent="0.3">
      <c r="A359" s="20">
        <v>35.799999999999997</v>
      </c>
      <c r="B359" s="20">
        <v>77</v>
      </c>
      <c r="C359" s="26">
        <v>77.260000000000005</v>
      </c>
      <c r="D359" s="20">
        <v>-0.26</v>
      </c>
      <c r="E359" s="20">
        <v>0.01</v>
      </c>
      <c r="F359" s="26">
        <v>2275.42</v>
      </c>
      <c r="Q359" s="20">
        <v>35.799999999999997</v>
      </c>
      <c r="R359" s="20">
        <v>76.67</v>
      </c>
      <c r="S359" s="26">
        <v>77</v>
      </c>
      <c r="T359" s="26">
        <v>0.33</v>
      </c>
      <c r="U359" s="20">
        <v>0.05</v>
      </c>
      <c r="V359" s="20">
        <v>2221.5300000000002</v>
      </c>
    </row>
    <row r="360" spans="1:22" ht="16.8" x14ac:dyDescent="0.3">
      <c r="A360" s="20">
        <v>35.9</v>
      </c>
      <c r="B360" s="20">
        <v>77</v>
      </c>
      <c r="C360" s="20">
        <v>77.260000000000005</v>
      </c>
      <c r="D360" s="20">
        <v>-0.26</v>
      </c>
      <c r="E360" s="20">
        <v>0</v>
      </c>
      <c r="F360" s="26">
        <v>2267.54</v>
      </c>
      <c r="Q360" s="20">
        <v>35.9</v>
      </c>
      <c r="R360" s="20">
        <v>76.760000000000005</v>
      </c>
      <c r="S360" s="26">
        <v>77</v>
      </c>
      <c r="T360" s="26">
        <v>0.24</v>
      </c>
      <c r="U360" s="26">
        <v>-0.1</v>
      </c>
      <c r="V360" s="26">
        <v>2088.39</v>
      </c>
    </row>
    <row r="361" spans="1:22" ht="16.8" x14ac:dyDescent="0.3">
      <c r="A361" s="20">
        <v>36</v>
      </c>
      <c r="B361" s="20">
        <v>77</v>
      </c>
      <c r="C361" s="26">
        <v>77.25</v>
      </c>
      <c r="D361" s="20">
        <v>-0.25</v>
      </c>
      <c r="E361" s="20">
        <v>0.01</v>
      </c>
      <c r="F361" s="20">
        <v>2279.64</v>
      </c>
      <c r="Q361" s="20">
        <v>36</v>
      </c>
      <c r="R361" s="20">
        <v>76.77</v>
      </c>
      <c r="S361" s="26">
        <v>77</v>
      </c>
      <c r="T361" s="26">
        <v>0.23</v>
      </c>
      <c r="U361" s="26">
        <v>-0.01</v>
      </c>
      <c r="V361" s="20">
        <v>2159.09</v>
      </c>
    </row>
    <row r="362" spans="1:22" ht="16.8" x14ac:dyDescent="0.3">
      <c r="A362" s="20">
        <v>36.1</v>
      </c>
      <c r="B362" s="20">
        <v>77</v>
      </c>
      <c r="C362" s="20">
        <v>77.31</v>
      </c>
      <c r="D362" s="20">
        <v>-0.31</v>
      </c>
      <c r="E362" s="20">
        <v>-0.06</v>
      </c>
      <c r="F362" s="26">
        <v>2168.71</v>
      </c>
      <c r="Q362" s="20">
        <v>36.1</v>
      </c>
      <c r="R362" s="20">
        <v>76.790000000000006</v>
      </c>
      <c r="S362" s="26">
        <v>77</v>
      </c>
      <c r="T362" s="26">
        <v>0.21</v>
      </c>
      <c r="U362" s="26">
        <v>-0.02</v>
      </c>
      <c r="V362" s="26">
        <v>2150.38</v>
      </c>
    </row>
    <row r="363" spans="1:22" ht="16.8" x14ac:dyDescent="0.3">
      <c r="A363" s="20">
        <v>36.200000000000003</v>
      </c>
      <c r="B363" s="20">
        <v>77</v>
      </c>
      <c r="C363" s="26">
        <v>77.25</v>
      </c>
      <c r="D363" s="20">
        <v>-0.25</v>
      </c>
      <c r="E363" s="20">
        <v>0.06</v>
      </c>
      <c r="F363" s="20">
        <v>2288.0100000000002</v>
      </c>
      <c r="Q363" s="20">
        <v>36.200000000000003</v>
      </c>
      <c r="R363" s="20">
        <v>76.790000000000006</v>
      </c>
      <c r="S363" s="26">
        <v>77</v>
      </c>
      <c r="T363" s="26">
        <v>0.21</v>
      </c>
      <c r="U363" s="26">
        <v>-0.01</v>
      </c>
      <c r="V363" s="20">
        <v>2156.0700000000002</v>
      </c>
    </row>
    <row r="364" spans="1:22" ht="16.8" x14ac:dyDescent="0.3">
      <c r="A364" s="20">
        <v>36.299999999999997</v>
      </c>
      <c r="B364" s="20">
        <v>77</v>
      </c>
      <c r="C364" s="26">
        <v>77.209999999999994</v>
      </c>
      <c r="D364" s="20">
        <v>-0.21</v>
      </c>
      <c r="E364" s="20">
        <v>0.04</v>
      </c>
      <c r="F364" s="26">
        <v>2329.46</v>
      </c>
      <c r="Q364" s="20">
        <v>36.299999999999997</v>
      </c>
      <c r="R364" s="20">
        <v>76.83</v>
      </c>
      <c r="S364" s="26">
        <v>77</v>
      </c>
      <c r="T364" s="26">
        <v>0.17</v>
      </c>
      <c r="U364" s="26">
        <v>-0.04</v>
      </c>
      <c r="V364" s="26">
        <v>2123.5100000000002</v>
      </c>
    </row>
    <row r="365" spans="1:22" ht="16.8" x14ac:dyDescent="0.3">
      <c r="A365" s="20">
        <v>36.4</v>
      </c>
      <c r="B365" s="20">
        <v>77</v>
      </c>
      <c r="C365" s="20">
        <v>77.23</v>
      </c>
      <c r="D365" s="20">
        <v>-0.23</v>
      </c>
      <c r="E365" s="20">
        <v>-0.02</v>
      </c>
      <c r="F365" s="26">
        <v>2290.41</v>
      </c>
      <c r="Q365" s="20">
        <v>36.4</v>
      </c>
      <c r="R365" s="20">
        <v>76.819999999999993</v>
      </c>
      <c r="S365" s="26">
        <v>77</v>
      </c>
      <c r="T365" s="26">
        <v>0.18</v>
      </c>
      <c r="U365" s="26">
        <v>0.02</v>
      </c>
      <c r="V365" s="20">
        <v>2172.33</v>
      </c>
    </row>
    <row r="366" spans="1:22" ht="16.8" x14ac:dyDescent="0.3">
      <c r="A366" s="20">
        <v>36.5</v>
      </c>
      <c r="B366" s="20">
        <v>77</v>
      </c>
      <c r="C366" s="26">
        <v>77.23</v>
      </c>
      <c r="D366" s="20">
        <v>-0.23</v>
      </c>
      <c r="E366" s="20">
        <v>0</v>
      </c>
      <c r="F366" s="26">
        <v>2308.81</v>
      </c>
      <c r="Q366" s="20">
        <v>36.5</v>
      </c>
      <c r="R366" s="20">
        <v>76.84</v>
      </c>
      <c r="S366" s="26">
        <v>77</v>
      </c>
      <c r="T366" s="26">
        <v>0.16</v>
      </c>
      <c r="U366" s="26">
        <v>-0.02</v>
      </c>
      <c r="V366" s="20">
        <v>2136.08</v>
      </c>
    </row>
    <row r="367" spans="1:22" ht="16.8" x14ac:dyDescent="0.3">
      <c r="A367" s="20">
        <v>36.6</v>
      </c>
      <c r="B367" s="20">
        <v>77</v>
      </c>
      <c r="C367" s="26">
        <v>77.290000000000006</v>
      </c>
      <c r="D367" s="20">
        <v>-0.28999999999999998</v>
      </c>
      <c r="E367" s="20">
        <v>-0.06</v>
      </c>
      <c r="F367" s="26">
        <v>2183.42</v>
      </c>
      <c r="Q367" s="20">
        <v>36.6</v>
      </c>
      <c r="R367" s="20">
        <v>76.87</v>
      </c>
      <c r="S367" s="26">
        <v>77</v>
      </c>
      <c r="T367" s="26">
        <v>0.13</v>
      </c>
      <c r="U367" s="26">
        <v>-0.02</v>
      </c>
      <c r="V367" s="26">
        <v>2132.2199999999998</v>
      </c>
    </row>
    <row r="368" spans="1:22" ht="16.8" x14ac:dyDescent="0.3">
      <c r="A368" s="20">
        <v>36.700000000000003</v>
      </c>
      <c r="B368" s="20">
        <v>77</v>
      </c>
      <c r="C368" s="20">
        <v>77.25</v>
      </c>
      <c r="D368" s="20">
        <v>-0.25</v>
      </c>
      <c r="E368" s="20">
        <v>0.04</v>
      </c>
      <c r="F368" s="26">
        <v>2288.0100000000002</v>
      </c>
      <c r="Q368" s="20">
        <v>36.700000000000003</v>
      </c>
      <c r="R368" s="20">
        <v>76.790000000000006</v>
      </c>
      <c r="S368" s="26">
        <v>77</v>
      </c>
      <c r="T368" s="26">
        <v>0.21</v>
      </c>
      <c r="U368" s="26">
        <v>0.08</v>
      </c>
      <c r="V368" s="20">
        <v>2231.4</v>
      </c>
    </row>
    <row r="369" spans="1:22" ht="16.8" x14ac:dyDescent="0.3">
      <c r="A369" s="20">
        <v>36.799999999999997</v>
      </c>
      <c r="B369" s="20">
        <v>77</v>
      </c>
      <c r="C369" s="26">
        <v>77.319999999999993</v>
      </c>
      <c r="D369" s="20">
        <v>-0.32</v>
      </c>
      <c r="E369" s="20">
        <v>-0.08</v>
      </c>
      <c r="F369" s="26">
        <v>2137.5100000000002</v>
      </c>
      <c r="Q369" s="20">
        <v>36.799999999999997</v>
      </c>
      <c r="R369" s="20">
        <v>76.87</v>
      </c>
      <c r="S369" s="26">
        <v>77</v>
      </c>
      <c r="T369" s="26">
        <v>0.13</v>
      </c>
      <c r="U369" s="26">
        <v>-0.08</v>
      </c>
      <c r="V369" s="26">
        <v>2087.77</v>
      </c>
    </row>
    <row r="370" spans="1:22" ht="16.8" x14ac:dyDescent="0.3">
      <c r="A370" s="20">
        <v>36.9</v>
      </c>
      <c r="B370" s="20">
        <v>77</v>
      </c>
      <c r="C370" s="20">
        <v>77.28</v>
      </c>
      <c r="D370" s="20">
        <v>-0.28000000000000003</v>
      </c>
      <c r="E370" s="20">
        <v>0.04</v>
      </c>
      <c r="F370" s="26">
        <v>2254.17</v>
      </c>
      <c r="Q370" s="20">
        <v>36.9</v>
      </c>
      <c r="R370" s="20">
        <v>76.849999999999994</v>
      </c>
      <c r="S370" s="26">
        <v>77</v>
      </c>
      <c r="T370" s="26">
        <v>0.15</v>
      </c>
      <c r="U370" s="26">
        <v>0.02</v>
      </c>
      <c r="V370" s="20">
        <v>2168.98</v>
      </c>
    </row>
    <row r="371" spans="1:22" ht="16.8" x14ac:dyDescent="0.3">
      <c r="A371" s="20">
        <v>37</v>
      </c>
      <c r="B371" s="20">
        <v>77</v>
      </c>
      <c r="C371" s="26">
        <v>77.319999999999993</v>
      </c>
      <c r="D371" s="20">
        <v>-0.32</v>
      </c>
      <c r="E371" s="20">
        <v>-0.04</v>
      </c>
      <c r="F371" s="26">
        <v>2166.16</v>
      </c>
      <c r="Q371" s="20">
        <v>37</v>
      </c>
      <c r="R371" s="20">
        <v>76.92</v>
      </c>
      <c r="S371" s="26">
        <v>77</v>
      </c>
      <c r="T371" s="26">
        <v>0.08</v>
      </c>
      <c r="U371" s="26">
        <v>-7.0000000000000007E-2</v>
      </c>
      <c r="V371" s="26">
        <v>2085.0500000000002</v>
      </c>
    </row>
    <row r="372" spans="1:22" ht="16.8" x14ac:dyDescent="0.3">
      <c r="A372" s="20">
        <v>37.1</v>
      </c>
      <c r="B372" s="20">
        <v>77</v>
      </c>
      <c r="C372" s="26">
        <v>77.290000000000006</v>
      </c>
      <c r="D372" s="20">
        <v>-0.28999999999999998</v>
      </c>
      <c r="E372" s="20">
        <v>0.03</v>
      </c>
      <c r="F372" s="26">
        <v>2236.87</v>
      </c>
      <c r="Q372" s="20">
        <v>37.1</v>
      </c>
      <c r="R372" s="20">
        <v>76.87</v>
      </c>
      <c r="S372" s="26">
        <v>77</v>
      </c>
      <c r="T372" s="20">
        <v>0.13</v>
      </c>
      <c r="U372" s="26">
        <v>0.05</v>
      </c>
      <c r="V372" s="20">
        <v>2191.29</v>
      </c>
    </row>
    <row r="373" spans="1:22" ht="16.8" x14ac:dyDescent="0.3">
      <c r="A373" s="20">
        <v>37.200000000000003</v>
      </c>
      <c r="B373" s="20">
        <v>77</v>
      </c>
      <c r="C373" s="20">
        <v>77.319999999999993</v>
      </c>
      <c r="D373" s="20">
        <v>-0.32</v>
      </c>
      <c r="E373" s="20">
        <v>-0.02</v>
      </c>
      <c r="F373" s="26">
        <v>2188.63</v>
      </c>
      <c r="Q373" s="20">
        <v>37.200000000000003</v>
      </c>
      <c r="R373" s="20">
        <v>76.88</v>
      </c>
      <c r="S373" s="26">
        <v>77</v>
      </c>
      <c r="T373" s="26">
        <v>0.12</v>
      </c>
      <c r="U373" s="26">
        <v>-0.01</v>
      </c>
      <c r="V373" s="26">
        <v>2144.77</v>
      </c>
    </row>
    <row r="374" spans="1:22" ht="16.8" x14ac:dyDescent="0.3">
      <c r="A374" s="20">
        <v>37.299999999999997</v>
      </c>
      <c r="B374" s="20">
        <v>77</v>
      </c>
      <c r="C374" s="26">
        <v>77.31</v>
      </c>
      <c r="D374" s="20">
        <v>-0.31</v>
      </c>
      <c r="E374" s="20">
        <v>0.01</v>
      </c>
      <c r="F374" s="26">
        <v>2219.25</v>
      </c>
      <c r="Q374" s="20">
        <v>37.299999999999997</v>
      </c>
      <c r="R374" s="20">
        <v>76.87</v>
      </c>
      <c r="S374" s="26">
        <v>77</v>
      </c>
      <c r="T374" s="20">
        <v>0.13</v>
      </c>
      <c r="U374" s="26">
        <v>0.02</v>
      </c>
      <c r="V374" s="20">
        <v>2167.4499999999998</v>
      </c>
    </row>
    <row r="375" spans="1:22" ht="16.8" x14ac:dyDescent="0.3">
      <c r="A375" s="20">
        <v>37.4</v>
      </c>
      <c r="B375" s="20">
        <v>77</v>
      </c>
      <c r="C375" s="26">
        <v>77.31</v>
      </c>
      <c r="D375" s="20">
        <v>-0.31</v>
      </c>
      <c r="E375" s="20">
        <v>0</v>
      </c>
      <c r="F375" s="26">
        <v>2211.19</v>
      </c>
      <c r="Q375" s="20">
        <v>37.4</v>
      </c>
      <c r="R375" s="20">
        <v>76.87</v>
      </c>
      <c r="S375" s="26">
        <v>77</v>
      </c>
      <c r="T375" s="26">
        <v>0.13</v>
      </c>
      <c r="U375" s="26">
        <v>-0.01</v>
      </c>
      <c r="V375" s="26">
        <v>2146.9299999999998</v>
      </c>
    </row>
    <row r="376" spans="1:22" ht="16.8" x14ac:dyDescent="0.3">
      <c r="A376" s="20">
        <v>37.5</v>
      </c>
      <c r="B376" s="20">
        <v>77</v>
      </c>
      <c r="C376" s="20">
        <v>77.39</v>
      </c>
      <c r="D376" s="20">
        <v>-0.39</v>
      </c>
      <c r="E376" s="20">
        <v>-0.08</v>
      </c>
      <c r="F376" s="20">
        <v>2047.32</v>
      </c>
      <c r="Q376" s="20">
        <v>37.5</v>
      </c>
      <c r="R376" s="20">
        <v>76.83</v>
      </c>
      <c r="S376" s="26">
        <v>77</v>
      </c>
      <c r="T376" s="26">
        <v>0.17</v>
      </c>
      <c r="U376" s="26">
        <v>0.05</v>
      </c>
      <c r="V376" s="20">
        <v>2201.36</v>
      </c>
    </row>
    <row r="377" spans="1:22" ht="16.8" x14ac:dyDescent="0.3">
      <c r="A377" s="20">
        <v>37.6</v>
      </c>
      <c r="B377" s="20">
        <v>77</v>
      </c>
      <c r="C377" s="26">
        <v>77.38</v>
      </c>
      <c r="D377" s="20">
        <v>-0.38</v>
      </c>
      <c r="E377" s="20">
        <v>0.02</v>
      </c>
      <c r="F377" s="26">
        <v>2139.65</v>
      </c>
      <c r="Q377" s="20">
        <v>37.6</v>
      </c>
      <c r="R377" s="20">
        <v>76.89</v>
      </c>
      <c r="S377" s="20">
        <v>77</v>
      </c>
      <c r="T377" s="26">
        <v>0.11</v>
      </c>
      <c r="U377" s="26">
        <v>-0.06</v>
      </c>
      <c r="V377" s="20">
        <v>2099.46</v>
      </c>
    </row>
    <row r="378" spans="1:22" ht="16.8" x14ac:dyDescent="0.3">
      <c r="A378" s="20">
        <v>37.700000000000003</v>
      </c>
      <c r="B378" s="20">
        <v>77</v>
      </c>
      <c r="C378" s="20">
        <v>77.34</v>
      </c>
      <c r="D378" s="20">
        <v>-0.34</v>
      </c>
      <c r="E378" s="20">
        <v>0.04</v>
      </c>
      <c r="F378" s="20">
        <v>2187.5500000000002</v>
      </c>
      <c r="Q378" s="20">
        <v>37.700000000000003</v>
      </c>
      <c r="R378" s="20">
        <v>76.91</v>
      </c>
      <c r="S378" s="26">
        <v>77</v>
      </c>
      <c r="T378" s="26">
        <v>0.09</v>
      </c>
      <c r="U378" s="26">
        <v>-0.02</v>
      </c>
      <c r="V378" s="26">
        <v>2135.88</v>
      </c>
    </row>
    <row r="379" spans="1:22" ht="16.8" x14ac:dyDescent="0.3">
      <c r="A379" s="20">
        <v>37.799999999999997</v>
      </c>
      <c r="B379" s="20">
        <v>77</v>
      </c>
      <c r="C379" s="26">
        <v>77.38</v>
      </c>
      <c r="D379" s="20">
        <v>-0.38</v>
      </c>
      <c r="E379" s="20">
        <v>-0.04</v>
      </c>
      <c r="F379" s="26">
        <v>2103.5</v>
      </c>
      <c r="Q379" s="20">
        <v>37.799999999999997</v>
      </c>
      <c r="R379" s="20">
        <v>76.87</v>
      </c>
      <c r="S379" s="20">
        <v>77</v>
      </c>
      <c r="T379" s="26">
        <v>0.13</v>
      </c>
      <c r="U379" s="20">
        <v>0.03</v>
      </c>
      <c r="V379" s="20">
        <v>2180.85</v>
      </c>
    </row>
    <row r="380" spans="1:22" ht="16.8" x14ac:dyDescent="0.3">
      <c r="A380" s="20">
        <v>37.9</v>
      </c>
      <c r="B380" s="20">
        <v>77</v>
      </c>
      <c r="C380" s="26">
        <v>77.41</v>
      </c>
      <c r="D380" s="20">
        <v>-0.41</v>
      </c>
      <c r="E380" s="20">
        <v>-0.03</v>
      </c>
      <c r="F380" s="26">
        <v>2069.35</v>
      </c>
      <c r="Q380" s="20">
        <v>37.9</v>
      </c>
      <c r="R380" s="20">
        <v>76.88</v>
      </c>
      <c r="S380" s="26">
        <v>77</v>
      </c>
      <c r="T380" s="26">
        <v>0.12</v>
      </c>
      <c r="U380" s="26">
        <v>-0.01</v>
      </c>
      <c r="V380" s="26">
        <v>2147.31</v>
      </c>
    </row>
    <row r="381" spans="1:22" ht="16.8" x14ac:dyDescent="0.3">
      <c r="A381" s="20">
        <v>38</v>
      </c>
      <c r="B381" s="20">
        <v>77</v>
      </c>
      <c r="C381" s="20">
        <v>77.39</v>
      </c>
      <c r="D381" s="20">
        <v>-0.39</v>
      </c>
      <c r="E381" s="20">
        <v>0.02</v>
      </c>
      <c r="F381" s="26">
        <v>2124.54</v>
      </c>
      <c r="Q381" s="20">
        <v>38</v>
      </c>
      <c r="R381" s="20">
        <v>76.92</v>
      </c>
      <c r="S381" s="26">
        <v>77</v>
      </c>
      <c r="T381" s="20">
        <v>0.08</v>
      </c>
      <c r="U381" s="26">
        <v>-0.04</v>
      </c>
      <c r="V381" s="20">
        <v>2114.5</v>
      </c>
    </row>
    <row r="382" spans="1:22" ht="16.8" x14ac:dyDescent="0.3">
      <c r="A382" s="20">
        <v>38.1</v>
      </c>
      <c r="B382" s="20">
        <v>77</v>
      </c>
      <c r="C382" s="26">
        <v>77.38</v>
      </c>
      <c r="D382" s="20">
        <v>-0.38</v>
      </c>
      <c r="E382" s="20">
        <v>0.01</v>
      </c>
      <c r="F382" s="26">
        <v>2139.65</v>
      </c>
      <c r="Q382" s="20">
        <v>38.1</v>
      </c>
      <c r="R382" s="20">
        <v>76.930000000000007</v>
      </c>
      <c r="S382" s="26">
        <v>77</v>
      </c>
      <c r="T382" s="26">
        <v>7.0000000000000007E-2</v>
      </c>
      <c r="U382" s="26">
        <v>-0.01</v>
      </c>
      <c r="V382" s="26">
        <v>2139.27</v>
      </c>
    </row>
    <row r="383" spans="1:22" ht="16.8" x14ac:dyDescent="0.3">
      <c r="A383" s="20">
        <v>38.200000000000003</v>
      </c>
      <c r="B383" s="20">
        <v>77</v>
      </c>
      <c r="C383" s="26">
        <v>77.349999999999994</v>
      </c>
      <c r="D383" s="20">
        <v>-0.35</v>
      </c>
      <c r="E383" s="20">
        <v>0.03</v>
      </c>
      <c r="F383" s="26">
        <v>2173.5700000000002</v>
      </c>
      <c r="Q383" s="20">
        <v>38.200000000000003</v>
      </c>
      <c r="R383" s="20">
        <v>76.91</v>
      </c>
      <c r="S383" s="26">
        <v>77</v>
      </c>
      <c r="T383" s="20">
        <v>0.09</v>
      </c>
      <c r="U383" s="26">
        <v>0.02</v>
      </c>
      <c r="V383" s="20">
        <v>2169.7399999999998</v>
      </c>
    </row>
    <row r="384" spans="1:22" ht="16.8" x14ac:dyDescent="0.3">
      <c r="A384" s="20">
        <v>38.299999999999997</v>
      </c>
      <c r="B384" s="20">
        <v>77</v>
      </c>
      <c r="C384" s="20">
        <v>77.34</v>
      </c>
      <c r="D384" s="20">
        <v>-0.34</v>
      </c>
      <c r="E384" s="20">
        <v>0.01</v>
      </c>
      <c r="F384" s="26">
        <v>2187.5500000000002</v>
      </c>
      <c r="Q384" s="20">
        <v>38.299999999999997</v>
      </c>
      <c r="R384" s="20">
        <v>76.87</v>
      </c>
      <c r="S384" s="26">
        <v>77</v>
      </c>
      <c r="T384" s="26">
        <v>0.13</v>
      </c>
      <c r="U384" s="26">
        <v>0.03</v>
      </c>
      <c r="V384" s="26">
        <v>2182.2399999999998</v>
      </c>
    </row>
    <row r="385" spans="1:22" ht="16.8" x14ac:dyDescent="0.3">
      <c r="A385" s="20">
        <v>38.4</v>
      </c>
      <c r="B385" s="20">
        <v>77</v>
      </c>
      <c r="C385" s="26">
        <v>77.33</v>
      </c>
      <c r="D385" s="20">
        <v>-0.33</v>
      </c>
      <c r="E385" s="20">
        <v>0.01</v>
      </c>
      <c r="F385" s="26">
        <v>2196.7600000000002</v>
      </c>
      <c r="Q385" s="20">
        <v>38.4</v>
      </c>
      <c r="R385" s="20">
        <v>76.900000000000006</v>
      </c>
      <c r="S385" s="26">
        <v>77</v>
      </c>
      <c r="T385" s="26">
        <v>0.1</v>
      </c>
      <c r="U385" s="26">
        <v>-0.02</v>
      </c>
      <c r="V385" s="20">
        <v>2132.85</v>
      </c>
    </row>
    <row r="386" spans="1:22" ht="16.8" x14ac:dyDescent="0.3">
      <c r="A386" s="20">
        <v>38.5</v>
      </c>
      <c r="B386" s="20">
        <v>77</v>
      </c>
      <c r="C386" s="20">
        <v>77.36</v>
      </c>
      <c r="D386" s="20">
        <v>-0.36</v>
      </c>
      <c r="E386" s="20">
        <v>-0.03</v>
      </c>
      <c r="F386" s="26">
        <v>2130.31</v>
      </c>
      <c r="Q386" s="20">
        <v>38.5</v>
      </c>
      <c r="R386" s="20">
        <v>76.92</v>
      </c>
      <c r="S386" s="26">
        <v>77</v>
      </c>
      <c r="T386" s="26">
        <v>0.08</v>
      </c>
      <c r="U386" s="26">
        <v>-0.02</v>
      </c>
      <c r="V386" s="26">
        <v>2136.77</v>
      </c>
    </row>
    <row r="387" spans="1:22" ht="16.8" x14ac:dyDescent="0.3">
      <c r="A387" s="20">
        <v>38.6</v>
      </c>
      <c r="B387" s="20">
        <v>77</v>
      </c>
      <c r="C387" s="26">
        <v>77.349999999999994</v>
      </c>
      <c r="D387" s="20">
        <v>-0.35</v>
      </c>
      <c r="E387" s="20">
        <v>0.02</v>
      </c>
      <c r="F387" s="26">
        <v>2178.27</v>
      </c>
      <c r="Q387" s="20">
        <v>38.6</v>
      </c>
      <c r="R387" s="20">
        <v>76.900000000000006</v>
      </c>
      <c r="S387" s="26">
        <v>77</v>
      </c>
      <c r="T387" s="26">
        <v>0.1</v>
      </c>
      <c r="U387" s="26">
        <v>0.02</v>
      </c>
      <c r="V387" s="20">
        <v>2165.86</v>
      </c>
    </row>
    <row r="388" spans="1:22" ht="16.8" x14ac:dyDescent="0.3">
      <c r="A388" s="20">
        <v>38.700000000000003</v>
      </c>
      <c r="B388" s="20">
        <v>77</v>
      </c>
      <c r="C388" s="26">
        <v>77.34</v>
      </c>
      <c r="D388" s="20">
        <v>-0.34</v>
      </c>
      <c r="E388" s="20">
        <v>0</v>
      </c>
      <c r="F388" s="26">
        <v>2182.9299999999998</v>
      </c>
      <c r="Q388" s="20">
        <v>38.700000000000003</v>
      </c>
      <c r="R388" s="20">
        <v>76.92</v>
      </c>
      <c r="S388" s="26">
        <v>77</v>
      </c>
      <c r="T388" s="26">
        <v>0.08</v>
      </c>
      <c r="U388" s="26">
        <v>-0.02</v>
      </c>
      <c r="V388" s="26">
        <v>2137.31</v>
      </c>
    </row>
    <row r="389" spans="1:22" ht="16.8" x14ac:dyDescent="0.3">
      <c r="A389" s="20">
        <v>38.799999999999997</v>
      </c>
      <c r="B389" s="20">
        <v>77</v>
      </c>
      <c r="C389" s="20">
        <v>77.27</v>
      </c>
      <c r="D389" s="20">
        <v>-0.27</v>
      </c>
      <c r="E389" s="20">
        <v>7.0000000000000007E-2</v>
      </c>
      <c r="F389" s="26">
        <v>2262.6999999999998</v>
      </c>
      <c r="Q389" s="20">
        <v>38.799999999999997</v>
      </c>
      <c r="R389" s="20">
        <v>76.86</v>
      </c>
      <c r="S389" s="26">
        <v>77</v>
      </c>
      <c r="T389" s="26">
        <v>0.14000000000000001</v>
      </c>
      <c r="U389" s="26">
        <v>0.06</v>
      </c>
      <c r="V389" s="20">
        <v>2206.0500000000002</v>
      </c>
    </row>
    <row r="390" spans="1:22" ht="16.8" x14ac:dyDescent="0.3">
      <c r="A390" s="20">
        <v>38.9</v>
      </c>
      <c r="B390" s="20">
        <v>77</v>
      </c>
      <c r="C390" s="26">
        <v>77.34</v>
      </c>
      <c r="D390" s="20">
        <v>-0.34</v>
      </c>
      <c r="E390" s="20">
        <v>-7.0000000000000007E-2</v>
      </c>
      <c r="F390" s="26">
        <v>2118.1999999999998</v>
      </c>
      <c r="Q390" s="20">
        <v>38.9</v>
      </c>
      <c r="R390" s="20">
        <v>76.930000000000007</v>
      </c>
      <c r="S390" s="26">
        <v>77</v>
      </c>
      <c r="T390" s="26">
        <v>7.0000000000000007E-2</v>
      </c>
      <c r="U390" s="26">
        <v>-7.0000000000000007E-2</v>
      </c>
      <c r="V390" s="26">
        <v>2089.63</v>
      </c>
    </row>
    <row r="391" spans="1:22" ht="16.8" x14ac:dyDescent="0.3">
      <c r="A391" s="20">
        <v>39</v>
      </c>
      <c r="B391" s="20">
        <v>77</v>
      </c>
      <c r="C391" s="26">
        <v>77.260000000000005</v>
      </c>
      <c r="D391" s="20">
        <v>-0.26</v>
      </c>
      <c r="E391" s="20">
        <v>0.08</v>
      </c>
      <c r="F391" s="20">
        <v>2271.1799999999998</v>
      </c>
      <c r="Q391" s="20">
        <v>39</v>
      </c>
      <c r="R391" s="20">
        <v>76.95</v>
      </c>
      <c r="S391" s="26">
        <v>77</v>
      </c>
      <c r="T391" s="26">
        <v>0.05</v>
      </c>
      <c r="U391" s="26">
        <v>-0.02</v>
      </c>
      <c r="V391" s="20">
        <v>2132.42</v>
      </c>
    </row>
    <row r="392" spans="1:22" ht="16.8" x14ac:dyDescent="0.3">
      <c r="A392" s="20">
        <v>39.1</v>
      </c>
      <c r="B392" s="20">
        <v>77</v>
      </c>
      <c r="C392" s="20">
        <v>77.25</v>
      </c>
      <c r="D392" s="20">
        <v>-0.25</v>
      </c>
      <c r="E392" s="20">
        <v>0.01</v>
      </c>
      <c r="F392" s="26">
        <v>2283.84</v>
      </c>
      <c r="Q392" s="20">
        <v>39.1</v>
      </c>
      <c r="R392" s="20">
        <v>76.92</v>
      </c>
      <c r="S392" s="26">
        <v>77</v>
      </c>
      <c r="T392" s="26">
        <v>0.08</v>
      </c>
      <c r="U392" s="26">
        <v>0.03</v>
      </c>
      <c r="V392" s="26">
        <v>2177.2800000000002</v>
      </c>
    </row>
    <row r="393" spans="1:22" ht="16.8" x14ac:dyDescent="0.3">
      <c r="A393" s="20">
        <v>39.200000000000003</v>
      </c>
      <c r="B393" s="20">
        <v>77</v>
      </c>
      <c r="C393" s="26">
        <v>77.27</v>
      </c>
      <c r="D393" s="20">
        <v>-0.27</v>
      </c>
      <c r="E393" s="20">
        <v>-0.02</v>
      </c>
      <c r="F393" s="26">
        <v>2236.64</v>
      </c>
      <c r="Q393" s="20">
        <v>39.200000000000003</v>
      </c>
      <c r="R393" s="20">
        <v>76.959999999999994</v>
      </c>
      <c r="S393" s="26">
        <v>77</v>
      </c>
      <c r="T393" s="26">
        <v>0.04</v>
      </c>
      <c r="U393" s="26">
        <v>-0.04</v>
      </c>
      <c r="V393" s="20">
        <v>2111.9</v>
      </c>
    </row>
    <row r="394" spans="1:22" ht="16.8" x14ac:dyDescent="0.3">
      <c r="A394" s="20">
        <v>39.299999999999997</v>
      </c>
      <c r="B394" s="20">
        <v>77</v>
      </c>
      <c r="C394" s="26">
        <v>77.22</v>
      </c>
      <c r="D394" s="20">
        <v>-0.22</v>
      </c>
      <c r="E394" s="20">
        <v>0.05</v>
      </c>
      <c r="F394" s="20">
        <v>2312.96</v>
      </c>
      <c r="Q394" s="20">
        <v>39.299999999999997</v>
      </c>
      <c r="R394" s="20">
        <v>76.900000000000006</v>
      </c>
      <c r="S394" s="26">
        <v>77</v>
      </c>
      <c r="T394" s="20">
        <v>0.1</v>
      </c>
      <c r="U394" s="20">
        <v>0.06</v>
      </c>
      <c r="V394" s="20">
        <v>2200.0100000000002</v>
      </c>
    </row>
    <row r="395" spans="1:22" ht="16.8" x14ac:dyDescent="0.3">
      <c r="A395" s="20">
        <v>39.4</v>
      </c>
      <c r="B395" s="20">
        <v>77</v>
      </c>
      <c r="C395" s="20">
        <v>77.22</v>
      </c>
      <c r="D395" s="20">
        <v>-0.22</v>
      </c>
      <c r="E395" s="20">
        <v>0</v>
      </c>
      <c r="F395" s="26">
        <v>2317.04</v>
      </c>
      <c r="Q395" s="20">
        <v>39.4</v>
      </c>
      <c r="R395" s="20">
        <v>76.92</v>
      </c>
      <c r="S395" s="26">
        <v>77</v>
      </c>
      <c r="T395" s="26">
        <v>0.08</v>
      </c>
      <c r="U395" s="26">
        <v>-0.02</v>
      </c>
      <c r="V395" s="26">
        <v>2131.06</v>
      </c>
    </row>
    <row r="396" spans="1:22" ht="16.8" x14ac:dyDescent="0.3">
      <c r="A396" s="20">
        <v>39.5</v>
      </c>
      <c r="B396" s="20">
        <v>77</v>
      </c>
      <c r="C396" s="26">
        <v>77.27</v>
      </c>
      <c r="D396" s="20">
        <v>-0.27</v>
      </c>
      <c r="E396" s="20">
        <v>-0.06</v>
      </c>
      <c r="F396" s="26">
        <v>2207.6999999999998</v>
      </c>
      <c r="Q396" s="20">
        <v>39.5</v>
      </c>
      <c r="R396" s="20">
        <v>76.97</v>
      </c>
      <c r="S396" s="26">
        <v>77</v>
      </c>
      <c r="T396" s="26">
        <v>0.03</v>
      </c>
      <c r="U396" s="20">
        <v>-0.05</v>
      </c>
      <c r="V396" s="20">
        <v>2103.19</v>
      </c>
    </row>
    <row r="397" spans="1:22" ht="16.8" x14ac:dyDescent="0.3">
      <c r="A397" s="20">
        <v>39.6</v>
      </c>
      <c r="B397" s="20">
        <v>77</v>
      </c>
      <c r="C397" s="26">
        <v>77.27</v>
      </c>
      <c r="D397" s="20">
        <v>-0.27</v>
      </c>
      <c r="E397" s="20">
        <v>0</v>
      </c>
      <c r="F397" s="26">
        <v>2262.6999999999998</v>
      </c>
      <c r="Q397" s="20">
        <v>39.6</v>
      </c>
      <c r="R397" s="20">
        <v>76.900000000000006</v>
      </c>
      <c r="S397" s="26">
        <v>77</v>
      </c>
      <c r="T397" s="26">
        <v>0.1</v>
      </c>
      <c r="U397" s="26">
        <v>7.0000000000000007E-2</v>
      </c>
      <c r="V397" s="26">
        <v>2213.59</v>
      </c>
    </row>
    <row r="398" spans="1:22" ht="16.8" x14ac:dyDescent="0.3">
      <c r="A398" s="20">
        <v>39.700000000000003</v>
      </c>
      <c r="B398" s="20">
        <v>77</v>
      </c>
      <c r="C398" s="20">
        <v>77.2</v>
      </c>
      <c r="D398" s="20">
        <v>-0.2</v>
      </c>
      <c r="E398" s="20">
        <v>7.0000000000000007E-2</v>
      </c>
      <c r="F398" s="26">
        <v>2333.5700000000002</v>
      </c>
      <c r="Q398" s="20">
        <v>39.700000000000003</v>
      </c>
      <c r="R398" s="20">
        <v>76.92</v>
      </c>
      <c r="S398" s="26">
        <v>77</v>
      </c>
      <c r="T398" s="26">
        <v>0.08</v>
      </c>
      <c r="U398" s="26">
        <v>-0.02</v>
      </c>
      <c r="V398" s="20">
        <v>2139.58</v>
      </c>
    </row>
    <row r="399" spans="1:22" ht="16.8" x14ac:dyDescent="0.3">
      <c r="A399" s="20">
        <v>39.799999999999997</v>
      </c>
      <c r="B399" s="20">
        <v>77</v>
      </c>
      <c r="C399" s="26">
        <v>77.239999999999995</v>
      </c>
      <c r="D399" s="20">
        <v>-0.24</v>
      </c>
      <c r="E399" s="20">
        <v>-0.04</v>
      </c>
      <c r="F399" s="26">
        <v>2263.4</v>
      </c>
      <c r="Q399" s="20">
        <v>39.799999999999997</v>
      </c>
      <c r="R399" s="20">
        <v>76.92</v>
      </c>
      <c r="S399" s="26">
        <v>77</v>
      </c>
      <c r="T399" s="20">
        <v>0.08</v>
      </c>
      <c r="U399" s="26">
        <v>-0.01</v>
      </c>
      <c r="V399" s="26">
        <v>2144.89</v>
      </c>
    </row>
    <row r="400" spans="1:22" ht="16.8" x14ac:dyDescent="0.3">
      <c r="A400" s="20">
        <v>39.9</v>
      </c>
      <c r="B400" s="20">
        <v>77</v>
      </c>
      <c r="C400" s="26">
        <v>77.23</v>
      </c>
      <c r="D400" s="20">
        <v>-0.23</v>
      </c>
      <c r="E400" s="20">
        <v>0.01</v>
      </c>
      <c r="F400" s="26">
        <v>2304.6799999999998</v>
      </c>
      <c r="Q400" s="20">
        <v>39.9</v>
      </c>
      <c r="R400" s="20">
        <v>76.95</v>
      </c>
      <c r="S400" s="26">
        <v>77</v>
      </c>
      <c r="T400" s="26">
        <v>0.05</v>
      </c>
      <c r="U400" s="26">
        <v>-0.02</v>
      </c>
      <c r="V400" s="20">
        <v>2127.8200000000002</v>
      </c>
    </row>
    <row r="401" spans="1:22" ht="16.8" x14ac:dyDescent="0.3">
      <c r="A401" s="20">
        <v>40</v>
      </c>
      <c r="B401" s="20">
        <v>77</v>
      </c>
      <c r="C401" s="20">
        <v>77.239999999999995</v>
      </c>
      <c r="D401" s="20">
        <v>-0.24</v>
      </c>
      <c r="E401" s="20">
        <v>-0.01</v>
      </c>
      <c r="F401" s="20">
        <v>2281.2199999999998</v>
      </c>
      <c r="Q401" s="20">
        <v>40</v>
      </c>
      <c r="R401" s="20">
        <v>76.95</v>
      </c>
      <c r="S401" s="26">
        <v>77</v>
      </c>
      <c r="T401" s="20">
        <v>0.05</v>
      </c>
      <c r="U401" s="26">
        <v>0</v>
      </c>
      <c r="V401" s="20">
        <v>2147.46</v>
      </c>
    </row>
    <row r="402" spans="1:22" ht="16.8" x14ac:dyDescent="0.3">
      <c r="A402" s="20">
        <v>40.1</v>
      </c>
      <c r="B402" s="20">
        <v>77</v>
      </c>
      <c r="C402" s="26">
        <v>77.25</v>
      </c>
      <c r="D402" s="20">
        <v>-0.25</v>
      </c>
      <c r="E402" s="20">
        <v>-0.01</v>
      </c>
      <c r="F402" s="26">
        <v>2268.73</v>
      </c>
      <c r="Q402" s="20">
        <v>40.1</v>
      </c>
      <c r="R402" s="20">
        <v>76.930000000000007</v>
      </c>
      <c r="S402" s="26">
        <v>77</v>
      </c>
      <c r="T402" s="26">
        <v>7.0000000000000007E-2</v>
      </c>
      <c r="U402" s="26">
        <v>0.02</v>
      </c>
      <c r="V402" s="26">
        <v>2163.4699999999998</v>
      </c>
    </row>
    <row r="403" spans="1:22" ht="16.8" x14ac:dyDescent="0.3">
      <c r="A403" s="20">
        <v>40.200000000000003</v>
      </c>
      <c r="B403" s="20">
        <v>77</v>
      </c>
      <c r="C403" s="20">
        <v>77.23</v>
      </c>
      <c r="D403" s="20">
        <v>-0.23</v>
      </c>
      <c r="E403" s="20">
        <v>0.02</v>
      </c>
      <c r="F403" s="26">
        <v>2300.5100000000002</v>
      </c>
      <c r="Q403" s="20">
        <v>40.200000000000003</v>
      </c>
      <c r="R403" s="20">
        <v>76.89</v>
      </c>
      <c r="S403" s="26">
        <v>77</v>
      </c>
      <c r="T403" s="26">
        <v>0.11</v>
      </c>
      <c r="U403" s="26">
        <v>0.04</v>
      </c>
      <c r="V403" s="20">
        <v>2190.3200000000002</v>
      </c>
    </row>
    <row r="404" spans="1:22" ht="16.8" x14ac:dyDescent="0.3">
      <c r="A404" s="20">
        <v>40.299999999999997</v>
      </c>
      <c r="B404" s="20">
        <v>77</v>
      </c>
      <c r="C404" s="26">
        <v>77.19</v>
      </c>
      <c r="D404" s="20">
        <v>-0.19</v>
      </c>
      <c r="E404" s="20">
        <v>0.04</v>
      </c>
      <c r="F404" s="26">
        <v>2341.75</v>
      </c>
      <c r="Q404" s="20">
        <v>40.299999999999997</v>
      </c>
      <c r="R404" s="20">
        <v>76.92</v>
      </c>
      <c r="S404" s="26">
        <v>77</v>
      </c>
      <c r="T404" s="26">
        <v>0.08</v>
      </c>
      <c r="U404" s="26">
        <v>-0.03</v>
      </c>
      <c r="V404" s="26">
        <v>2126.4499999999998</v>
      </c>
    </row>
    <row r="405" spans="1:22" ht="16.8" x14ac:dyDescent="0.3">
      <c r="A405" s="20">
        <v>40.4</v>
      </c>
      <c r="B405" s="20">
        <v>77</v>
      </c>
      <c r="C405" s="26">
        <v>77.23</v>
      </c>
      <c r="D405" s="20">
        <v>-0.23</v>
      </c>
      <c r="E405" s="20">
        <v>-0.03</v>
      </c>
      <c r="F405" s="26">
        <v>2279.39</v>
      </c>
      <c r="Q405" s="20">
        <v>40.4</v>
      </c>
      <c r="R405" s="20">
        <v>76.959999999999994</v>
      </c>
      <c r="S405" s="26">
        <v>77</v>
      </c>
      <c r="T405" s="26">
        <v>0.04</v>
      </c>
      <c r="U405" s="26">
        <v>-0.03</v>
      </c>
      <c r="V405" s="20">
        <v>2120.9299999999998</v>
      </c>
    </row>
    <row r="406" spans="1:22" ht="16.8" x14ac:dyDescent="0.3">
      <c r="A406" s="20">
        <v>40.5</v>
      </c>
      <c r="B406" s="20">
        <v>77</v>
      </c>
      <c r="C406" s="20">
        <v>77.23</v>
      </c>
      <c r="D406" s="20">
        <v>-0.23</v>
      </c>
      <c r="E406" s="20">
        <v>0</v>
      </c>
      <c r="F406" s="26">
        <v>2301</v>
      </c>
      <c r="Q406" s="20">
        <v>40.5</v>
      </c>
      <c r="R406" s="20">
        <v>76.959999999999994</v>
      </c>
      <c r="S406" s="26">
        <v>77</v>
      </c>
      <c r="T406" s="26">
        <v>0.04</v>
      </c>
      <c r="U406" s="26">
        <v>-0.01</v>
      </c>
      <c r="V406" s="26">
        <v>2139.12</v>
      </c>
    </row>
    <row r="407" spans="1:22" ht="16.8" x14ac:dyDescent="0.3">
      <c r="A407" s="20">
        <v>40.6</v>
      </c>
      <c r="B407" s="20">
        <v>77</v>
      </c>
      <c r="C407" s="26">
        <v>77.28</v>
      </c>
      <c r="D407" s="20">
        <v>-0.28000000000000003</v>
      </c>
      <c r="E407" s="20">
        <v>-0.05</v>
      </c>
      <c r="F407" s="20">
        <v>2210.65</v>
      </c>
      <c r="Q407" s="20">
        <v>40.6</v>
      </c>
      <c r="R407" s="20">
        <v>76.959999999999994</v>
      </c>
      <c r="S407" s="26">
        <v>77</v>
      </c>
      <c r="T407" s="20">
        <v>0.04</v>
      </c>
      <c r="U407" s="26">
        <v>0.01</v>
      </c>
      <c r="V407" s="20">
        <v>2153.64</v>
      </c>
    </row>
    <row r="408" spans="1:22" ht="16.8" x14ac:dyDescent="0.3">
      <c r="A408" s="20">
        <v>40.700000000000003</v>
      </c>
      <c r="B408" s="20">
        <v>77</v>
      </c>
      <c r="C408" s="26">
        <v>77.239999999999995</v>
      </c>
      <c r="D408" s="20">
        <v>-0.24</v>
      </c>
      <c r="E408" s="20">
        <v>0.04</v>
      </c>
      <c r="F408" s="26">
        <v>2296.34</v>
      </c>
      <c r="Q408" s="20">
        <v>40.700000000000003</v>
      </c>
      <c r="R408" s="20">
        <v>76.959999999999994</v>
      </c>
      <c r="S408" s="26">
        <v>77</v>
      </c>
      <c r="T408" s="26">
        <v>0.04</v>
      </c>
      <c r="U408" s="26">
        <v>0</v>
      </c>
      <c r="V408" s="26">
        <v>2147.2800000000002</v>
      </c>
    </row>
    <row r="409" spans="1:22" ht="16.8" x14ac:dyDescent="0.3">
      <c r="A409" s="20">
        <v>40.799999999999997</v>
      </c>
      <c r="B409" s="20">
        <v>77</v>
      </c>
      <c r="C409" s="20">
        <v>77.290000000000006</v>
      </c>
      <c r="D409" s="20">
        <v>-0.28999999999999998</v>
      </c>
      <c r="E409" s="20">
        <v>-0.06</v>
      </c>
      <c r="F409" s="26">
        <v>2186.25</v>
      </c>
      <c r="Q409" s="20">
        <v>40.799999999999997</v>
      </c>
      <c r="R409" s="20">
        <v>77</v>
      </c>
      <c r="S409" s="26">
        <v>77</v>
      </c>
      <c r="T409" s="26">
        <v>0</v>
      </c>
      <c r="U409" s="26">
        <v>-0.04</v>
      </c>
      <c r="V409" s="20">
        <v>2107.75</v>
      </c>
    </row>
    <row r="410" spans="1:22" ht="16.8" x14ac:dyDescent="0.3">
      <c r="A410" s="20">
        <v>40.9</v>
      </c>
      <c r="B410" s="20">
        <v>77</v>
      </c>
      <c r="C410" s="26">
        <v>77.180000000000007</v>
      </c>
      <c r="D410" s="20">
        <v>-0.18</v>
      </c>
      <c r="E410" s="20">
        <v>0.11</v>
      </c>
      <c r="F410" s="26">
        <v>2349.9899999999998</v>
      </c>
      <c r="Q410" s="20">
        <v>40.9</v>
      </c>
      <c r="R410" s="20">
        <v>76.930000000000007</v>
      </c>
      <c r="S410" s="26">
        <v>77</v>
      </c>
      <c r="T410" s="26">
        <v>7.0000000000000007E-2</v>
      </c>
      <c r="U410" s="26">
        <v>0.06</v>
      </c>
      <c r="V410" s="26">
        <v>2203.69</v>
      </c>
    </row>
    <row r="411" spans="1:22" ht="16.8" x14ac:dyDescent="0.3">
      <c r="A411" s="20">
        <v>41</v>
      </c>
      <c r="B411" s="20">
        <v>77</v>
      </c>
      <c r="C411" s="20">
        <v>77.33</v>
      </c>
      <c r="D411" s="20">
        <v>-0.33</v>
      </c>
      <c r="E411" s="20">
        <v>-0.14000000000000001</v>
      </c>
      <c r="F411" s="26">
        <v>2077.66</v>
      </c>
      <c r="Q411" s="20">
        <v>41</v>
      </c>
      <c r="R411" s="20">
        <v>76.959999999999994</v>
      </c>
      <c r="S411" s="26">
        <v>77</v>
      </c>
      <c r="T411" s="26">
        <v>0.04</v>
      </c>
      <c r="U411" s="26">
        <v>-0.03</v>
      </c>
      <c r="V411" s="20">
        <v>2120.21</v>
      </c>
    </row>
    <row r="412" spans="1:22" ht="16.8" x14ac:dyDescent="0.3">
      <c r="A412" s="20">
        <v>41.1</v>
      </c>
      <c r="B412" s="20">
        <v>77</v>
      </c>
      <c r="C412" s="26">
        <v>77.14</v>
      </c>
      <c r="D412" s="20">
        <v>-0.14000000000000001</v>
      </c>
      <c r="E412" s="20">
        <v>0.19</v>
      </c>
      <c r="F412" s="20">
        <v>2377.86</v>
      </c>
      <c r="Q412" s="20">
        <v>41.1</v>
      </c>
      <c r="R412" s="20">
        <v>76.959999999999994</v>
      </c>
      <c r="S412" s="26">
        <v>77</v>
      </c>
      <c r="T412" s="26">
        <v>0.04</v>
      </c>
      <c r="U412" s="26">
        <v>0.01</v>
      </c>
      <c r="V412" s="26">
        <v>2154.2199999999998</v>
      </c>
    </row>
    <row r="413" spans="1:22" ht="16.8" x14ac:dyDescent="0.3">
      <c r="A413" s="20">
        <v>41.2</v>
      </c>
      <c r="B413" s="20">
        <v>77</v>
      </c>
      <c r="C413" s="26">
        <v>77.34</v>
      </c>
      <c r="D413" s="20">
        <v>-0.34</v>
      </c>
      <c r="E413" s="20">
        <v>-0.2</v>
      </c>
      <c r="F413" s="26">
        <v>2027.59</v>
      </c>
      <c r="Q413" s="20">
        <v>41.2</v>
      </c>
      <c r="R413" s="20">
        <v>76.989999999999995</v>
      </c>
      <c r="S413" s="26">
        <v>77</v>
      </c>
      <c r="T413" s="26">
        <v>0.01</v>
      </c>
      <c r="U413" s="26">
        <v>-0.03</v>
      </c>
      <c r="V413" s="20">
        <v>2116.13</v>
      </c>
    </row>
    <row r="414" spans="1:22" ht="16.8" x14ac:dyDescent="0.3">
      <c r="A414" s="20">
        <v>41.3</v>
      </c>
      <c r="B414" s="20">
        <v>77</v>
      </c>
      <c r="C414" s="20">
        <v>77.099999999999994</v>
      </c>
      <c r="D414" s="20">
        <v>-0.1</v>
      </c>
      <c r="E414" s="20">
        <v>0.24</v>
      </c>
      <c r="F414" s="20">
        <v>2403.79</v>
      </c>
      <c r="Q414" s="20">
        <v>41.3</v>
      </c>
      <c r="R414" s="20">
        <v>77.03</v>
      </c>
      <c r="S414" s="26">
        <v>77</v>
      </c>
      <c r="T414" s="20">
        <v>-0.03</v>
      </c>
      <c r="U414" s="26">
        <v>-0.04</v>
      </c>
      <c r="V414" s="26">
        <v>2102.5</v>
      </c>
    </row>
    <row r="415" spans="1:22" ht="16.8" x14ac:dyDescent="0.3">
      <c r="A415" s="20">
        <v>41.4</v>
      </c>
      <c r="B415" s="20">
        <v>77</v>
      </c>
      <c r="C415" s="26">
        <v>77.349999999999994</v>
      </c>
      <c r="D415" s="20">
        <v>-0.35</v>
      </c>
      <c r="E415" s="20">
        <v>-0.24</v>
      </c>
      <c r="F415" s="26">
        <v>1997.66</v>
      </c>
      <c r="Q415" s="20">
        <v>41.4</v>
      </c>
      <c r="R415" s="20">
        <v>77.040000000000006</v>
      </c>
      <c r="S415" s="26">
        <v>77</v>
      </c>
      <c r="T415" s="26">
        <v>-0.04</v>
      </c>
      <c r="U415" s="26">
        <v>-0.02</v>
      </c>
      <c r="V415" s="20">
        <v>2119.04</v>
      </c>
    </row>
    <row r="416" spans="1:22" ht="16.8" x14ac:dyDescent="0.3">
      <c r="A416" s="20">
        <v>41.5</v>
      </c>
      <c r="B416" s="20">
        <v>77</v>
      </c>
      <c r="C416" s="26">
        <v>77.11</v>
      </c>
      <c r="D416" s="20">
        <v>-0.11</v>
      </c>
      <c r="E416" s="20">
        <v>0.24</v>
      </c>
      <c r="F416" s="26">
        <v>2398.77</v>
      </c>
      <c r="Q416" s="20">
        <v>41.5</v>
      </c>
      <c r="R416" s="20">
        <v>77.03</v>
      </c>
      <c r="S416" s="26">
        <v>77</v>
      </c>
      <c r="T416" s="20">
        <v>-0.03</v>
      </c>
      <c r="U416" s="26">
        <v>0.02</v>
      </c>
      <c r="V416" s="20">
        <v>2147.7600000000002</v>
      </c>
    </row>
    <row r="417" spans="1:22" ht="16.8" x14ac:dyDescent="0.3">
      <c r="A417" s="20">
        <v>41.6</v>
      </c>
      <c r="B417" s="20">
        <v>77</v>
      </c>
      <c r="C417" s="20">
        <v>77.349999999999994</v>
      </c>
      <c r="D417" s="20">
        <v>-0.35</v>
      </c>
      <c r="E417" s="20">
        <v>-0.24</v>
      </c>
      <c r="F417" s="20">
        <v>1993.46</v>
      </c>
      <c r="Q417" s="20">
        <v>41.6</v>
      </c>
      <c r="R417" s="20">
        <v>77.040000000000006</v>
      </c>
      <c r="S417" s="26">
        <v>77</v>
      </c>
      <c r="T417" s="26">
        <v>-0.04</v>
      </c>
      <c r="U417" s="26">
        <v>-0.01</v>
      </c>
      <c r="V417" s="26">
        <v>2126.7600000000002</v>
      </c>
    </row>
    <row r="418" spans="1:22" ht="16.8" x14ac:dyDescent="0.3">
      <c r="A418" s="20">
        <v>41.7</v>
      </c>
      <c r="B418" s="20">
        <v>77</v>
      </c>
      <c r="C418" s="26">
        <v>77.12</v>
      </c>
      <c r="D418" s="20">
        <v>-0.12</v>
      </c>
      <c r="E418" s="20">
        <v>0.23</v>
      </c>
      <c r="F418" s="26">
        <v>2386.81</v>
      </c>
      <c r="Q418" s="20">
        <v>41.7</v>
      </c>
      <c r="R418" s="20">
        <v>77.12</v>
      </c>
      <c r="S418" s="26">
        <v>77</v>
      </c>
      <c r="T418" s="26">
        <v>-0.12</v>
      </c>
      <c r="U418" s="26">
        <v>-0.09</v>
      </c>
      <c r="V418" s="20">
        <v>2045.94</v>
      </c>
    </row>
    <row r="419" spans="1:22" ht="16.8" x14ac:dyDescent="0.3">
      <c r="A419" s="20">
        <v>41.8</v>
      </c>
      <c r="B419" s="20">
        <v>77</v>
      </c>
      <c r="C419" s="20">
        <v>77.34</v>
      </c>
      <c r="D419" s="20">
        <v>-0.34</v>
      </c>
      <c r="E419" s="20">
        <v>-0.22</v>
      </c>
      <c r="F419" s="26">
        <v>2028.61</v>
      </c>
      <c r="Q419" s="20">
        <v>41.8</v>
      </c>
      <c r="R419" s="20">
        <v>77.08</v>
      </c>
      <c r="S419" s="26">
        <v>77</v>
      </c>
      <c r="T419" s="20">
        <v>-0.08</v>
      </c>
      <c r="U419" s="26">
        <v>0.04</v>
      </c>
      <c r="V419" s="26">
        <v>2156.65</v>
      </c>
    </row>
    <row r="420" spans="1:22" ht="16.8" x14ac:dyDescent="0.3">
      <c r="A420" s="20">
        <v>41.9</v>
      </c>
      <c r="B420" s="20">
        <v>77</v>
      </c>
      <c r="C420" s="26">
        <v>77.16</v>
      </c>
      <c r="D420" s="20">
        <v>-0.16</v>
      </c>
      <c r="E420" s="20">
        <v>0.18</v>
      </c>
      <c r="F420" s="26">
        <v>2359.1799999999998</v>
      </c>
      <c r="Q420" s="20">
        <v>41.9</v>
      </c>
      <c r="R420" s="20">
        <v>77.09</v>
      </c>
      <c r="S420" s="26">
        <v>77</v>
      </c>
      <c r="T420" s="26">
        <v>-0.09</v>
      </c>
      <c r="U420" s="26">
        <v>-0.01</v>
      </c>
      <c r="V420" s="20">
        <v>2116.0100000000002</v>
      </c>
    </row>
    <row r="421" spans="1:22" ht="16.8" x14ac:dyDescent="0.3">
      <c r="A421" s="20">
        <v>42</v>
      </c>
      <c r="B421" s="20">
        <v>77</v>
      </c>
      <c r="C421" s="26">
        <v>77.349999999999994</v>
      </c>
      <c r="D421" s="20">
        <v>-0.35</v>
      </c>
      <c r="E421" s="20">
        <v>-0.19</v>
      </c>
      <c r="F421" s="26">
        <v>2008.87</v>
      </c>
      <c r="Q421" s="20">
        <v>42</v>
      </c>
      <c r="R421" s="20">
        <v>77.099999999999994</v>
      </c>
      <c r="S421" s="26">
        <v>77</v>
      </c>
      <c r="T421" s="20">
        <v>-0.1</v>
      </c>
      <c r="U421" s="26">
        <v>-0.01</v>
      </c>
      <c r="V421" s="26">
        <v>2114.31</v>
      </c>
    </row>
    <row r="422" spans="1:22" ht="16.8" x14ac:dyDescent="0.3">
      <c r="A422" s="20">
        <v>42.1</v>
      </c>
      <c r="B422" s="20">
        <v>77</v>
      </c>
      <c r="C422" s="20">
        <v>77.150000000000006</v>
      </c>
      <c r="D422" s="20">
        <v>-0.15</v>
      </c>
      <c r="E422" s="20">
        <v>0.21</v>
      </c>
      <c r="F422" s="26">
        <v>2363.15</v>
      </c>
      <c r="Q422" s="20">
        <v>42.1</v>
      </c>
      <c r="R422" s="20">
        <v>77.09</v>
      </c>
      <c r="S422" s="26">
        <v>77</v>
      </c>
      <c r="T422" s="26">
        <v>-0.09</v>
      </c>
      <c r="U422" s="26">
        <v>0.01</v>
      </c>
      <c r="V422" s="20">
        <v>2128.44</v>
      </c>
    </row>
    <row r="423" spans="1:22" ht="16.8" x14ac:dyDescent="0.3">
      <c r="A423" s="20">
        <v>42.2</v>
      </c>
      <c r="B423" s="20">
        <v>77</v>
      </c>
      <c r="C423" s="26">
        <v>77.349999999999994</v>
      </c>
      <c r="D423" s="20">
        <v>-0.35</v>
      </c>
      <c r="E423" s="20">
        <v>-0.2</v>
      </c>
      <c r="F423" s="26">
        <v>2021.37</v>
      </c>
      <c r="Q423" s="20">
        <v>42.2</v>
      </c>
      <c r="R423" s="20">
        <v>77.08</v>
      </c>
      <c r="S423" s="26">
        <v>77</v>
      </c>
      <c r="T423" s="20">
        <v>-0.08</v>
      </c>
      <c r="U423" s="26">
        <v>0.02</v>
      </c>
      <c r="V423" s="26">
        <v>2137.54</v>
      </c>
    </row>
    <row r="424" spans="1:22" ht="16.8" x14ac:dyDescent="0.3">
      <c r="A424" s="20">
        <v>42.3</v>
      </c>
      <c r="B424" s="20">
        <v>77</v>
      </c>
      <c r="C424" s="20">
        <v>77.12</v>
      </c>
      <c r="D424" s="20">
        <v>-0.12</v>
      </c>
      <c r="E424" s="20">
        <v>0.23</v>
      </c>
      <c r="F424" s="26">
        <v>2388.19</v>
      </c>
      <c r="Q424" s="20">
        <v>42.3</v>
      </c>
      <c r="R424" s="20">
        <v>77.12</v>
      </c>
      <c r="S424" s="26">
        <v>77</v>
      </c>
      <c r="T424" s="26">
        <v>-0.12</v>
      </c>
      <c r="U424" s="26">
        <v>-0.04</v>
      </c>
      <c r="V424" s="20">
        <v>2084.69</v>
      </c>
    </row>
    <row r="425" spans="1:22" ht="16.8" x14ac:dyDescent="0.3">
      <c r="A425" s="20">
        <v>42.4</v>
      </c>
      <c r="B425" s="20">
        <v>77</v>
      </c>
      <c r="C425" s="26">
        <v>77.290000000000006</v>
      </c>
      <c r="D425" s="20">
        <v>-0.28999999999999998</v>
      </c>
      <c r="E425" s="20">
        <v>-0.17</v>
      </c>
      <c r="F425" s="20">
        <v>2100.34</v>
      </c>
      <c r="Q425" s="20">
        <v>42.4</v>
      </c>
      <c r="R425" s="20">
        <v>77.08</v>
      </c>
      <c r="S425" s="26">
        <v>77</v>
      </c>
      <c r="T425" s="26">
        <v>-0.08</v>
      </c>
      <c r="U425" s="26">
        <v>0.03</v>
      </c>
      <c r="V425" s="20">
        <v>2148.5300000000002</v>
      </c>
    </row>
    <row r="426" spans="1:22" ht="16.8" x14ac:dyDescent="0.3">
      <c r="A426" s="20">
        <v>42.5</v>
      </c>
      <c r="B426" s="20">
        <v>77</v>
      </c>
      <c r="C426" s="26">
        <v>77.13</v>
      </c>
      <c r="D426" s="20">
        <v>-0.13</v>
      </c>
      <c r="E426" s="20">
        <v>0.17</v>
      </c>
      <c r="F426" s="26">
        <v>2395.5300000000002</v>
      </c>
      <c r="Q426" s="20">
        <v>42.5</v>
      </c>
      <c r="R426" s="20">
        <v>77.03</v>
      </c>
      <c r="S426" s="26">
        <v>77</v>
      </c>
      <c r="T426" s="26">
        <v>-0.03</v>
      </c>
      <c r="U426" s="26">
        <v>0.06</v>
      </c>
      <c r="V426" s="26">
        <v>2177.81</v>
      </c>
    </row>
    <row r="427" spans="1:22" ht="16.8" x14ac:dyDescent="0.3">
      <c r="A427" s="20">
        <v>42.6</v>
      </c>
      <c r="B427" s="20">
        <v>77</v>
      </c>
      <c r="C427" s="20">
        <v>77.290000000000006</v>
      </c>
      <c r="D427" s="20">
        <v>-0.28999999999999998</v>
      </c>
      <c r="E427" s="20">
        <v>-0.17</v>
      </c>
      <c r="F427" s="26">
        <v>2100.34</v>
      </c>
      <c r="Q427" s="20">
        <v>42.6</v>
      </c>
      <c r="R427" s="20">
        <v>77.12</v>
      </c>
      <c r="S427" s="26">
        <v>77</v>
      </c>
      <c r="T427" s="26">
        <v>-0.12</v>
      </c>
      <c r="U427" s="26">
        <v>-0.09</v>
      </c>
      <c r="V427" s="20">
        <v>2045.06</v>
      </c>
    </row>
    <row r="428" spans="1:22" ht="16.8" x14ac:dyDescent="0.3">
      <c r="A428" s="20">
        <v>42.7</v>
      </c>
      <c r="B428" s="20">
        <v>77</v>
      </c>
      <c r="C428" s="26">
        <v>77.08</v>
      </c>
      <c r="D428" s="20">
        <v>-0.08</v>
      </c>
      <c r="E428" s="20">
        <v>0.22</v>
      </c>
      <c r="F428" s="20">
        <v>2444.84</v>
      </c>
      <c r="Q428" s="20">
        <v>42.7</v>
      </c>
      <c r="R428" s="20">
        <v>77.13</v>
      </c>
      <c r="S428" s="26">
        <v>77</v>
      </c>
      <c r="T428" s="20">
        <v>-0.13</v>
      </c>
      <c r="U428" s="20">
        <v>-0.02</v>
      </c>
      <c r="V428" s="26">
        <v>2100.3000000000002</v>
      </c>
    </row>
    <row r="429" spans="1:22" ht="16.8" x14ac:dyDescent="0.3">
      <c r="A429" s="20">
        <v>42.8</v>
      </c>
      <c r="B429" s="20">
        <v>77</v>
      </c>
      <c r="C429" s="26">
        <v>77.349999999999994</v>
      </c>
      <c r="D429" s="20">
        <v>-0.35</v>
      </c>
      <c r="E429" s="20">
        <v>-0.27</v>
      </c>
      <c r="F429" s="26">
        <v>1965.15</v>
      </c>
      <c r="Q429" s="20">
        <v>42.8</v>
      </c>
      <c r="R429" s="20">
        <v>77.08</v>
      </c>
      <c r="S429" s="26">
        <v>77</v>
      </c>
      <c r="T429" s="26">
        <v>-0.08</v>
      </c>
      <c r="U429" s="26">
        <v>0.05</v>
      </c>
      <c r="V429" s="20">
        <v>2160.4699999999998</v>
      </c>
    </row>
    <row r="430" spans="1:22" ht="16.8" x14ac:dyDescent="0.3">
      <c r="A430" s="20">
        <v>42.9</v>
      </c>
      <c r="B430" s="20">
        <v>77</v>
      </c>
      <c r="C430" s="20">
        <v>77.13</v>
      </c>
      <c r="D430" s="20">
        <v>-0.13</v>
      </c>
      <c r="E430" s="20">
        <v>0.22</v>
      </c>
      <c r="F430" s="20">
        <v>2381.54</v>
      </c>
      <c r="Q430" s="20">
        <v>42.9</v>
      </c>
      <c r="R430" s="20">
        <v>77.09</v>
      </c>
      <c r="S430" s="26">
        <v>77</v>
      </c>
      <c r="T430" s="20">
        <v>-0.09</v>
      </c>
      <c r="U430" s="20">
        <v>-0.01</v>
      </c>
      <c r="V430" s="26">
        <v>2113.34</v>
      </c>
    </row>
    <row r="431" spans="1:22" ht="16.8" x14ac:dyDescent="0.3">
      <c r="A431" s="20">
        <v>43</v>
      </c>
      <c r="B431" s="20">
        <v>77</v>
      </c>
      <c r="C431" s="26">
        <v>77.27</v>
      </c>
      <c r="D431" s="20">
        <v>-0.27</v>
      </c>
      <c r="E431" s="20">
        <v>-0.14000000000000001</v>
      </c>
      <c r="F431" s="26">
        <v>2138.11</v>
      </c>
      <c r="Q431" s="20">
        <v>43</v>
      </c>
      <c r="R431" s="20">
        <v>77.08</v>
      </c>
      <c r="S431" s="26">
        <v>77</v>
      </c>
      <c r="T431" s="26">
        <v>-0.08</v>
      </c>
      <c r="U431" s="26">
        <v>0.01</v>
      </c>
      <c r="V431" s="20">
        <v>2127.4899999999998</v>
      </c>
    </row>
    <row r="432" spans="1:22" ht="16.8" x14ac:dyDescent="0.3">
      <c r="A432" s="20">
        <v>43.1</v>
      </c>
      <c r="B432" s="20">
        <v>77</v>
      </c>
      <c r="C432" s="20">
        <v>77.09</v>
      </c>
      <c r="D432" s="20">
        <v>-0.09</v>
      </c>
      <c r="E432" s="20">
        <v>0.18</v>
      </c>
      <c r="F432" s="20">
        <v>2433.23</v>
      </c>
      <c r="Q432" s="20">
        <v>43.1</v>
      </c>
      <c r="R432" s="20">
        <v>77.14</v>
      </c>
      <c r="S432" s="26">
        <v>77</v>
      </c>
      <c r="T432" s="20">
        <v>-0.14000000000000001</v>
      </c>
      <c r="U432" s="26">
        <v>-0.06</v>
      </c>
      <c r="V432" s="26">
        <v>2065.2600000000002</v>
      </c>
    </row>
    <row r="433" spans="1:22" ht="16.8" x14ac:dyDescent="0.3">
      <c r="A433" s="20">
        <v>43.2</v>
      </c>
      <c r="B433" s="20">
        <v>77</v>
      </c>
      <c r="C433" s="26">
        <v>77.319999999999993</v>
      </c>
      <c r="D433" s="20">
        <v>-0.32</v>
      </c>
      <c r="E433" s="20">
        <v>-0.23</v>
      </c>
      <c r="F433" s="26">
        <v>2043.21</v>
      </c>
      <c r="Q433" s="20">
        <v>43.2</v>
      </c>
      <c r="R433" s="20">
        <v>77.12</v>
      </c>
      <c r="S433" s="26">
        <v>77</v>
      </c>
      <c r="T433" s="26">
        <v>-0.12</v>
      </c>
      <c r="U433" s="26">
        <v>0.02</v>
      </c>
      <c r="V433" s="20">
        <v>2126.16</v>
      </c>
    </row>
    <row r="434" spans="1:22" ht="16.8" x14ac:dyDescent="0.3">
      <c r="A434" s="20">
        <v>43.3</v>
      </c>
      <c r="B434" s="20">
        <v>77</v>
      </c>
      <c r="C434" s="26">
        <v>77.13</v>
      </c>
      <c r="D434" s="20">
        <v>-0.13</v>
      </c>
      <c r="E434" s="20">
        <v>0.19</v>
      </c>
      <c r="F434" s="26">
        <v>2386.52</v>
      </c>
      <c r="Q434" s="20">
        <v>43.3</v>
      </c>
      <c r="R434" s="20">
        <v>77.2</v>
      </c>
      <c r="S434" s="26">
        <v>77</v>
      </c>
      <c r="T434" s="26">
        <v>-0.2</v>
      </c>
      <c r="U434" s="26">
        <v>-7.0000000000000007E-2</v>
      </c>
      <c r="V434" s="26">
        <v>2041.44</v>
      </c>
    </row>
    <row r="435" spans="1:22" ht="16.8" x14ac:dyDescent="0.3">
      <c r="A435" s="20">
        <v>43.4</v>
      </c>
      <c r="B435" s="20">
        <v>77</v>
      </c>
      <c r="C435" s="20">
        <v>77.23</v>
      </c>
      <c r="D435" s="20">
        <v>-0.23</v>
      </c>
      <c r="E435" s="20">
        <v>-0.1</v>
      </c>
      <c r="F435" s="20">
        <v>2209.4499999999998</v>
      </c>
      <c r="Q435" s="20">
        <v>43.4</v>
      </c>
      <c r="R435" s="20">
        <v>77.08</v>
      </c>
      <c r="S435" s="26">
        <v>77</v>
      </c>
      <c r="T435" s="26">
        <v>-0.08</v>
      </c>
      <c r="U435" s="26">
        <v>0.11</v>
      </c>
      <c r="V435" s="20">
        <v>2210.34</v>
      </c>
    </row>
    <row r="436" spans="1:22" ht="16.8" x14ac:dyDescent="0.3">
      <c r="A436" s="20">
        <v>43.5</v>
      </c>
      <c r="B436" s="20">
        <v>77</v>
      </c>
      <c r="C436" s="26">
        <v>77.09</v>
      </c>
      <c r="D436" s="20">
        <v>-0.09</v>
      </c>
      <c r="E436" s="20">
        <v>0.15</v>
      </c>
      <c r="F436" s="26">
        <v>2442.73</v>
      </c>
      <c r="Q436" s="20">
        <v>43.5</v>
      </c>
      <c r="R436" s="20">
        <v>77.12</v>
      </c>
      <c r="S436" s="26">
        <v>77</v>
      </c>
      <c r="T436" s="26">
        <v>-0.12</v>
      </c>
      <c r="U436" s="26">
        <v>-0.04</v>
      </c>
      <c r="V436" s="26">
        <v>2079.5300000000002</v>
      </c>
    </row>
    <row r="437" spans="1:22" ht="16.8" x14ac:dyDescent="0.3">
      <c r="A437" s="20">
        <v>43.6</v>
      </c>
      <c r="B437" s="20">
        <v>77</v>
      </c>
      <c r="C437" s="20">
        <v>77.33</v>
      </c>
      <c r="D437" s="20">
        <v>-0.33</v>
      </c>
      <c r="E437" s="20">
        <v>-0.25</v>
      </c>
      <c r="F437" s="26">
        <v>2006.39</v>
      </c>
      <c r="Q437" s="20">
        <v>43.6</v>
      </c>
      <c r="R437" s="20">
        <v>77.17</v>
      </c>
      <c r="S437" s="26">
        <v>77</v>
      </c>
      <c r="T437" s="20">
        <v>-0.17</v>
      </c>
      <c r="U437" s="20">
        <v>-0.05</v>
      </c>
      <c r="V437" s="20">
        <v>2064.06</v>
      </c>
    </row>
    <row r="438" spans="1:22" ht="16.8" x14ac:dyDescent="0.3">
      <c r="A438" s="20">
        <v>43.7</v>
      </c>
      <c r="B438" s="20">
        <v>77</v>
      </c>
      <c r="C438" s="26">
        <v>77.08</v>
      </c>
      <c r="D438" s="20">
        <v>-0.08</v>
      </c>
      <c r="E438" s="20">
        <v>0.25</v>
      </c>
      <c r="F438" s="26">
        <v>2430.21</v>
      </c>
      <c r="Q438" s="20">
        <v>43.7</v>
      </c>
      <c r="R438" s="20">
        <v>77.12</v>
      </c>
      <c r="S438" s="26">
        <v>77</v>
      </c>
      <c r="T438" s="26">
        <v>-0.12</v>
      </c>
      <c r="U438" s="26">
        <v>0.05</v>
      </c>
      <c r="V438" s="20">
        <v>2150.11</v>
      </c>
    </row>
    <row r="439" spans="1:22" ht="16.8" x14ac:dyDescent="0.3">
      <c r="A439" s="20">
        <v>43.8</v>
      </c>
      <c r="B439" s="20">
        <v>77</v>
      </c>
      <c r="C439" s="26">
        <v>77.290000000000006</v>
      </c>
      <c r="D439" s="20">
        <v>-0.28999999999999998</v>
      </c>
      <c r="E439" s="20">
        <v>-0.21</v>
      </c>
      <c r="F439" s="26">
        <v>2095.17</v>
      </c>
      <c r="Q439" s="20">
        <v>43.8</v>
      </c>
      <c r="R439" s="20">
        <v>77.16</v>
      </c>
      <c r="S439" s="26">
        <v>77</v>
      </c>
      <c r="T439" s="20">
        <v>-0.16</v>
      </c>
      <c r="U439" s="20">
        <v>-0.04</v>
      </c>
      <c r="V439" s="26">
        <v>2071.12</v>
      </c>
    </row>
    <row r="440" spans="1:22" ht="16.8" x14ac:dyDescent="0.3">
      <c r="A440" s="20">
        <v>43.9</v>
      </c>
      <c r="B440" s="20">
        <v>77</v>
      </c>
      <c r="C440" s="20">
        <v>77.13</v>
      </c>
      <c r="D440" s="20">
        <v>-0.13</v>
      </c>
      <c r="E440" s="20">
        <v>0.15</v>
      </c>
      <c r="F440" s="26">
        <v>2393.7800000000002</v>
      </c>
      <c r="Q440" s="20">
        <v>43.9</v>
      </c>
      <c r="R440" s="20">
        <v>77.12</v>
      </c>
      <c r="S440" s="26">
        <v>77</v>
      </c>
      <c r="T440" s="26">
        <v>-0.12</v>
      </c>
      <c r="U440" s="26">
        <v>0.04</v>
      </c>
      <c r="V440" s="20">
        <v>2142.7800000000002</v>
      </c>
    </row>
    <row r="441" spans="1:22" ht="16.8" x14ac:dyDescent="0.3">
      <c r="A441" s="20">
        <v>44</v>
      </c>
      <c r="B441" s="20">
        <v>77</v>
      </c>
      <c r="C441" s="26">
        <v>77.17</v>
      </c>
      <c r="D441" s="20">
        <v>-0.17</v>
      </c>
      <c r="E441" s="20">
        <v>-0.04</v>
      </c>
      <c r="F441" s="26">
        <v>2332.58</v>
      </c>
      <c r="Q441" s="20">
        <v>44</v>
      </c>
      <c r="R441" s="20">
        <v>77.16</v>
      </c>
      <c r="S441" s="26">
        <v>77</v>
      </c>
      <c r="T441" s="26">
        <v>-0.16</v>
      </c>
      <c r="U441" s="26">
        <v>-0.03</v>
      </c>
      <c r="V441" s="26">
        <v>2078.21</v>
      </c>
    </row>
    <row r="442" spans="1:22" ht="16.8" x14ac:dyDescent="0.3">
      <c r="A442" s="20">
        <v>44.1</v>
      </c>
      <c r="B442" s="20">
        <v>77</v>
      </c>
      <c r="C442" s="20">
        <v>77.11</v>
      </c>
      <c r="D442" s="20">
        <v>-0.11</v>
      </c>
      <c r="E442" s="20">
        <v>0.06</v>
      </c>
      <c r="F442" s="26">
        <v>2424.6</v>
      </c>
      <c r="Q442" s="20">
        <v>44.1</v>
      </c>
      <c r="R442" s="20">
        <v>77.150000000000006</v>
      </c>
      <c r="S442" s="26">
        <v>77</v>
      </c>
      <c r="T442" s="26">
        <v>-0.15</v>
      </c>
      <c r="U442" s="26">
        <v>0.01</v>
      </c>
      <c r="V442" s="20">
        <v>2111.67</v>
      </c>
    </row>
    <row r="443" spans="1:22" ht="16.8" x14ac:dyDescent="0.3">
      <c r="A443" s="20">
        <v>44.2</v>
      </c>
      <c r="B443" s="20">
        <v>77</v>
      </c>
      <c r="C443" s="26">
        <v>77.22</v>
      </c>
      <c r="D443" s="20">
        <v>-0.22</v>
      </c>
      <c r="E443" s="20">
        <v>-0.1</v>
      </c>
      <c r="F443" s="26">
        <v>2221.87</v>
      </c>
      <c r="Q443" s="20">
        <v>44.2</v>
      </c>
      <c r="R443" s="20">
        <v>77.08</v>
      </c>
      <c r="S443" s="26">
        <v>77</v>
      </c>
      <c r="T443" s="26">
        <v>-0.08</v>
      </c>
      <c r="U443" s="26">
        <v>0.06</v>
      </c>
      <c r="V443" s="26">
        <v>2168.1799999999998</v>
      </c>
    </row>
    <row r="444" spans="1:22" ht="16.8" x14ac:dyDescent="0.3">
      <c r="A444" s="20">
        <v>44.3</v>
      </c>
      <c r="B444" s="20">
        <v>77</v>
      </c>
      <c r="C444" s="26">
        <v>77.180000000000007</v>
      </c>
      <c r="D444" s="20">
        <v>-0.18</v>
      </c>
      <c r="E444" s="20">
        <v>0.03</v>
      </c>
      <c r="F444" s="26">
        <v>2349.9899999999998</v>
      </c>
      <c r="Q444" s="20">
        <v>44.3</v>
      </c>
      <c r="R444" s="20">
        <v>77.13</v>
      </c>
      <c r="S444" s="26">
        <v>77</v>
      </c>
      <c r="T444" s="26">
        <v>-0.13</v>
      </c>
      <c r="U444" s="26">
        <v>-0.05</v>
      </c>
      <c r="V444" s="20">
        <v>2068.41</v>
      </c>
    </row>
    <row r="445" spans="1:22" ht="16.8" x14ac:dyDescent="0.3">
      <c r="A445" s="20">
        <v>44.4</v>
      </c>
      <c r="B445" s="20">
        <v>77</v>
      </c>
      <c r="C445" s="20">
        <v>77.180000000000007</v>
      </c>
      <c r="D445" s="20">
        <v>-0.18</v>
      </c>
      <c r="E445" s="20">
        <v>0</v>
      </c>
      <c r="F445" s="26">
        <v>2354.11</v>
      </c>
      <c r="Q445" s="20">
        <v>44.4</v>
      </c>
      <c r="R445" s="20">
        <v>77.13</v>
      </c>
      <c r="S445" s="26">
        <v>77</v>
      </c>
      <c r="T445" s="26">
        <v>-0.13</v>
      </c>
      <c r="U445" s="26">
        <v>0</v>
      </c>
      <c r="V445" s="26">
        <v>2106.9899999999998</v>
      </c>
    </row>
    <row r="446" spans="1:22" ht="16.8" x14ac:dyDescent="0.3">
      <c r="A446" s="20">
        <v>44.5</v>
      </c>
      <c r="B446" s="20">
        <v>77</v>
      </c>
      <c r="C446" s="26">
        <v>77.19</v>
      </c>
      <c r="D446" s="20">
        <v>-0.19</v>
      </c>
      <c r="E446" s="20">
        <v>-0.01</v>
      </c>
      <c r="F446" s="20">
        <v>2338.42</v>
      </c>
      <c r="Q446" s="20">
        <v>44.5</v>
      </c>
      <c r="R446" s="20">
        <v>77.09</v>
      </c>
      <c r="S446" s="20">
        <v>77</v>
      </c>
      <c r="T446" s="26">
        <v>-0.09</v>
      </c>
      <c r="U446" s="26">
        <v>0.04</v>
      </c>
      <c r="V446" s="20">
        <v>2146.2399999999998</v>
      </c>
    </row>
    <row r="447" spans="1:22" ht="16.8" x14ac:dyDescent="0.3">
      <c r="A447" s="20">
        <v>44.6</v>
      </c>
      <c r="B447" s="20">
        <v>77</v>
      </c>
      <c r="C447" s="20">
        <v>77.14</v>
      </c>
      <c r="D447" s="20">
        <v>-0.14000000000000001</v>
      </c>
      <c r="E447" s="20">
        <v>0.05</v>
      </c>
      <c r="F447" s="26">
        <v>2395.3200000000002</v>
      </c>
      <c r="Q447" s="20">
        <v>44.6</v>
      </c>
      <c r="R447" s="20">
        <v>77.16</v>
      </c>
      <c r="S447" s="26">
        <v>77</v>
      </c>
      <c r="T447" s="26">
        <v>-0.16</v>
      </c>
      <c r="U447" s="26">
        <v>-0.06</v>
      </c>
      <c r="V447" s="20">
        <v>2050.0700000000002</v>
      </c>
    </row>
    <row r="448" spans="1:22" ht="16.8" x14ac:dyDescent="0.3">
      <c r="A448" s="20">
        <v>44.7</v>
      </c>
      <c r="B448" s="20">
        <v>77</v>
      </c>
      <c r="C448" s="26">
        <v>77.209999999999994</v>
      </c>
      <c r="D448" s="20">
        <v>-0.21</v>
      </c>
      <c r="E448" s="20">
        <v>-7.0000000000000007E-2</v>
      </c>
      <c r="F448" s="26">
        <v>2255.0100000000002</v>
      </c>
      <c r="Q448" s="20">
        <v>44.7</v>
      </c>
      <c r="R448" s="20">
        <v>77.11</v>
      </c>
      <c r="S448" s="26">
        <v>77</v>
      </c>
      <c r="T448" s="26">
        <v>-0.11</v>
      </c>
      <c r="U448" s="26">
        <v>0.05</v>
      </c>
      <c r="V448" s="26">
        <v>2149.16</v>
      </c>
    </row>
    <row r="449" spans="1:22" ht="16.8" x14ac:dyDescent="0.3">
      <c r="A449" s="20">
        <v>44.8</v>
      </c>
      <c r="B449" s="20">
        <v>77</v>
      </c>
      <c r="C449" s="26">
        <v>77.180000000000007</v>
      </c>
      <c r="D449" s="20">
        <v>-0.18</v>
      </c>
      <c r="E449" s="20">
        <v>0.03</v>
      </c>
      <c r="F449" s="26">
        <v>2354.11</v>
      </c>
      <c r="Q449" s="20">
        <v>44.8</v>
      </c>
      <c r="R449" s="20">
        <v>77.180000000000007</v>
      </c>
      <c r="S449" s="26">
        <v>77</v>
      </c>
      <c r="T449" s="26">
        <v>-0.18</v>
      </c>
      <c r="U449" s="26">
        <v>-7.0000000000000007E-2</v>
      </c>
      <c r="V449" s="20">
        <v>2038.5</v>
      </c>
    </row>
    <row r="450" spans="1:22" ht="16.8" x14ac:dyDescent="0.3">
      <c r="A450" s="20">
        <v>44.9</v>
      </c>
      <c r="B450" s="20">
        <v>77</v>
      </c>
      <c r="C450" s="20">
        <v>77.19</v>
      </c>
      <c r="D450" s="20">
        <v>-0.19</v>
      </c>
      <c r="E450" s="20">
        <v>-0.01</v>
      </c>
      <c r="F450" s="26">
        <v>2338.42</v>
      </c>
      <c r="Q450" s="20">
        <v>44.9</v>
      </c>
      <c r="R450" s="20">
        <v>77.09</v>
      </c>
      <c r="S450" s="26">
        <v>77</v>
      </c>
      <c r="T450" s="26">
        <v>-0.09</v>
      </c>
      <c r="U450" s="26">
        <v>0.09</v>
      </c>
      <c r="V450" s="26">
        <v>2183.65</v>
      </c>
    </row>
    <row r="451" spans="1:22" ht="16.8" x14ac:dyDescent="0.3">
      <c r="A451" s="20">
        <v>45</v>
      </c>
      <c r="B451" s="20">
        <v>77</v>
      </c>
      <c r="C451" s="26">
        <v>77.23</v>
      </c>
      <c r="D451" s="20">
        <v>-0.23</v>
      </c>
      <c r="E451" s="20">
        <v>-0.04</v>
      </c>
      <c r="F451" s="20">
        <v>2260.2199999999998</v>
      </c>
      <c r="Q451" s="20">
        <v>45</v>
      </c>
      <c r="R451" s="20">
        <v>77.11</v>
      </c>
      <c r="S451" s="26">
        <v>77</v>
      </c>
      <c r="T451" s="26">
        <v>-0.11</v>
      </c>
      <c r="U451" s="26">
        <v>-0.02</v>
      </c>
      <c r="V451" s="20">
        <v>2096.09</v>
      </c>
    </row>
    <row r="452" spans="1:22" ht="16.8" x14ac:dyDescent="0.3">
      <c r="A452" s="20">
        <v>45.1</v>
      </c>
      <c r="B452" s="20">
        <v>77</v>
      </c>
      <c r="C452" s="20">
        <v>77.23</v>
      </c>
      <c r="D452" s="20">
        <v>-0.23</v>
      </c>
      <c r="E452" s="20">
        <v>0.01</v>
      </c>
      <c r="F452" s="26">
        <v>2308.81</v>
      </c>
      <c r="Q452" s="20">
        <v>45.1</v>
      </c>
      <c r="R452" s="20">
        <v>77.12</v>
      </c>
      <c r="S452" s="26">
        <v>77</v>
      </c>
      <c r="T452" s="26">
        <v>-0.12</v>
      </c>
      <c r="U452" s="26">
        <v>-0.01</v>
      </c>
      <c r="V452" s="26">
        <v>2100.83</v>
      </c>
    </row>
    <row r="453" spans="1:22" ht="16.8" x14ac:dyDescent="0.3">
      <c r="A453" s="20">
        <v>45.2</v>
      </c>
      <c r="B453" s="20">
        <v>77</v>
      </c>
      <c r="C453" s="26">
        <v>77.25</v>
      </c>
      <c r="D453" s="20">
        <v>-0.25</v>
      </c>
      <c r="E453" s="20">
        <v>-0.03</v>
      </c>
      <c r="F453" s="26">
        <v>2254.08</v>
      </c>
      <c r="Q453" s="20">
        <v>45.2</v>
      </c>
      <c r="R453" s="20">
        <v>77.17</v>
      </c>
      <c r="S453" s="26">
        <v>77</v>
      </c>
      <c r="T453" s="26">
        <v>-0.17</v>
      </c>
      <c r="U453" s="26">
        <v>-0.06</v>
      </c>
      <c r="V453" s="20">
        <v>2051.48</v>
      </c>
    </row>
    <row r="454" spans="1:22" ht="16.8" x14ac:dyDescent="0.3">
      <c r="A454" s="20">
        <v>45.3</v>
      </c>
      <c r="B454" s="20">
        <v>77</v>
      </c>
      <c r="C454" s="26">
        <v>77.23</v>
      </c>
      <c r="D454" s="20">
        <v>-0.23</v>
      </c>
      <c r="E454" s="20">
        <v>0.02</v>
      </c>
      <c r="F454" s="26">
        <v>2300.5100000000002</v>
      </c>
      <c r="Q454" s="20">
        <v>45.3</v>
      </c>
      <c r="R454" s="20">
        <v>77.12</v>
      </c>
      <c r="S454" s="26">
        <v>77</v>
      </c>
      <c r="T454" s="26">
        <v>-0.12</v>
      </c>
      <c r="U454" s="26">
        <v>0.05</v>
      </c>
      <c r="V454" s="26">
        <v>2144.0300000000002</v>
      </c>
    </row>
    <row r="455" spans="1:22" ht="16.8" x14ac:dyDescent="0.3">
      <c r="A455" s="20">
        <v>45.4</v>
      </c>
      <c r="B455" s="20">
        <v>77</v>
      </c>
      <c r="C455" s="20">
        <v>77.33</v>
      </c>
      <c r="D455" s="20">
        <v>-0.33</v>
      </c>
      <c r="E455" s="20">
        <v>-0.09</v>
      </c>
      <c r="F455" s="26">
        <v>2118.79</v>
      </c>
      <c r="Q455" s="20">
        <v>45.4</v>
      </c>
      <c r="R455" s="20">
        <v>77.12</v>
      </c>
      <c r="S455" s="26">
        <v>77</v>
      </c>
      <c r="T455" s="26">
        <v>-0.12</v>
      </c>
      <c r="U455" s="26">
        <v>0</v>
      </c>
      <c r="V455" s="20">
        <v>2104.69</v>
      </c>
    </row>
    <row r="456" spans="1:22" ht="16.8" x14ac:dyDescent="0.3">
      <c r="A456" s="20">
        <v>45.5</v>
      </c>
      <c r="B456" s="20">
        <v>77</v>
      </c>
      <c r="C456" s="26">
        <v>77.28</v>
      </c>
      <c r="D456" s="20">
        <v>-0.28000000000000003</v>
      </c>
      <c r="E456" s="20">
        <v>0.05</v>
      </c>
      <c r="F456" s="26">
        <v>2254.17</v>
      </c>
      <c r="Q456" s="20">
        <v>45.5</v>
      </c>
      <c r="R456" s="20">
        <v>77.09</v>
      </c>
      <c r="S456" s="26">
        <v>77</v>
      </c>
      <c r="T456" s="26">
        <v>-0.09</v>
      </c>
      <c r="U456" s="26">
        <v>0.03</v>
      </c>
      <c r="V456" s="20">
        <v>2136.04</v>
      </c>
    </row>
    <row r="457" spans="1:22" ht="16.8" x14ac:dyDescent="0.3">
      <c r="A457" s="20">
        <v>45.6</v>
      </c>
      <c r="B457" s="20">
        <v>77</v>
      </c>
      <c r="C457" s="20">
        <v>77.31</v>
      </c>
      <c r="D457" s="20">
        <v>-0.31</v>
      </c>
      <c r="E457" s="20">
        <v>-0.04</v>
      </c>
      <c r="F457" s="20">
        <v>2182.29</v>
      </c>
      <c r="Q457" s="20">
        <v>45.6</v>
      </c>
      <c r="R457" s="20">
        <v>77.13</v>
      </c>
      <c r="S457" s="26">
        <v>77</v>
      </c>
      <c r="T457" s="26">
        <v>-0.13</v>
      </c>
      <c r="U457" s="26">
        <v>-0.04</v>
      </c>
      <c r="V457" s="26">
        <v>2070.16</v>
      </c>
    </row>
    <row r="458" spans="1:22" ht="16.8" x14ac:dyDescent="0.3">
      <c r="A458" s="20">
        <v>45.7</v>
      </c>
      <c r="B458" s="20">
        <v>77</v>
      </c>
      <c r="C458" s="26">
        <v>77.31</v>
      </c>
      <c r="D458" s="20">
        <v>-0.31</v>
      </c>
      <c r="E458" s="20">
        <v>0</v>
      </c>
      <c r="F458" s="26">
        <v>2219.25</v>
      </c>
      <c r="Q458" s="20">
        <v>45.7</v>
      </c>
      <c r="R458" s="20">
        <v>77.069999999999993</v>
      </c>
      <c r="S458" s="26">
        <v>77</v>
      </c>
      <c r="T458" s="26">
        <v>-7.0000000000000007E-2</v>
      </c>
      <c r="U458" s="26">
        <v>0.06</v>
      </c>
      <c r="V458" s="20">
        <v>2165.67</v>
      </c>
    </row>
    <row r="459" spans="1:22" ht="16.8" x14ac:dyDescent="0.3">
      <c r="A459" s="20">
        <v>45.8</v>
      </c>
      <c r="B459" s="20">
        <v>77</v>
      </c>
      <c r="C459" s="26">
        <v>77.33</v>
      </c>
      <c r="D459" s="20">
        <v>-0.33</v>
      </c>
      <c r="E459" s="20">
        <v>-0.02</v>
      </c>
      <c r="F459" s="26">
        <v>2178.6799999999998</v>
      </c>
      <c r="Q459" s="20">
        <v>45.8</v>
      </c>
      <c r="R459" s="20">
        <v>77.11</v>
      </c>
      <c r="S459" s="26">
        <v>77</v>
      </c>
      <c r="T459" s="26">
        <v>-0.11</v>
      </c>
      <c r="U459" s="26">
        <v>-0.04</v>
      </c>
      <c r="V459" s="26">
        <v>2073.88</v>
      </c>
    </row>
    <row r="460" spans="1:22" ht="16.8" x14ac:dyDescent="0.3">
      <c r="A460" s="20">
        <v>45.9</v>
      </c>
      <c r="B460" s="20">
        <v>77</v>
      </c>
      <c r="C460" s="20">
        <v>77.38</v>
      </c>
      <c r="D460" s="20">
        <v>-0.38</v>
      </c>
      <c r="E460" s="20">
        <v>-0.05</v>
      </c>
      <c r="F460" s="26">
        <v>2096.2800000000002</v>
      </c>
      <c r="Q460" s="20">
        <v>45.9</v>
      </c>
      <c r="R460" s="20">
        <v>77.05</v>
      </c>
      <c r="S460" s="20">
        <v>77</v>
      </c>
      <c r="T460" s="26">
        <v>-0.05</v>
      </c>
      <c r="U460" s="26">
        <v>0.06</v>
      </c>
      <c r="V460" s="20">
        <v>2161.54</v>
      </c>
    </row>
    <row r="461" spans="1:22" ht="16.8" x14ac:dyDescent="0.3">
      <c r="A461" s="20">
        <v>46</v>
      </c>
      <c r="B461" s="20">
        <v>77</v>
      </c>
      <c r="C461" s="26">
        <v>77.33</v>
      </c>
      <c r="D461" s="20">
        <v>-0.33</v>
      </c>
      <c r="E461" s="20">
        <v>0.04</v>
      </c>
      <c r="F461" s="26">
        <v>2192.16</v>
      </c>
      <c r="Q461" s="20">
        <v>46</v>
      </c>
      <c r="R461" s="20">
        <v>77.08</v>
      </c>
      <c r="S461" s="26">
        <v>77</v>
      </c>
      <c r="T461" s="26">
        <v>-0.08</v>
      </c>
      <c r="U461" s="26">
        <v>-0.02</v>
      </c>
      <c r="V461" s="26">
        <v>2092.13</v>
      </c>
    </row>
    <row r="462" spans="1:22" ht="16.8" x14ac:dyDescent="0.3">
      <c r="A462" s="20">
        <v>46.1</v>
      </c>
      <c r="B462" s="20">
        <v>77</v>
      </c>
      <c r="C462" s="20">
        <v>77.349999999999994</v>
      </c>
      <c r="D462" s="20">
        <v>-0.35</v>
      </c>
      <c r="E462" s="20">
        <v>-0.02</v>
      </c>
      <c r="F462" s="20">
        <v>2150.7399999999998</v>
      </c>
      <c r="Q462" s="20">
        <v>46.1</v>
      </c>
      <c r="R462" s="20">
        <v>77.08</v>
      </c>
      <c r="S462" s="26">
        <v>77</v>
      </c>
      <c r="T462" s="26">
        <v>-0.08</v>
      </c>
      <c r="U462" s="26">
        <v>0</v>
      </c>
      <c r="V462" s="20">
        <v>2111.4</v>
      </c>
    </row>
    <row r="463" spans="1:22" ht="16.8" x14ac:dyDescent="0.3">
      <c r="A463" s="20">
        <v>46.2</v>
      </c>
      <c r="B463" s="20">
        <v>77</v>
      </c>
      <c r="C463" s="26">
        <v>77.39</v>
      </c>
      <c r="D463" s="20">
        <v>-0.39</v>
      </c>
      <c r="E463" s="20">
        <v>-0.04</v>
      </c>
      <c r="F463" s="26">
        <v>2083.21</v>
      </c>
      <c r="Q463" s="20">
        <v>46.2</v>
      </c>
      <c r="R463" s="20">
        <v>77.040000000000006</v>
      </c>
      <c r="S463" s="26">
        <v>77</v>
      </c>
      <c r="T463" s="26">
        <v>-0.04</v>
      </c>
      <c r="U463" s="26">
        <v>0.03</v>
      </c>
      <c r="V463" s="26">
        <v>2142.9</v>
      </c>
    </row>
    <row r="464" spans="1:22" ht="16.8" x14ac:dyDescent="0.3">
      <c r="A464" s="20">
        <v>46.3</v>
      </c>
      <c r="B464" s="20">
        <v>77</v>
      </c>
      <c r="C464" s="26">
        <v>77.33</v>
      </c>
      <c r="D464" s="20">
        <v>-0.33</v>
      </c>
      <c r="E464" s="20">
        <v>0.06</v>
      </c>
      <c r="F464" s="20">
        <v>2192.16</v>
      </c>
      <c r="Q464" s="20">
        <v>46.3</v>
      </c>
      <c r="R464" s="20">
        <v>77.12</v>
      </c>
      <c r="S464" s="26">
        <v>77</v>
      </c>
      <c r="T464" s="26">
        <v>-0.12</v>
      </c>
      <c r="U464" s="26">
        <v>-0.08</v>
      </c>
      <c r="V464" s="20">
        <v>2037.51</v>
      </c>
    </row>
    <row r="465" spans="1:22" ht="16.8" x14ac:dyDescent="0.3">
      <c r="A465" s="20">
        <v>46.4</v>
      </c>
      <c r="B465" s="20">
        <v>77</v>
      </c>
      <c r="C465" s="20">
        <v>77.39</v>
      </c>
      <c r="D465" s="20">
        <v>-0.39</v>
      </c>
      <c r="E465" s="20">
        <v>-0.06</v>
      </c>
      <c r="F465" s="26">
        <v>2073.92</v>
      </c>
      <c r="Q465" s="20">
        <v>46.4</v>
      </c>
      <c r="R465" s="20">
        <v>77.08</v>
      </c>
      <c r="S465" s="26">
        <v>77</v>
      </c>
      <c r="T465" s="26">
        <v>-0.08</v>
      </c>
      <c r="U465" s="26">
        <v>0.05</v>
      </c>
      <c r="V465" s="20">
        <v>2149.65</v>
      </c>
    </row>
    <row r="466" spans="1:22" ht="16.8" x14ac:dyDescent="0.3">
      <c r="A466" s="20">
        <v>46.5</v>
      </c>
      <c r="B466" s="20">
        <v>77</v>
      </c>
      <c r="C466" s="26">
        <v>77.39</v>
      </c>
      <c r="D466" s="20">
        <v>-0.39</v>
      </c>
      <c r="E466" s="20">
        <v>0</v>
      </c>
      <c r="F466" s="26">
        <v>2124.54</v>
      </c>
      <c r="Q466" s="20">
        <v>46.5</v>
      </c>
      <c r="R466" s="20">
        <v>77.12</v>
      </c>
      <c r="S466" s="26">
        <v>77</v>
      </c>
      <c r="T466" s="26">
        <v>-0.12</v>
      </c>
      <c r="U466" s="26">
        <v>-0.04</v>
      </c>
      <c r="V466" s="26">
        <v>2070.83</v>
      </c>
    </row>
    <row r="467" spans="1:22" ht="16.8" x14ac:dyDescent="0.3">
      <c r="A467" s="20">
        <v>46.6</v>
      </c>
      <c r="B467" s="20">
        <v>77</v>
      </c>
      <c r="C467" s="20">
        <v>77.400000000000006</v>
      </c>
      <c r="D467" s="20">
        <v>-0.4</v>
      </c>
      <c r="E467" s="20">
        <v>-0.01</v>
      </c>
      <c r="F467" s="20">
        <v>2107.0100000000002</v>
      </c>
      <c r="Q467" s="20">
        <v>46.6</v>
      </c>
      <c r="R467" s="20">
        <v>77.150000000000006</v>
      </c>
      <c r="S467" s="26">
        <v>77</v>
      </c>
      <c r="T467" s="26">
        <v>-0.15</v>
      </c>
      <c r="U467" s="26">
        <v>-0.03</v>
      </c>
      <c r="V467" s="20">
        <v>2071.2399999999998</v>
      </c>
    </row>
    <row r="468" spans="1:22" ht="16.8" x14ac:dyDescent="0.3">
      <c r="A468" s="20">
        <v>46.7</v>
      </c>
      <c r="B468" s="20">
        <v>77</v>
      </c>
      <c r="C468" s="26">
        <v>77.38</v>
      </c>
      <c r="D468" s="20">
        <v>-0.38</v>
      </c>
      <c r="E468" s="20">
        <v>0.02</v>
      </c>
      <c r="F468" s="26">
        <v>2139.65</v>
      </c>
      <c r="Q468" s="20">
        <v>46.7</v>
      </c>
      <c r="R468" s="20">
        <v>77.08</v>
      </c>
      <c r="S468" s="26">
        <v>77</v>
      </c>
      <c r="T468" s="26">
        <v>-0.08</v>
      </c>
      <c r="U468" s="26">
        <v>7.0000000000000007E-2</v>
      </c>
      <c r="V468" s="26">
        <v>2168.16</v>
      </c>
    </row>
    <row r="469" spans="1:22" ht="16.8" x14ac:dyDescent="0.3">
      <c r="A469" s="20">
        <v>46.8</v>
      </c>
      <c r="B469" s="20">
        <v>77</v>
      </c>
      <c r="C469" s="26">
        <v>77.38</v>
      </c>
      <c r="D469" s="20">
        <v>-0.38</v>
      </c>
      <c r="E469" s="20">
        <v>0</v>
      </c>
      <c r="F469" s="26">
        <v>2139.65</v>
      </c>
      <c r="Q469" s="20">
        <v>46.8</v>
      </c>
      <c r="R469" s="20">
        <v>77.08</v>
      </c>
      <c r="S469" s="20">
        <v>77</v>
      </c>
      <c r="T469" s="26">
        <v>-0.08</v>
      </c>
      <c r="U469" s="26">
        <v>0</v>
      </c>
      <c r="V469" s="20">
        <v>2109.48</v>
      </c>
    </row>
    <row r="470" spans="1:22" ht="16.8" x14ac:dyDescent="0.3">
      <c r="A470" s="20">
        <v>46.9</v>
      </c>
      <c r="B470" s="20">
        <v>77</v>
      </c>
      <c r="C470" s="20">
        <v>77.37</v>
      </c>
      <c r="D470" s="20">
        <v>-0.37</v>
      </c>
      <c r="E470" s="20">
        <v>0</v>
      </c>
      <c r="F470" s="26">
        <v>2144.64</v>
      </c>
      <c r="Q470" s="20">
        <v>46.9</v>
      </c>
      <c r="R470" s="20">
        <v>77.03</v>
      </c>
      <c r="S470" s="26">
        <v>77</v>
      </c>
      <c r="T470" s="26">
        <v>-0.03</v>
      </c>
      <c r="U470" s="26">
        <v>0.05</v>
      </c>
      <c r="V470" s="26">
        <v>2156.83</v>
      </c>
    </row>
    <row r="471" spans="1:22" ht="16.8" x14ac:dyDescent="0.3">
      <c r="A471" s="20">
        <v>47</v>
      </c>
      <c r="B471" s="20">
        <v>77</v>
      </c>
      <c r="C471" s="26">
        <v>77.41</v>
      </c>
      <c r="D471" s="20">
        <v>-0.41</v>
      </c>
      <c r="E471" s="20">
        <v>-0.03</v>
      </c>
      <c r="F471" s="26">
        <v>2074.66</v>
      </c>
      <c r="Q471" s="20">
        <v>47</v>
      </c>
      <c r="R471" s="20">
        <v>77.09</v>
      </c>
      <c r="S471" s="26">
        <v>77</v>
      </c>
      <c r="T471" s="26">
        <v>-0.09</v>
      </c>
      <c r="U471" s="26">
        <v>-0.06</v>
      </c>
      <c r="V471" s="20">
        <v>2054.36</v>
      </c>
    </row>
    <row r="472" spans="1:22" ht="16.8" x14ac:dyDescent="0.3">
      <c r="A472" s="20">
        <v>47.1</v>
      </c>
      <c r="B472" s="20">
        <v>77</v>
      </c>
      <c r="C472" s="26">
        <v>77.400000000000006</v>
      </c>
      <c r="D472" s="20">
        <v>-0.4</v>
      </c>
      <c r="E472" s="20">
        <v>0</v>
      </c>
      <c r="F472" s="26">
        <v>2109.0300000000002</v>
      </c>
      <c r="Q472" s="20">
        <v>47.1</v>
      </c>
      <c r="R472" s="20">
        <v>77.06</v>
      </c>
      <c r="S472" s="26">
        <v>77</v>
      </c>
      <c r="T472" s="26">
        <v>-0.06</v>
      </c>
      <c r="U472" s="26">
        <v>0.03</v>
      </c>
      <c r="V472" s="26">
        <v>2137.7600000000002</v>
      </c>
    </row>
    <row r="473" spans="1:22" ht="16.8" x14ac:dyDescent="0.3">
      <c r="A473" s="20">
        <v>47.2</v>
      </c>
      <c r="B473" s="20">
        <v>77</v>
      </c>
      <c r="C473" s="20">
        <v>77.37</v>
      </c>
      <c r="D473" s="20">
        <v>-0.37</v>
      </c>
      <c r="E473" s="20">
        <v>0.04</v>
      </c>
      <c r="F473" s="20">
        <v>2154.42</v>
      </c>
      <c r="Q473" s="20">
        <v>47.2</v>
      </c>
      <c r="R473" s="20">
        <v>77.06</v>
      </c>
      <c r="S473" s="26">
        <v>77</v>
      </c>
      <c r="T473" s="26">
        <v>-0.06</v>
      </c>
      <c r="U473" s="26">
        <v>0</v>
      </c>
      <c r="V473" s="20">
        <v>2111.61</v>
      </c>
    </row>
    <row r="474" spans="1:22" ht="16.8" x14ac:dyDescent="0.3">
      <c r="A474" s="20">
        <v>47.3</v>
      </c>
      <c r="B474" s="20">
        <v>77</v>
      </c>
      <c r="C474" s="26">
        <v>77.349999999999994</v>
      </c>
      <c r="D474" s="20">
        <v>-0.35</v>
      </c>
      <c r="E474" s="20">
        <v>0.01</v>
      </c>
      <c r="F474" s="26">
        <v>2168.8200000000002</v>
      </c>
      <c r="Q474" s="20">
        <v>47.3</v>
      </c>
      <c r="R474" s="20">
        <v>77.12</v>
      </c>
      <c r="S474" s="26">
        <v>77</v>
      </c>
      <c r="T474" s="26">
        <v>-0.12</v>
      </c>
      <c r="U474" s="26">
        <v>-0.06</v>
      </c>
      <c r="V474" s="26">
        <v>2048</v>
      </c>
    </row>
    <row r="475" spans="1:22" ht="16.8" x14ac:dyDescent="0.3">
      <c r="A475" s="20">
        <v>47.4</v>
      </c>
      <c r="B475" s="20">
        <v>77</v>
      </c>
      <c r="C475" s="20">
        <v>77.349999999999994</v>
      </c>
      <c r="D475" s="20">
        <v>-0.35</v>
      </c>
      <c r="E475" s="20">
        <v>0</v>
      </c>
      <c r="F475" s="20">
        <v>2168.8200000000002</v>
      </c>
      <c r="Q475" s="20">
        <v>47.4</v>
      </c>
      <c r="R475" s="20">
        <v>77.11</v>
      </c>
      <c r="S475" s="26">
        <v>77</v>
      </c>
      <c r="T475" s="26">
        <v>-0.11</v>
      </c>
      <c r="U475" s="26">
        <v>0.02</v>
      </c>
      <c r="V475" s="20">
        <v>2115.4499999999998</v>
      </c>
    </row>
    <row r="476" spans="1:22" ht="16.8" x14ac:dyDescent="0.3">
      <c r="A476" s="20">
        <v>47.5</v>
      </c>
      <c r="B476" s="20">
        <v>77</v>
      </c>
      <c r="C476" s="26">
        <v>77.3</v>
      </c>
      <c r="D476" s="20">
        <v>-0.3</v>
      </c>
      <c r="E476" s="20">
        <v>0.06</v>
      </c>
      <c r="F476" s="26">
        <v>2232.5100000000002</v>
      </c>
      <c r="Q476" s="20">
        <v>47.5</v>
      </c>
      <c r="R476" s="20">
        <v>77.08</v>
      </c>
      <c r="S476" s="26">
        <v>77</v>
      </c>
      <c r="T476" s="26">
        <v>-0.08</v>
      </c>
      <c r="U476" s="26">
        <v>0.03</v>
      </c>
      <c r="V476" s="20">
        <v>2133.86</v>
      </c>
    </row>
    <row r="477" spans="1:22" ht="16.8" x14ac:dyDescent="0.3">
      <c r="A477" s="20">
        <v>47.6</v>
      </c>
      <c r="B477" s="20">
        <v>77</v>
      </c>
      <c r="C477" s="26">
        <v>77.31</v>
      </c>
      <c r="D477" s="20">
        <v>-0.31</v>
      </c>
      <c r="E477" s="20">
        <v>-0.02</v>
      </c>
      <c r="F477" s="26">
        <v>2200.34</v>
      </c>
      <c r="Q477" s="20">
        <v>47.6</v>
      </c>
      <c r="R477" s="20">
        <v>77.12</v>
      </c>
      <c r="S477" s="26">
        <v>77</v>
      </c>
      <c r="T477" s="26">
        <v>-0.12</v>
      </c>
      <c r="U477" s="26">
        <v>-0.05</v>
      </c>
      <c r="V477" s="26">
        <v>2060.1</v>
      </c>
    </row>
    <row r="478" spans="1:22" ht="16.8" x14ac:dyDescent="0.3">
      <c r="A478" s="20">
        <v>47.7</v>
      </c>
      <c r="B478" s="20">
        <v>77</v>
      </c>
      <c r="C478" s="20">
        <v>77.290000000000006</v>
      </c>
      <c r="D478" s="20">
        <v>-0.28999999999999998</v>
      </c>
      <c r="E478" s="20">
        <v>0.02</v>
      </c>
      <c r="F478" s="20">
        <v>2241.1999999999998</v>
      </c>
      <c r="Q478" s="20">
        <v>47.7</v>
      </c>
      <c r="R478" s="20">
        <v>77.08</v>
      </c>
      <c r="S478" s="20">
        <v>77</v>
      </c>
      <c r="T478" s="26">
        <v>-0.08</v>
      </c>
      <c r="U478" s="26">
        <v>0.04</v>
      </c>
      <c r="V478" s="20">
        <v>2138.34</v>
      </c>
    </row>
    <row r="479" spans="1:22" ht="16.8" x14ac:dyDescent="0.3">
      <c r="A479" s="20">
        <v>47.8</v>
      </c>
      <c r="B479" s="20">
        <v>77</v>
      </c>
      <c r="C479" s="26">
        <v>77.28</v>
      </c>
      <c r="D479" s="20">
        <v>-0.28000000000000003</v>
      </c>
      <c r="E479" s="20">
        <v>0.01</v>
      </c>
      <c r="F479" s="26">
        <v>2249.88</v>
      </c>
      <c r="Q479" s="20">
        <v>47.8</v>
      </c>
      <c r="R479" s="20">
        <v>77.12</v>
      </c>
      <c r="S479" s="26">
        <v>77</v>
      </c>
      <c r="T479" s="26">
        <v>-0.12</v>
      </c>
      <c r="U479" s="26">
        <v>-0.04</v>
      </c>
      <c r="V479" s="26">
        <v>2065.9899999999998</v>
      </c>
    </row>
    <row r="480" spans="1:22" ht="16.8" x14ac:dyDescent="0.3">
      <c r="A480" s="20">
        <v>47.9</v>
      </c>
      <c r="B480" s="20">
        <v>77</v>
      </c>
      <c r="C480" s="26">
        <v>77.31</v>
      </c>
      <c r="D480" s="20">
        <v>-0.31</v>
      </c>
      <c r="E480" s="20">
        <v>-0.03</v>
      </c>
      <c r="F480" s="26">
        <v>2193.89</v>
      </c>
      <c r="Q480" s="20">
        <v>47.9</v>
      </c>
      <c r="R480" s="20">
        <v>77.08</v>
      </c>
      <c r="S480" s="26">
        <v>77</v>
      </c>
      <c r="T480" s="26">
        <v>-0.08</v>
      </c>
      <c r="U480" s="26">
        <v>0.04</v>
      </c>
      <c r="V480" s="20">
        <v>2137.73</v>
      </c>
    </row>
    <row r="481" spans="1:22" ht="16.8" x14ac:dyDescent="0.3">
      <c r="A481" s="20">
        <v>48</v>
      </c>
      <c r="B481" s="20">
        <v>77</v>
      </c>
      <c r="C481" s="20">
        <v>77.319999999999993</v>
      </c>
      <c r="D481" s="20">
        <v>-0.32</v>
      </c>
      <c r="E481" s="20">
        <v>-0.01</v>
      </c>
      <c r="F481" s="26">
        <v>2203.12</v>
      </c>
      <c r="Q481" s="20">
        <v>48</v>
      </c>
      <c r="R481" s="20">
        <v>77.099999999999994</v>
      </c>
      <c r="S481" s="26">
        <v>77</v>
      </c>
      <c r="T481" s="26">
        <v>-0.1</v>
      </c>
      <c r="U481" s="26">
        <v>-0.02</v>
      </c>
      <c r="V481" s="26">
        <v>2089.17</v>
      </c>
    </row>
    <row r="482" spans="1:22" ht="16.8" x14ac:dyDescent="0.3">
      <c r="A482" s="20">
        <v>48.1</v>
      </c>
      <c r="B482" s="20">
        <v>77</v>
      </c>
      <c r="C482" s="26">
        <v>77.31</v>
      </c>
      <c r="D482" s="20">
        <v>-0.31</v>
      </c>
      <c r="E482" s="20">
        <v>0.01</v>
      </c>
      <c r="F482" s="26">
        <v>2219.25</v>
      </c>
      <c r="Q482" s="20">
        <v>48.1</v>
      </c>
      <c r="R482" s="20">
        <v>77.14</v>
      </c>
      <c r="S482" s="26">
        <v>77</v>
      </c>
      <c r="T482" s="26">
        <v>-0.14000000000000001</v>
      </c>
      <c r="U482" s="26">
        <v>-0.04</v>
      </c>
      <c r="V482" s="20">
        <v>2062.2199999999998</v>
      </c>
    </row>
    <row r="483" spans="1:22" ht="16.8" x14ac:dyDescent="0.3">
      <c r="A483" s="20">
        <v>48.2</v>
      </c>
      <c r="B483" s="20">
        <v>77</v>
      </c>
      <c r="C483" s="20">
        <v>77.290000000000006</v>
      </c>
      <c r="D483" s="20">
        <v>-0.28999999999999998</v>
      </c>
      <c r="E483" s="20">
        <v>0.02</v>
      </c>
      <c r="F483" s="26">
        <v>2236.87</v>
      </c>
      <c r="Q483" s="20">
        <v>48.2</v>
      </c>
      <c r="R483" s="20">
        <v>77.09</v>
      </c>
      <c r="S483" s="26">
        <v>77</v>
      </c>
      <c r="T483" s="26">
        <v>-0.09</v>
      </c>
      <c r="U483" s="26">
        <v>0.05</v>
      </c>
      <c r="V483" s="26">
        <v>2141.85</v>
      </c>
    </row>
    <row r="484" spans="1:22" ht="16.8" x14ac:dyDescent="0.3">
      <c r="A484" s="20">
        <v>48.3</v>
      </c>
      <c r="B484" s="20">
        <v>77</v>
      </c>
      <c r="C484" s="26">
        <v>77.25</v>
      </c>
      <c r="D484" s="20">
        <v>-0.25</v>
      </c>
      <c r="E484" s="20">
        <v>0.05</v>
      </c>
      <c r="F484" s="26">
        <v>2288.0100000000002</v>
      </c>
      <c r="Q484" s="20">
        <v>48.3</v>
      </c>
      <c r="R484" s="20">
        <v>77.12</v>
      </c>
      <c r="S484" s="26">
        <v>77</v>
      </c>
      <c r="T484" s="26">
        <v>-0.12</v>
      </c>
      <c r="U484" s="26">
        <v>-0.03</v>
      </c>
      <c r="V484" s="20">
        <v>2070.91</v>
      </c>
    </row>
    <row r="485" spans="1:22" ht="16.8" x14ac:dyDescent="0.3">
      <c r="A485" s="20">
        <v>48.4</v>
      </c>
      <c r="B485" s="20">
        <v>77</v>
      </c>
      <c r="C485" s="20">
        <v>77.290000000000006</v>
      </c>
      <c r="D485" s="20">
        <v>-0.28999999999999998</v>
      </c>
      <c r="E485" s="20">
        <v>-0.04</v>
      </c>
      <c r="F485" s="26">
        <v>2209.31</v>
      </c>
      <c r="Q485" s="20">
        <v>48.4</v>
      </c>
      <c r="R485" s="20">
        <v>77.12</v>
      </c>
      <c r="S485" s="20">
        <v>77</v>
      </c>
      <c r="T485" s="26">
        <v>-0.12</v>
      </c>
      <c r="U485" s="26">
        <v>0</v>
      </c>
      <c r="V485" s="20">
        <v>2096.52</v>
      </c>
    </row>
    <row r="486" spans="1:22" ht="16.8" x14ac:dyDescent="0.3">
      <c r="A486" s="20">
        <v>48.5</v>
      </c>
      <c r="B486" s="20">
        <v>77</v>
      </c>
      <c r="C486" s="26">
        <v>77.290000000000006</v>
      </c>
      <c r="D486" s="20">
        <v>-0.28999999999999998</v>
      </c>
      <c r="E486" s="20">
        <v>-0.01</v>
      </c>
      <c r="F486" s="26">
        <v>2229.63</v>
      </c>
      <c r="Q486" s="20">
        <v>48.5</v>
      </c>
      <c r="R486" s="20">
        <v>77.12</v>
      </c>
      <c r="S486" s="26">
        <v>77</v>
      </c>
      <c r="T486" s="20">
        <v>-0.12</v>
      </c>
      <c r="U486" s="26">
        <v>0</v>
      </c>
      <c r="V486" s="26">
        <v>2096.16</v>
      </c>
    </row>
    <row r="487" spans="1:22" ht="16.8" x14ac:dyDescent="0.3">
      <c r="A487" s="20">
        <v>48.6</v>
      </c>
      <c r="B487" s="20">
        <v>77</v>
      </c>
      <c r="C487" s="26">
        <v>77.27</v>
      </c>
      <c r="D487" s="20">
        <v>-0.27</v>
      </c>
      <c r="E487" s="20">
        <v>0.02</v>
      </c>
      <c r="F487" s="26">
        <v>2262.6999999999998</v>
      </c>
      <c r="Q487" s="20">
        <v>48.6</v>
      </c>
      <c r="R487" s="20">
        <v>77.069999999999993</v>
      </c>
      <c r="S487" s="20">
        <v>77</v>
      </c>
      <c r="T487" s="26">
        <v>-7.0000000000000007E-2</v>
      </c>
      <c r="U487" s="26">
        <v>0.06</v>
      </c>
      <c r="V487" s="20">
        <v>2151.3000000000002</v>
      </c>
    </row>
    <row r="488" spans="1:22" ht="16.8" x14ac:dyDescent="0.3">
      <c r="A488" s="20">
        <v>48.7</v>
      </c>
      <c r="B488" s="20">
        <v>77</v>
      </c>
      <c r="C488" s="20">
        <v>77.319999999999993</v>
      </c>
      <c r="D488" s="20">
        <v>-0.32</v>
      </c>
      <c r="E488" s="20">
        <v>-0.05</v>
      </c>
      <c r="F488" s="26">
        <v>2158.9499999999998</v>
      </c>
      <c r="Q488" s="20">
        <v>48.7</v>
      </c>
      <c r="R488" s="20">
        <v>77.150000000000006</v>
      </c>
      <c r="S488" s="26">
        <v>77</v>
      </c>
      <c r="T488" s="26">
        <v>-0.15</v>
      </c>
      <c r="U488" s="26">
        <v>-0.08</v>
      </c>
      <c r="V488" s="26">
        <v>2026.35</v>
      </c>
    </row>
    <row r="489" spans="1:22" ht="16.8" x14ac:dyDescent="0.3">
      <c r="A489" s="20">
        <v>48.8</v>
      </c>
      <c r="B489" s="20">
        <v>77</v>
      </c>
      <c r="C489" s="26">
        <v>77.28</v>
      </c>
      <c r="D489" s="20">
        <v>-0.28000000000000003</v>
      </c>
      <c r="E489" s="20">
        <v>0.04</v>
      </c>
      <c r="F489" s="20">
        <v>2254.17</v>
      </c>
      <c r="Q489" s="20">
        <v>48.8</v>
      </c>
      <c r="R489" s="20">
        <v>77.09</v>
      </c>
      <c r="S489" s="20">
        <v>77</v>
      </c>
      <c r="T489" s="26">
        <v>-0.09</v>
      </c>
      <c r="U489" s="26">
        <v>0.06</v>
      </c>
      <c r="V489" s="20">
        <v>2146.38</v>
      </c>
    </row>
    <row r="490" spans="1:22" ht="16.8" x14ac:dyDescent="0.3">
      <c r="A490" s="20">
        <v>48.9</v>
      </c>
      <c r="B490" s="20">
        <v>77</v>
      </c>
      <c r="C490" s="20">
        <v>77.290000000000006</v>
      </c>
      <c r="D490" s="20">
        <v>-0.28999999999999998</v>
      </c>
      <c r="E490" s="20">
        <v>-0.02</v>
      </c>
      <c r="F490" s="26">
        <v>2222.39</v>
      </c>
      <c r="Q490" s="20">
        <v>48.9</v>
      </c>
      <c r="R490" s="20">
        <v>77.13</v>
      </c>
      <c r="S490" s="26">
        <v>77</v>
      </c>
      <c r="T490" s="26">
        <v>-0.13</v>
      </c>
      <c r="U490" s="26">
        <v>-0.04</v>
      </c>
      <c r="V490" s="26">
        <v>2061</v>
      </c>
    </row>
    <row r="491" spans="1:22" ht="16.8" x14ac:dyDescent="0.3">
      <c r="A491" s="20">
        <v>49</v>
      </c>
      <c r="B491" s="20">
        <v>77</v>
      </c>
      <c r="C491" s="26">
        <v>77.290000000000006</v>
      </c>
      <c r="D491" s="20">
        <v>-0.28999999999999998</v>
      </c>
      <c r="E491" s="20">
        <v>0</v>
      </c>
      <c r="F491" s="26">
        <v>2236.87</v>
      </c>
      <c r="Q491" s="20">
        <v>49</v>
      </c>
      <c r="R491" s="20">
        <v>77.069999999999993</v>
      </c>
      <c r="S491" s="20">
        <v>77</v>
      </c>
      <c r="T491" s="26">
        <v>-7.0000000000000007E-2</v>
      </c>
      <c r="U491" s="26">
        <v>0.06</v>
      </c>
      <c r="V491" s="20">
        <v>2156.5100000000002</v>
      </c>
    </row>
    <row r="492" spans="1:22" ht="16.8" x14ac:dyDescent="0.3">
      <c r="A492" s="20">
        <v>49.1</v>
      </c>
      <c r="B492" s="20">
        <v>77</v>
      </c>
      <c r="C492" s="26">
        <v>77.34</v>
      </c>
      <c r="D492" s="20">
        <v>-0.34</v>
      </c>
      <c r="E492" s="20">
        <v>-0.04</v>
      </c>
      <c r="F492" s="26">
        <v>2147.86</v>
      </c>
      <c r="Q492" s="20">
        <v>49.1</v>
      </c>
      <c r="R492" s="20">
        <v>77.11</v>
      </c>
      <c r="S492" s="26">
        <v>77</v>
      </c>
      <c r="T492" s="26">
        <v>-0.11</v>
      </c>
      <c r="U492" s="26">
        <v>-0.04</v>
      </c>
      <c r="V492" s="26">
        <v>2064.7199999999998</v>
      </c>
    </row>
    <row r="493" spans="1:22" ht="16.8" x14ac:dyDescent="0.3">
      <c r="A493" s="20">
        <v>49.2</v>
      </c>
      <c r="B493" s="20">
        <v>77</v>
      </c>
      <c r="C493" s="20">
        <v>77.28</v>
      </c>
      <c r="D493" s="20">
        <v>-0.28000000000000003</v>
      </c>
      <c r="E493" s="20">
        <v>0.06</v>
      </c>
      <c r="F493" s="26">
        <v>2249.88</v>
      </c>
      <c r="Q493" s="20">
        <v>49.2</v>
      </c>
      <c r="R493" s="20">
        <v>77.12</v>
      </c>
      <c r="S493" s="26">
        <v>77</v>
      </c>
      <c r="T493" s="26">
        <v>-0.12</v>
      </c>
      <c r="U493" s="26">
        <v>-0.01</v>
      </c>
      <c r="V493" s="20">
        <v>2088.9499999999998</v>
      </c>
    </row>
    <row r="494" spans="1:22" ht="16.8" x14ac:dyDescent="0.3">
      <c r="A494" s="20">
        <v>49.3</v>
      </c>
      <c r="B494" s="20">
        <v>77</v>
      </c>
      <c r="C494" s="26">
        <v>77.31</v>
      </c>
      <c r="D494" s="20">
        <v>-0.31</v>
      </c>
      <c r="E494" s="20">
        <v>-0.03</v>
      </c>
      <c r="F494" s="20">
        <v>2193.89</v>
      </c>
      <c r="Q494" s="20">
        <v>49.3</v>
      </c>
      <c r="R494" s="20">
        <v>77.11</v>
      </c>
      <c r="S494" s="26">
        <v>77</v>
      </c>
      <c r="T494" s="26">
        <v>-0.11</v>
      </c>
      <c r="U494" s="26">
        <v>0.01</v>
      </c>
      <c r="V494" s="26">
        <v>2103.0300000000002</v>
      </c>
    </row>
    <row r="495" spans="1:22" ht="16.8" x14ac:dyDescent="0.3">
      <c r="A495" s="20">
        <v>49.4</v>
      </c>
      <c r="B495" s="20">
        <v>77</v>
      </c>
      <c r="C495" s="20">
        <v>77.33</v>
      </c>
      <c r="D495" s="20">
        <v>-0.33</v>
      </c>
      <c r="E495" s="20">
        <v>-0.02</v>
      </c>
      <c r="F495" s="26">
        <v>2178.6799999999998</v>
      </c>
      <c r="Q495" s="20">
        <v>49.4</v>
      </c>
      <c r="R495" s="20">
        <v>77.12</v>
      </c>
      <c r="S495" s="26">
        <v>77</v>
      </c>
      <c r="T495" s="26">
        <v>-0.12</v>
      </c>
      <c r="U495" s="26">
        <v>-0.01</v>
      </c>
      <c r="V495" s="20">
        <v>2088.3000000000002</v>
      </c>
    </row>
    <row r="496" spans="1:22" ht="16.8" x14ac:dyDescent="0.3">
      <c r="A496" s="20">
        <v>49.5</v>
      </c>
      <c r="B496" s="20">
        <v>77</v>
      </c>
      <c r="C496" s="26">
        <v>77.33</v>
      </c>
      <c r="D496" s="20">
        <v>-0.33</v>
      </c>
      <c r="E496" s="20">
        <v>0</v>
      </c>
      <c r="F496" s="26">
        <v>2196.7600000000002</v>
      </c>
      <c r="Q496" s="20">
        <v>49.5</v>
      </c>
      <c r="R496" s="20">
        <v>77.14</v>
      </c>
      <c r="S496" s="26">
        <v>77</v>
      </c>
      <c r="T496" s="26">
        <v>-0.14000000000000001</v>
      </c>
      <c r="U496" s="26">
        <v>-0.02</v>
      </c>
      <c r="V496" s="26">
        <v>2070.67</v>
      </c>
    </row>
    <row r="497" spans="1:22" ht="16.8" x14ac:dyDescent="0.3">
      <c r="A497" s="20">
        <v>49.6</v>
      </c>
      <c r="B497" s="20">
        <v>77</v>
      </c>
      <c r="C497" s="26">
        <v>77.319999999999993</v>
      </c>
      <c r="D497" s="20">
        <v>-0.32</v>
      </c>
      <c r="E497" s="20">
        <v>0.01</v>
      </c>
      <c r="F497" s="26">
        <v>2210.34</v>
      </c>
      <c r="Q497" s="20">
        <v>49.6</v>
      </c>
      <c r="R497" s="20">
        <v>77.08</v>
      </c>
      <c r="S497" s="26">
        <v>77</v>
      </c>
      <c r="T497" s="26">
        <v>-0.08</v>
      </c>
      <c r="U497" s="26">
        <v>0.06</v>
      </c>
      <c r="V497" s="20">
        <v>2145.2399999999998</v>
      </c>
    </row>
    <row r="498" spans="1:22" ht="16.8" x14ac:dyDescent="0.3">
      <c r="A498" s="20">
        <v>49.7</v>
      </c>
      <c r="B498" s="20">
        <v>77</v>
      </c>
      <c r="C498" s="20">
        <v>77.33</v>
      </c>
      <c r="D498" s="20">
        <v>-0.33</v>
      </c>
      <c r="E498" s="20">
        <v>-0.01</v>
      </c>
      <c r="F498" s="26">
        <v>2194.1</v>
      </c>
      <c r="Q498" s="20">
        <v>49.7</v>
      </c>
      <c r="R498" s="20">
        <v>77.099999999999994</v>
      </c>
      <c r="S498" s="26">
        <v>77</v>
      </c>
      <c r="T498" s="26">
        <v>-0.1</v>
      </c>
      <c r="U498" s="26">
        <v>-0.02</v>
      </c>
      <c r="V498" s="26">
        <v>2083.6799999999998</v>
      </c>
    </row>
    <row r="499" spans="1:22" ht="16.8" x14ac:dyDescent="0.3">
      <c r="A499" s="20">
        <v>49.8</v>
      </c>
      <c r="B499" s="20">
        <v>77</v>
      </c>
      <c r="C499" s="26">
        <v>77.319999999999993</v>
      </c>
      <c r="D499" s="20">
        <v>-0.32</v>
      </c>
      <c r="E499" s="20">
        <v>0</v>
      </c>
      <c r="F499" s="26">
        <v>2205.85</v>
      </c>
      <c r="Q499" s="20">
        <v>49.8</v>
      </c>
      <c r="R499" s="20">
        <v>77.12</v>
      </c>
      <c r="S499" s="26">
        <v>77</v>
      </c>
      <c r="T499" s="26">
        <v>-0.12</v>
      </c>
      <c r="U499" s="26">
        <v>-0.02</v>
      </c>
      <c r="V499" s="20">
        <v>2072.59</v>
      </c>
    </row>
    <row r="500" spans="1:22" ht="16.8" x14ac:dyDescent="0.3">
      <c r="A500" s="20">
        <v>49.9</v>
      </c>
      <c r="B500" s="20">
        <v>77</v>
      </c>
      <c r="C500" s="26">
        <v>77.34</v>
      </c>
      <c r="D500" s="20">
        <v>-0.34</v>
      </c>
      <c r="E500" s="20">
        <v>-0.02</v>
      </c>
      <c r="F500" s="26">
        <v>2173.09</v>
      </c>
      <c r="Q500" s="20">
        <v>49.9</v>
      </c>
      <c r="R500" s="20">
        <v>77.069999999999993</v>
      </c>
      <c r="S500" s="26">
        <v>77</v>
      </c>
      <c r="T500" s="26">
        <v>-7.0000000000000007E-2</v>
      </c>
      <c r="U500" s="26">
        <v>0.06</v>
      </c>
      <c r="V500" s="26">
        <v>2147.21</v>
      </c>
    </row>
    <row r="501" spans="1:22" ht="16.8" x14ac:dyDescent="0.3">
      <c r="A501" s="20">
        <v>50</v>
      </c>
      <c r="B501" s="20">
        <v>77</v>
      </c>
      <c r="C501" s="20">
        <v>77.27</v>
      </c>
      <c r="D501" s="20">
        <v>-0.27</v>
      </c>
      <c r="E501" s="20">
        <v>7.0000000000000007E-2</v>
      </c>
      <c r="F501" s="26">
        <v>2262.6999999999998</v>
      </c>
      <c r="Q501" s="20">
        <v>50</v>
      </c>
      <c r="R501" s="20">
        <v>77.13</v>
      </c>
      <c r="S501" s="26">
        <v>77</v>
      </c>
      <c r="T501" s="26">
        <v>-0.13</v>
      </c>
      <c r="U501" s="26">
        <v>-0.06</v>
      </c>
      <c r="V501" s="20">
        <v>2038.13</v>
      </c>
    </row>
    <row r="502" spans="1:22" ht="16.8" x14ac:dyDescent="0.3">
      <c r="A502" s="20">
        <v>50.1</v>
      </c>
      <c r="B502" s="20">
        <v>77</v>
      </c>
      <c r="C502" s="26">
        <v>77.290000000000006</v>
      </c>
      <c r="D502" s="20">
        <v>-0.28999999999999998</v>
      </c>
      <c r="E502" s="20">
        <v>-0.02</v>
      </c>
      <c r="F502" s="26">
        <v>2215.12</v>
      </c>
      <c r="Q502" s="20">
        <v>50.1</v>
      </c>
      <c r="R502" s="20">
        <v>77.099999999999994</v>
      </c>
      <c r="S502" s="26">
        <v>77</v>
      </c>
      <c r="T502" s="26">
        <v>-0.1</v>
      </c>
      <c r="U502" s="26">
        <v>0.03</v>
      </c>
      <c r="V502" s="26">
        <v>2121.41</v>
      </c>
    </row>
    <row r="503" spans="1:22" ht="16.8" x14ac:dyDescent="0.3">
      <c r="A503" s="20">
        <v>50.2</v>
      </c>
      <c r="B503" s="20">
        <v>77</v>
      </c>
      <c r="C503" s="20">
        <v>77.33</v>
      </c>
      <c r="D503" s="20">
        <v>-0.33</v>
      </c>
      <c r="E503" s="20">
        <v>-0.04</v>
      </c>
      <c r="F503" s="20">
        <v>2156.08</v>
      </c>
      <c r="Q503" s="20">
        <v>50.2</v>
      </c>
      <c r="R503" s="20">
        <v>77.180000000000007</v>
      </c>
      <c r="S503" s="26">
        <v>77</v>
      </c>
      <c r="T503" s="26">
        <v>-0.18</v>
      </c>
      <c r="U503" s="26">
        <v>-0.08</v>
      </c>
      <c r="V503" s="20">
        <v>2015.85</v>
      </c>
    </row>
    <row r="504" spans="1:22" ht="16.8" x14ac:dyDescent="0.3">
      <c r="A504" s="20">
        <v>50.3</v>
      </c>
      <c r="B504" s="20">
        <v>77</v>
      </c>
      <c r="C504" s="26">
        <v>77.28</v>
      </c>
      <c r="D504" s="20">
        <v>-0.28000000000000003</v>
      </c>
      <c r="E504" s="20">
        <v>0.06</v>
      </c>
      <c r="F504" s="26">
        <v>2254.17</v>
      </c>
      <c r="Q504" s="20">
        <v>50.3</v>
      </c>
      <c r="R504" s="20">
        <v>77.12</v>
      </c>
      <c r="S504" s="26">
        <v>77</v>
      </c>
      <c r="T504" s="26">
        <v>-0.12</v>
      </c>
      <c r="U504" s="26">
        <v>0.06</v>
      </c>
      <c r="V504" s="26">
        <v>2143.71</v>
      </c>
    </row>
    <row r="505" spans="1:22" ht="16.8" x14ac:dyDescent="0.3">
      <c r="A505" s="20">
        <v>50.4</v>
      </c>
      <c r="B505" s="20">
        <v>77</v>
      </c>
      <c r="C505" s="20">
        <v>77.31</v>
      </c>
      <c r="D505" s="20">
        <v>-0.31</v>
      </c>
      <c r="E505" s="20">
        <v>-0.03</v>
      </c>
      <c r="F505" s="20">
        <v>2198.35</v>
      </c>
      <c r="Q505" s="20">
        <v>50.4</v>
      </c>
      <c r="R505" s="20">
        <v>77.16</v>
      </c>
      <c r="S505" s="20">
        <v>77</v>
      </c>
      <c r="T505" s="26">
        <v>-0.16</v>
      </c>
      <c r="U505" s="26">
        <v>-0.04</v>
      </c>
      <c r="V505" s="20">
        <v>2051.7600000000002</v>
      </c>
    </row>
    <row r="506" spans="1:22" ht="16.8" x14ac:dyDescent="0.3">
      <c r="A506" s="20">
        <v>50.5</v>
      </c>
      <c r="B506" s="20">
        <v>77</v>
      </c>
      <c r="C506" s="26">
        <v>77.25</v>
      </c>
      <c r="D506" s="20">
        <v>-0.25</v>
      </c>
      <c r="E506" s="20">
        <v>0.05</v>
      </c>
      <c r="F506" s="26">
        <v>2279.64</v>
      </c>
      <c r="Q506" s="20">
        <v>50.5</v>
      </c>
      <c r="R506" s="20">
        <v>77.12</v>
      </c>
      <c r="S506" s="26">
        <v>77</v>
      </c>
      <c r="T506" s="26">
        <v>-0.12</v>
      </c>
      <c r="U506" s="26">
        <v>0.03</v>
      </c>
      <c r="V506" s="26">
        <v>2115.5100000000002</v>
      </c>
    </row>
    <row r="507" spans="1:22" ht="16.8" x14ac:dyDescent="0.3">
      <c r="A507" s="20">
        <v>50.6</v>
      </c>
      <c r="B507" s="20">
        <v>77</v>
      </c>
      <c r="C507" s="26">
        <v>77.31</v>
      </c>
      <c r="D507" s="20">
        <v>-0.31</v>
      </c>
      <c r="E507" s="20">
        <v>-0.06</v>
      </c>
      <c r="F507" s="26">
        <v>2168.71</v>
      </c>
      <c r="Q507" s="20">
        <v>50.6</v>
      </c>
      <c r="R507" s="20">
        <v>77.14</v>
      </c>
      <c r="S507" s="20">
        <v>77</v>
      </c>
      <c r="T507" s="26">
        <v>-0.14000000000000001</v>
      </c>
      <c r="U507" s="26">
        <v>-0.02</v>
      </c>
      <c r="V507" s="20">
        <v>2073.31</v>
      </c>
    </row>
    <row r="508" spans="1:22" ht="16.8" x14ac:dyDescent="0.3">
      <c r="A508" s="20">
        <v>50.7</v>
      </c>
      <c r="B508" s="20">
        <v>77</v>
      </c>
      <c r="C508" s="20">
        <v>77.25</v>
      </c>
      <c r="D508" s="20">
        <v>-0.25</v>
      </c>
      <c r="E508" s="20">
        <v>0.06</v>
      </c>
      <c r="F508" s="26">
        <v>2283.84</v>
      </c>
      <c r="Q508" s="20">
        <v>50.7</v>
      </c>
      <c r="R508" s="20">
        <v>77.14</v>
      </c>
      <c r="S508" s="26">
        <v>77</v>
      </c>
      <c r="T508" s="26">
        <v>-0.14000000000000001</v>
      </c>
      <c r="U508" s="26">
        <v>0</v>
      </c>
      <c r="V508" s="26">
        <v>2085.89</v>
      </c>
    </row>
    <row r="509" spans="1:22" ht="16.8" x14ac:dyDescent="0.3">
      <c r="A509" s="20">
        <v>50.8</v>
      </c>
      <c r="B509" s="20">
        <v>77</v>
      </c>
      <c r="C509" s="26">
        <v>77.31</v>
      </c>
      <c r="D509" s="20">
        <v>-0.31</v>
      </c>
      <c r="E509" s="20">
        <v>-0.06</v>
      </c>
      <c r="F509" s="26">
        <v>2173.15</v>
      </c>
      <c r="Q509" s="20">
        <v>50.8</v>
      </c>
      <c r="R509" s="20">
        <v>77.14</v>
      </c>
      <c r="S509" s="20">
        <v>77</v>
      </c>
      <c r="T509" s="26">
        <v>-0.14000000000000001</v>
      </c>
      <c r="U509" s="26">
        <v>0</v>
      </c>
      <c r="V509" s="20">
        <v>2085.48</v>
      </c>
    </row>
    <row r="510" spans="1:22" ht="16.8" x14ac:dyDescent="0.3">
      <c r="A510" s="20">
        <v>50.9</v>
      </c>
      <c r="B510" s="20">
        <v>77</v>
      </c>
      <c r="C510" s="26">
        <v>77.27</v>
      </c>
      <c r="D510" s="20">
        <v>-0.27</v>
      </c>
      <c r="E510" s="20">
        <v>0.03</v>
      </c>
      <c r="F510" s="26">
        <v>2258.46</v>
      </c>
      <c r="Q510" s="20">
        <v>50.9</v>
      </c>
      <c r="R510" s="20">
        <v>77.17</v>
      </c>
      <c r="S510" s="26">
        <v>77</v>
      </c>
      <c r="T510" s="26">
        <v>-0.17</v>
      </c>
      <c r="U510" s="26">
        <v>-0.03</v>
      </c>
      <c r="V510" s="20">
        <v>2053.35</v>
      </c>
    </row>
    <row r="511" spans="1:22" ht="16.8" x14ac:dyDescent="0.3">
      <c r="A511" s="20">
        <v>51</v>
      </c>
      <c r="B511" s="20">
        <v>77</v>
      </c>
      <c r="C511" s="20">
        <v>77.290000000000006</v>
      </c>
      <c r="D511" s="20">
        <v>-0.28999999999999998</v>
      </c>
      <c r="E511" s="20">
        <v>-0.02</v>
      </c>
      <c r="F511" s="26">
        <v>2226.69</v>
      </c>
      <c r="Q511" s="20">
        <v>51</v>
      </c>
      <c r="R511" s="20">
        <v>77.13</v>
      </c>
      <c r="S511" s="26">
        <v>77</v>
      </c>
      <c r="T511" s="26">
        <v>-0.13</v>
      </c>
      <c r="U511" s="26">
        <v>0.04</v>
      </c>
      <c r="V511" s="26">
        <v>2118.4899999999998</v>
      </c>
    </row>
    <row r="512" spans="1:22" ht="16.8" x14ac:dyDescent="0.3">
      <c r="A512" s="20">
        <v>51.1</v>
      </c>
      <c r="B512" s="20">
        <v>77</v>
      </c>
      <c r="C512" s="26">
        <v>77.319999999999993</v>
      </c>
      <c r="D512" s="20">
        <v>-0.32</v>
      </c>
      <c r="E512" s="20">
        <v>-0.03</v>
      </c>
      <c r="F512" s="26">
        <v>2185</v>
      </c>
      <c r="Q512" s="20">
        <v>51.1</v>
      </c>
      <c r="R512" s="20">
        <v>77.2</v>
      </c>
      <c r="S512" s="26">
        <v>77</v>
      </c>
      <c r="T512" s="26">
        <v>-0.2</v>
      </c>
      <c r="U512" s="26">
        <v>-0.06</v>
      </c>
      <c r="V512" s="20">
        <v>2022.18</v>
      </c>
    </row>
    <row r="513" spans="1:22" ht="16.8" x14ac:dyDescent="0.3">
      <c r="A513" s="20">
        <v>51.2</v>
      </c>
      <c r="B513" s="20">
        <v>77</v>
      </c>
      <c r="C513" s="20">
        <v>77.3</v>
      </c>
      <c r="D513" s="20">
        <v>-0.3</v>
      </c>
      <c r="E513" s="20">
        <v>0.02</v>
      </c>
      <c r="F513" s="26">
        <v>2232.5100000000002</v>
      </c>
      <c r="Q513" s="20">
        <v>51.2</v>
      </c>
      <c r="R513" s="20">
        <v>77.19</v>
      </c>
      <c r="S513" s="26">
        <v>77</v>
      </c>
      <c r="T513" s="26">
        <v>-0.19</v>
      </c>
      <c r="U513" s="26">
        <v>0.01</v>
      </c>
      <c r="V513" s="26">
        <v>2081.5</v>
      </c>
    </row>
    <row r="514" spans="1:22" ht="16.8" x14ac:dyDescent="0.3">
      <c r="A514" s="20">
        <v>51.3</v>
      </c>
      <c r="B514" s="20">
        <v>77</v>
      </c>
      <c r="C514" s="26">
        <v>77.31</v>
      </c>
      <c r="D514" s="20">
        <v>-0.31</v>
      </c>
      <c r="E514" s="20">
        <v>-0.01</v>
      </c>
      <c r="F514" s="26">
        <v>2208.42</v>
      </c>
      <c r="Q514" s="20">
        <v>51.3</v>
      </c>
      <c r="R514" s="20">
        <v>77.25</v>
      </c>
      <c r="S514" s="26">
        <v>77</v>
      </c>
      <c r="T514" s="26">
        <v>-0.25</v>
      </c>
      <c r="U514" s="26">
        <v>-0.06</v>
      </c>
      <c r="V514" s="20">
        <v>2011.02</v>
      </c>
    </row>
    <row r="515" spans="1:22" ht="16.8" x14ac:dyDescent="0.3">
      <c r="A515" s="20">
        <v>51.4</v>
      </c>
      <c r="B515" s="20">
        <v>77</v>
      </c>
      <c r="C515" s="26">
        <v>77.27</v>
      </c>
      <c r="D515" s="20">
        <v>-0.27</v>
      </c>
      <c r="E515" s="20">
        <v>0.04</v>
      </c>
      <c r="F515" s="26">
        <v>2262.6999999999998</v>
      </c>
      <c r="Q515" s="20">
        <v>51.4</v>
      </c>
      <c r="R515" s="20">
        <v>77.12</v>
      </c>
      <c r="S515" s="26">
        <v>77</v>
      </c>
      <c r="T515" s="26">
        <v>-0.12</v>
      </c>
      <c r="U515" s="26">
        <v>0.13</v>
      </c>
      <c r="V515" s="26">
        <v>2189.13</v>
      </c>
    </row>
    <row r="516" spans="1:22" ht="16.8" x14ac:dyDescent="0.3">
      <c r="A516" s="20">
        <v>51.5</v>
      </c>
      <c r="B516" s="20">
        <v>77</v>
      </c>
      <c r="C516" s="20">
        <v>77.33</v>
      </c>
      <c r="D516" s="20">
        <v>-0.33</v>
      </c>
      <c r="E516" s="20">
        <v>-0.06</v>
      </c>
      <c r="F516" s="20">
        <v>2150.84</v>
      </c>
      <c r="Q516" s="20">
        <v>51.5</v>
      </c>
      <c r="R516" s="20">
        <v>77.150000000000006</v>
      </c>
      <c r="S516" s="26">
        <v>77</v>
      </c>
      <c r="T516" s="26">
        <v>-0.15</v>
      </c>
      <c r="U516" s="26">
        <v>-0.02</v>
      </c>
      <c r="V516" s="20">
        <v>2061.04</v>
      </c>
    </row>
    <row r="517" spans="1:22" ht="16.8" x14ac:dyDescent="0.3">
      <c r="A517" s="20">
        <v>51.6</v>
      </c>
      <c r="B517" s="20">
        <v>77</v>
      </c>
      <c r="C517" s="26">
        <v>77.33</v>
      </c>
      <c r="D517" s="20">
        <v>-0.33</v>
      </c>
      <c r="E517" s="20">
        <v>0</v>
      </c>
      <c r="F517" s="26">
        <v>2193.14</v>
      </c>
      <c r="Q517" s="20">
        <v>51.6</v>
      </c>
      <c r="R517" s="20">
        <v>77.09</v>
      </c>
      <c r="S517" s="26">
        <v>77</v>
      </c>
      <c r="T517" s="26">
        <v>-0.09</v>
      </c>
      <c r="U517" s="26">
        <v>0.06</v>
      </c>
      <c r="V517" s="20">
        <v>2135.61</v>
      </c>
    </row>
    <row r="518" spans="1:22" ht="16.8" x14ac:dyDescent="0.3">
      <c r="A518" s="20">
        <v>51.7</v>
      </c>
      <c r="B518" s="20">
        <v>77</v>
      </c>
      <c r="C518" s="26">
        <v>77.27</v>
      </c>
      <c r="D518" s="20">
        <v>-0.27</v>
      </c>
      <c r="E518" s="20">
        <v>0.06</v>
      </c>
      <c r="F518" s="26">
        <v>2258.46</v>
      </c>
      <c r="Q518" s="20">
        <v>51.7</v>
      </c>
      <c r="R518" s="20">
        <v>77.16</v>
      </c>
      <c r="S518" s="26">
        <v>77</v>
      </c>
      <c r="T518" s="26">
        <v>-0.16</v>
      </c>
      <c r="U518" s="20">
        <v>-0.06</v>
      </c>
      <c r="V518" s="26">
        <v>2026.44</v>
      </c>
    </row>
    <row r="519" spans="1:22" ht="16.8" x14ac:dyDescent="0.3">
      <c r="A519" s="20">
        <v>51.8</v>
      </c>
      <c r="B519" s="20">
        <v>77</v>
      </c>
      <c r="C519" s="20">
        <v>77.319999999999993</v>
      </c>
      <c r="D519" s="20">
        <v>-0.32</v>
      </c>
      <c r="E519" s="20">
        <v>-0.05</v>
      </c>
      <c r="F519" s="26">
        <v>2162.54</v>
      </c>
      <c r="Q519" s="20">
        <v>51.8</v>
      </c>
      <c r="R519" s="20">
        <v>77.2</v>
      </c>
      <c r="S519" s="26">
        <v>77</v>
      </c>
      <c r="T519" s="26">
        <v>-0.2</v>
      </c>
      <c r="U519" s="26">
        <v>-0.04</v>
      </c>
      <c r="V519" s="20">
        <v>2038.3</v>
      </c>
    </row>
    <row r="520" spans="1:22" ht="16.8" x14ac:dyDescent="0.3">
      <c r="A520" s="20">
        <v>51.9</v>
      </c>
      <c r="B520" s="20">
        <v>77</v>
      </c>
      <c r="C520" s="26">
        <v>77.290000000000006</v>
      </c>
      <c r="D520" s="20">
        <v>-0.28999999999999998</v>
      </c>
      <c r="E520" s="20">
        <v>0.03</v>
      </c>
      <c r="F520" s="26">
        <v>2236.87</v>
      </c>
      <c r="Q520" s="20">
        <v>51.9</v>
      </c>
      <c r="R520" s="20">
        <v>77.33</v>
      </c>
      <c r="S520" s="26">
        <v>77</v>
      </c>
      <c r="T520" s="26">
        <v>-0.33</v>
      </c>
      <c r="U520" s="26">
        <v>-0.14000000000000001</v>
      </c>
      <c r="V520" s="26">
        <v>1935.39</v>
      </c>
    </row>
    <row r="521" spans="1:22" ht="16.8" x14ac:dyDescent="0.3">
      <c r="A521" s="20">
        <v>52</v>
      </c>
      <c r="B521" s="20">
        <v>77</v>
      </c>
      <c r="C521" s="20">
        <v>77.349999999999994</v>
      </c>
      <c r="D521" s="20">
        <v>-0.35</v>
      </c>
      <c r="E521" s="20">
        <v>-0.06</v>
      </c>
      <c r="F521" s="20">
        <v>2123.09</v>
      </c>
      <c r="Q521" s="20">
        <v>52</v>
      </c>
      <c r="R521" s="20">
        <v>77.36</v>
      </c>
      <c r="S521" s="26">
        <v>77</v>
      </c>
      <c r="T521" s="26">
        <v>-0.36</v>
      </c>
      <c r="U521" s="26">
        <v>-0.02</v>
      </c>
      <c r="V521" s="20">
        <v>2021.06</v>
      </c>
    </row>
    <row r="522" spans="1:22" ht="16.8" x14ac:dyDescent="0.3">
      <c r="A522" s="20">
        <v>52.1</v>
      </c>
      <c r="B522" s="20">
        <v>77</v>
      </c>
      <c r="C522" s="26">
        <v>77.33</v>
      </c>
      <c r="D522" s="20">
        <v>-0.33</v>
      </c>
      <c r="E522" s="20">
        <v>0.02</v>
      </c>
      <c r="F522" s="26">
        <v>2196.7600000000002</v>
      </c>
      <c r="Q522" s="20">
        <v>52.1</v>
      </c>
      <c r="R522" s="20">
        <v>77.36</v>
      </c>
      <c r="S522" s="26">
        <v>77</v>
      </c>
      <c r="T522" s="26">
        <v>-0.36</v>
      </c>
      <c r="U522" s="26">
        <v>0</v>
      </c>
      <c r="V522" s="26">
        <v>2039.51</v>
      </c>
    </row>
    <row r="523" spans="1:22" ht="16.8" x14ac:dyDescent="0.3">
      <c r="A523" s="20">
        <v>52.2</v>
      </c>
      <c r="B523" s="20">
        <v>77</v>
      </c>
      <c r="C523" s="26">
        <v>77.33</v>
      </c>
      <c r="D523" s="20">
        <v>-0.33</v>
      </c>
      <c r="E523" s="20">
        <v>0</v>
      </c>
      <c r="F523" s="26">
        <v>2196.7600000000002</v>
      </c>
      <c r="Q523" s="20">
        <v>52.2</v>
      </c>
      <c r="R523" s="20">
        <v>77.489999999999995</v>
      </c>
      <c r="S523" s="20">
        <v>77</v>
      </c>
      <c r="T523" s="26">
        <v>-0.49</v>
      </c>
      <c r="U523" s="26">
        <v>-0.13</v>
      </c>
      <c r="V523" s="20">
        <v>1911.59</v>
      </c>
    </row>
    <row r="524" spans="1:22" ht="16.8" x14ac:dyDescent="0.3">
      <c r="A524" s="20">
        <v>52.3</v>
      </c>
      <c r="B524" s="20">
        <v>77</v>
      </c>
      <c r="C524" s="20">
        <v>77.36</v>
      </c>
      <c r="D524" s="20">
        <v>-0.36</v>
      </c>
      <c r="E524" s="20">
        <v>-0.03</v>
      </c>
      <c r="F524" s="26">
        <v>2138.6999999999998</v>
      </c>
      <c r="Q524" s="20">
        <v>52.3</v>
      </c>
      <c r="R524" s="20">
        <v>77.540000000000006</v>
      </c>
      <c r="S524" s="26">
        <v>77</v>
      </c>
      <c r="T524" s="26">
        <v>-0.54</v>
      </c>
      <c r="U524" s="26">
        <v>-0.06</v>
      </c>
      <c r="V524" s="26">
        <v>1958.59</v>
      </c>
    </row>
    <row r="525" spans="1:22" ht="16.8" x14ac:dyDescent="0.3">
      <c r="A525" s="20">
        <v>52.4</v>
      </c>
      <c r="B525" s="20">
        <v>77</v>
      </c>
      <c r="C525" s="26">
        <v>77.319999999999993</v>
      </c>
      <c r="D525" s="20">
        <v>-0.32</v>
      </c>
      <c r="E525" s="20">
        <v>0.04</v>
      </c>
      <c r="F525" s="26">
        <v>2210.34</v>
      </c>
      <c r="Q525" s="20">
        <v>52.4</v>
      </c>
      <c r="R525" s="20">
        <v>77.599999999999994</v>
      </c>
      <c r="S525" s="26">
        <v>77</v>
      </c>
      <c r="T525" s="26">
        <v>-0.6</v>
      </c>
      <c r="U525" s="26">
        <v>-0.06</v>
      </c>
      <c r="V525" s="20">
        <v>1946.98</v>
      </c>
    </row>
    <row r="526" spans="1:22" ht="16.8" x14ac:dyDescent="0.3">
      <c r="A526" s="20">
        <v>52.5</v>
      </c>
      <c r="B526" s="20">
        <v>77</v>
      </c>
      <c r="C526" s="20">
        <v>77.349999999999994</v>
      </c>
      <c r="D526" s="20">
        <v>-0.35</v>
      </c>
      <c r="E526" s="20">
        <v>-0.03</v>
      </c>
      <c r="F526" s="20">
        <v>2152.9499999999998</v>
      </c>
      <c r="Q526" s="20">
        <v>52.5</v>
      </c>
      <c r="R526" s="20">
        <v>77.650000000000006</v>
      </c>
      <c r="S526" s="26">
        <v>77</v>
      </c>
      <c r="T526" s="26">
        <v>-0.65</v>
      </c>
      <c r="U526" s="26">
        <v>-0.05</v>
      </c>
      <c r="V526" s="26">
        <v>1943.12</v>
      </c>
    </row>
    <row r="527" spans="1:22" ht="16.8" x14ac:dyDescent="0.3">
      <c r="A527" s="20">
        <v>52.6</v>
      </c>
      <c r="B527" s="20">
        <v>77</v>
      </c>
      <c r="C527" s="26">
        <v>77.319999999999993</v>
      </c>
      <c r="D527" s="20">
        <v>-0.32</v>
      </c>
      <c r="E527" s="20">
        <v>0.02</v>
      </c>
      <c r="F527" s="26">
        <v>2205.85</v>
      </c>
      <c r="Q527" s="20">
        <v>52.6</v>
      </c>
      <c r="R527" s="20">
        <v>77.62</v>
      </c>
      <c r="S527" s="26">
        <v>77</v>
      </c>
      <c r="T527" s="26">
        <v>-0.62</v>
      </c>
      <c r="U527" s="26">
        <v>0.03</v>
      </c>
      <c r="V527" s="20">
        <v>2011.94</v>
      </c>
    </row>
    <row r="528" spans="1:22" ht="16.8" x14ac:dyDescent="0.3">
      <c r="A528" s="20">
        <v>52.7</v>
      </c>
      <c r="B528" s="20">
        <v>77</v>
      </c>
      <c r="C528" s="26">
        <v>77.31</v>
      </c>
      <c r="D528" s="20">
        <v>-0.31</v>
      </c>
      <c r="E528" s="20">
        <v>0.01</v>
      </c>
      <c r="F528" s="26">
        <v>2219.25</v>
      </c>
      <c r="Q528" s="20">
        <v>52.7</v>
      </c>
      <c r="R528" s="20">
        <v>77.61</v>
      </c>
      <c r="S528" s="26">
        <v>77</v>
      </c>
      <c r="T528" s="26">
        <v>-0.61</v>
      </c>
      <c r="U528" s="26">
        <v>0.01</v>
      </c>
      <c r="V528" s="26">
        <v>1992.1</v>
      </c>
    </row>
    <row r="529" spans="1:22" ht="16.8" x14ac:dyDescent="0.3">
      <c r="A529" s="20">
        <v>52.8</v>
      </c>
      <c r="B529" s="20">
        <v>77</v>
      </c>
      <c r="C529" s="20">
        <v>77.37</v>
      </c>
      <c r="D529" s="20">
        <v>-0.37</v>
      </c>
      <c r="E529" s="20">
        <v>-0.06</v>
      </c>
      <c r="F529" s="26">
        <v>2103.92</v>
      </c>
      <c r="Q529" s="20">
        <v>52.8</v>
      </c>
      <c r="R529" s="20">
        <v>77.63</v>
      </c>
      <c r="S529" s="26">
        <v>77</v>
      </c>
      <c r="T529" s="26">
        <v>-0.63</v>
      </c>
      <c r="U529" s="26">
        <v>-0.02</v>
      </c>
      <c r="V529" s="20">
        <v>1960.04</v>
      </c>
    </row>
    <row r="530" spans="1:22" ht="16.8" x14ac:dyDescent="0.3">
      <c r="A530" s="20">
        <v>52.9</v>
      </c>
      <c r="B530" s="20">
        <v>77</v>
      </c>
      <c r="C530" s="26">
        <v>77.38</v>
      </c>
      <c r="D530" s="20">
        <v>-0.38</v>
      </c>
      <c r="E530" s="20">
        <v>-0.02</v>
      </c>
      <c r="F530" s="26">
        <v>2120.17</v>
      </c>
      <c r="Q530" s="20">
        <v>52.9</v>
      </c>
      <c r="R530" s="20">
        <v>77.61</v>
      </c>
      <c r="S530" s="26">
        <v>77</v>
      </c>
      <c r="T530" s="26">
        <v>-0.61</v>
      </c>
      <c r="U530" s="26">
        <v>0.02</v>
      </c>
      <c r="V530" s="20">
        <v>2001.5</v>
      </c>
    </row>
    <row r="531" spans="1:22" ht="16.8" x14ac:dyDescent="0.3">
      <c r="A531" s="20">
        <v>53</v>
      </c>
      <c r="B531" s="20">
        <v>77</v>
      </c>
      <c r="C531" s="26">
        <v>77.34</v>
      </c>
      <c r="D531" s="20">
        <v>-0.34</v>
      </c>
      <c r="E531" s="20">
        <v>0.04</v>
      </c>
      <c r="F531" s="26">
        <v>2187.5500000000002</v>
      </c>
      <c r="Q531" s="20">
        <v>53</v>
      </c>
      <c r="R531" s="20">
        <v>77.59</v>
      </c>
      <c r="S531" s="26">
        <v>77</v>
      </c>
      <c r="T531" s="26">
        <v>-0.59</v>
      </c>
      <c r="U531" s="26">
        <v>0.02</v>
      </c>
      <c r="V531" s="26">
        <v>1996.1</v>
      </c>
    </row>
    <row r="532" spans="1:22" ht="16.8" x14ac:dyDescent="0.3">
      <c r="A532" s="20">
        <v>53.1</v>
      </c>
      <c r="B532" s="20">
        <v>77</v>
      </c>
      <c r="C532" s="20">
        <v>77.34</v>
      </c>
      <c r="D532" s="20">
        <v>-0.34</v>
      </c>
      <c r="E532" s="20">
        <v>0</v>
      </c>
      <c r="F532" s="20">
        <v>2179.31</v>
      </c>
      <c r="Q532" s="20">
        <v>53.1</v>
      </c>
      <c r="R532" s="20">
        <v>77.58</v>
      </c>
      <c r="S532" s="26">
        <v>77</v>
      </c>
      <c r="T532" s="26">
        <v>-0.57999999999999996</v>
      </c>
      <c r="U532" s="26">
        <v>0.02</v>
      </c>
      <c r="V532" s="20">
        <v>1997.26</v>
      </c>
    </row>
    <row r="533" spans="1:22" ht="16.8" x14ac:dyDescent="0.3">
      <c r="A533" s="20">
        <v>53.2</v>
      </c>
      <c r="B533" s="20">
        <v>77</v>
      </c>
      <c r="C533" s="26">
        <v>77.37</v>
      </c>
      <c r="D533" s="20">
        <v>-0.37</v>
      </c>
      <c r="E533" s="20">
        <v>-0.03</v>
      </c>
      <c r="F533" s="26">
        <v>2124.16</v>
      </c>
      <c r="Q533" s="20">
        <v>53.2</v>
      </c>
      <c r="R533" s="20">
        <v>77.58</v>
      </c>
      <c r="S533" s="26">
        <v>77</v>
      </c>
      <c r="T533" s="26">
        <v>-0.57999999999999996</v>
      </c>
      <c r="U533" s="26">
        <v>0</v>
      </c>
      <c r="V533" s="26">
        <v>1982.6</v>
      </c>
    </row>
    <row r="534" spans="1:22" ht="16.8" x14ac:dyDescent="0.3">
      <c r="A534" s="20">
        <v>53.3</v>
      </c>
      <c r="B534" s="20">
        <v>77</v>
      </c>
      <c r="C534" s="20">
        <v>77.34</v>
      </c>
      <c r="D534" s="20">
        <v>-0.34</v>
      </c>
      <c r="E534" s="20">
        <v>0.03</v>
      </c>
      <c r="F534" s="20">
        <v>2187.5500000000002</v>
      </c>
      <c r="Q534" s="20">
        <v>53.3</v>
      </c>
      <c r="R534" s="20">
        <v>77.53</v>
      </c>
      <c r="S534" s="26">
        <v>77</v>
      </c>
      <c r="T534" s="26">
        <v>-0.53</v>
      </c>
      <c r="U534" s="26">
        <v>0.05</v>
      </c>
      <c r="V534" s="20">
        <v>2028.49</v>
      </c>
    </row>
    <row r="535" spans="1:22" ht="16.8" x14ac:dyDescent="0.3">
      <c r="A535" s="20">
        <v>53.4</v>
      </c>
      <c r="B535" s="20">
        <v>77</v>
      </c>
      <c r="C535" s="26">
        <v>77.36</v>
      </c>
      <c r="D535" s="20">
        <v>-0.36</v>
      </c>
      <c r="E535" s="20">
        <v>-0.02</v>
      </c>
      <c r="F535" s="26">
        <v>2145.9499999999998</v>
      </c>
      <c r="Q535" s="20">
        <v>53.4</v>
      </c>
      <c r="R535" s="20">
        <v>77.55</v>
      </c>
      <c r="S535" s="26">
        <v>77</v>
      </c>
      <c r="T535" s="20">
        <v>-0.55000000000000004</v>
      </c>
      <c r="U535" s="26">
        <v>-0.02</v>
      </c>
      <c r="V535" s="26">
        <v>1964.22</v>
      </c>
    </row>
    <row r="536" spans="1:22" ht="16.8" x14ac:dyDescent="0.3">
      <c r="A536" s="20">
        <v>53.5</v>
      </c>
      <c r="B536" s="20">
        <v>77</v>
      </c>
      <c r="C536" s="20">
        <v>77.319999999999993</v>
      </c>
      <c r="D536" s="20">
        <v>-0.32</v>
      </c>
      <c r="E536" s="20">
        <v>0.04</v>
      </c>
      <c r="F536" s="26">
        <v>2210.34</v>
      </c>
      <c r="Q536" s="20">
        <v>53.5</v>
      </c>
      <c r="R536" s="20">
        <v>77.489999999999995</v>
      </c>
      <c r="S536" s="26">
        <v>77</v>
      </c>
      <c r="T536" s="26">
        <v>-0.49</v>
      </c>
      <c r="U536" s="26">
        <v>0.06</v>
      </c>
      <c r="V536" s="20">
        <v>2045.54</v>
      </c>
    </row>
    <row r="537" spans="1:22" ht="16.8" x14ac:dyDescent="0.3">
      <c r="A537" s="20">
        <v>53.6</v>
      </c>
      <c r="B537" s="20">
        <v>77</v>
      </c>
      <c r="C537" s="26">
        <v>77.349999999999994</v>
      </c>
      <c r="D537" s="20">
        <v>-0.35</v>
      </c>
      <c r="E537" s="20">
        <v>-0.04</v>
      </c>
      <c r="F537" s="20">
        <v>2136.33</v>
      </c>
      <c r="Q537" s="20">
        <v>53.6</v>
      </c>
      <c r="R537" s="20">
        <v>77.56</v>
      </c>
      <c r="S537" s="26">
        <v>77</v>
      </c>
      <c r="T537" s="20">
        <v>-0.56000000000000005</v>
      </c>
      <c r="U537" s="26">
        <v>-7.0000000000000007E-2</v>
      </c>
      <c r="V537" s="26">
        <v>1920.8</v>
      </c>
    </row>
    <row r="538" spans="1:22" ht="16.8" x14ac:dyDescent="0.3">
      <c r="A538" s="20">
        <v>53.7</v>
      </c>
      <c r="B538" s="20">
        <v>77</v>
      </c>
      <c r="C538" s="26">
        <v>77.31</v>
      </c>
      <c r="D538" s="20">
        <v>-0.31</v>
      </c>
      <c r="E538" s="20">
        <v>0.04</v>
      </c>
      <c r="F538" s="26">
        <v>2219.25</v>
      </c>
      <c r="Q538" s="20">
        <v>53.7</v>
      </c>
      <c r="R538" s="20">
        <v>77.45</v>
      </c>
      <c r="S538" s="26">
        <v>77</v>
      </c>
      <c r="T538" s="26">
        <v>-0.45</v>
      </c>
      <c r="U538" s="26">
        <v>0.1</v>
      </c>
      <c r="V538" s="20">
        <v>2080.7199999999998</v>
      </c>
    </row>
    <row r="539" spans="1:22" ht="16.8" x14ac:dyDescent="0.3">
      <c r="A539" s="20">
        <v>53.8</v>
      </c>
      <c r="B539" s="20">
        <v>77</v>
      </c>
      <c r="C539" s="20">
        <v>77.3</v>
      </c>
      <c r="D539" s="20">
        <v>-0.3</v>
      </c>
      <c r="E539" s="20">
        <v>0.01</v>
      </c>
      <c r="F539" s="20">
        <v>2232.5100000000002</v>
      </c>
      <c r="Q539" s="20">
        <v>53.8</v>
      </c>
      <c r="R539" s="20">
        <v>77.489999999999995</v>
      </c>
      <c r="S539" s="26">
        <v>77</v>
      </c>
      <c r="T539" s="26">
        <v>-0.49</v>
      </c>
      <c r="U539" s="26">
        <v>-0.03</v>
      </c>
      <c r="V539" s="20">
        <v>1963.23</v>
      </c>
    </row>
    <row r="540" spans="1:22" ht="16.8" x14ac:dyDescent="0.3">
      <c r="A540" s="20">
        <v>53.9</v>
      </c>
      <c r="B540" s="20">
        <v>77</v>
      </c>
      <c r="C540" s="26">
        <v>77.319999999999993</v>
      </c>
      <c r="D540" s="20">
        <v>-0.32</v>
      </c>
      <c r="E540" s="20">
        <v>-0.02</v>
      </c>
      <c r="F540" s="26">
        <v>2184.15</v>
      </c>
      <c r="Q540" s="20">
        <v>53.9</v>
      </c>
      <c r="R540" s="20">
        <v>77.41</v>
      </c>
      <c r="S540" s="26">
        <v>77</v>
      </c>
      <c r="T540" s="26">
        <v>-0.41</v>
      </c>
      <c r="U540" s="26">
        <v>0.08</v>
      </c>
      <c r="V540" s="26">
        <v>2067.11</v>
      </c>
    </row>
    <row r="541" spans="1:22" ht="16.8" x14ac:dyDescent="0.3">
      <c r="A541" s="20">
        <v>54</v>
      </c>
      <c r="B541" s="20">
        <v>77</v>
      </c>
      <c r="C541" s="26">
        <v>77.34</v>
      </c>
      <c r="D541" s="20">
        <v>-0.34</v>
      </c>
      <c r="E541" s="20">
        <v>-0.02</v>
      </c>
      <c r="F541" s="26">
        <v>2164.84</v>
      </c>
      <c r="Q541" s="20">
        <v>54</v>
      </c>
      <c r="R541" s="20">
        <v>77.400000000000006</v>
      </c>
      <c r="S541" s="26">
        <v>77</v>
      </c>
      <c r="T541" s="26">
        <v>-0.4</v>
      </c>
      <c r="U541" s="26">
        <v>0.01</v>
      </c>
      <c r="V541" s="20">
        <v>2008.9</v>
      </c>
    </row>
    <row r="542" spans="1:22" ht="16.8" x14ac:dyDescent="0.3">
      <c r="A542" s="20">
        <v>54.1</v>
      </c>
      <c r="B542" s="20">
        <v>77</v>
      </c>
      <c r="C542" s="20">
        <v>77.3</v>
      </c>
      <c r="D542" s="20">
        <v>-0.3</v>
      </c>
      <c r="E542" s="20">
        <v>0.04</v>
      </c>
      <c r="F542" s="26">
        <v>2232.5100000000002</v>
      </c>
      <c r="Q542" s="20">
        <v>54.1</v>
      </c>
      <c r="R542" s="20">
        <v>77.39</v>
      </c>
      <c r="S542" s="26">
        <v>77</v>
      </c>
      <c r="T542" s="26">
        <v>-0.39</v>
      </c>
      <c r="U542" s="26">
        <v>0.01</v>
      </c>
      <c r="V542" s="26">
        <v>2009.18</v>
      </c>
    </row>
    <row r="543" spans="1:22" ht="16.8" x14ac:dyDescent="0.3">
      <c r="A543" s="20">
        <v>54.2</v>
      </c>
      <c r="B543" s="20">
        <v>77</v>
      </c>
      <c r="C543" s="26">
        <v>77.3</v>
      </c>
      <c r="D543" s="20">
        <v>-0.3</v>
      </c>
      <c r="E543" s="20">
        <v>0</v>
      </c>
      <c r="F543" s="26">
        <v>2224.5</v>
      </c>
      <c r="Q543" s="20">
        <v>54.2</v>
      </c>
      <c r="R543" s="20">
        <v>77.38</v>
      </c>
      <c r="S543" s="26">
        <v>77</v>
      </c>
      <c r="T543" s="26">
        <v>-0.38</v>
      </c>
      <c r="U543" s="26">
        <v>0.01</v>
      </c>
      <c r="V543" s="20">
        <v>2009.49</v>
      </c>
    </row>
    <row r="544" spans="1:22" ht="16.8" x14ac:dyDescent="0.3">
      <c r="A544" s="20">
        <v>54.3</v>
      </c>
      <c r="B544" s="20">
        <v>77</v>
      </c>
      <c r="C544" s="20">
        <v>77.33</v>
      </c>
      <c r="D544" s="20">
        <v>-0.33</v>
      </c>
      <c r="E544" s="20">
        <v>-0.03</v>
      </c>
      <c r="F544" s="26">
        <v>2171.4299999999998</v>
      </c>
      <c r="Q544" s="20">
        <v>54.3</v>
      </c>
      <c r="R544" s="20">
        <v>77.400000000000006</v>
      </c>
      <c r="S544" s="26">
        <v>77</v>
      </c>
      <c r="T544" s="26">
        <v>-0.4</v>
      </c>
      <c r="U544" s="26">
        <v>-0.02</v>
      </c>
      <c r="V544" s="26">
        <v>1986.01</v>
      </c>
    </row>
    <row r="545" spans="1:22" ht="16.8" x14ac:dyDescent="0.3">
      <c r="A545" s="20">
        <v>54.4</v>
      </c>
      <c r="B545" s="20">
        <v>77</v>
      </c>
      <c r="C545" s="26">
        <v>77.31</v>
      </c>
      <c r="D545" s="20">
        <v>-0.31</v>
      </c>
      <c r="E545" s="20">
        <v>0.02</v>
      </c>
      <c r="F545" s="20">
        <v>2219.25</v>
      </c>
      <c r="Q545" s="20">
        <v>54.4</v>
      </c>
      <c r="R545" s="20">
        <v>77.319999999999993</v>
      </c>
      <c r="S545" s="20">
        <v>77</v>
      </c>
      <c r="T545" s="26">
        <v>-0.32</v>
      </c>
      <c r="U545" s="26">
        <v>0.08</v>
      </c>
      <c r="V545" s="20">
        <v>2077.14</v>
      </c>
    </row>
    <row r="546" spans="1:22" ht="16.8" x14ac:dyDescent="0.3">
      <c r="A546" s="20">
        <v>54.5</v>
      </c>
      <c r="B546" s="20">
        <v>77</v>
      </c>
      <c r="C546" s="26">
        <v>77.31</v>
      </c>
      <c r="D546" s="20">
        <v>-0.31</v>
      </c>
      <c r="E546" s="20">
        <v>0</v>
      </c>
      <c r="F546" s="26">
        <v>2211.19</v>
      </c>
      <c r="Q546" s="20">
        <v>54.5</v>
      </c>
      <c r="R546" s="20">
        <v>77.37</v>
      </c>
      <c r="S546" s="26">
        <v>77</v>
      </c>
      <c r="T546" s="26">
        <v>-0.37</v>
      </c>
      <c r="U546" s="26">
        <v>-0.05</v>
      </c>
      <c r="V546" s="26">
        <v>1963.71</v>
      </c>
    </row>
    <row r="547" spans="1:22" ht="16.8" x14ac:dyDescent="0.3">
      <c r="A547" s="20">
        <v>54.6</v>
      </c>
      <c r="B547" s="20">
        <v>77</v>
      </c>
      <c r="C547" s="20">
        <v>77.27</v>
      </c>
      <c r="D547" s="20">
        <v>-0.27</v>
      </c>
      <c r="E547" s="20">
        <v>0.04</v>
      </c>
      <c r="F547" s="20">
        <v>2258.46</v>
      </c>
      <c r="Q547" s="20">
        <v>54.6</v>
      </c>
      <c r="R547" s="20">
        <v>77.27</v>
      </c>
      <c r="S547" s="20">
        <v>77</v>
      </c>
      <c r="T547" s="26">
        <v>-0.27</v>
      </c>
      <c r="U547" s="26">
        <v>0.1</v>
      </c>
      <c r="V547" s="20">
        <v>2096.75</v>
      </c>
    </row>
    <row r="548" spans="1:22" ht="16.8" x14ac:dyDescent="0.3">
      <c r="A548" s="20">
        <v>54.7</v>
      </c>
      <c r="B548" s="20">
        <v>77</v>
      </c>
      <c r="C548" s="26">
        <v>77.31</v>
      </c>
      <c r="D548" s="20">
        <v>-0.31</v>
      </c>
      <c r="E548" s="20">
        <v>-0.04</v>
      </c>
      <c r="F548" s="26">
        <v>2178.69</v>
      </c>
      <c r="Q548" s="20">
        <v>54.7</v>
      </c>
      <c r="R548" s="20">
        <v>77.37</v>
      </c>
      <c r="S548" s="26">
        <v>77</v>
      </c>
      <c r="T548" s="26">
        <v>-0.37</v>
      </c>
      <c r="U548" s="26">
        <v>-0.1</v>
      </c>
      <c r="V548" s="26">
        <v>1914.97</v>
      </c>
    </row>
    <row r="549" spans="1:22" ht="16.8" x14ac:dyDescent="0.3">
      <c r="A549" s="20">
        <v>54.8</v>
      </c>
      <c r="B549" s="20">
        <v>77</v>
      </c>
      <c r="C549" s="20">
        <v>77.319999999999993</v>
      </c>
      <c r="D549" s="20">
        <v>-0.32</v>
      </c>
      <c r="E549" s="20">
        <v>0</v>
      </c>
      <c r="F549" s="26">
        <v>2206.7199999999998</v>
      </c>
      <c r="Q549" s="20">
        <v>54.8</v>
      </c>
      <c r="R549" s="20">
        <v>77.260000000000005</v>
      </c>
      <c r="S549" s="26">
        <v>77</v>
      </c>
      <c r="T549" s="26">
        <v>-0.26</v>
      </c>
      <c r="U549" s="26">
        <v>0.11</v>
      </c>
      <c r="V549" s="20">
        <v>2109.3200000000002</v>
      </c>
    </row>
    <row r="550" spans="1:22" ht="16.8" x14ac:dyDescent="0.3">
      <c r="A550" s="20">
        <v>54.9</v>
      </c>
      <c r="B550" s="20">
        <v>77</v>
      </c>
      <c r="C550" s="26">
        <v>77.31</v>
      </c>
      <c r="D550" s="20">
        <v>-0.31</v>
      </c>
      <c r="E550" s="20">
        <v>0</v>
      </c>
      <c r="F550" s="20">
        <v>2214.8000000000002</v>
      </c>
      <c r="Q550" s="20">
        <v>54.9</v>
      </c>
      <c r="R550" s="20">
        <v>77.25</v>
      </c>
      <c r="S550" s="26">
        <v>77</v>
      </c>
      <c r="T550" s="26">
        <v>-0.25</v>
      </c>
      <c r="U550" s="20">
        <v>0.01</v>
      </c>
      <c r="V550" s="26">
        <v>2025.56</v>
      </c>
    </row>
    <row r="551" spans="1:22" ht="16.8" x14ac:dyDescent="0.3">
      <c r="A551" s="20">
        <v>55</v>
      </c>
      <c r="B551" s="20">
        <v>77</v>
      </c>
      <c r="C551" s="26">
        <v>77.31</v>
      </c>
      <c r="D551" s="20">
        <v>-0.31</v>
      </c>
      <c r="E551" s="20">
        <v>0.01</v>
      </c>
      <c r="F551" s="26">
        <v>2223.71</v>
      </c>
      <c r="Q551" s="20">
        <v>55</v>
      </c>
      <c r="R551" s="20">
        <v>77.34</v>
      </c>
      <c r="S551" s="26">
        <v>77</v>
      </c>
      <c r="T551" s="26">
        <v>-0.34</v>
      </c>
      <c r="U551" s="26">
        <v>-0.09</v>
      </c>
      <c r="V551" s="20">
        <v>1931.1</v>
      </c>
    </row>
    <row r="552" spans="1:22" ht="16.8" x14ac:dyDescent="0.3">
      <c r="A552" s="20">
        <v>55.1</v>
      </c>
      <c r="B552" s="20">
        <v>77</v>
      </c>
      <c r="C552" s="20">
        <v>77.27</v>
      </c>
      <c r="D552" s="20">
        <v>-0.27</v>
      </c>
      <c r="E552" s="20">
        <v>0.03</v>
      </c>
      <c r="F552" s="26">
        <v>2258.46</v>
      </c>
      <c r="Q552" s="20">
        <v>55.1</v>
      </c>
      <c r="R552" s="20">
        <v>77.239999999999995</v>
      </c>
      <c r="S552" s="26">
        <v>77</v>
      </c>
      <c r="T552" s="26">
        <v>-0.24</v>
      </c>
      <c r="U552" s="26">
        <v>0.1</v>
      </c>
      <c r="V552" s="26">
        <v>2104.64</v>
      </c>
    </row>
    <row r="553" spans="1:22" ht="16.8" x14ac:dyDescent="0.3">
      <c r="A553" s="20">
        <v>55.2</v>
      </c>
      <c r="B553" s="20">
        <v>77</v>
      </c>
      <c r="C553" s="26">
        <v>77.28</v>
      </c>
      <c r="D553" s="20">
        <v>-0.28000000000000003</v>
      </c>
      <c r="E553" s="20">
        <v>0</v>
      </c>
      <c r="F553" s="26">
        <v>2250.52</v>
      </c>
      <c r="Q553" s="20">
        <v>55.2</v>
      </c>
      <c r="R553" s="20">
        <v>77.27</v>
      </c>
      <c r="S553" s="26">
        <v>77</v>
      </c>
      <c r="T553" s="26">
        <v>-0.27</v>
      </c>
      <c r="U553" s="26">
        <v>-0.03</v>
      </c>
      <c r="V553" s="20">
        <v>1987.79</v>
      </c>
    </row>
    <row r="554" spans="1:22" ht="16.8" x14ac:dyDescent="0.3">
      <c r="A554" s="20">
        <v>55.3</v>
      </c>
      <c r="B554" s="20">
        <v>77</v>
      </c>
      <c r="C554" s="26">
        <v>77.319999999999993</v>
      </c>
      <c r="D554" s="20">
        <v>-0.32</v>
      </c>
      <c r="E554" s="20">
        <v>-0.04</v>
      </c>
      <c r="F554" s="26">
        <v>2166.16</v>
      </c>
      <c r="Q554" s="20">
        <v>55.3</v>
      </c>
      <c r="R554" s="20">
        <v>77.25</v>
      </c>
      <c r="S554" s="26">
        <v>77</v>
      </c>
      <c r="T554" s="26">
        <v>-0.25</v>
      </c>
      <c r="U554" s="26">
        <v>0.02</v>
      </c>
      <c r="V554" s="26">
        <v>2036.79</v>
      </c>
    </row>
    <row r="555" spans="1:22" ht="16.8" x14ac:dyDescent="0.3">
      <c r="A555" s="20">
        <v>55.4</v>
      </c>
      <c r="B555" s="20">
        <v>77</v>
      </c>
      <c r="C555" s="20">
        <v>77.28</v>
      </c>
      <c r="D555" s="20">
        <v>-0.28000000000000003</v>
      </c>
      <c r="E555" s="20">
        <v>0.04</v>
      </c>
      <c r="F555" s="26">
        <v>2254.17</v>
      </c>
      <c r="Q555" s="20">
        <v>55.4</v>
      </c>
      <c r="R555" s="20">
        <v>77.25</v>
      </c>
      <c r="S555" s="26">
        <v>77</v>
      </c>
      <c r="T555" s="26">
        <v>-0.25</v>
      </c>
      <c r="U555" s="26">
        <v>0</v>
      </c>
      <c r="V555" s="20">
        <v>2016.59</v>
      </c>
    </row>
    <row r="556" spans="1:22" ht="16.8" x14ac:dyDescent="0.3">
      <c r="A556" s="20">
        <v>55.5</v>
      </c>
      <c r="B556" s="20">
        <v>77</v>
      </c>
      <c r="C556" s="26">
        <v>77.290000000000006</v>
      </c>
      <c r="D556" s="20">
        <v>-0.28999999999999998</v>
      </c>
      <c r="E556" s="20">
        <v>-0.02</v>
      </c>
      <c r="F556" s="26">
        <v>2222.39</v>
      </c>
      <c r="Q556" s="20">
        <v>55.5</v>
      </c>
      <c r="R556" s="20">
        <v>77.28</v>
      </c>
      <c r="S556" s="26">
        <v>77</v>
      </c>
      <c r="T556" s="26">
        <v>-0.28000000000000003</v>
      </c>
      <c r="U556" s="26">
        <v>-0.03</v>
      </c>
      <c r="V556" s="26">
        <v>1984.15</v>
      </c>
    </row>
    <row r="557" spans="1:22" ht="16.8" x14ac:dyDescent="0.3">
      <c r="A557" s="20">
        <v>55.6</v>
      </c>
      <c r="B557" s="20">
        <v>77</v>
      </c>
      <c r="C557" s="20">
        <v>77.290000000000006</v>
      </c>
      <c r="D557" s="20">
        <v>-0.28999999999999998</v>
      </c>
      <c r="E557" s="20">
        <v>0</v>
      </c>
      <c r="F557" s="26">
        <v>2241.1999999999998</v>
      </c>
      <c r="Q557" s="20">
        <v>55.6</v>
      </c>
      <c r="R557" s="20">
        <v>77.180000000000007</v>
      </c>
      <c r="S557" s="26">
        <v>77</v>
      </c>
      <c r="T557" s="26">
        <v>-0.18</v>
      </c>
      <c r="U557" s="26">
        <v>0.1</v>
      </c>
      <c r="V557" s="20">
        <v>2104.5</v>
      </c>
    </row>
    <row r="558" spans="1:22" ht="16.8" x14ac:dyDescent="0.3">
      <c r="A558" s="20">
        <v>55.7</v>
      </c>
      <c r="B558" s="20">
        <v>77</v>
      </c>
      <c r="C558" s="26">
        <v>77.27</v>
      </c>
      <c r="D558" s="20">
        <v>-0.27</v>
      </c>
      <c r="E558" s="20">
        <v>0.02</v>
      </c>
      <c r="F558" s="26">
        <v>2258.46</v>
      </c>
      <c r="Q558" s="20">
        <v>55.7</v>
      </c>
      <c r="R558" s="20">
        <v>77.209999999999994</v>
      </c>
      <c r="S558" s="26">
        <v>77</v>
      </c>
      <c r="T558" s="26">
        <v>-0.21</v>
      </c>
      <c r="U558" s="26">
        <v>-0.02</v>
      </c>
      <c r="V558" s="26">
        <v>2002.23</v>
      </c>
    </row>
    <row r="559" spans="1:22" ht="16.8" x14ac:dyDescent="0.3">
      <c r="A559" s="20">
        <v>55.8</v>
      </c>
      <c r="B559" s="20">
        <v>77</v>
      </c>
      <c r="C559" s="26">
        <v>77.22</v>
      </c>
      <c r="D559" s="20">
        <v>-0.22</v>
      </c>
      <c r="E559" s="20">
        <v>0.06</v>
      </c>
      <c r="F559" s="26">
        <v>2317.04</v>
      </c>
      <c r="Q559" s="20">
        <v>55.8</v>
      </c>
      <c r="R559" s="20">
        <v>77.25</v>
      </c>
      <c r="S559" s="26">
        <v>77</v>
      </c>
      <c r="T559" s="26">
        <v>-0.25</v>
      </c>
      <c r="U559" s="26">
        <v>-0.05</v>
      </c>
      <c r="V559" s="20">
        <v>1973.54</v>
      </c>
    </row>
    <row r="560" spans="1:22" ht="16.8" x14ac:dyDescent="0.3">
      <c r="A560" s="20">
        <v>55.9</v>
      </c>
      <c r="B560" s="20">
        <v>77</v>
      </c>
      <c r="C560" s="20">
        <v>77.27</v>
      </c>
      <c r="D560" s="20">
        <v>-0.27</v>
      </c>
      <c r="E560" s="20">
        <v>-0.05</v>
      </c>
      <c r="F560" s="26">
        <v>2215.4899999999998</v>
      </c>
      <c r="Q560" s="20">
        <v>55.9</v>
      </c>
      <c r="R560" s="20">
        <v>77.209999999999994</v>
      </c>
      <c r="S560" s="26">
        <v>77</v>
      </c>
      <c r="T560" s="26">
        <v>-0.21</v>
      </c>
      <c r="U560" s="26">
        <v>0.04</v>
      </c>
      <c r="V560" s="26">
        <v>2051.44</v>
      </c>
    </row>
    <row r="561" spans="1:22" ht="16.8" x14ac:dyDescent="0.3">
      <c r="A561" s="20">
        <v>56</v>
      </c>
      <c r="B561" s="20">
        <v>77</v>
      </c>
      <c r="C561" s="26">
        <v>77.23</v>
      </c>
      <c r="D561" s="20">
        <v>-0.23</v>
      </c>
      <c r="E561" s="20">
        <v>0.04</v>
      </c>
      <c r="F561" s="20">
        <v>2308.81</v>
      </c>
      <c r="Q561" s="20">
        <v>56</v>
      </c>
      <c r="R561" s="20">
        <v>77.25</v>
      </c>
      <c r="S561" s="26">
        <v>77</v>
      </c>
      <c r="T561" s="26">
        <v>-0.25</v>
      </c>
      <c r="U561" s="26">
        <v>-0.04</v>
      </c>
      <c r="V561" s="20">
        <v>1978.68</v>
      </c>
    </row>
    <row r="562" spans="1:22" ht="16.8" x14ac:dyDescent="0.3">
      <c r="A562" s="20">
        <v>56.1</v>
      </c>
      <c r="B562" s="20">
        <v>77</v>
      </c>
      <c r="C562" s="26">
        <v>77.25</v>
      </c>
      <c r="D562" s="20">
        <v>-0.25</v>
      </c>
      <c r="E562" s="20">
        <v>-0.02</v>
      </c>
      <c r="F562" s="26">
        <v>2261.91</v>
      </c>
      <c r="Q562" s="20">
        <v>56.1</v>
      </c>
      <c r="R562" s="20">
        <v>77.22</v>
      </c>
      <c r="S562" s="26">
        <v>77</v>
      </c>
      <c r="T562" s="26">
        <v>-0.22</v>
      </c>
      <c r="U562" s="26">
        <v>0.03</v>
      </c>
      <c r="V562" s="20">
        <v>2042.15</v>
      </c>
    </row>
    <row r="563" spans="1:22" ht="16.8" x14ac:dyDescent="0.3">
      <c r="A563" s="20">
        <v>56.2</v>
      </c>
      <c r="B563" s="20">
        <v>77</v>
      </c>
      <c r="C563" s="20">
        <v>77.22</v>
      </c>
      <c r="D563" s="20">
        <v>-0.22</v>
      </c>
      <c r="E563" s="20">
        <v>0.03</v>
      </c>
      <c r="F563" s="20">
        <v>2312.96</v>
      </c>
      <c r="Q563" s="20">
        <v>56.2</v>
      </c>
      <c r="R563" s="20">
        <v>77.28</v>
      </c>
      <c r="S563" s="26">
        <v>77</v>
      </c>
      <c r="T563" s="26">
        <v>-0.28000000000000003</v>
      </c>
      <c r="U563" s="26">
        <v>-0.06</v>
      </c>
      <c r="V563" s="26">
        <v>1960</v>
      </c>
    </row>
    <row r="564" spans="1:22" ht="16.8" x14ac:dyDescent="0.3">
      <c r="A564" s="20">
        <v>56.3</v>
      </c>
      <c r="B564" s="20">
        <v>77</v>
      </c>
      <c r="C564" s="26">
        <v>77.23</v>
      </c>
      <c r="D564" s="20">
        <v>-0.23</v>
      </c>
      <c r="E564" s="20">
        <v>0</v>
      </c>
      <c r="F564" s="26">
        <v>2305.12</v>
      </c>
      <c r="Q564" s="20">
        <v>56.3</v>
      </c>
      <c r="R564" s="20">
        <v>77.23</v>
      </c>
      <c r="S564" s="26">
        <v>77</v>
      </c>
      <c r="T564" s="26">
        <v>-0.23</v>
      </c>
      <c r="U564" s="26">
        <v>0.05</v>
      </c>
      <c r="V564" s="20">
        <v>2052.2600000000002</v>
      </c>
    </row>
    <row r="565" spans="1:22" ht="16.8" x14ac:dyDescent="0.3">
      <c r="A565" s="20">
        <v>56.4</v>
      </c>
      <c r="B565" s="20">
        <v>77</v>
      </c>
      <c r="C565" s="20">
        <v>77.27</v>
      </c>
      <c r="D565" s="20">
        <v>-0.27</v>
      </c>
      <c r="E565" s="20">
        <v>-0.04</v>
      </c>
      <c r="F565" s="26">
        <v>2222.7399999999998</v>
      </c>
      <c r="Q565" s="20">
        <v>56.4</v>
      </c>
      <c r="R565" s="20">
        <v>77.17</v>
      </c>
      <c r="S565" s="26">
        <v>77</v>
      </c>
      <c r="T565" s="26">
        <v>-0.17</v>
      </c>
      <c r="U565" s="26">
        <v>0.06</v>
      </c>
      <c r="V565" s="26">
        <v>2068.14</v>
      </c>
    </row>
    <row r="566" spans="1:22" ht="16.8" x14ac:dyDescent="0.3">
      <c r="A566" s="20">
        <v>56.5</v>
      </c>
      <c r="B566" s="20">
        <v>77</v>
      </c>
      <c r="C566" s="26">
        <v>77.239999999999995</v>
      </c>
      <c r="D566" s="20">
        <v>-0.24</v>
      </c>
      <c r="E566" s="20">
        <v>0.03</v>
      </c>
      <c r="F566" s="20">
        <v>2292.17</v>
      </c>
      <c r="Q566" s="20">
        <v>56.5</v>
      </c>
      <c r="R566" s="20">
        <v>77.28</v>
      </c>
      <c r="S566" s="26">
        <v>77</v>
      </c>
      <c r="T566" s="26">
        <v>-0.28000000000000003</v>
      </c>
      <c r="U566" s="26">
        <v>-0.1</v>
      </c>
      <c r="V566" s="20">
        <v>1919.06</v>
      </c>
    </row>
    <row r="567" spans="1:22" ht="16.8" x14ac:dyDescent="0.3">
      <c r="A567" s="20">
        <v>56.6</v>
      </c>
      <c r="B567" s="20">
        <v>77</v>
      </c>
      <c r="C567" s="26">
        <v>77.3</v>
      </c>
      <c r="D567" s="20">
        <v>-0.3</v>
      </c>
      <c r="E567" s="20">
        <v>-0.06</v>
      </c>
      <c r="F567" s="26">
        <v>2181.91</v>
      </c>
      <c r="Q567" s="20">
        <v>56.6</v>
      </c>
      <c r="R567" s="20">
        <v>77.16</v>
      </c>
      <c r="S567" s="26">
        <v>77</v>
      </c>
      <c r="T567" s="26">
        <v>-0.16</v>
      </c>
      <c r="U567" s="26">
        <v>0.12</v>
      </c>
      <c r="V567" s="26">
        <v>2121.66</v>
      </c>
    </row>
    <row r="568" spans="1:22" ht="16.8" x14ac:dyDescent="0.3">
      <c r="A568" s="20">
        <v>56.7</v>
      </c>
      <c r="B568" s="20">
        <v>77</v>
      </c>
      <c r="C568" s="20">
        <v>77.27</v>
      </c>
      <c r="D568" s="20">
        <v>-0.27</v>
      </c>
      <c r="E568" s="20">
        <v>0.02</v>
      </c>
      <c r="F568" s="26">
        <v>2258.46</v>
      </c>
      <c r="Q568" s="20">
        <v>56.7</v>
      </c>
      <c r="R568" s="20">
        <v>77.16</v>
      </c>
      <c r="S568" s="20">
        <v>77</v>
      </c>
      <c r="T568" s="26">
        <v>-0.16</v>
      </c>
      <c r="U568" s="26">
        <v>0</v>
      </c>
      <c r="V568" s="20">
        <v>2023.77</v>
      </c>
    </row>
    <row r="569" spans="1:22" ht="16.8" x14ac:dyDescent="0.3">
      <c r="A569" s="20">
        <v>56.8</v>
      </c>
      <c r="B569" s="20">
        <v>77</v>
      </c>
      <c r="C569" s="26">
        <v>77.349999999999994</v>
      </c>
      <c r="D569" s="20">
        <v>-0.35</v>
      </c>
      <c r="E569" s="20">
        <v>-0.08</v>
      </c>
      <c r="F569" s="26">
        <v>2105.2600000000002</v>
      </c>
      <c r="Q569" s="20">
        <v>56.8</v>
      </c>
      <c r="R569" s="20">
        <v>77.12</v>
      </c>
      <c r="S569" s="26">
        <v>77</v>
      </c>
      <c r="T569" s="26">
        <v>-0.12</v>
      </c>
      <c r="U569" s="26">
        <v>0.03</v>
      </c>
      <c r="V569" s="20">
        <v>2055.04</v>
      </c>
    </row>
    <row r="570" spans="1:22" ht="16.8" x14ac:dyDescent="0.3">
      <c r="A570" s="20">
        <v>56.9</v>
      </c>
      <c r="B570" s="20">
        <v>77</v>
      </c>
      <c r="C570" s="20">
        <v>77.349999999999994</v>
      </c>
      <c r="D570" s="20">
        <v>-0.35</v>
      </c>
      <c r="E570" s="20">
        <v>0</v>
      </c>
      <c r="F570" s="26">
        <v>2165.1999999999998</v>
      </c>
      <c r="Q570" s="20">
        <v>56.9</v>
      </c>
      <c r="R570" s="20">
        <v>77.12</v>
      </c>
      <c r="S570" s="26">
        <v>77</v>
      </c>
      <c r="T570" s="26">
        <v>-0.12</v>
      </c>
      <c r="U570" s="26">
        <v>0</v>
      </c>
      <c r="V570" s="26">
        <v>2028.69</v>
      </c>
    </row>
    <row r="571" spans="1:22" ht="16.8" x14ac:dyDescent="0.3">
      <c r="A571" s="20">
        <v>57</v>
      </c>
      <c r="B571" s="20">
        <v>77</v>
      </c>
      <c r="C571" s="26">
        <v>77.33</v>
      </c>
      <c r="D571" s="20">
        <v>-0.33</v>
      </c>
      <c r="E571" s="20">
        <v>0.02</v>
      </c>
      <c r="F571" s="26">
        <v>2192.16</v>
      </c>
      <c r="Q571" s="20">
        <v>57</v>
      </c>
      <c r="R571" s="20">
        <v>77.14</v>
      </c>
      <c r="S571" s="26">
        <v>77</v>
      </c>
      <c r="T571" s="26">
        <v>-0.14000000000000001</v>
      </c>
      <c r="U571" s="26">
        <v>-0.02</v>
      </c>
      <c r="V571" s="20">
        <v>2012.47</v>
      </c>
    </row>
    <row r="572" spans="1:22" ht="16.8" x14ac:dyDescent="0.3">
      <c r="A572" s="20">
        <v>57.1</v>
      </c>
      <c r="B572" s="20">
        <v>77</v>
      </c>
      <c r="C572" s="26">
        <v>77.37</v>
      </c>
      <c r="D572" s="20">
        <v>-0.37</v>
      </c>
      <c r="E572" s="20">
        <v>-0.04</v>
      </c>
      <c r="F572" s="20">
        <v>2117</v>
      </c>
      <c r="Q572" s="20">
        <v>57.1</v>
      </c>
      <c r="R572" s="20">
        <v>77.13</v>
      </c>
      <c r="S572" s="26">
        <v>77</v>
      </c>
      <c r="T572" s="26">
        <v>-0.13</v>
      </c>
      <c r="U572" s="26">
        <v>0.01</v>
      </c>
      <c r="V572" s="26">
        <v>2032.98</v>
      </c>
    </row>
    <row r="573" spans="1:22" ht="16.8" x14ac:dyDescent="0.3">
      <c r="A573" s="20">
        <v>57.2</v>
      </c>
      <c r="B573" s="20">
        <v>77</v>
      </c>
      <c r="C573" s="26">
        <v>77.349999999999994</v>
      </c>
      <c r="D573" s="20">
        <v>-0.35</v>
      </c>
      <c r="E573" s="20">
        <v>0.02</v>
      </c>
      <c r="F573" s="26">
        <v>2173.5700000000002</v>
      </c>
      <c r="Q573" s="20">
        <v>57.2</v>
      </c>
      <c r="R573" s="20">
        <v>77.14</v>
      </c>
      <c r="S573" s="26">
        <v>77</v>
      </c>
      <c r="T573" s="26">
        <v>-0.14000000000000001</v>
      </c>
      <c r="U573" s="26">
        <v>-0.01</v>
      </c>
      <c r="V573" s="20">
        <v>2018.18</v>
      </c>
    </row>
    <row r="574" spans="1:22" ht="16.8" x14ac:dyDescent="0.3">
      <c r="A574" s="20">
        <v>57.3</v>
      </c>
      <c r="B574" s="20">
        <v>77</v>
      </c>
      <c r="C574" s="20">
        <v>77.33</v>
      </c>
      <c r="D574" s="20">
        <v>-0.33</v>
      </c>
      <c r="E574" s="20">
        <v>0.02</v>
      </c>
      <c r="F574" s="26">
        <v>2192.16</v>
      </c>
      <c r="Q574" s="20">
        <v>57.3</v>
      </c>
      <c r="R574" s="20">
        <v>77.11</v>
      </c>
      <c r="S574" s="26">
        <v>77</v>
      </c>
      <c r="T574" s="26">
        <v>-0.11</v>
      </c>
      <c r="U574" s="26">
        <v>0.03</v>
      </c>
      <c r="V574" s="26">
        <v>2055.9699999999998</v>
      </c>
    </row>
    <row r="575" spans="1:22" ht="16.8" x14ac:dyDescent="0.3">
      <c r="A575" s="20">
        <v>57.4</v>
      </c>
      <c r="B575" s="20">
        <v>77</v>
      </c>
      <c r="C575" s="26">
        <v>77.37</v>
      </c>
      <c r="D575" s="20">
        <v>-0.37</v>
      </c>
      <c r="E575" s="20">
        <v>-0.03</v>
      </c>
      <c r="F575" s="26">
        <v>2125.48</v>
      </c>
      <c r="Q575" s="20">
        <v>57.4</v>
      </c>
      <c r="R575" s="20">
        <v>77.16</v>
      </c>
      <c r="S575" s="26">
        <v>77</v>
      </c>
      <c r="T575" s="26">
        <v>-0.16</v>
      </c>
      <c r="U575" s="26">
        <v>-0.06</v>
      </c>
      <c r="V575" s="20">
        <v>1974.17</v>
      </c>
    </row>
    <row r="576" spans="1:22" ht="16.8" x14ac:dyDescent="0.3">
      <c r="A576" s="20">
        <v>57.5</v>
      </c>
      <c r="B576" s="20">
        <v>77</v>
      </c>
      <c r="C576" s="26">
        <v>77.349999999999994</v>
      </c>
      <c r="D576" s="20">
        <v>-0.35</v>
      </c>
      <c r="E576" s="20">
        <v>0.01</v>
      </c>
      <c r="F576" s="26">
        <v>2168.8200000000002</v>
      </c>
      <c r="Q576" s="20">
        <v>57.5</v>
      </c>
      <c r="R576" s="20">
        <v>77.12</v>
      </c>
      <c r="S576" s="26">
        <v>77</v>
      </c>
      <c r="T576" s="26">
        <v>-0.12</v>
      </c>
      <c r="U576" s="26">
        <v>0.04</v>
      </c>
      <c r="V576" s="26">
        <v>2058.8200000000002</v>
      </c>
    </row>
    <row r="577" spans="1:22" ht="16.8" x14ac:dyDescent="0.3">
      <c r="A577" s="20">
        <v>57.6</v>
      </c>
      <c r="B577" s="20">
        <v>77</v>
      </c>
      <c r="C577" s="20">
        <v>77.39</v>
      </c>
      <c r="D577" s="20">
        <v>-0.39</v>
      </c>
      <c r="E577" s="20">
        <v>-0.03</v>
      </c>
      <c r="F577" s="20">
        <v>2100.6</v>
      </c>
      <c r="Q577" s="20">
        <v>57.6</v>
      </c>
      <c r="R577" s="20">
        <v>77.14</v>
      </c>
      <c r="S577" s="26">
        <v>77</v>
      </c>
      <c r="T577" s="26">
        <v>-0.14000000000000001</v>
      </c>
      <c r="U577" s="26">
        <v>-0.02</v>
      </c>
      <c r="V577" s="20">
        <v>2010.12</v>
      </c>
    </row>
    <row r="578" spans="1:22" ht="16.8" x14ac:dyDescent="0.3">
      <c r="A578" s="20">
        <v>57.7</v>
      </c>
      <c r="B578" s="20">
        <v>77</v>
      </c>
      <c r="C578" s="26">
        <v>77.39</v>
      </c>
      <c r="D578" s="20">
        <v>-0.39</v>
      </c>
      <c r="E578" s="20">
        <v>0</v>
      </c>
      <c r="F578" s="26">
        <v>2129.6</v>
      </c>
      <c r="Q578" s="20">
        <v>57.7</v>
      </c>
      <c r="R578" s="20">
        <v>77.09</v>
      </c>
      <c r="S578" s="26">
        <v>77</v>
      </c>
      <c r="T578" s="26">
        <v>-0.09</v>
      </c>
      <c r="U578" s="26">
        <v>0.05</v>
      </c>
      <c r="V578" s="26">
        <v>2070.27</v>
      </c>
    </row>
    <row r="579" spans="1:22" ht="16.8" x14ac:dyDescent="0.3">
      <c r="A579" s="20">
        <v>57.8</v>
      </c>
      <c r="B579" s="20">
        <v>77</v>
      </c>
      <c r="C579" s="20">
        <v>77.36</v>
      </c>
      <c r="D579" s="20">
        <v>-0.36</v>
      </c>
      <c r="E579" s="20">
        <v>0.02</v>
      </c>
      <c r="F579" s="26">
        <v>2159.23</v>
      </c>
      <c r="Q579" s="20">
        <v>57.8</v>
      </c>
      <c r="R579" s="20">
        <v>77.08</v>
      </c>
      <c r="S579" s="20">
        <v>77</v>
      </c>
      <c r="T579" s="26">
        <v>-0.08</v>
      </c>
      <c r="U579" s="26">
        <v>0.02</v>
      </c>
      <c r="V579" s="20">
        <v>2046.89</v>
      </c>
    </row>
    <row r="580" spans="1:22" ht="16.8" x14ac:dyDescent="0.3">
      <c r="A580" s="20">
        <v>57.9</v>
      </c>
      <c r="B580" s="20">
        <v>77</v>
      </c>
      <c r="C580" s="26">
        <v>77.33</v>
      </c>
      <c r="D580" s="20">
        <v>-0.33</v>
      </c>
      <c r="E580" s="20">
        <v>0.03</v>
      </c>
      <c r="F580" s="26">
        <v>2192.16</v>
      </c>
      <c r="Q580" s="20">
        <v>57.9</v>
      </c>
      <c r="R580" s="20">
        <v>77.08</v>
      </c>
      <c r="S580" s="26">
        <v>77</v>
      </c>
      <c r="T580" s="26">
        <v>-0.08</v>
      </c>
      <c r="U580" s="26">
        <v>0</v>
      </c>
      <c r="V580" s="20">
        <v>2033.69</v>
      </c>
    </row>
    <row r="581" spans="1:22" ht="16.8" x14ac:dyDescent="0.3">
      <c r="A581" s="20">
        <v>58</v>
      </c>
      <c r="B581" s="20">
        <v>77</v>
      </c>
      <c r="C581" s="26">
        <v>77.38</v>
      </c>
      <c r="D581" s="20">
        <v>-0.38</v>
      </c>
      <c r="E581" s="20">
        <v>-0.05</v>
      </c>
      <c r="F581" s="26">
        <v>2091.29</v>
      </c>
      <c r="Q581" s="20">
        <v>58</v>
      </c>
      <c r="R581" s="20">
        <v>77.08</v>
      </c>
      <c r="S581" s="26">
        <v>77</v>
      </c>
      <c r="T581" s="26">
        <v>-0.08</v>
      </c>
      <c r="U581" s="26">
        <v>-0.01</v>
      </c>
      <c r="V581" s="26">
        <v>2025.54</v>
      </c>
    </row>
    <row r="582" spans="1:22" ht="16.8" x14ac:dyDescent="0.3">
      <c r="A582" s="20">
        <v>58.1</v>
      </c>
      <c r="B582" s="20">
        <v>77</v>
      </c>
      <c r="C582" s="20">
        <v>77.37</v>
      </c>
      <c r="D582" s="20">
        <v>-0.37</v>
      </c>
      <c r="E582" s="20">
        <v>0.01</v>
      </c>
      <c r="F582" s="26">
        <v>2149.5300000000002</v>
      </c>
      <c r="Q582" s="20">
        <v>58.1</v>
      </c>
      <c r="R582" s="20">
        <v>77.05</v>
      </c>
      <c r="S582" s="26">
        <v>77</v>
      </c>
      <c r="T582" s="26">
        <v>-0.05</v>
      </c>
      <c r="U582" s="26">
        <v>0.03</v>
      </c>
      <c r="V582" s="20">
        <v>2063.5</v>
      </c>
    </row>
    <row r="583" spans="1:22" ht="16.8" x14ac:dyDescent="0.3">
      <c r="A583" s="20">
        <v>58.2</v>
      </c>
      <c r="B583" s="20">
        <v>77</v>
      </c>
      <c r="C583" s="26">
        <v>77.33</v>
      </c>
      <c r="D583" s="20">
        <v>-0.33</v>
      </c>
      <c r="E583" s="20">
        <v>0.04</v>
      </c>
      <c r="F583" s="26">
        <v>2192.16</v>
      </c>
      <c r="Q583" s="20">
        <v>58.2</v>
      </c>
      <c r="R583" s="20">
        <v>77.05</v>
      </c>
      <c r="S583" s="26">
        <v>77</v>
      </c>
      <c r="T583" s="26">
        <v>-0.05</v>
      </c>
      <c r="U583" s="26">
        <v>0</v>
      </c>
      <c r="V583" s="26">
        <v>2037.37</v>
      </c>
    </row>
    <row r="584" spans="1:22" ht="16.8" x14ac:dyDescent="0.3">
      <c r="A584" s="20">
        <v>58.3</v>
      </c>
      <c r="B584" s="20">
        <v>77</v>
      </c>
      <c r="C584" s="26">
        <v>77.37</v>
      </c>
      <c r="D584" s="20">
        <v>-0.37</v>
      </c>
      <c r="E584" s="20">
        <v>-0.04</v>
      </c>
      <c r="F584" s="26">
        <v>2117</v>
      </c>
      <c r="Q584" s="20">
        <v>58.3</v>
      </c>
      <c r="R584" s="20">
        <v>77.08</v>
      </c>
      <c r="S584" s="26">
        <v>77</v>
      </c>
      <c r="T584" s="26">
        <v>-0.08</v>
      </c>
      <c r="U584" s="26">
        <v>-0.03</v>
      </c>
      <c r="V584" s="20">
        <v>2005.5</v>
      </c>
    </row>
    <row r="585" spans="1:22" ht="16.8" x14ac:dyDescent="0.3">
      <c r="A585" s="20">
        <v>58.4</v>
      </c>
      <c r="B585" s="20">
        <v>77</v>
      </c>
      <c r="C585" s="20">
        <v>77.37</v>
      </c>
      <c r="D585" s="20">
        <v>-0.37</v>
      </c>
      <c r="E585" s="20">
        <v>0</v>
      </c>
      <c r="F585" s="26">
        <v>2149.5300000000002</v>
      </c>
      <c r="Q585" s="20">
        <v>58</v>
      </c>
      <c r="R585" s="20">
        <v>77.08</v>
      </c>
      <c r="S585" s="26">
        <v>77</v>
      </c>
      <c r="T585" s="26">
        <v>-0.08</v>
      </c>
      <c r="U585" s="26">
        <v>0.01</v>
      </c>
      <c r="V585" s="26">
        <v>2039.17</v>
      </c>
    </row>
    <row r="586" spans="1:22" ht="16.8" x14ac:dyDescent="0.3">
      <c r="A586" s="20">
        <v>58.5</v>
      </c>
      <c r="B586" s="20">
        <v>77</v>
      </c>
      <c r="C586" s="26">
        <v>77.33</v>
      </c>
      <c r="D586" s="20">
        <v>-0.33</v>
      </c>
      <c r="E586" s="20">
        <v>0.04</v>
      </c>
      <c r="F586" s="26">
        <v>2201.3200000000002</v>
      </c>
      <c r="Q586" s="20">
        <v>58.5</v>
      </c>
      <c r="R586" s="20">
        <v>77.08</v>
      </c>
      <c r="S586" s="26">
        <v>77</v>
      </c>
      <c r="T586" s="26">
        <v>-0.08</v>
      </c>
      <c r="U586" s="26">
        <v>0</v>
      </c>
      <c r="V586" s="20">
        <v>2032.45</v>
      </c>
    </row>
    <row r="587" spans="1:22" ht="16.8" x14ac:dyDescent="0.3">
      <c r="A587" s="20">
        <v>58.6</v>
      </c>
      <c r="B587" s="20">
        <v>77</v>
      </c>
      <c r="C587" s="20">
        <v>77.349999999999994</v>
      </c>
      <c r="D587" s="20">
        <v>-0.35</v>
      </c>
      <c r="E587" s="20">
        <v>-0.02</v>
      </c>
      <c r="F587" s="26">
        <v>2151.86</v>
      </c>
      <c r="Q587" s="20">
        <v>58.6</v>
      </c>
      <c r="R587" s="20">
        <v>77.08</v>
      </c>
      <c r="S587" s="26">
        <v>77</v>
      </c>
      <c r="T587" s="26">
        <v>-0.08</v>
      </c>
      <c r="U587" s="26">
        <v>-0.01</v>
      </c>
      <c r="V587" s="26">
        <v>2024.3</v>
      </c>
    </row>
    <row r="588" spans="1:22" ht="16.8" x14ac:dyDescent="0.3">
      <c r="A588" s="20">
        <v>58.7</v>
      </c>
      <c r="B588" s="20">
        <v>77</v>
      </c>
      <c r="C588" s="26">
        <v>77.319999999999993</v>
      </c>
      <c r="D588" s="20">
        <v>-0.32</v>
      </c>
      <c r="E588" s="20">
        <v>0.03</v>
      </c>
      <c r="F588" s="20">
        <v>2205.85</v>
      </c>
      <c r="Q588" s="20">
        <v>58.7</v>
      </c>
      <c r="R588" s="20">
        <v>76.989999999999995</v>
      </c>
      <c r="S588" s="26">
        <v>77</v>
      </c>
      <c r="T588" s="26">
        <v>0.01</v>
      </c>
      <c r="U588" s="26">
        <v>0.1</v>
      </c>
      <c r="V588" s="20">
        <v>2125.71</v>
      </c>
    </row>
    <row r="589" spans="1:22" ht="16.8" x14ac:dyDescent="0.3">
      <c r="A589" s="20">
        <v>58.8</v>
      </c>
      <c r="B589" s="20">
        <v>77</v>
      </c>
      <c r="C589" s="26">
        <v>77.33</v>
      </c>
      <c r="D589" s="20">
        <v>-0.33</v>
      </c>
      <c r="E589" s="20">
        <v>-0.01</v>
      </c>
      <c r="F589" s="26">
        <v>2189.5300000000002</v>
      </c>
      <c r="Q589" s="20">
        <v>58.8</v>
      </c>
      <c r="R589" s="20">
        <v>77.02</v>
      </c>
      <c r="S589" s="26">
        <v>77</v>
      </c>
      <c r="T589" s="26">
        <v>-0.02</v>
      </c>
      <c r="U589" s="26">
        <v>-0.03</v>
      </c>
      <c r="V589" s="20">
        <v>2016.09</v>
      </c>
    </row>
    <row r="590" spans="1:22" ht="16.8" x14ac:dyDescent="0.3">
      <c r="A590" s="20">
        <v>58.9</v>
      </c>
      <c r="B590" s="20">
        <v>77</v>
      </c>
      <c r="C590" s="20">
        <v>77.33</v>
      </c>
      <c r="D590" s="20">
        <v>-0.33</v>
      </c>
      <c r="E590" s="20">
        <v>0</v>
      </c>
      <c r="F590" s="26">
        <v>2188.54</v>
      </c>
      <c r="Q590" s="20">
        <v>58.9</v>
      </c>
      <c r="R590" s="20">
        <v>76.94</v>
      </c>
      <c r="S590" s="26">
        <v>77</v>
      </c>
      <c r="T590" s="26">
        <v>0.06</v>
      </c>
      <c r="U590" s="26">
        <v>0.08</v>
      </c>
      <c r="V590" s="26">
        <v>2121.31</v>
      </c>
    </row>
    <row r="591" spans="1:22" ht="16.8" x14ac:dyDescent="0.3">
      <c r="A591" s="20">
        <v>59</v>
      </c>
      <c r="B591" s="20">
        <v>77</v>
      </c>
      <c r="C591" s="26">
        <v>77.349999999999994</v>
      </c>
      <c r="D591" s="20">
        <v>-0.35</v>
      </c>
      <c r="E591" s="20">
        <v>-0.02</v>
      </c>
      <c r="F591" s="20">
        <v>2150.7399999999998</v>
      </c>
      <c r="Q591" s="20">
        <v>59</v>
      </c>
      <c r="R591" s="20">
        <v>77.03</v>
      </c>
      <c r="S591" s="26">
        <v>77</v>
      </c>
      <c r="T591" s="26">
        <v>-0.03</v>
      </c>
      <c r="U591" s="26">
        <v>-0.09</v>
      </c>
      <c r="V591" s="20">
        <v>1969.29</v>
      </c>
    </row>
    <row r="592" spans="1:22" ht="16.8" x14ac:dyDescent="0.3">
      <c r="A592" s="20">
        <v>59.1</v>
      </c>
      <c r="B592" s="20">
        <v>77</v>
      </c>
      <c r="C592" s="20">
        <v>77.349999999999994</v>
      </c>
      <c r="D592" s="20">
        <v>-0.35</v>
      </c>
      <c r="E592" s="20">
        <v>0.01</v>
      </c>
      <c r="F592" s="26">
        <v>2178.27</v>
      </c>
      <c r="Q592" s="20">
        <v>59.1</v>
      </c>
      <c r="R592" s="20">
        <v>77</v>
      </c>
      <c r="S592" s="26">
        <v>77</v>
      </c>
      <c r="T592" s="20">
        <v>0</v>
      </c>
      <c r="U592" s="26">
        <v>0.02</v>
      </c>
      <c r="V592" s="26">
        <v>2064.4699999999998</v>
      </c>
    </row>
    <row r="593" spans="1:22" ht="16.8" x14ac:dyDescent="0.3">
      <c r="A593" s="20">
        <v>59.2</v>
      </c>
      <c r="B593" s="20">
        <v>77</v>
      </c>
      <c r="C593" s="26">
        <v>77.34</v>
      </c>
      <c r="D593" s="20">
        <v>-0.34</v>
      </c>
      <c r="E593" s="20">
        <v>0.01</v>
      </c>
      <c r="F593" s="20">
        <v>2187.5500000000002</v>
      </c>
      <c r="Q593" s="20">
        <v>59.2</v>
      </c>
      <c r="R593" s="20">
        <v>76.98</v>
      </c>
      <c r="S593" s="26">
        <v>77</v>
      </c>
      <c r="T593" s="26">
        <v>0.02</v>
      </c>
      <c r="U593" s="26">
        <v>0.02</v>
      </c>
      <c r="V593" s="20">
        <v>2068.7600000000002</v>
      </c>
    </row>
    <row r="594" spans="1:22" ht="16.8" x14ac:dyDescent="0.3">
      <c r="A594" s="20">
        <v>59.3</v>
      </c>
      <c r="B594" s="20">
        <v>77</v>
      </c>
      <c r="C594" s="26">
        <v>77.349999999999994</v>
      </c>
      <c r="D594" s="20">
        <v>-0.35</v>
      </c>
      <c r="E594" s="20">
        <v>-0.01</v>
      </c>
      <c r="F594" s="26">
        <v>2171.0500000000002</v>
      </c>
      <c r="Q594" s="20">
        <v>59.3</v>
      </c>
      <c r="R594" s="20">
        <v>77.040000000000006</v>
      </c>
      <c r="S594" s="26">
        <v>77</v>
      </c>
      <c r="T594" s="20">
        <v>-0.04</v>
      </c>
      <c r="U594" s="26">
        <v>-0.06</v>
      </c>
      <c r="V594" s="26">
        <v>1993.8</v>
      </c>
    </row>
    <row r="595" spans="1:22" ht="16.8" x14ac:dyDescent="0.3">
      <c r="A595" s="20">
        <v>59.4</v>
      </c>
      <c r="B595" s="20">
        <v>77</v>
      </c>
      <c r="C595" s="20">
        <v>77.349999999999994</v>
      </c>
      <c r="D595" s="20">
        <v>-0.35</v>
      </c>
      <c r="E595" s="20">
        <v>-0.01</v>
      </c>
      <c r="F595" s="26">
        <v>2161.6</v>
      </c>
      <c r="Q595" s="20">
        <v>59.4</v>
      </c>
      <c r="R595" s="20">
        <v>77.040000000000006</v>
      </c>
      <c r="S595" s="26">
        <v>77</v>
      </c>
      <c r="T595" s="26">
        <v>-0.04</v>
      </c>
      <c r="U595" s="26">
        <v>-0.01</v>
      </c>
      <c r="V595" s="20">
        <v>2031.25</v>
      </c>
    </row>
    <row r="596" spans="1:22" ht="16.8" x14ac:dyDescent="0.3">
      <c r="A596" s="20">
        <v>59.5</v>
      </c>
      <c r="B596" s="20">
        <v>77</v>
      </c>
      <c r="C596" s="26">
        <v>77.28</v>
      </c>
      <c r="D596" s="20">
        <v>-0.28000000000000003</v>
      </c>
      <c r="E596" s="20">
        <v>7.0000000000000007E-2</v>
      </c>
      <c r="F596" s="26">
        <v>2249.88</v>
      </c>
      <c r="Q596" s="20">
        <v>59.5</v>
      </c>
      <c r="R596" s="20">
        <v>77</v>
      </c>
      <c r="S596" s="26">
        <v>77</v>
      </c>
      <c r="T596" s="20">
        <v>0</v>
      </c>
      <c r="U596" s="26">
        <v>0.05</v>
      </c>
      <c r="V596" s="26">
        <v>2085.1999999999998</v>
      </c>
    </row>
    <row r="597" spans="1:22" ht="16.8" x14ac:dyDescent="0.3">
      <c r="A597" s="20">
        <v>59.6</v>
      </c>
      <c r="B597" s="20">
        <v>77</v>
      </c>
      <c r="C597" s="26">
        <v>77.34</v>
      </c>
      <c r="D597" s="20">
        <v>-0.34</v>
      </c>
      <c r="E597" s="20">
        <v>-0.06</v>
      </c>
      <c r="F597" s="26">
        <v>2137.06</v>
      </c>
      <c r="Q597" s="20">
        <v>59.6</v>
      </c>
      <c r="R597" s="20">
        <v>77.040000000000006</v>
      </c>
      <c r="S597" s="26">
        <v>77</v>
      </c>
      <c r="T597" s="26">
        <v>-0.04</v>
      </c>
      <c r="U597" s="26">
        <v>-0.04</v>
      </c>
      <c r="V597" s="20">
        <v>2006.58</v>
      </c>
    </row>
    <row r="598" spans="1:22" ht="16.8" x14ac:dyDescent="0.3">
      <c r="A598" s="20">
        <v>59.7</v>
      </c>
      <c r="B598" s="20">
        <v>77</v>
      </c>
      <c r="C598" s="20">
        <v>77.349999999999994</v>
      </c>
      <c r="D598" s="20">
        <v>-0.35</v>
      </c>
      <c r="E598" s="20">
        <v>-0.01</v>
      </c>
      <c r="F598" s="26">
        <v>2162.75</v>
      </c>
      <c r="Q598" s="20">
        <v>59.7</v>
      </c>
      <c r="R598" s="20">
        <v>77.010000000000005</v>
      </c>
      <c r="S598" s="26">
        <v>77</v>
      </c>
      <c r="T598" s="26">
        <v>-0.01</v>
      </c>
      <c r="U598" s="26">
        <v>0.02</v>
      </c>
      <c r="V598" s="26">
        <v>2062.7600000000002</v>
      </c>
    </row>
    <row r="599" spans="1:22" ht="16.8" x14ac:dyDescent="0.3">
      <c r="A599" s="20">
        <v>59.8</v>
      </c>
      <c r="B599" s="20">
        <v>77</v>
      </c>
      <c r="C599" s="26">
        <v>77.290000000000006</v>
      </c>
      <c r="D599" s="20">
        <v>-0.28999999999999998</v>
      </c>
      <c r="E599" s="20">
        <v>0.06</v>
      </c>
      <c r="F599" s="20">
        <v>2245.5300000000002</v>
      </c>
      <c r="Q599" s="20">
        <v>59.8</v>
      </c>
      <c r="R599" s="20">
        <v>76.98</v>
      </c>
      <c r="S599" s="26">
        <v>77</v>
      </c>
      <c r="T599" s="26">
        <v>0.02</v>
      </c>
      <c r="U599" s="26">
        <v>0.03</v>
      </c>
      <c r="V599" s="20">
        <v>2074.96</v>
      </c>
    </row>
    <row r="600" spans="1:22" ht="16.8" x14ac:dyDescent="0.3">
      <c r="A600" s="20">
        <v>59.9</v>
      </c>
      <c r="B600" s="20">
        <v>77</v>
      </c>
      <c r="C600" s="26">
        <v>77.349999999999994</v>
      </c>
      <c r="D600" s="20">
        <v>-0.35</v>
      </c>
      <c r="E600" s="20">
        <v>-7.0000000000000007E-2</v>
      </c>
      <c r="F600" s="26">
        <v>2107.66</v>
      </c>
      <c r="Q600" s="20">
        <v>59.9</v>
      </c>
      <c r="R600" s="20">
        <v>77.010000000000005</v>
      </c>
      <c r="S600" s="26">
        <v>77</v>
      </c>
      <c r="T600" s="26">
        <v>-0.01</v>
      </c>
      <c r="U600" s="26">
        <v>-0.03</v>
      </c>
      <c r="V600" s="20">
        <v>2017.3</v>
      </c>
    </row>
    <row r="601" spans="1:22" ht="16.8" x14ac:dyDescent="0.3">
      <c r="A601" s="20">
        <v>60</v>
      </c>
      <c r="B601" s="20">
        <v>77</v>
      </c>
      <c r="C601" s="20">
        <v>77.290000000000006</v>
      </c>
      <c r="D601" s="20">
        <v>-0.28999999999999998</v>
      </c>
      <c r="E601" s="20">
        <v>0.06</v>
      </c>
      <c r="F601" s="26">
        <v>2236.87</v>
      </c>
      <c r="Q601" s="20">
        <v>60</v>
      </c>
      <c r="R601" s="20">
        <v>77.02</v>
      </c>
      <c r="S601" s="26">
        <v>77</v>
      </c>
      <c r="T601" s="26">
        <v>-0.02</v>
      </c>
      <c r="U601" s="20">
        <v>-0.01</v>
      </c>
      <c r="V601" s="26">
        <v>2035.33</v>
      </c>
    </row>
    <row r="602" spans="1:22" ht="16.8" x14ac:dyDescent="0.3">
      <c r="A602" s="24">
        <v>60.1</v>
      </c>
      <c r="B602" s="24">
        <v>77</v>
      </c>
      <c r="C602" s="25">
        <v>77.349999999999994</v>
      </c>
      <c r="D602" s="24">
        <v>-0.35</v>
      </c>
      <c r="E602" s="24">
        <v>-0.06</v>
      </c>
      <c r="F602" s="25">
        <v>2114.79</v>
      </c>
      <c r="Q602" s="24">
        <v>60.1</v>
      </c>
      <c r="R602" s="24">
        <v>77.069999999999993</v>
      </c>
      <c r="S602" s="25">
        <v>77</v>
      </c>
      <c r="T602" s="25">
        <v>-7.0000000000000007E-2</v>
      </c>
      <c r="U602" s="25">
        <v>-0.05</v>
      </c>
      <c r="V602" s="24">
        <v>1994.18</v>
      </c>
    </row>
  </sheetData>
  <mergeCells count="22">
    <mergeCell ref="H24:I24"/>
    <mergeCell ref="H14:K14"/>
    <mergeCell ref="J15:K15"/>
    <mergeCell ref="J16:K16"/>
    <mergeCell ref="H18:J18"/>
    <mergeCell ref="H19:J19"/>
    <mergeCell ref="X15:AA15"/>
    <mergeCell ref="Z16:AA16"/>
    <mergeCell ref="Z17:AA17"/>
    <mergeCell ref="X19:Z19"/>
    <mergeCell ref="X20:Z20"/>
    <mergeCell ref="X32:Z32"/>
    <mergeCell ref="H25:I25"/>
    <mergeCell ref="H27:I27"/>
    <mergeCell ref="H28:I28"/>
    <mergeCell ref="H30:J30"/>
    <mergeCell ref="H31:J31"/>
    <mergeCell ref="X25:Y25"/>
    <mergeCell ref="X26:Y26"/>
    <mergeCell ref="X28:Y28"/>
    <mergeCell ref="X29:Y29"/>
    <mergeCell ref="X31:Z31"/>
  </mergeCells>
  <dataValidations count="6">
    <dataValidation allowBlank="1" showInputMessage="1" showErrorMessage="1" prompt="TBL_HST[CH6]" sqref="V2:V602 F2:F602" xr:uid="{1E2AA604-7691-450F-8B03-0F4F01B99CF0}"/>
    <dataValidation allowBlank="1" showInputMessage="1" showErrorMessage="1" prompt="TBL_HST[CH5]" sqref="U2:U602 E2:E602" xr:uid="{2FE88B52-F7BA-4A8B-91A5-EB35F917C795}"/>
    <dataValidation allowBlank="1" showInputMessage="1" showErrorMessage="1" prompt="TBL_HST[CH4]" sqref="T2:T602 D2:D411 D413:D602 F412" xr:uid="{ED0D0855-FE99-45AF-9364-4AB6E22A3EE6}"/>
    <dataValidation allowBlank="1" showInputMessage="1" showErrorMessage="1" prompt="TBL_HST[CH3]" sqref="S2:S602 C2:C602" xr:uid="{D6E5832D-34C5-413A-A17F-CB808C69FCDD}"/>
    <dataValidation allowBlank="1" showInputMessage="1" showErrorMessage="1" prompt="TBL_HST[CH2]" sqref="R2:R602 B2:B602" xr:uid="{AF1229E4-1791-43E8-BC97-7235A638D0F9}"/>
    <dataValidation allowBlank="1" showInputMessage="1" showErrorMessage="1" prompt="TBL_HST[CH1]" sqref="Q2:Q602 A2:A602" xr:uid="{535BB1AE-B11E-4BC9-9937-2E724BA2787A}"/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BABA8-4611-4807-9774-F7AA00AD6B48}">
  <dimension ref="A1:AA602"/>
  <sheetViews>
    <sheetView zoomScale="85" zoomScaleNormal="70" workbookViewId="0">
      <selection activeCell="G23" sqref="G23"/>
    </sheetView>
  </sheetViews>
  <sheetFormatPr defaultRowHeight="14.4" x14ac:dyDescent="0.3"/>
  <cols>
    <col min="1" max="2" width="9" bestFit="1" customWidth="1"/>
    <col min="3" max="5" width="9.109375" bestFit="1" customWidth="1"/>
    <col min="6" max="6" width="9.88671875" bestFit="1" customWidth="1"/>
    <col min="7" max="7" width="15.109375" customWidth="1"/>
    <col min="8" max="8" width="17.88671875" customWidth="1"/>
    <col min="10" max="10" width="16" customWidth="1"/>
    <col min="17" max="19" width="9.109375" bestFit="1" customWidth="1"/>
    <col min="20" max="21" width="9" bestFit="1" customWidth="1"/>
    <col min="22" max="22" width="15.77734375" customWidth="1"/>
    <col min="24" max="24" width="16.77734375" customWidth="1"/>
    <col min="25" max="25" width="15.88671875" customWidth="1"/>
  </cols>
  <sheetData>
    <row r="1" spans="1:27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</row>
    <row r="2" spans="1:27" ht="16.8" x14ac:dyDescent="0.3">
      <c r="A2" s="20">
        <v>0.1</v>
      </c>
      <c r="B2" s="20">
        <v>80</v>
      </c>
      <c r="C2" s="20">
        <v>28.43</v>
      </c>
      <c r="D2" s="20">
        <v>50</v>
      </c>
      <c r="E2" s="20">
        <v>6</v>
      </c>
      <c r="F2" s="26">
        <v>2048</v>
      </c>
      <c r="Q2" s="20">
        <v>0.1</v>
      </c>
      <c r="R2" s="20">
        <v>32.799999999999997</v>
      </c>
      <c r="S2" s="26">
        <v>80</v>
      </c>
      <c r="T2" s="26">
        <v>47.2</v>
      </c>
      <c r="U2" s="26">
        <v>47.2</v>
      </c>
      <c r="V2" s="26">
        <v>4095</v>
      </c>
    </row>
    <row r="3" spans="1:27" ht="16.8" x14ac:dyDescent="0.3">
      <c r="A3" s="20">
        <v>0.2</v>
      </c>
      <c r="B3" s="20">
        <v>80</v>
      </c>
      <c r="C3" s="26">
        <v>28.43</v>
      </c>
      <c r="D3" s="20">
        <v>50</v>
      </c>
      <c r="E3" s="20">
        <v>1.57</v>
      </c>
      <c r="F3" s="20">
        <v>2048</v>
      </c>
      <c r="Q3" s="20">
        <v>0.2</v>
      </c>
      <c r="R3" s="20">
        <v>33.409999999999997</v>
      </c>
      <c r="S3" s="26">
        <v>80</v>
      </c>
      <c r="T3" s="26">
        <v>46.59</v>
      </c>
      <c r="U3" s="26">
        <v>-0.61</v>
      </c>
      <c r="V3" s="20">
        <v>4095</v>
      </c>
    </row>
    <row r="4" spans="1:27" ht="16.8" x14ac:dyDescent="0.3">
      <c r="A4" s="20">
        <v>0.3</v>
      </c>
      <c r="B4" s="20">
        <v>80</v>
      </c>
      <c r="C4" s="26">
        <v>28.59</v>
      </c>
      <c r="D4" s="20">
        <v>50</v>
      </c>
      <c r="E4" s="20">
        <v>1.41</v>
      </c>
      <c r="F4" s="26">
        <v>2048</v>
      </c>
      <c r="Q4" s="20">
        <v>0.3</v>
      </c>
      <c r="R4" s="20">
        <v>33.53</v>
      </c>
      <c r="S4" s="26">
        <v>80</v>
      </c>
      <c r="T4" s="26">
        <v>46.47</v>
      </c>
      <c r="U4" s="26">
        <v>-0.11</v>
      </c>
      <c r="V4" s="20">
        <v>4095</v>
      </c>
    </row>
    <row r="5" spans="1:27" ht="16.8" x14ac:dyDescent="0.3">
      <c r="A5" s="20">
        <v>0.4</v>
      </c>
      <c r="B5" s="20">
        <v>80</v>
      </c>
      <c r="C5" s="20">
        <v>28.52</v>
      </c>
      <c r="D5" s="20">
        <v>50</v>
      </c>
      <c r="E5" s="20">
        <v>1.48</v>
      </c>
      <c r="F5" s="20">
        <v>2048</v>
      </c>
      <c r="Q5" s="20">
        <v>0.4</v>
      </c>
      <c r="R5" s="20">
        <v>33.64</v>
      </c>
      <c r="S5" s="26">
        <v>80</v>
      </c>
      <c r="T5" s="26">
        <v>46.36</v>
      </c>
      <c r="U5" s="26">
        <v>-0.11</v>
      </c>
      <c r="V5" s="26">
        <v>4095</v>
      </c>
    </row>
    <row r="6" spans="1:27" ht="16.8" x14ac:dyDescent="0.3">
      <c r="A6" s="20">
        <v>0.5</v>
      </c>
      <c r="B6" s="20">
        <v>80</v>
      </c>
      <c r="C6" s="26">
        <v>28.53</v>
      </c>
      <c r="D6" s="20">
        <v>50</v>
      </c>
      <c r="E6" s="20">
        <v>1.47</v>
      </c>
      <c r="F6" s="26">
        <v>2048</v>
      </c>
      <c r="Q6" s="20">
        <v>0.5</v>
      </c>
      <c r="R6" s="20">
        <v>33.76</v>
      </c>
      <c r="S6" s="26">
        <v>80</v>
      </c>
      <c r="T6" s="26">
        <v>46.24</v>
      </c>
      <c r="U6" s="26">
        <v>-0.12</v>
      </c>
      <c r="V6" s="20">
        <v>4095</v>
      </c>
    </row>
    <row r="7" spans="1:27" ht="16.8" x14ac:dyDescent="0.3">
      <c r="A7" s="20">
        <v>0.6</v>
      </c>
      <c r="B7" s="20">
        <v>80</v>
      </c>
      <c r="C7" s="20">
        <v>28.63</v>
      </c>
      <c r="D7" s="20">
        <v>50</v>
      </c>
      <c r="E7" s="20">
        <v>1.37</v>
      </c>
      <c r="F7" s="26">
        <v>2048</v>
      </c>
      <c r="Q7" s="20">
        <v>0.6</v>
      </c>
      <c r="R7" s="20">
        <v>33.99</v>
      </c>
      <c r="S7" s="26">
        <v>80</v>
      </c>
      <c r="T7" s="26">
        <v>46.01</v>
      </c>
      <c r="U7" s="26">
        <v>-0.23</v>
      </c>
      <c r="V7" s="26">
        <v>4095</v>
      </c>
    </row>
    <row r="8" spans="1:27" ht="16.8" x14ac:dyDescent="0.3">
      <c r="A8" s="20">
        <v>0.7</v>
      </c>
      <c r="B8" s="20">
        <v>80</v>
      </c>
      <c r="C8" s="26">
        <v>28.71</v>
      </c>
      <c r="D8" s="20">
        <v>50</v>
      </c>
      <c r="E8" s="20">
        <v>1.29</v>
      </c>
      <c r="F8" s="26">
        <v>2048</v>
      </c>
      <c r="Q8" s="20">
        <v>0.7</v>
      </c>
      <c r="R8" s="20">
        <v>34.33</v>
      </c>
      <c r="S8" s="26">
        <v>80</v>
      </c>
      <c r="T8" s="26">
        <v>45.67</v>
      </c>
      <c r="U8" s="26">
        <v>-0.34</v>
      </c>
      <c r="V8" s="20">
        <v>4095</v>
      </c>
    </row>
    <row r="9" spans="1:27" ht="16.8" x14ac:dyDescent="0.3">
      <c r="A9" s="20">
        <v>0.8</v>
      </c>
      <c r="B9" s="20">
        <v>80</v>
      </c>
      <c r="C9" s="26">
        <v>28.81</v>
      </c>
      <c r="D9" s="20">
        <v>50</v>
      </c>
      <c r="E9" s="20">
        <v>1.19</v>
      </c>
      <c r="F9" s="26">
        <v>2048</v>
      </c>
      <c r="Q9" s="20">
        <v>0.8</v>
      </c>
      <c r="R9" s="20">
        <v>34.630000000000003</v>
      </c>
      <c r="S9" s="26">
        <v>80</v>
      </c>
      <c r="T9" s="26">
        <v>45.37</v>
      </c>
      <c r="U9" s="26">
        <v>-0.3</v>
      </c>
      <c r="V9" s="26">
        <v>4095</v>
      </c>
    </row>
    <row r="10" spans="1:27" ht="16.8" x14ac:dyDescent="0.3">
      <c r="A10" s="20">
        <v>0.9</v>
      </c>
      <c r="B10" s="20">
        <v>80</v>
      </c>
      <c r="C10" s="20">
        <v>29.01</v>
      </c>
      <c r="D10" s="20">
        <v>50</v>
      </c>
      <c r="E10" s="20">
        <v>0.99</v>
      </c>
      <c r="F10" s="26">
        <v>2048</v>
      </c>
      <c r="Q10" s="20">
        <v>0.9</v>
      </c>
      <c r="R10" s="20">
        <v>35.119999999999997</v>
      </c>
      <c r="S10" s="26">
        <v>80</v>
      </c>
      <c r="T10" s="26">
        <v>44.88</v>
      </c>
      <c r="U10" s="26">
        <v>-0.49</v>
      </c>
      <c r="V10" s="20">
        <v>4095</v>
      </c>
    </row>
    <row r="11" spans="1:27" ht="16.8" x14ac:dyDescent="0.3">
      <c r="A11" s="20">
        <v>1</v>
      </c>
      <c r="B11" s="20">
        <v>80</v>
      </c>
      <c r="C11" s="26">
        <v>29.13</v>
      </c>
      <c r="D11" s="20">
        <v>50</v>
      </c>
      <c r="E11" s="20">
        <v>0.87</v>
      </c>
      <c r="F11" s="26">
        <v>2048</v>
      </c>
      <c r="Q11" s="20">
        <v>1</v>
      </c>
      <c r="R11" s="20">
        <v>35.630000000000003</v>
      </c>
      <c r="S11" s="26">
        <v>80</v>
      </c>
      <c r="T11" s="20">
        <v>44.37</v>
      </c>
      <c r="U11" s="26">
        <v>-0.51</v>
      </c>
      <c r="V11" s="26">
        <v>4095</v>
      </c>
    </row>
    <row r="12" spans="1:27" ht="16.8" x14ac:dyDescent="0.3">
      <c r="A12" s="20">
        <v>1.1000000000000001</v>
      </c>
      <c r="B12" s="20">
        <v>80</v>
      </c>
      <c r="C12" s="26">
        <v>29.41</v>
      </c>
      <c r="D12" s="20">
        <v>50</v>
      </c>
      <c r="E12" s="20">
        <v>0.59</v>
      </c>
      <c r="F12" s="26">
        <v>2048</v>
      </c>
      <c r="Q12" s="20">
        <v>1.1000000000000001</v>
      </c>
      <c r="R12" s="20">
        <v>36.200000000000003</v>
      </c>
      <c r="S12" s="26">
        <v>80</v>
      </c>
      <c r="T12" s="26">
        <v>43.8</v>
      </c>
      <c r="U12" s="26">
        <v>-0.56999999999999995</v>
      </c>
      <c r="V12" s="20">
        <v>4095</v>
      </c>
    </row>
    <row r="13" spans="1:27" ht="16.8" x14ac:dyDescent="0.3">
      <c r="A13" s="20">
        <v>1.2</v>
      </c>
      <c r="B13" s="20">
        <v>80</v>
      </c>
      <c r="C13" s="20">
        <v>29.64</v>
      </c>
      <c r="D13" s="20">
        <v>50</v>
      </c>
      <c r="E13" s="20">
        <v>0.36</v>
      </c>
      <c r="F13" s="26">
        <v>2048</v>
      </c>
      <c r="Q13" s="20">
        <v>1.2</v>
      </c>
      <c r="R13" s="20">
        <v>36.799999999999997</v>
      </c>
      <c r="S13" s="26">
        <v>80</v>
      </c>
      <c r="T13" s="20">
        <v>43.2</v>
      </c>
      <c r="U13" s="26">
        <v>-0.6</v>
      </c>
      <c r="V13" s="26">
        <v>4095</v>
      </c>
    </row>
    <row r="14" spans="1:27" ht="16.8" x14ac:dyDescent="0.3">
      <c r="A14" s="20">
        <v>1.3</v>
      </c>
      <c r="B14" s="20">
        <v>80</v>
      </c>
      <c r="C14" s="26">
        <v>29.93</v>
      </c>
      <c r="D14" s="20">
        <v>50</v>
      </c>
      <c r="E14" s="20">
        <v>7.0000000000000007E-2</v>
      </c>
      <c r="F14" s="26">
        <v>2048</v>
      </c>
      <c r="Q14" s="20">
        <v>1.3</v>
      </c>
      <c r="R14" s="20">
        <v>37.43</v>
      </c>
      <c r="S14" s="26">
        <v>80</v>
      </c>
      <c r="T14" s="26">
        <v>42.57</v>
      </c>
      <c r="U14" s="26">
        <v>-0.63</v>
      </c>
      <c r="V14" s="20">
        <v>4095</v>
      </c>
    </row>
    <row r="15" spans="1:27" ht="16.8" x14ac:dyDescent="0.3">
      <c r="A15" s="20">
        <v>1.4</v>
      </c>
      <c r="B15" s="20">
        <v>80</v>
      </c>
      <c r="C15" s="20">
        <v>30.22</v>
      </c>
      <c r="D15" s="20">
        <v>49.78</v>
      </c>
      <c r="E15" s="20">
        <v>-0.22</v>
      </c>
      <c r="F15" s="26">
        <v>3231.81</v>
      </c>
      <c r="Q15" s="32">
        <v>1.4</v>
      </c>
      <c r="R15" s="32">
        <v>38.14</v>
      </c>
      <c r="S15" s="34">
        <v>80</v>
      </c>
      <c r="T15" s="34">
        <v>41.86</v>
      </c>
      <c r="U15" s="34">
        <v>-0.71</v>
      </c>
      <c r="V15" s="32">
        <v>4095</v>
      </c>
    </row>
    <row r="16" spans="1:27" ht="16.8" x14ac:dyDescent="0.3">
      <c r="A16" s="20">
        <v>1.5</v>
      </c>
      <c r="B16" s="20">
        <v>80</v>
      </c>
      <c r="C16" s="26">
        <v>30.5</v>
      </c>
      <c r="D16" s="20">
        <v>49.5</v>
      </c>
      <c r="E16" s="20">
        <v>-0.28999999999999998</v>
      </c>
      <c r="F16" s="26">
        <v>3134.05</v>
      </c>
      <c r="Q16" s="32">
        <v>1.5</v>
      </c>
      <c r="R16" s="32">
        <v>38.840000000000003</v>
      </c>
      <c r="S16" s="34">
        <v>80</v>
      </c>
      <c r="T16" s="34">
        <v>41.16</v>
      </c>
      <c r="U16" s="34">
        <v>-0.7</v>
      </c>
      <c r="V16" s="34">
        <v>4095</v>
      </c>
      <c r="X16" s="55" t="s">
        <v>46</v>
      </c>
      <c r="Y16" s="56"/>
      <c r="Z16" s="56"/>
      <c r="AA16" s="57"/>
    </row>
    <row r="17" spans="1:27" ht="16.8" x14ac:dyDescent="0.3">
      <c r="A17" s="20">
        <v>1.6</v>
      </c>
      <c r="B17" s="20">
        <v>80</v>
      </c>
      <c r="C17" s="26">
        <v>30.87</v>
      </c>
      <c r="D17" s="20">
        <v>49.13</v>
      </c>
      <c r="E17" s="20">
        <v>-0.37</v>
      </c>
      <c r="F17" s="26">
        <v>2967.33</v>
      </c>
      <c r="G17" s="55" t="s">
        <v>46</v>
      </c>
      <c r="H17" s="56"/>
      <c r="I17" s="56"/>
      <c r="J17" s="57"/>
      <c r="Q17" s="32">
        <v>1.6</v>
      </c>
      <c r="R17" s="32">
        <v>39.5</v>
      </c>
      <c r="S17" s="34">
        <v>80</v>
      </c>
      <c r="T17" s="34">
        <v>40.5</v>
      </c>
      <c r="U17" s="34">
        <v>-0.66</v>
      </c>
      <c r="V17" s="32">
        <v>4095</v>
      </c>
      <c r="X17" s="30" t="s">
        <v>47</v>
      </c>
      <c r="Y17" s="30" t="s">
        <v>48</v>
      </c>
      <c r="Z17" s="55" t="s">
        <v>49</v>
      </c>
      <c r="AA17" s="57"/>
    </row>
    <row r="18" spans="1:27" ht="16.8" x14ac:dyDescent="0.3">
      <c r="A18" s="20">
        <v>1.7</v>
      </c>
      <c r="B18" s="20">
        <v>80</v>
      </c>
      <c r="C18" s="20">
        <v>31.19</v>
      </c>
      <c r="D18" s="20">
        <v>48.81</v>
      </c>
      <c r="E18" s="20">
        <v>-0.31</v>
      </c>
      <c r="F18" s="20">
        <v>3086.61</v>
      </c>
      <c r="G18" s="30" t="s">
        <v>47</v>
      </c>
      <c r="H18" s="30" t="s">
        <v>48</v>
      </c>
      <c r="I18" s="55" t="s">
        <v>49</v>
      </c>
      <c r="J18" s="57"/>
      <c r="Q18" s="32">
        <v>1.7</v>
      </c>
      <c r="R18" s="32">
        <v>40.200000000000003</v>
      </c>
      <c r="S18" s="34">
        <v>80</v>
      </c>
      <c r="T18" s="32">
        <v>39.799999999999997</v>
      </c>
      <c r="U18" s="34">
        <v>-0.7</v>
      </c>
      <c r="V18" s="34">
        <v>4095</v>
      </c>
      <c r="X18" s="30">
        <f>R2+0.1*(S2-R2)</f>
        <v>37.519999999999996</v>
      </c>
      <c r="Y18" s="30">
        <f>R2+0.9*(S2-R2)</f>
        <v>75.28</v>
      </c>
      <c r="Z18" s="55">
        <f>Q90-Q15</f>
        <v>7.5</v>
      </c>
      <c r="AA18" s="57"/>
    </row>
    <row r="19" spans="1:27" ht="16.8" x14ac:dyDescent="0.3">
      <c r="A19" s="20">
        <v>1.8</v>
      </c>
      <c r="B19" s="20">
        <v>80</v>
      </c>
      <c r="C19" s="26">
        <v>31.54</v>
      </c>
      <c r="D19" s="20">
        <v>48.46</v>
      </c>
      <c r="E19" s="20">
        <v>-0.35</v>
      </c>
      <c r="F19" s="26">
        <v>3004.19</v>
      </c>
      <c r="G19" s="30">
        <f>C2+0.1*(B2-C2)</f>
        <v>33.587000000000003</v>
      </c>
      <c r="H19" s="30">
        <f>C2+0.9*(B2-C2)</f>
        <v>74.843000000000004</v>
      </c>
      <c r="I19" s="55">
        <f>18.1-A33</f>
        <v>14.900000000000002</v>
      </c>
      <c r="J19" s="57"/>
      <c r="Q19" s="32">
        <v>1.8</v>
      </c>
      <c r="R19" s="32">
        <v>40.93</v>
      </c>
      <c r="S19" s="34">
        <v>80</v>
      </c>
      <c r="T19" s="34">
        <v>39.07</v>
      </c>
      <c r="U19" s="34">
        <v>-0.73</v>
      </c>
      <c r="V19" s="32">
        <v>4095</v>
      </c>
    </row>
    <row r="20" spans="1:27" ht="16.8" x14ac:dyDescent="0.3">
      <c r="A20" s="20">
        <v>1.9</v>
      </c>
      <c r="B20" s="20">
        <v>80</v>
      </c>
      <c r="C20" s="26">
        <v>31.91</v>
      </c>
      <c r="D20" s="20">
        <v>48.09</v>
      </c>
      <c r="E20" s="20">
        <v>-0.37</v>
      </c>
      <c r="F20" s="20">
        <v>2967.3</v>
      </c>
      <c r="Q20" s="32">
        <v>1.9</v>
      </c>
      <c r="R20" s="32">
        <v>41.7</v>
      </c>
      <c r="S20" s="34">
        <v>80</v>
      </c>
      <c r="T20" s="32">
        <v>38.299999999999997</v>
      </c>
      <c r="U20" s="34">
        <v>-0.77</v>
      </c>
      <c r="V20" s="34">
        <v>4095</v>
      </c>
      <c r="X20" s="55" t="s">
        <v>50</v>
      </c>
      <c r="Y20" s="56"/>
      <c r="Z20" s="57"/>
    </row>
    <row r="21" spans="1:27" ht="16.8" x14ac:dyDescent="0.3">
      <c r="A21" s="20">
        <v>2</v>
      </c>
      <c r="B21" s="20">
        <v>80</v>
      </c>
      <c r="C21" s="20">
        <v>32.270000000000003</v>
      </c>
      <c r="D21" s="20">
        <v>47.73</v>
      </c>
      <c r="E21" s="20">
        <v>-0.36</v>
      </c>
      <c r="F21" s="26">
        <v>2995.23</v>
      </c>
      <c r="G21" s="55" t="s">
        <v>50</v>
      </c>
      <c r="H21" s="56"/>
      <c r="I21" s="57"/>
      <c r="Q21" s="32">
        <v>2</v>
      </c>
      <c r="R21" s="32">
        <v>42.42</v>
      </c>
      <c r="S21" s="32">
        <v>80</v>
      </c>
      <c r="T21" s="34">
        <v>37.58</v>
      </c>
      <c r="U21" s="34">
        <v>-0.72</v>
      </c>
      <c r="V21" s="32">
        <v>4095</v>
      </c>
      <c r="X21" s="58">
        <f>((MAX(R2:R250)-80)/80)*100</f>
        <v>0.89999999999999858</v>
      </c>
      <c r="Y21" s="58"/>
      <c r="Z21" s="58"/>
    </row>
    <row r="22" spans="1:27" ht="16.8" x14ac:dyDescent="0.3">
      <c r="A22" s="20">
        <v>2.1</v>
      </c>
      <c r="B22" s="20">
        <v>80</v>
      </c>
      <c r="C22" s="26">
        <v>32.770000000000003</v>
      </c>
      <c r="D22" s="20">
        <v>47.23</v>
      </c>
      <c r="E22" s="20">
        <v>-0.5</v>
      </c>
      <c r="F22" s="26">
        <v>2551.64</v>
      </c>
      <c r="G22" s="58">
        <f>((MAX(C2:C405)-80)/80)*100</f>
        <v>0.52500000000000213</v>
      </c>
      <c r="H22" s="58"/>
      <c r="I22" s="58"/>
      <c r="Q22" s="32">
        <v>2.1</v>
      </c>
      <c r="R22" s="32">
        <v>43.19</v>
      </c>
      <c r="S22" s="34">
        <v>80</v>
      </c>
      <c r="T22" s="34">
        <v>36.81</v>
      </c>
      <c r="U22" s="34">
        <v>-0.77</v>
      </c>
      <c r="V22" s="34">
        <v>4095</v>
      </c>
    </row>
    <row r="23" spans="1:27" ht="16.8" x14ac:dyDescent="0.3">
      <c r="A23" s="20">
        <v>2.2000000000000002</v>
      </c>
      <c r="B23" s="20">
        <v>80</v>
      </c>
      <c r="C23" s="26">
        <v>33.159999999999997</v>
      </c>
      <c r="D23" s="20">
        <v>46.84</v>
      </c>
      <c r="E23" s="20">
        <v>-0.39</v>
      </c>
      <c r="F23" s="20">
        <v>2927.9</v>
      </c>
      <c r="Q23" s="32">
        <v>2.2000000000000002</v>
      </c>
      <c r="R23" s="32">
        <v>43.83</v>
      </c>
      <c r="S23" s="34">
        <v>80</v>
      </c>
      <c r="T23" s="34">
        <v>36.17</v>
      </c>
      <c r="U23" s="34">
        <v>-0.64</v>
      </c>
      <c r="V23" s="32">
        <v>4095</v>
      </c>
      <c r="X23" s="29" t="s">
        <v>51</v>
      </c>
      <c r="Y23" s="29">
        <f>ABS(AVERAGE(R300:R602))</f>
        <v>80.073663366336589</v>
      </c>
    </row>
    <row r="24" spans="1:27" ht="16.8" x14ac:dyDescent="0.3">
      <c r="A24" s="20">
        <v>2.2999999999999998</v>
      </c>
      <c r="B24" s="20">
        <v>80</v>
      </c>
      <c r="C24" s="20">
        <v>33.58</v>
      </c>
      <c r="D24" s="20">
        <v>46.42</v>
      </c>
      <c r="E24" s="20">
        <v>-0.42</v>
      </c>
      <c r="F24" s="26">
        <v>2828.41</v>
      </c>
      <c r="G24" s="29" t="s">
        <v>51</v>
      </c>
      <c r="H24" s="29">
        <f>ABS(AVERAGE(C301:C602))</f>
        <v>80.166192052980179</v>
      </c>
      <c r="Q24" s="32">
        <v>2.2999999999999998</v>
      </c>
      <c r="R24" s="32">
        <v>44.64</v>
      </c>
      <c r="S24" s="34">
        <v>80</v>
      </c>
      <c r="T24" s="34">
        <v>35.36</v>
      </c>
      <c r="U24" s="34">
        <v>-0.81</v>
      </c>
      <c r="V24" s="32">
        <v>4095</v>
      </c>
      <c r="X24" s="29" t="s">
        <v>52</v>
      </c>
      <c r="Y24" s="29">
        <f>((Y23-80)/80)*100</f>
        <v>9.207920792073665E-2</v>
      </c>
    </row>
    <row r="25" spans="1:27" ht="16.8" x14ac:dyDescent="0.3">
      <c r="A25" s="20">
        <v>2.4</v>
      </c>
      <c r="B25" s="20">
        <v>80</v>
      </c>
      <c r="C25" s="26">
        <v>34.04</v>
      </c>
      <c r="D25" s="20">
        <v>45.96</v>
      </c>
      <c r="E25" s="20">
        <v>-0.46</v>
      </c>
      <c r="F25" s="20">
        <v>2696.21</v>
      </c>
      <c r="G25" s="29" t="s">
        <v>52</v>
      </c>
      <c r="H25" s="29">
        <f>((H24-80)/80)*100</f>
        <v>0.20774006622522379</v>
      </c>
      <c r="Q25" s="32">
        <v>2.4</v>
      </c>
      <c r="R25" s="32">
        <v>45.42</v>
      </c>
      <c r="S25" s="34">
        <v>80</v>
      </c>
      <c r="T25" s="34">
        <v>34.58</v>
      </c>
      <c r="U25" s="34">
        <v>-0.78</v>
      </c>
      <c r="V25" s="34">
        <v>4095</v>
      </c>
    </row>
    <row r="26" spans="1:27" ht="16.8" x14ac:dyDescent="0.3">
      <c r="A26" s="20">
        <v>2.5</v>
      </c>
      <c r="B26" s="20">
        <v>80</v>
      </c>
      <c r="C26" s="20">
        <v>34.47</v>
      </c>
      <c r="D26" s="20">
        <v>45.53</v>
      </c>
      <c r="E26" s="20">
        <v>-0.43</v>
      </c>
      <c r="F26" s="26">
        <v>2803.98</v>
      </c>
      <c r="Q26" s="32">
        <v>2.5</v>
      </c>
      <c r="R26" s="32">
        <v>46.12</v>
      </c>
      <c r="S26" s="34">
        <v>80</v>
      </c>
      <c r="T26" s="34">
        <v>33.880000000000003</v>
      </c>
      <c r="U26" s="34">
        <v>-0.7</v>
      </c>
      <c r="V26" s="32">
        <v>4095</v>
      </c>
      <c r="X26" s="58" t="s">
        <v>53</v>
      </c>
      <c r="Y26" s="58"/>
    </row>
    <row r="27" spans="1:27" ht="16.8" x14ac:dyDescent="0.3">
      <c r="A27" s="20">
        <v>2.6</v>
      </c>
      <c r="B27" s="20">
        <v>80</v>
      </c>
      <c r="C27" s="26">
        <v>34.97</v>
      </c>
      <c r="D27" s="20">
        <v>45.03</v>
      </c>
      <c r="E27" s="20">
        <v>-0.5</v>
      </c>
      <c r="F27" s="26">
        <v>2569.11</v>
      </c>
      <c r="G27" s="58" t="s">
        <v>53</v>
      </c>
      <c r="H27" s="58"/>
      <c r="Q27" s="32">
        <v>2.6</v>
      </c>
      <c r="R27" s="32">
        <v>46.79</v>
      </c>
      <c r="S27" s="34">
        <v>80</v>
      </c>
      <c r="T27" s="34">
        <v>33.21</v>
      </c>
      <c r="U27" s="34">
        <v>-0.67</v>
      </c>
      <c r="V27" s="34">
        <v>4095</v>
      </c>
      <c r="X27" s="58" cm="1">
        <f t="array" ref="X27">SUMPRODUCT(ABS(T2:T602)*0.1)</f>
        <v>225.71799999999908</v>
      </c>
      <c r="Y27" s="58"/>
    </row>
    <row r="28" spans="1:27" ht="16.8" x14ac:dyDescent="0.3">
      <c r="A28" s="20">
        <v>2.7</v>
      </c>
      <c r="B28" s="20">
        <v>80</v>
      </c>
      <c r="C28" s="26">
        <v>35.43</v>
      </c>
      <c r="D28" s="20">
        <v>44.57</v>
      </c>
      <c r="E28" s="20">
        <v>-0.46</v>
      </c>
      <c r="F28" s="26">
        <v>2710.63</v>
      </c>
      <c r="G28" s="58" cm="1">
        <f t="array" ref="G28">SUMPRODUCT(ABS(D2:D602)*0.1)</f>
        <v>452.67999999999887</v>
      </c>
      <c r="H28" s="58"/>
      <c r="Q28" s="32">
        <v>2.7</v>
      </c>
      <c r="R28" s="32">
        <v>47.57</v>
      </c>
      <c r="S28" s="34">
        <v>80</v>
      </c>
      <c r="T28" s="34">
        <v>32.43</v>
      </c>
      <c r="U28" s="34">
        <v>-0.78</v>
      </c>
      <c r="V28" s="32">
        <v>4095</v>
      </c>
    </row>
    <row r="29" spans="1:27" ht="16.8" x14ac:dyDescent="0.3">
      <c r="A29" s="20">
        <v>2.8</v>
      </c>
      <c r="B29" s="20">
        <v>80</v>
      </c>
      <c r="C29" s="20">
        <v>35.89</v>
      </c>
      <c r="D29" s="20">
        <v>44.11</v>
      </c>
      <c r="E29" s="20">
        <v>-0.46</v>
      </c>
      <c r="F29" s="26">
        <v>2710.62</v>
      </c>
      <c r="Q29" s="32">
        <v>2.8</v>
      </c>
      <c r="R29" s="32">
        <v>48.29</v>
      </c>
      <c r="S29" s="34">
        <v>80</v>
      </c>
      <c r="T29" s="34">
        <v>31.71</v>
      </c>
      <c r="U29" s="34">
        <v>-0.72</v>
      </c>
      <c r="V29" s="34">
        <v>4095</v>
      </c>
      <c r="X29" s="58" t="s">
        <v>54</v>
      </c>
      <c r="Y29" s="58"/>
    </row>
    <row r="30" spans="1:27" ht="16.8" x14ac:dyDescent="0.3">
      <c r="A30" s="20">
        <v>2.9</v>
      </c>
      <c r="B30" s="20">
        <v>80</v>
      </c>
      <c r="C30" s="26">
        <v>36.33</v>
      </c>
      <c r="D30" s="20">
        <v>43.67</v>
      </c>
      <c r="E30" s="20">
        <v>-0.44</v>
      </c>
      <c r="F30" s="26">
        <v>2765.53</v>
      </c>
      <c r="G30" s="58" t="s">
        <v>54</v>
      </c>
      <c r="H30" s="58"/>
      <c r="Q30" s="32">
        <v>2.9</v>
      </c>
      <c r="R30" s="32">
        <v>48.95</v>
      </c>
      <c r="S30" s="32">
        <v>80</v>
      </c>
      <c r="T30" s="34">
        <v>31.05</v>
      </c>
      <c r="U30" s="34">
        <v>-0.66</v>
      </c>
      <c r="V30" s="32">
        <v>4095</v>
      </c>
      <c r="X30" s="58" cm="1">
        <f t="array" ref="X30">SUMPRODUCT(((T2:T602)^2)*0.1)</f>
        <v>6521.3137799999604</v>
      </c>
      <c r="Y30" s="58"/>
    </row>
    <row r="31" spans="1:27" ht="16.8" x14ac:dyDescent="0.3">
      <c r="A31" s="20">
        <v>3</v>
      </c>
      <c r="B31" s="20">
        <v>80</v>
      </c>
      <c r="C31" s="26">
        <v>36.799999999999997</v>
      </c>
      <c r="D31" s="20">
        <v>43.2</v>
      </c>
      <c r="E31" s="20">
        <v>-0.47</v>
      </c>
      <c r="F31" s="26">
        <v>2666.45</v>
      </c>
      <c r="G31" s="58" cm="1">
        <f t="array" ref="G31">SUMPRODUCT(((D2:D602)^2)*0.1)</f>
        <v>14371.002419999955</v>
      </c>
      <c r="H31" s="58"/>
      <c r="Q31" s="32">
        <v>3</v>
      </c>
      <c r="R31" s="32">
        <v>49.69</v>
      </c>
      <c r="S31" s="34">
        <v>80</v>
      </c>
      <c r="T31" s="32">
        <v>30.31</v>
      </c>
      <c r="U31" s="32">
        <v>-0.74</v>
      </c>
      <c r="V31" s="34">
        <v>4095</v>
      </c>
    </row>
    <row r="32" spans="1:27" ht="16.8" x14ac:dyDescent="0.3">
      <c r="A32" s="20">
        <v>3.1</v>
      </c>
      <c r="B32" s="20">
        <v>80</v>
      </c>
      <c r="C32" s="20">
        <v>37.200000000000003</v>
      </c>
      <c r="D32" s="20">
        <v>42.8</v>
      </c>
      <c r="E32" s="20">
        <v>-0.4</v>
      </c>
      <c r="F32" s="26">
        <v>2896.49</v>
      </c>
      <c r="Q32" s="32">
        <v>3.1</v>
      </c>
      <c r="R32" s="32">
        <v>50.3</v>
      </c>
      <c r="S32" s="34">
        <v>80</v>
      </c>
      <c r="T32" s="34">
        <v>29.7</v>
      </c>
      <c r="U32" s="34">
        <v>-0.6</v>
      </c>
      <c r="V32" s="34">
        <v>4095</v>
      </c>
      <c r="X32" s="58" t="s">
        <v>55</v>
      </c>
      <c r="Y32" s="58"/>
      <c r="Z32" s="58"/>
    </row>
    <row r="33" spans="1:26" ht="16.8" x14ac:dyDescent="0.3">
      <c r="A33" s="45">
        <v>3.2</v>
      </c>
      <c r="B33" s="20">
        <v>80</v>
      </c>
      <c r="C33" s="26">
        <v>37.69</v>
      </c>
      <c r="D33" s="20">
        <v>42.31</v>
      </c>
      <c r="E33" s="20">
        <v>-0.48</v>
      </c>
      <c r="F33" s="26">
        <v>2619.38</v>
      </c>
      <c r="G33" s="58" t="s">
        <v>55</v>
      </c>
      <c r="H33" s="58"/>
      <c r="I33" s="58"/>
      <c r="Q33" s="32">
        <v>3.2</v>
      </c>
      <c r="R33" s="32">
        <v>51.05</v>
      </c>
      <c r="S33" s="34">
        <v>80</v>
      </c>
      <c r="T33" s="32">
        <v>28.95</v>
      </c>
      <c r="U33" s="34">
        <v>-0.75</v>
      </c>
      <c r="V33" s="34">
        <v>4095</v>
      </c>
      <c r="X33" s="58" cm="1">
        <f t="array" ref="X33">SUMPRODUCT(Q2:Q602 * ABS(T2:T602) * 0.1)</f>
        <v>1072.7430999999995</v>
      </c>
      <c r="Y33" s="58"/>
      <c r="Z33" s="58"/>
    </row>
    <row r="34" spans="1:26" ht="16.8" x14ac:dyDescent="0.3">
      <c r="A34" s="20">
        <v>3.3</v>
      </c>
      <c r="B34" s="20">
        <v>80</v>
      </c>
      <c r="C34" s="26">
        <v>38.130000000000003</v>
      </c>
      <c r="D34" s="20">
        <v>41.87</v>
      </c>
      <c r="E34" s="20">
        <v>-0.45</v>
      </c>
      <c r="F34" s="20">
        <v>2752.19</v>
      </c>
      <c r="G34" s="58" cm="1">
        <f t="array" ref="G34">SUMPRODUCT(A2:A602 * ABS(D2:D602) * 0.1)</f>
        <v>3116.3848000000025</v>
      </c>
      <c r="H34" s="58"/>
      <c r="I34" s="58"/>
      <c r="Q34" s="32">
        <v>3.3</v>
      </c>
      <c r="R34" s="32">
        <v>51.74</v>
      </c>
      <c r="S34" s="34">
        <v>80</v>
      </c>
      <c r="T34" s="34">
        <v>28.26</v>
      </c>
      <c r="U34" s="34">
        <v>-0.69</v>
      </c>
      <c r="V34" s="32">
        <v>4095</v>
      </c>
    </row>
    <row r="35" spans="1:26" ht="16.8" x14ac:dyDescent="0.3">
      <c r="A35" s="20">
        <v>3.4</v>
      </c>
      <c r="B35" s="20">
        <v>80</v>
      </c>
      <c r="C35" s="20">
        <v>38.47</v>
      </c>
      <c r="D35" s="20">
        <v>41.53</v>
      </c>
      <c r="E35" s="20">
        <v>-0.33</v>
      </c>
      <c r="F35" s="26">
        <v>3047.05</v>
      </c>
      <c r="Q35" s="32">
        <v>3.4</v>
      </c>
      <c r="R35" s="32">
        <v>52.37</v>
      </c>
      <c r="S35" s="34">
        <v>80</v>
      </c>
      <c r="T35" s="32">
        <v>27.63</v>
      </c>
      <c r="U35" s="34">
        <v>-0.63</v>
      </c>
      <c r="V35" s="34">
        <v>4095</v>
      </c>
    </row>
    <row r="36" spans="1:26" ht="16.8" x14ac:dyDescent="0.3">
      <c r="A36" s="20">
        <v>3.5</v>
      </c>
      <c r="B36" s="20">
        <v>80</v>
      </c>
      <c r="C36" s="26">
        <v>38.950000000000003</v>
      </c>
      <c r="D36" s="20">
        <v>41.05</v>
      </c>
      <c r="E36" s="20">
        <v>-0.48</v>
      </c>
      <c r="F36" s="26">
        <v>2619.35</v>
      </c>
      <c r="Q36" s="32">
        <v>3.5</v>
      </c>
      <c r="R36" s="32">
        <v>53.08</v>
      </c>
      <c r="S36" s="34">
        <v>80</v>
      </c>
      <c r="T36" s="34">
        <v>26.92</v>
      </c>
      <c r="U36" s="34">
        <v>-0.71</v>
      </c>
      <c r="V36" s="32">
        <v>4095</v>
      </c>
    </row>
    <row r="37" spans="1:26" ht="16.8" x14ac:dyDescent="0.3">
      <c r="A37" s="20">
        <v>3.6</v>
      </c>
      <c r="B37" s="20">
        <v>80</v>
      </c>
      <c r="C37" s="26">
        <v>39.369999999999997</v>
      </c>
      <c r="D37" s="20">
        <v>40.630000000000003</v>
      </c>
      <c r="E37" s="20">
        <v>-0.42</v>
      </c>
      <c r="F37" s="26">
        <v>2828.38</v>
      </c>
      <c r="Q37" s="32">
        <v>3.6</v>
      </c>
      <c r="R37" s="32">
        <v>53.72</v>
      </c>
      <c r="S37" s="34">
        <v>80</v>
      </c>
      <c r="T37" s="34">
        <v>26.28</v>
      </c>
      <c r="U37" s="34">
        <v>-0.64</v>
      </c>
      <c r="V37" s="34">
        <v>4093.33</v>
      </c>
    </row>
    <row r="38" spans="1:26" ht="16.8" x14ac:dyDescent="0.3">
      <c r="A38" s="20">
        <v>3.7</v>
      </c>
      <c r="B38" s="20">
        <v>80</v>
      </c>
      <c r="C38" s="20">
        <v>39.76</v>
      </c>
      <c r="D38" s="20">
        <v>40.24</v>
      </c>
      <c r="E38" s="20">
        <v>-0.39</v>
      </c>
      <c r="F38" s="26">
        <v>2917.62</v>
      </c>
      <c r="Q38" s="32">
        <v>3.7</v>
      </c>
      <c r="R38" s="32">
        <v>54.33</v>
      </c>
      <c r="S38" s="34">
        <v>80</v>
      </c>
      <c r="T38" s="34">
        <v>25.67</v>
      </c>
      <c r="U38" s="32">
        <v>-0.6</v>
      </c>
      <c r="V38" s="32">
        <v>4095</v>
      </c>
    </row>
    <row r="39" spans="1:26" ht="16.8" x14ac:dyDescent="0.3">
      <c r="A39" s="20">
        <v>3.8</v>
      </c>
      <c r="B39" s="20">
        <v>80</v>
      </c>
      <c r="C39" s="26">
        <v>40.18</v>
      </c>
      <c r="D39" s="20">
        <v>39.82</v>
      </c>
      <c r="E39" s="20">
        <v>-0.41</v>
      </c>
      <c r="F39" s="20">
        <v>2863.36</v>
      </c>
      <c r="Q39" s="32">
        <v>3.8</v>
      </c>
      <c r="R39" s="32">
        <v>55.04</v>
      </c>
      <c r="S39" s="34">
        <v>80</v>
      </c>
      <c r="T39" s="34">
        <v>24.96</v>
      </c>
      <c r="U39" s="34">
        <v>-0.71</v>
      </c>
      <c r="V39" s="32">
        <v>3882.56</v>
      </c>
    </row>
    <row r="40" spans="1:26" ht="16.8" x14ac:dyDescent="0.3">
      <c r="A40" s="20">
        <v>3.9</v>
      </c>
      <c r="B40" s="20">
        <v>80</v>
      </c>
      <c r="C40" s="26">
        <v>40.6</v>
      </c>
      <c r="D40" s="20">
        <v>39.4</v>
      </c>
      <c r="E40" s="20">
        <v>-0.43</v>
      </c>
      <c r="F40" s="26">
        <v>2816.26</v>
      </c>
      <c r="Q40" s="32">
        <v>3.9</v>
      </c>
      <c r="R40" s="32">
        <v>55.63</v>
      </c>
      <c r="S40" s="34">
        <v>80</v>
      </c>
      <c r="T40" s="34">
        <v>24.37</v>
      </c>
      <c r="U40" s="34">
        <v>-0.6</v>
      </c>
      <c r="V40" s="34">
        <v>3956.03</v>
      </c>
    </row>
    <row r="41" spans="1:26" ht="16.8" x14ac:dyDescent="0.3">
      <c r="A41" s="20">
        <v>4</v>
      </c>
      <c r="B41" s="20">
        <v>80</v>
      </c>
      <c r="C41" s="20">
        <v>40.99</v>
      </c>
      <c r="D41" s="20">
        <v>39.01</v>
      </c>
      <c r="E41" s="20">
        <v>-0.39</v>
      </c>
      <c r="F41" s="26">
        <v>2927.92</v>
      </c>
      <c r="Q41" s="32">
        <v>4</v>
      </c>
      <c r="R41" s="32">
        <v>56.27</v>
      </c>
      <c r="S41" s="34">
        <v>80</v>
      </c>
      <c r="T41" s="34">
        <v>23.73</v>
      </c>
      <c r="U41" s="34">
        <v>-0.64</v>
      </c>
      <c r="V41" s="32">
        <v>3881.76</v>
      </c>
    </row>
    <row r="42" spans="1:26" ht="16.8" x14ac:dyDescent="0.3">
      <c r="A42" s="20">
        <v>4.0999999999999996</v>
      </c>
      <c r="B42" s="20">
        <v>80</v>
      </c>
      <c r="C42" s="26">
        <v>41.36</v>
      </c>
      <c r="D42" s="20">
        <v>38.64</v>
      </c>
      <c r="E42" s="20">
        <v>-0.37</v>
      </c>
      <c r="F42" s="26">
        <v>2957.71</v>
      </c>
      <c r="Q42" s="32">
        <v>4.0999999999999996</v>
      </c>
      <c r="R42" s="32">
        <v>56.83</v>
      </c>
      <c r="S42" s="34">
        <v>80</v>
      </c>
      <c r="T42" s="34">
        <v>23.17</v>
      </c>
      <c r="U42" s="34">
        <v>-0.56000000000000005</v>
      </c>
      <c r="V42" s="34">
        <v>3920.62</v>
      </c>
    </row>
    <row r="43" spans="1:26" ht="16.8" x14ac:dyDescent="0.3">
      <c r="A43" s="20">
        <v>4.2</v>
      </c>
      <c r="B43" s="20">
        <v>80</v>
      </c>
      <c r="C43" s="20">
        <v>41.8</v>
      </c>
      <c r="D43" s="20">
        <v>38.200000000000003</v>
      </c>
      <c r="E43" s="20">
        <v>-0.44</v>
      </c>
      <c r="F43" s="26">
        <v>2791.42</v>
      </c>
      <c r="Q43" s="32">
        <v>4.2</v>
      </c>
      <c r="R43" s="32">
        <v>57.46</v>
      </c>
      <c r="S43" s="34">
        <v>80</v>
      </c>
      <c r="T43" s="34">
        <v>22.54</v>
      </c>
      <c r="U43" s="34">
        <v>-0.63</v>
      </c>
      <c r="V43" s="32">
        <v>3822.13</v>
      </c>
    </row>
    <row r="44" spans="1:26" ht="16.8" x14ac:dyDescent="0.3">
      <c r="A44" s="20">
        <v>4.3</v>
      </c>
      <c r="B44" s="20">
        <v>80</v>
      </c>
      <c r="C44" s="26">
        <v>42.23</v>
      </c>
      <c r="D44" s="20">
        <v>37.770000000000003</v>
      </c>
      <c r="E44" s="20">
        <v>-0.43</v>
      </c>
      <c r="F44" s="26">
        <v>2803.98</v>
      </c>
      <c r="Q44" s="32">
        <v>4.3</v>
      </c>
      <c r="R44" s="32">
        <v>58.06</v>
      </c>
      <c r="S44" s="34">
        <v>80</v>
      </c>
      <c r="T44" s="34">
        <v>21.94</v>
      </c>
      <c r="U44" s="34">
        <v>-0.6</v>
      </c>
      <c r="V44" s="34">
        <v>3815.06</v>
      </c>
    </row>
    <row r="45" spans="1:26" ht="16.8" x14ac:dyDescent="0.3">
      <c r="A45" s="20">
        <v>4.4000000000000004</v>
      </c>
      <c r="B45" s="20">
        <v>80</v>
      </c>
      <c r="C45" s="26">
        <v>42.57</v>
      </c>
      <c r="D45" s="20">
        <v>37.43</v>
      </c>
      <c r="E45" s="20">
        <v>-0.34</v>
      </c>
      <c r="F45" s="26">
        <v>3030.32</v>
      </c>
      <c r="Q45" s="32">
        <v>4.4000000000000004</v>
      </c>
      <c r="R45" s="32">
        <v>58.63</v>
      </c>
      <c r="S45" s="34">
        <v>80</v>
      </c>
      <c r="T45" s="34">
        <v>21.37</v>
      </c>
      <c r="U45" s="34">
        <v>-0.56999999999999995</v>
      </c>
      <c r="V45" s="32">
        <v>3803.13</v>
      </c>
    </row>
    <row r="46" spans="1:26" ht="16.8" x14ac:dyDescent="0.3">
      <c r="A46" s="20">
        <v>4.5</v>
      </c>
      <c r="B46" s="20">
        <v>80</v>
      </c>
      <c r="C46" s="20">
        <v>43.05</v>
      </c>
      <c r="D46" s="20">
        <v>36.950000000000003</v>
      </c>
      <c r="E46" s="20">
        <v>-0.48</v>
      </c>
      <c r="F46" s="26">
        <v>2651.08</v>
      </c>
      <c r="Q46" s="32">
        <v>4.5</v>
      </c>
      <c r="R46" s="32">
        <v>59.23</v>
      </c>
      <c r="S46" s="34">
        <v>80</v>
      </c>
      <c r="T46" s="34">
        <v>20.77</v>
      </c>
      <c r="U46" s="34">
        <v>-0.6</v>
      </c>
      <c r="V46" s="34">
        <v>3741.33</v>
      </c>
    </row>
    <row r="47" spans="1:26" ht="16.8" x14ac:dyDescent="0.3">
      <c r="A47" s="20">
        <v>4.5999999999999996</v>
      </c>
      <c r="B47" s="20">
        <v>80</v>
      </c>
      <c r="C47" s="26">
        <v>43.45</v>
      </c>
      <c r="D47" s="20">
        <v>36.549999999999997</v>
      </c>
      <c r="E47" s="20">
        <v>-0.4</v>
      </c>
      <c r="F47" s="26">
        <v>2896.49</v>
      </c>
      <c r="Q47" s="32">
        <v>4.5999999999999996</v>
      </c>
      <c r="R47" s="32">
        <v>59.73</v>
      </c>
      <c r="S47" s="34">
        <v>80</v>
      </c>
      <c r="T47" s="34">
        <v>20.27</v>
      </c>
      <c r="U47" s="32">
        <v>-0.51</v>
      </c>
      <c r="V47" s="32">
        <v>3795.69</v>
      </c>
    </row>
    <row r="48" spans="1:26" ht="16.8" x14ac:dyDescent="0.3">
      <c r="A48" s="20">
        <v>4.7</v>
      </c>
      <c r="B48" s="20">
        <v>80</v>
      </c>
      <c r="C48" s="20">
        <v>43.78</v>
      </c>
      <c r="D48" s="20">
        <v>36.22</v>
      </c>
      <c r="E48" s="20">
        <v>-0.33</v>
      </c>
      <c r="F48" s="26">
        <v>3055.24</v>
      </c>
      <c r="Q48" s="32">
        <v>4.7</v>
      </c>
      <c r="R48" s="32">
        <v>60.33</v>
      </c>
      <c r="S48" s="34">
        <v>80</v>
      </c>
      <c r="T48" s="34">
        <v>19.670000000000002</v>
      </c>
      <c r="U48" s="34">
        <v>-0.6</v>
      </c>
      <c r="V48" s="32">
        <v>3672.04</v>
      </c>
    </row>
    <row r="49" spans="1:22" ht="16.8" x14ac:dyDescent="0.3">
      <c r="A49" s="20">
        <v>4.8</v>
      </c>
      <c r="B49" s="20">
        <v>80</v>
      </c>
      <c r="C49" s="26">
        <v>44.22</v>
      </c>
      <c r="D49" s="20">
        <v>35.78</v>
      </c>
      <c r="E49" s="20">
        <v>-0.44</v>
      </c>
      <c r="F49" s="26">
        <v>2778.56</v>
      </c>
      <c r="Q49" s="32">
        <v>4.8</v>
      </c>
      <c r="R49" s="32">
        <v>60.83</v>
      </c>
      <c r="S49" s="34">
        <v>80</v>
      </c>
      <c r="T49" s="34">
        <v>19.170000000000002</v>
      </c>
      <c r="U49" s="34">
        <v>-0.5</v>
      </c>
      <c r="V49" s="34">
        <v>3731.68</v>
      </c>
    </row>
    <row r="50" spans="1:22" ht="16.8" x14ac:dyDescent="0.3">
      <c r="A50" s="20">
        <v>4.9000000000000004</v>
      </c>
      <c r="B50" s="20">
        <v>80</v>
      </c>
      <c r="C50" s="26">
        <v>44.57</v>
      </c>
      <c r="D50" s="20">
        <v>35.43</v>
      </c>
      <c r="E50" s="20">
        <v>-0.35</v>
      </c>
      <c r="F50" s="20">
        <v>3004.18</v>
      </c>
      <c r="Q50" s="32">
        <v>4.9000000000000004</v>
      </c>
      <c r="R50" s="32">
        <v>61.43</v>
      </c>
      <c r="S50" s="34">
        <v>80</v>
      </c>
      <c r="T50" s="34">
        <v>18.57</v>
      </c>
      <c r="U50" s="34">
        <v>-0.6</v>
      </c>
      <c r="V50" s="32">
        <v>3597.37</v>
      </c>
    </row>
    <row r="51" spans="1:22" ht="16.8" x14ac:dyDescent="0.3">
      <c r="A51" s="20">
        <v>5</v>
      </c>
      <c r="B51" s="20">
        <v>80</v>
      </c>
      <c r="C51" s="20">
        <v>44.95</v>
      </c>
      <c r="D51" s="20">
        <v>35.049999999999997</v>
      </c>
      <c r="E51" s="20">
        <v>-0.38</v>
      </c>
      <c r="F51" s="26">
        <v>2938.01</v>
      </c>
      <c r="Q51" s="32">
        <v>5</v>
      </c>
      <c r="R51" s="32">
        <v>61.97</v>
      </c>
      <c r="S51" s="34">
        <v>80</v>
      </c>
      <c r="T51" s="34">
        <v>18.03</v>
      </c>
      <c r="U51" s="34">
        <v>-0.54</v>
      </c>
      <c r="V51" s="34">
        <v>3609.94</v>
      </c>
    </row>
    <row r="52" spans="1:22" ht="16.8" x14ac:dyDescent="0.3">
      <c r="A52" s="20">
        <v>5.0999999999999996</v>
      </c>
      <c r="B52" s="20">
        <v>80</v>
      </c>
      <c r="C52" s="26">
        <v>45.39</v>
      </c>
      <c r="D52" s="20">
        <v>34.61</v>
      </c>
      <c r="E52" s="20">
        <v>-0.43</v>
      </c>
      <c r="F52" s="26">
        <v>2803.95</v>
      </c>
      <c r="Q52" s="32">
        <v>5.0999999999999996</v>
      </c>
      <c r="R52" s="32">
        <v>62.44</v>
      </c>
      <c r="S52" s="34">
        <v>80</v>
      </c>
      <c r="T52" s="34">
        <v>17.559999999999999</v>
      </c>
      <c r="U52" s="34">
        <v>-0.48</v>
      </c>
      <c r="V52" s="32">
        <v>3639.61</v>
      </c>
    </row>
    <row r="53" spans="1:22" ht="16.8" x14ac:dyDescent="0.3">
      <c r="A53" s="20">
        <v>5.2</v>
      </c>
      <c r="B53" s="20">
        <v>80</v>
      </c>
      <c r="C53" s="20">
        <v>45.78</v>
      </c>
      <c r="D53" s="20">
        <v>34.22</v>
      </c>
      <c r="E53" s="20">
        <v>-0.4</v>
      </c>
      <c r="F53" s="26">
        <v>2896.51</v>
      </c>
      <c r="Q53" s="32">
        <v>5.2</v>
      </c>
      <c r="R53" s="32">
        <v>62.97</v>
      </c>
      <c r="S53" s="34">
        <v>80</v>
      </c>
      <c r="T53" s="34">
        <v>17.03</v>
      </c>
      <c r="U53" s="34">
        <v>-0.52</v>
      </c>
      <c r="V53" s="34">
        <v>3557</v>
      </c>
    </row>
    <row r="54" spans="1:22" ht="16.8" x14ac:dyDescent="0.3">
      <c r="A54" s="20">
        <v>5.3</v>
      </c>
      <c r="B54" s="20">
        <v>80</v>
      </c>
      <c r="C54" s="26">
        <v>46.12</v>
      </c>
      <c r="D54" s="20">
        <v>33.880000000000003</v>
      </c>
      <c r="E54" s="20">
        <v>-0.33</v>
      </c>
      <c r="F54" s="26">
        <v>3047.03</v>
      </c>
      <c r="Q54" s="32">
        <v>5.3</v>
      </c>
      <c r="R54" s="32">
        <v>63.46</v>
      </c>
      <c r="S54" s="34">
        <v>80</v>
      </c>
      <c r="T54" s="34">
        <v>16.54</v>
      </c>
      <c r="U54" s="34">
        <v>-0.49</v>
      </c>
      <c r="V54" s="32">
        <v>3551.53</v>
      </c>
    </row>
    <row r="55" spans="1:22" ht="16.8" x14ac:dyDescent="0.3">
      <c r="A55" s="20">
        <v>5.4</v>
      </c>
      <c r="B55" s="20">
        <v>80</v>
      </c>
      <c r="C55" s="26">
        <v>46.53</v>
      </c>
      <c r="D55" s="20">
        <v>33.47</v>
      </c>
      <c r="E55" s="20">
        <v>-0.42</v>
      </c>
      <c r="F55" s="20">
        <v>2851.93</v>
      </c>
      <c r="Q55" s="32">
        <v>5.4</v>
      </c>
      <c r="R55" s="32">
        <v>63.95</v>
      </c>
      <c r="S55" s="34">
        <v>80</v>
      </c>
      <c r="T55" s="34">
        <v>16.05</v>
      </c>
      <c r="U55" s="34">
        <v>-0.49</v>
      </c>
      <c r="V55" s="34">
        <v>3515.3</v>
      </c>
    </row>
    <row r="56" spans="1:22" ht="16.8" x14ac:dyDescent="0.3">
      <c r="A56" s="20">
        <v>5.5</v>
      </c>
      <c r="B56" s="20">
        <v>80</v>
      </c>
      <c r="C56" s="20">
        <v>46.88</v>
      </c>
      <c r="D56" s="20">
        <v>33.119999999999997</v>
      </c>
      <c r="E56" s="20">
        <v>-0.35</v>
      </c>
      <c r="F56" s="26">
        <v>3013.04</v>
      </c>
      <c r="Q56" s="32">
        <v>5.5</v>
      </c>
      <c r="R56" s="32">
        <v>64.39</v>
      </c>
      <c r="S56" s="34">
        <v>80</v>
      </c>
      <c r="T56" s="34">
        <v>15.61</v>
      </c>
      <c r="U56" s="34">
        <v>-0.44</v>
      </c>
      <c r="V56" s="32">
        <v>3529.97</v>
      </c>
    </row>
    <row r="57" spans="1:22" ht="16.8" x14ac:dyDescent="0.3">
      <c r="A57" s="20">
        <v>5.6</v>
      </c>
      <c r="B57" s="20">
        <v>80</v>
      </c>
      <c r="C57" s="26">
        <v>47.25</v>
      </c>
      <c r="D57" s="20">
        <v>32.75</v>
      </c>
      <c r="E57" s="20">
        <v>-0.36</v>
      </c>
      <c r="F57" s="26">
        <v>2986.06</v>
      </c>
      <c r="Q57" s="32">
        <v>5.6</v>
      </c>
      <c r="R57" s="32">
        <v>64.92</v>
      </c>
      <c r="S57" s="34">
        <v>80</v>
      </c>
      <c r="T57" s="34">
        <v>15.08</v>
      </c>
      <c r="U57" s="34">
        <v>-0.52</v>
      </c>
      <c r="V57" s="32">
        <v>3412.11</v>
      </c>
    </row>
    <row r="58" spans="1:22" ht="16.8" x14ac:dyDescent="0.3">
      <c r="A58" s="20">
        <v>5.7</v>
      </c>
      <c r="B58" s="20">
        <v>80</v>
      </c>
      <c r="C58" s="20">
        <v>47.68</v>
      </c>
      <c r="D58" s="20">
        <v>32.32</v>
      </c>
      <c r="E58" s="20">
        <v>-0.44</v>
      </c>
      <c r="F58" s="26">
        <v>2791.37</v>
      </c>
      <c r="Q58" s="32">
        <v>5.7</v>
      </c>
      <c r="R58" s="32">
        <v>65.34</v>
      </c>
      <c r="S58" s="34">
        <v>80</v>
      </c>
      <c r="T58" s="32">
        <v>14.66</v>
      </c>
      <c r="U58" s="32">
        <v>-0.43</v>
      </c>
      <c r="V58" s="34">
        <v>3470.45</v>
      </c>
    </row>
    <row r="59" spans="1:22" ht="16.8" x14ac:dyDescent="0.3">
      <c r="A59" s="20">
        <v>5.8</v>
      </c>
      <c r="B59" s="20">
        <v>80</v>
      </c>
      <c r="C59" s="26">
        <v>48.06</v>
      </c>
      <c r="D59" s="20">
        <v>31.94</v>
      </c>
      <c r="E59" s="20">
        <v>-0.38</v>
      </c>
      <c r="F59" s="26">
        <v>2947.96</v>
      </c>
      <c r="Q59" s="32">
        <v>5.8</v>
      </c>
      <c r="R59" s="32">
        <v>65.75</v>
      </c>
      <c r="S59" s="34">
        <v>80</v>
      </c>
      <c r="T59" s="34">
        <v>14.25</v>
      </c>
      <c r="U59" s="34">
        <v>-0.4</v>
      </c>
      <c r="V59" s="32">
        <v>3466.07</v>
      </c>
    </row>
    <row r="60" spans="1:22" ht="16.8" x14ac:dyDescent="0.3">
      <c r="A60" s="20">
        <v>5.9</v>
      </c>
      <c r="B60" s="20">
        <v>80</v>
      </c>
      <c r="C60" s="26">
        <v>48.4</v>
      </c>
      <c r="D60" s="20">
        <v>31.6</v>
      </c>
      <c r="E60" s="20">
        <v>-0.33</v>
      </c>
      <c r="F60" s="26">
        <v>3047.05</v>
      </c>
      <c r="Q60" s="32">
        <v>5.9</v>
      </c>
      <c r="R60" s="32">
        <v>66.28</v>
      </c>
      <c r="S60" s="34">
        <v>80</v>
      </c>
      <c r="T60" s="32">
        <v>13.72</v>
      </c>
      <c r="U60" s="32">
        <v>-0.53</v>
      </c>
      <c r="V60" s="34">
        <v>3298.77</v>
      </c>
    </row>
    <row r="61" spans="1:22" ht="16.8" x14ac:dyDescent="0.3">
      <c r="A61" s="20">
        <v>6</v>
      </c>
      <c r="B61" s="20">
        <v>80</v>
      </c>
      <c r="C61" s="20">
        <v>48.76</v>
      </c>
      <c r="D61" s="20">
        <v>31.24</v>
      </c>
      <c r="E61" s="20">
        <v>-0.37</v>
      </c>
      <c r="F61" s="26">
        <v>2976.77</v>
      </c>
      <c r="Q61" s="32">
        <v>6</v>
      </c>
      <c r="R61" s="32">
        <v>66.66</v>
      </c>
      <c r="S61" s="34">
        <v>80</v>
      </c>
      <c r="T61" s="34">
        <v>13.34</v>
      </c>
      <c r="U61" s="34">
        <v>-0.38</v>
      </c>
      <c r="V61" s="32">
        <v>3412.62</v>
      </c>
    </row>
    <row r="62" spans="1:22" ht="16.8" x14ac:dyDescent="0.3">
      <c r="A62" s="20">
        <v>6.1</v>
      </c>
      <c r="B62" s="20">
        <v>80</v>
      </c>
      <c r="C62" s="26">
        <v>49.18</v>
      </c>
      <c r="D62" s="20">
        <v>30.82</v>
      </c>
      <c r="E62" s="20">
        <v>-0.42</v>
      </c>
      <c r="F62" s="26">
        <v>2851.95</v>
      </c>
      <c r="Q62" s="32">
        <v>6.1</v>
      </c>
      <c r="R62" s="32">
        <v>67.09</v>
      </c>
      <c r="S62" s="34">
        <v>80</v>
      </c>
      <c r="T62" s="34">
        <v>12.91</v>
      </c>
      <c r="U62" s="34">
        <v>-0.44</v>
      </c>
      <c r="V62" s="34">
        <v>3325.41</v>
      </c>
    </row>
    <row r="63" spans="1:22" ht="16.8" x14ac:dyDescent="0.3">
      <c r="A63" s="20">
        <v>6.2</v>
      </c>
      <c r="B63" s="20">
        <v>80</v>
      </c>
      <c r="C63" s="20">
        <v>49.5</v>
      </c>
      <c r="D63" s="20">
        <v>30.5</v>
      </c>
      <c r="E63" s="20">
        <v>-0.32</v>
      </c>
      <c r="F63" s="26">
        <v>3078.95</v>
      </c>
      <c r="Q63" s="32">
        <v>6.2</v>
      </c>
      <c r="R63" s="32">
        <v>67.53</v>
      </c>
      <c r="S63" s="34">
        <v>80</v>
      </c>
      <c r="T63" s="34">
        <v>12.47</v>
      </c>
      <c r="U63" s="34">
        <v>-0.44</v>
      </c>
      <c r="V63" s="32">
        <v>3287.96</v>
      </c>
    </row>
    <row r="64" spans="1:22" ht="16.8" x14ac:dyDescent="0.3">
      <c r="A64" s="20">
        <v>6.3</v>
      </c>
      <c r="B64" s="20">
        <v>80</v>
      </c>
      <c r="C64" s="26">
        <v>49.88</v>
      </c>
      <c r="D64" s="20">
        <v>30.12</v>
      </c>
      <c r="E64" s="20">
        <v>-0.38</v>
      </c>
      <c r="F64" s="26">
        <v>2938.01</v>
      </c>
      <c r="Q64" s="32">
        <v>6.3</v>
      </c>
      <c r="R64" s="32">
        <v>67.930000000000007</v>
      </c>
      <c r="S64" s="34">
        <v>80</v>
      </c>
      <c r="T64" s="34">
        <v>12.07</v>
      </c>
      <c r="U64" s="34">
        <v>-0.4</v>
      </c>
      <c r="V64" s="34">
        <v>3284.13</v>
      </c>
    </row>
    <row r="65" spans="1:22" ht="16.8" x14ac:dyDescent="0.3">
      <c r="A65" s="20">
        <v>6.4</v>
      </c>
      <c r="B65" s="20">
        <v>80</v>
      </c>
      <c r="C65" s="26">
        <v>50.27</v>
      </c>
      <c r="D65" s="20">
        <v>29.73</v>
      </c>
      <c r="E65" s="20">
        <v>-0.39</v>
      </c>
      <c r="F65" s="26">
        <v>2917.6</v>
      </c>
      <c r="Q65" s="32">
        <v>6.4</v>
      </c>
      <c r="R65" s="32">
        <v>68.290000000000006</v>
      </c>
      <c r="S65" s="34">
        <v>80</v>
      </c>
      <c r="T65" s="32">
        <v>11.71</v>
      </c>
      <c r="U65" s="34">
        <v>-0.36</v>
      </c>
      <c r="V65" s="32">
        <v>3293.49</v>
      </c>
    </row>
    <row r="66" spans="1:22" ht="16.8" x14ac:dyDescent="0.3">
      <c r="A66" s="20">
        <v>6.5</v>
      </c>
      <c r="B66" s="20">
        <v>80</v>
      </c>
      <c r="C66" s="20">
        <v>50.62</v>
      </c>
      <c r="D66" s="20">
        <v>29.38</v>
      </c>
      <c r="E66" s="20">
        <v>-0.35</v>
      </c>
      <c r="F66" s="20">
        <v>3013.07</v>
      </c>
      <c r="Q66" s="32">
        <v>6.5</v>
      </c>
      <c r="R66" s="32">
        <v>68.72</v>
      </c>
      <c r="S66" s="34">
        <v>80</v>
      </c>
      <c r="T66" s="34">
        <v>11.28</v>
      </c>
      <c r="U66" s="34">
        <v>-0.43</v>
      </c>
      <c r="V66" s="34">
        <v>3195.37</v>
      </c>
    </row>
    <row r="67" spans="1:22" ht="16.8" x14ac:dyDescent="0.3">
      <c r="A67" s="20">
        <v>6.6</v>
      </c>
      <c r="B67" s="20">
        <v>80</v>
      </c>
      <c r="C67" s="26">
        <v>50.92</v>
      </c>
      <c r="D67" s="20">
        <v>29.08</v>
      </c>
      <c r="E67" s="20">
        <v>-0.3</v>
      </c>
      <c r="F67" s="26">
        <v>3114.76</v>
      </c>
      <c r="Q67" s="32">
        <v>6.6</v>
      </c>
      <c r="R67" s="32">
        <v>69.099999999999994</v>
      </c>
      <c r="S67" s="34">
        <v>80</v>
      </c>
      <c r="T67" s="32">
        <v>10.9</v>
      </c>
      <c r="U67" s="34">
        <v>-0.38</v>
      </c>
      <c r="V67" s="32">
        <v>3206.71</v>
      </c>
    </row>
    <row r="68" spans="1:22" ht="16.8" x14ac:dyDescent="0.3">
      <c r="A68" s="20">
        <v>6.7</v>
      </c>
      <c r="B68" s="20">
        <v>80</v>
      </c>
      <c r="C68" s="26">
        <v>51.34</v>
      </c>
      <c r="D68" s="20">
        <v>28.66</v>
      </c>
      <c r="E68" s="20">
        <v>-0.42</v>
      </c>
      <c r="F68" s="26">
        <v>2840.28</v>
      </c>
      <c r="Q68" s="32">
        <v>6.7</v>
      </c>
      <c r="R68" s="32">
        <v>69.400000000000006</v>
      </c>
      <c r="S68" s="34">
        <v>80</v>
      </c>
      <c r="T68" s="34">
        <v>10.6</v>
      </c>
      <c r="U68" s="34">
        <v>-0.31</v>
      </c>
      <c r="V68" s="34">
        <v>3251.71</v>
      </c>
    </row>
    <row r="69" spans="1:22" ht="16.8" x14ac:dyDescent="0.3">
      <c r="A69" s="20">
        <v>6.8</v>
      </c>
      <c r="B69" s="20">
        <v>80</v>
      </c>
      <c r="C69" s="20">
        <v>51.66</v>
      </c>
      <c r="D69" s="20">
        <v>28.34</v>
      </c>
      <c r="E69" s="20">
        <v>-0.33</v>
      </c>
      <c r="F69" s="20">
        <v>3063.24</v>
      </c>
      <c r="Q69" s="32">
        <v>6.8</v>
      </c>
      <c r="R69" s="32">
        <v>69.819999999999993</v>
      </c>
      <c r="S69" s="34">
        <v>80</v>
      </c>
      <c r="T69" s="34">
        <v>10.18</v>
      </c>
      <c r="U69" s="34">
        <v>-0.41</v>
      </c>
      <c r="V69" s="32">
        <v>3116.48</v>
      </c>
    </row>
    <row r="70" spans="1:22" ht="16.8" x14ac:dyDescent="0.3">
      <c r="A70" s="20">
        <v>6.9</v>
      </c>
      <c r="B70" s="20">
        <v>80</v>
      </c>
      <c r="C70" s="26">
        <v>51.99</v>
      </c>
      <c r="D70" s="20">
        <v>28.01</v>
      </c>
      <c r="E70" s="20">
        <v>-0.33</v>
      </c>
      <c r="F70" s="26">
        <v>3063.28</v>
      </c>
      <c r="Q70" s="32">
        <v>6.9</v>
      </c>
      <c r="R70" s="32">
        <v>70.11</v>
      </c>
      <c r="S70" s="34">
        <v>80</v>
      </c>
      <c r="T70" s="34">
        <v>9.89</v>
      </c>
      <c r="U70" s="34">
        <v>-0.3</v>
      </c>
      <c r="V70" s="32">
        <v>3197.21</v>
      </c>
    </row>
    <row r="71" spans="1:22" ht="16.8" x14ac:dyDescent="0.3">
      <c r="A71" s="20">
        <v>7</v>
      </c>
      <c r="B71" s="20">
        <v>80</v>
      </c>
      <c r="C71" s="26">
        <v>52.4</v>
      </c>
      <c r="D71" s="20">
        <v>27.6</v>
      </c>
      <c r="E71" s="20">
        <v>-0.41</v>
      </c>
      <c r="F71" s="26">
        <v>2863.35</v>
      </c>
      <c r="Q71" s="32">
        <v>7</v>
      </c>
      <c r="R71" s="32">
        <v>70.44</v>
      </c>
      <c r="S71" s="34">
        <v>80</v>
      </c>
      <c r="T71" s="34">
        <v>9.56</v>
      </c>
      <c r="U71" s="34">
        <v>-0.33</v>
      </c>
      <c r="V71" s="34">
        <v>3139.83</v>
      </c>
    </row>
    <row r="72" spans="1:22" ht="16.8" x14ac:dyDescent="0.3">
      <c r="A72" s="20">
        <v>7.1</v>
      </c>
      <c r="B72" s="20">
        <v>80</v>
      </c>
      <c r="C72" s="20">
        <v>52.73</v>
      </c>
      <c r="D72" s="20">
        <v>27.27</v>
      </c>
      <c r="E72" s="20">
        <v>-0.33</v>
      </c>
      <c r="F72" s="26">
        <v>3063.24</v>
      </c>
      <c r="Q72" s="32">
        <v>7.1</v>
      </c>
      <c r="R72" s="32">
        <v>70.78</v>
      </c>
      <c r="S72" s="34">
        <v>80</v>
      </c>
      <c r="T72" s="34">
        <v>9.2200000000000006</v>
      </c>
      <c r="U72" s="34">
        <v>-0.34</v>
      </c>
      <c r="V72" s="32">
        <v>3101.9</v>
      </c>
    </row>
    <row r="73" spans="1:22" ht="16.8" x14ac:dyDescent="0.3">
      <c r="A73" s="20">
        <v>7.2</v>
      </c>
      <c r="B73" s="20">
        <v>80</v>
      </c>
      <c r="C73" s="26">
        <v>53.15</v>
      </c>
      <c r="D73" s="20">
        <v>26.85</v>
      </c>
      <c r="E73" s="20">
        <v>-0.43</v>
      </c>
      <c r="F73" s="26">
        <v>2816.31</v>
      </c>
      <c r="Q73" s="32">
        <v>7.2</v>
      </c>
      <c r="R73" s="32">
        <v>71.069999999999993</v>
      </c>
      <c r="S73" s="34">
        <v>80</v>
      </c>
      <c r="T73" s="34">
        <v>8.93</v>
      </c>
      <c r="U73" s="34">
        <v>-0.28999999999999998</v>
      </c>
      <c r="V73" s="34">
        <v>3122.65</v>
      </c>
    </row>
    <row r="74" spans="1:22" ht="16.8" x14ac:dyDescent="0.3">
      <c r="A74" s="20">
        <v>7.3</v>
      </c>
      <c r="B74" s="20">
        <v>80</v>
      </c>
      <c r="C74" s="20">
        <v>53.44</v>
      </c>
      <c r="D74" s="20">
        <v>26.56</v>
      </c>
      <c r="E74" s="20">
        <v>-0.28999999999999998</v>
      </c>
      <c r="F74" s="26">
        <v>3134.06</v>
      </c>
      <c r="Q74" s="32">
        <v>7.3</v>
      </c>
      <c r="R74" s="32">
        <v>71.42</v>
      </c>
      <c r="S74" s="34">
        <v>80</v>
      </c>
      <c r="T74" s="32">
        <v>8.58</v>
      </c>
      <c r="U74" s="34">
        <v>-0.35</v>
      </c>
      <c r="V74" s="32">
        <v>3037.54</v>
      </c>
    </row>
    <row r="75" spans="1:22" ht="16.8" x14ac:dyDescent="0.3">
      <c r="A75" s="20">
        <v>7.4</v>
      </c>
      <c r="B75" s="20">
        <v>80</v>
      </c>
      <c r="C75" s="26">
        <v>53.86</v>
      </c>
      <c r="D75" s="20">
        <v>26.14</v>
      </c>
      <c r="E75" s="20">
        <v>-0.42</v>
      </c>
      <c r="F75" s="26">
        <v>2840.22</v>
      </c>
      <c r="Q75" s="32">
        <v>7.4</v>
      </c>
      <c r="R75" s="32">
        <v>71.77</v>
      </c>
      <c r="S75" s="34">
        <v>80</v>
      </c>
      <c r="T75" s="34">
        <v>8.23</v>
      </c>
      <c r="U75" s="34">
        <v>-0.35</v>
      </c>
      <c r="V75" s="34">
        <v>3002.46</v>
      </c>
    </row>
    <row r="76" spans="1:22" ht="16.8" x14ac:dyDescent="0.3">
      <c r="A76" s="20">
        <v>7.5</v>
      </c>
      <c r="B76" s="20">
        <v>80</v>
      </c>
      <c r="C76" s="26">
        <v>54.18</v>
      </c>
      <c r="D76" s="20">
        <v>25.82</v>
      </c>
      <c r="E76" s="20">
        <v>-0.32</v>
      </c>
      <c r="F76" s="26">
        <v>3071.2</v>
      </c>
      <c r="Q76" s="32">
        <v>7.5</v>
      </c>
      <c r="R76" s="32">
        <v>72.02</v>
      </c>
      <c r="S76" s="34">
        <v>80</v>
      </c>
      <c r="T76" s="34">
        <v>7.98</v>
      </c>
      <c r="U76" s="34">
        <v>-0.25</v>
      </c>
      <c r="V76" s="32">
        <v>3071.13</v>
      </c>
    </row>
    <row r="77" spans="1:22" ht="16.8" x14ac:dyDescent="0.3">
      <c r="A77" s="20">
        <v>7.6</v>
      </c>
      <c r="B77" s="20">
        <v>80</v>
      </c>
      <c r="C77" s="20">
        <v>54.5</v>
      </c>
      <c r="D77" s="20">
        <v>25.5</v>
      </c>
      <c r="E77" s="20">
        <v>-0.31</v>
      </c>
      <c r="F77" s="26">
        <v>3086.66</v>
      </c>
      <c r="Q77" s="32">
        <v>7.6</v>
      </c>
      <c r="R77" s="32">
        <v>72.31</v>
      </c>
      <c r="S77" s="34">
        <v>80</v>
      </c>
      <c r="T77" s="34">
        <v>7.69</v>
      </c>
      <c r="U77" s="34">
        <v>-0.28999999999999998</v>
      </c>
      <c r="V77" s="34">
        <v>3007.73</v>
      </c>
    </row>
    <row r="78" spans="1:22" ht="16.8" x14ac:dyDescent="0.3">
      <c r="A78" s="20">
        <v>7.7</v>
      </c>
      <c r="B78" s="20">
        <v>80</v>
      </c>
      <c r="C78" s="26">
        <v>54.87</v>
      </c>
      <c r="D78" s="20">
        <v>25.13</v>
      </c>
      <c r="E78" s="20">
        <v>-0.38</v>
      </c>
      <c r="F78" s="26">
        <v>2947.94</v>
      </c>
      <c r="Q78" s="32">
        <v>7.7</v>
      </c>
      <c r="R78" s="32">
        <v>72.64</v>
      </c>
      <c r="S78" s="34">
        <v>80</v>
      </c>
      <c r="T78" s="32">
        <v>7.36</v>
      </c>
      <c r="U78" s="34">
        <v>-0.33</v>
      </c>
      <c r="V78" s="32">
        <v>2936.27</v>
      </c>
    </row>
    <row r="79" spans="1:22" ht="16.8" x14ac:dyDescent="0.3">
      <c r="A79" s="20">
        <v>7.8</v>
      </c>
      <c r="B79" s="20">
        <v>80</v>
      </c>
      <c r="C79" s="20">
        <v>55.16</v>
      </c>
      <c r="D79" s="20">
        <v>24.84</v>
      </c>
      <c r="E79" s="20">
        <v>-0.28999999999999998</v>
      </c>
      <c r="F79" s="26">
        <v>3127.74</v>
      </c>
      <c r="Q79" s="32">
        <v>7.8</v>
      </c>
      <c r="R79" s="32">
        <v>72.87</v>
      </c>
      <c r="S79" s="34">
        <v>80</v>
      </c>
      <c r="T79" s="34">
        <v>7.1</v>
      </c>
      <c r="U79" s="34">
        <v>0.23</v>
      </c>
      <c r="V79" s="34">
        <v>3005.13</v>
      </c>
    </row>
    <row r="80" spans="1:22" ht="16.8" x14ac:dyDescent="0.3">
      <c r="A80" s="20">
        <v>7.9</v>
      </c>
      <c r="B80" s="20">
        <v>80</v>
      </c>
      <c r="C80" s="26">
        <v>55.5</v>
      </c>
      <c r="D80" s="20">
        <v>24.5</v>
      </c>
      <c r="E80" s="20">
        <v>-0.33</v>
      </c>
      <c r="F80" s="20">
        <v>3047.03</v>
      </c>
      <c r="Q80" s="32">
        <v>7.9</v>
      </c>
      <c r="R80" s="32">
        <v>73.13</v>
      </c>
      <c r="S80" s="34">
        <v>80</v>
      </c>
      <c r="T80" s="34">
        <v>6.87</v>
      </c>
      <c r="U80" s="34">
        <v>-0.26</v>
      </c>
      <c r="V80" s="32">
        <v>2959.4</v>
      </c>
    </row>
    <row r="81" spans="1:22" ht="16.8" x14ac:dyDescent="0.3">
      <c r="A81" s="20">
        <v>8</v>
      </c>
      <c r="B81" s="20">
        <v>80</v>
      </c>
      <c r="C81" s="26">
        <v>55.89</v>
      </c>
      <c r="D81" s="20">
        <v>24.11</v>
      </c>
      <c r="E81" s="20">
        <v>-0.39</v>
      </c>
      <c r="F81" s="26">
        <v>2907.14</v>
      </c>
      <c r="Q81" s="32">
        <v>8</v>
      </c>
      <c r="R81" s="32">
        <v>73.36</v>
      </c>
      <c r="S81" s="34">
        <v>80</v>
      </c>
      <c r="T81" s="34">
        <v>6.64</v>
      </c>
      <c r="U81" s="34">
        <v>-0.23</v>
      </c>
      <c r="V81" s="34">
        <v>2961.02</v>
      </c>
    </row>
    <row r="82" spans="1:22" ht="16.8" x14ac:dyDescent="0.3">
      <c r="A82" s="20">
        <v>8.1</v>
      </c>
      <c r="B82" s="20">
        <v>80</v>
      </c>
      <c r="C82" s="20">
        <v>56.21</v>
      </c>
      <c r="D82" s="20">
        <v>23.79</v>
      </c>
      <c r="E82" s="20">
        <v>-0.32</v>
      </c>
      <c r="F82" s="20">
        <v>3078.99</v>
      </c>
      <c r="Q82" s="32">
        <v>8.1</v>
      </c>
      <c r="R82" s="32">
        <v>73.66</v>
      </c>
      <c r="S82" s="34">
        <v>80</v>
      </c>
      <c r="T82" s="34">
        <v>6.34</v>
      </c>
      <c r="U82" s="34">
        <v>-0.3</v>
      </c>
      <c r="V82" s="32">
        <v>2870.13</v>
      </c>
    </row>
    <row r="83" spans="1:22" ht="16.8" x14ac:dyDescent="0.3">
      <c r="A83" s="20">
        <v>8.1999999999999993</v>
      </c>
      <c r="B83" s="20">
        <v>80</v>
      </c>
      <c r="C83" s="26">
        <v>56.52</v>
      </c>
      <c r="D83" s="20">
        <v>23.48</v>
      </c>
      <c r="E83" s="20">
        <v>-0.31</v>
      </c>
      <c r="F83" s="26">
        <v>3094.22</v>
      </c>
      <c r="Q83" s="32">
        <v>8.1999999999999993</v>
      </c>
      <c r="R83" s="32">
        <v>73.930000000000007</v>
      </c>
      <c r="S83" s="34">
        <v>80</v>
      </c>
      <c r="T83" s="34">
        <v>6.07</v>
      </c>
      <c r="U83" s="34">
        <v>-0.27</v>
      </c>
      <c r="V83" s="32">
        <v>2871.64</v>
      </c>
    </row>
    <row r="84" spans="1:22" ht="16.8" x14ac:dyDescent="0.3">
      <c r="A84" s="20">
        <v>8.3000000000000007</v>
      </c>
      <c r="B84" s="20">
        <v>80</v>
      </c>
      <c r="C84" s="26">
        <v>56.88</v>
      </c>
      <c r="D84" s="20">
        <v>23.12</v>
      </c>
      <c r="E84" s="20">
        <v>-0.35</v>
      </c>
      <c r="F84" s="26">
        <v>3004.17</v>
      </c>
      <c r="Q84" s="32">
        <v>8.3000000000000007</v>
      </c>
      <c r="R84" s="32">
        <v>74.14</v>
      </c>
      <c r="S84" s="34">
        <v>80</v>
      </c>
      <c r="T84" s="34">
        <v>5.86</v>
      </c>
      <c r="U84" s="34">
        <v>-0.22</v>
      </c>
      <c r="V84" s="34">
        <v>2895.55</v>
      </c>
    </row>
    <row r="85" spans="1:22" ht="16.8" x14ac:dyDescent="0.3">
      <c r="A85" s="20">
        <v>8.4</v>
      </c>
      <c r="B85" s="20">
        <v>80</v>
      </c>
      <c r="C85" s="20">
        <v>57.16</v>
      </c>
      <c r="D85" s="20">
        <v>22.84</v>
      </c>
      <c r="E85" s="20">
        <v>-0.28999999999999998</v>
      </c>
      <c r="F85" s="20">
        <v>3134.06</v>
      </c>
      <c r="Q85" s="32">
        <v>8.4</v>
      </c>
      <c r="R85" s="32">
        <v>74.36</v>
      </c>
      <c r="S85" s="34">
        <v>80</v>
      </c>
      <c r="T85" s="34">
        <v>5.64</v>
      </c>
      <c r="U85" s="34">
        <v>-0.22</v>
      </c>
      <c r="V85" s="32">
        <v>2874.99</v>
      </c>
    </row>
    <row r="86" spans="1:22" ht="16.8" x14ac:dyDescent="0.3">
      <c r="A86" s="20">
        <v>8.5</v>
      </c>
      <c r="B86" s="20">
        <v>80</v>
      </c>
      <c r="C86" s="26">
        <v>57.49</v>
      </c>
      <c r="D86" s="20">
        <v>22.51</v>
      </c>
      <c r="E86" s="20">
        <v>-0.33</v>
      </c>
      <c r="F86" s="26">
        <v>3063.28</v>
      </c>
      <c r="Q86" s="32">
        <v>8.5</v>
      </c>
      <c r="R86" s="32">
        <v>74.59</v>
      </c>
      <c r="S86" s="34">
        <v>80</v>
      </c>
      <c r="T86" s="34">
        <v>5.41</v>
      </c>
      <c r="U86" s="34">
        <v>-0.23</v>
      </c>
      <c r="V86" s="34">
        <v>2844.99</v>
      </c>
    </row>
    <row r="87" spans="1:22" ht="16.8" x14ac:dyDescent="0.3">
      <c r="A87" s="20">
        <v>8.6</v>
      </c>
      <c r="B87" s="20">
        <v>80</v>
      </c>
      <c r="C87" s="20">
        <v>57.76</v>
      </c>
      <c r="D87" s="20">
        <v>22.24</v>
      </c>
      <c r="E87" s="20">
        <v>-0.27</v>
      </c>
      <c r="F87" s="26">
        <v>3164.26</v>
      </c>
      <c r="Q87" s="32">
        <v>8.6</v>
      </c>
      <c r="R87" s="32">
        <v>74.81</v>
      </c>
      <c r="S87" s="34">
        <v>80</v>
      </c>
      <c r="T87" s="34">
        <v>5.19</v>
      </c>
      <c r="U87" s="34">
        <v>-0.23</v>
      </c>
      <c r="V87" s="32">
        <v>2821.61</v>
      </c>
    </row>
    <row r="88" spans="1:22" ht="16.8" x14ac:dyDescent="0.3">
      <c r="A88" s="20">
        <v>8.6999999999999993</v>
      </c>
      <c r="B88" s="20">
        <v>80</v>
      </c>
      <c r="C88" s="26">
        <v>58.11</v>
      </c>
      <c r="D88" s="20">
        <v>21.89</v>
      </c>
      <c r="E88" s="20">
        <v>-0.35</v>
      </c>
      <c r="F88" s="26">
        <v>3013.04</v>
      </c>
      <c r="Q88" s="32">
        <v>8.6999999999999993</v>
      </c>
      <c r="R88" s="32">
        <v>74.989999999999995</v>
      </c>
      <c r="S88" s="34">
        <v>80</v>
      </c>
      <c r="T88" s="34">
        <v>5.01</v>
      </c>
      <c r="U88" s="34">
        <v>-0.18</v>
      </c>
      <c r="V88" s="34">
        <v>2849.96</v>
      </c>
    </row>
    <row r="89" spans="1:22" ht="16.8" x14ac:dyDescent="0.3">
      <c r="A89" s="20">
        <v>8.8000000000000007</v>
      </c>
      <c r="B89" s="20">
        <v>80</v>
      </c>
      <c r="C89" s="26">
        <v>58.36</v>
      </c>
      <c r="D89" s="20">
        <v>21.64</v>
      </c>
      <c r="E89" s="20">
        <v>-0.25</v>
      </c>
      <c r="F89" s="26">
        <v>3186.95</v>
      </c>
      <c r="Q89" s="32">
        <v>8.8000000000000007</v>
      </c>
      <c r="R89" s="32">
        <v>75.23</v>
      </c>
      <c r="S89" s="34">
        <v>80</v>
      </c>
      <c r="T89" s="34">
        <v>4.7699999999999996</v>
      </c>
      <c r="U89" s="34">
        <v>-0.24</v>
      </c>
      <c r="V89" s="32">
        <v>2764.04</v>
      </c>
    </row>
    <row r="90" spans="1:22" ht="16.8" x14ac:dyDescent="0.3">
      <c r="A90" s="20">
        <v>8.9</v>
      </c>
      <c r="B90" s="20">
        <v>80</v>
      </c>
      <c r="C90" s="20">
        <v>58.75</v>
      </c>
      <c r="D90" s="20">
        <v>21.25</v>
      </c>
      <c r="E90" s="20">
        <v>-0.4</v>
      </c>
      <c r="F90" s="26">
        <v>2896.49</v>
      </c>
      <c r="Q90" s="32">
        <v>8.9</v>
      </c>
      <c r="R90" s="32">
        <v>75.45</v>
      </c>
      <c r="S90" s="34">
        <v>80</v>
      </c>
      <c r="T90" s="34">
        <v>4.55</v>
      </c>
      <c r="U90" s="34">
        <v>-0.22</v>
      </c>
      <c r="V90" s="34">
        <v>2762.01</v>
      </c>
    </row>
    <row r="91" spans="1:22" ht="16.8" x14ac:dyDescent="0.3">
      <c r="A91" s="20">
        <v>9</v>
      </c>
      <c r="B91" s="20">
        <v>80</v>
      </c>
      <c r="C91" s="26">
        <v>59.05</v>
      </c>
      <c r="D91" s="20">
        <v>20.95</v>
      </c>
      <c r="E91" s="20">
        <v>-0.28999999999999998</v>
      </c>
      <c r="F91" s="20">
        <v>3121.33</v>
      </c>
      <c r="Q91" s="20">
        <v>9</v>
      </c>
      <c r="R91" s="20">
        <v>75.66</v>
      </c>
      <c r="S91" s="26">
        <v>80</v>
      </c>
      <c r="T91" s="26">
        <v>4.34</v>
      </c>
      <c r="U91" s="26">
        <v>-0.21</v>
      </c>
      <c r="V91" s="20">
        <v>2746.12</v>
      </c>
    </row>
    <row r="92" spans="1:22" ht="16.8" x14ac:dyDescent="0.3">
      <c r="A92" s="20">
        <v>9.1</v>
      </c>
      <c r="B92" s="20">
        <v>80</v>
      </c>
      <c r="C92" s="26">
        <v>59.38</v>
      </c>
      <c r="D92" s="20">
        <v>20.62</v>
      </c>
      <c r="E92" s="20">
        <v>-0.33</v>
      </c>
      <c r="F92" s="26">
        <v>3047.05</v>
      </c>
      <c r="Q92" s="20">
        <v>9.1</v>
      </c>
      <c r="R92" s="20">
        <v>75.84</v>
      </c>
      <c r="S92" s="26">
        <v>80</v>
      </c>
      <c r="T92" s="26">
        <v>4.16</v>
      </c>
      <c r="U92" s="20">
        <v>-0.18</v>
      </c>
      <c r="V92" s="26">
        <v>2757.22</v>
      </c>
    </row>
    <row r="93" spans="1:22" ht="16.8" x14ac:dyDescent="0.3">
      <c r="A93" s="20">
        <v>9.1999999999999993</v>
      </c>
      <c r="B93" s="20">
        <v>80</v>
      </c>
      <c r="C93" s="20">
        <v>59.67</v>
      </c>
      <c r="D93" s="20">
        <v>20.329999999999998</v>
      </c>
      <c r="E93" s="20">
        <v>-0.28999999999999998</v>
      </c>
      <c r="F93" s="20">
        <v>3134.06</v>
      </c>
      <c r="Q93" s="20">
        <v>9.1999999999999993</v>
      </c>
      <c r="R93" s="20">
        <v>75.989999999999995</v>
      </c>
      <c r="S93" s="26">
        <v>80</v>
      </c>
      <c r="T93" s="26">
        <v>4.01</v>
      </c>
      <c r="U93" s="26">
        <v>-0.15</v>
      </c>
      <c r="V93" s="20">
        <v>2764.78</v>
      </c>
    </row>
    <row r="94" spans="1:22" ht="16.8" x14ac:dyDescent="0.3">
      <c r="A94" s="20">
        <v>9.3000000000000007</v>
      </c>
      <c r="B94" s="20">
        <v>80</v>
      </c>
      <c r="C94" s="26">
        <v>59.97</v>
      </c>
      <c r="D94" s="20">
        <v>20.03</v>
      </c>
      <c r="E94" s="20">
        <v>-0.3</v>
      </c>
      <c r="F94" s="26">
        <v>3108.18</v>
      </c>
      <c r="Q94" s="20">
        <v>9.3000000000000007</v>
      </c>
      <c r="R94" s="20">
        <v>76.25</v>
      </c>
      <c r="S94" s="26">
        <v>80</v>
      </c>
      <c r="T94" s="26">
        <v>3.75</v>
      </c>
      <c r="U94" s="26">
        <v>-0.27</v>
      </c>
      <c r="V94" s="26">
        <v>2627.67</v>
      </c>
    </row>
    <row r="95" spans="1:22" ht="16.8" x14ac:dyDescent="0.3">
      <c r="A95" s="20">
        <v>9.4</v>
      </c>
      <c r="B95" s="20">
        <v>80</v>
      </c>
      <c r="C95" s="20">
        <v>60.31</v>
      </c>
      <c r="D95" s="20">
        <v>19.690000000000001</v>
      </c>
      <c r="E95" s="20">
        <v>-0.33</v>
      </c>
      <c r="F95" s="26">
        <v>3047.08</v>
      </c>
      <c r="Q95" s="20">
        <v>9.4</v>
      </c>
      <c r="R95" s="20">
        <v>76.38</v>
      </c>
      <c r="S95" s="26">
        <v>80</v>
      </c>
      <c r="T95" s="26">
        <v>3.62</v>
      </c>
      <c r="U95" s="26">
        <v>-0.13</v>
      </c>
      <c r="V95" s="20">
        <v>2740.44</v>
      </c>
    </row>
    <row r="96" spans="1:22" ht="16.8" x14ac:dyDescent="0.3">
      <c r="A96" s="20">
        <v>9.5</v>
      </c>
      <c r="B96" s="20">
        <v>80</v>
      </c>
      <c r="C96" s="26">
        <v>60.58</v>
      </c>
      <c r="D96" s="20">
        <v>19.420000000000002</v>
      </c>
      <c r="E96" s="20">
        <v>-0.28000000000000003</v>
      </c>
      <c r="F96" s="20">
        <v>3146.4</v>
      </c>
      <c r="Q96" s="20">
        <v>9.5</v>
      </c>
      <c r="R96" s="20">
        <v>76.540000000000006</v>
      </c>
      <c r="S96" s="26">
        <v>80</v>
      </c>
      <c r="T96" s="26">
        <v>3.46</v>
      </c>
      <c r="U96" s="26">
        <v>-0.15</v>
      </c>
      <c r="V96" s="26">
        <v>2702.52</v>
      </c>
    </row>
    <row r="97" spans="1:22" ht="16.8" x14ac:dyDescent="0.3">
      <c r="A97" s="20">
        <v>9.6</v>
      </c>
      <c r="B97" s="20">
        <v>80</v>
      </c>
      <c r="C97" s="26">
        <v>60.87</v>
      </c>
      <c r="D97" s="20">
        <v>19.13</v>
      </c>
      <c r="E97" s="20">
        <v>-0.28999999999999998</v>
      </c>
      <c r="F97" s="26">
        <v>3134.03</v>
      </c>
      <c r="Q97" s="20">
        <v>9.6</v>
      </c>
      <c r="R97" s="20">
        <v>76.7</v>
      </c>
      <c r="S97" s="26">
        <v>80</v>
      </c>
      <c r="T97" s="26">
        <v>3.3</v>
      </c>
      <c r="U97" s="26">
        <v>-0.16</v>
      </c>
      <c r="V97" s="20">
        <v>2677.25</v>
      </c>
    </row>
    <row r="98" spans="1:22" ht="16.8" x14ac:dyDescent="0.3">
      <c r="A98" s="20">
        <v>9.6999999999999993</v>
      </c>
      <c r="B98" s="20">
        <v>80</v>
      </c>
      <c r="C98" s="20">
        <v>61.21</v>
      </c>
      <c r="D98" s="20">
        <v>18.79</v>
      </c>
      <c r="E98" s="20">
        <v>-0.34</v>
      </c>
      <c r="F98" s="26">
        <v>3038.78</v>
      </c>
      <c r="Q98" s="20">
        <v>9.6999999999999993</v>
      </c>
      <c r="R98" s="20">
        <v>76.849999999999994</v>
      </c>
      <c r="S98" s="26">
        <v>80</v>
      </c>
      <c r="T98" s="20">
        <v>3.15</v>
      </c>
      <c r="U98" s="26">
        <v>-0.15</v>
      </c>
      <c r="V98" s="26">
        <v>2667.54</v>
      </c>
    </row>
    <row r="99" spans="1:22" ht="16.8" x14ac:dyDescent="0.3">
      <c r="A99" s="20">
        <v>9.8000000000000007</v>
      </c>
      <c r="B99" s="20">
        <v>80</v>
      </c>
      <c r="C99" s="26">
        <v>61.48</v>
      </c>
      <c r="D99" s="20">
        <v>18.52</v>
      </c>
      <c r="E99" s="20">
        <v>-0.27</v>
      </c>
      <c r="F99" s="26">
        <v>3158.39</v>
      </c>
      <c r="Q99" s="20">
        <v>9.8000000000000007</v>
      </c>
      <c r="R99" s="20">
        <v>77.03</v>
      </c>
      <c r="S99" s="26">
        <v>80</v>
      </c>
      <c r="T99" s="26">
        <v>2.97</v>
      </c>
      <c r="U99" s="26">
        <v>-0.18</v>
      </c>
      <c r="V99" s="20">
        <v>9.9</v>
      </c>
    </row>
    <row r="100" spans="1:22" ht="16.8" x14ac:dyDescent="0.3">
      <c r="A100" s="20">
        <v>9.9</v>
      </c>
      <c r="B100" s="20">
        <v>80</v>
      </c>
      <c r="C100" s="20">
        <v>61.79</v>
      </c>
      <c r="D100" s="20">
        <v>18.21</v>
      </c>
      <c r="E100" s="20">
        <v>-0.31</v>
      </c>
      <c r="F100" s="26">
        <v>3094.22</v>
      </c>
      <c r="Q100" s="20">
        <v>10</v>
      </c>
      <c r="R100" s="20">
        <v>77.290000000000006</v>
      </c>
      <c r="S100" s="26">
        <v>80</v>
      </c>
      <c r="T100" s="26">
        <v>2.71</v>
      </c>
      <c r="U100" s="26">
        <v>-0.15</v>
      </c>
      <c r="V100" s="26">
        <v>2623.76</v>
      </c>
    </row>
    <row r="101" spans="1:22" ht="16.8" x14ac:dyDescent="0.3">
      <c r="A101" s="20">
        <v>10</v>
      </c>
      <c r="B101" s="20">
        <v>80</v>
      </c>
      <c r="C101" s="26">
        <v>62.08</v>
      </c>
      <c r="D101" s="20">
        <v>17.920000000000002</v>
      </c>
      <c r="E101" s="20">
        <v>-0.28999999999999998</v>
      </c>
      <c r="F101" s="26">
        <v>3134.02</v>
      </c>
      <c r="Q101" s="20">
        <v>10.1</v>
      </c>
      <c r="R101" s="20">
        <v>77.45</v>
      </c>
      <c r="S101" s="26">
        <v>80</v>
      </c>
      <c r="T101" s="26">
        <v>2.5499999999999998</v>
      </c>
      <c r="U101" s="26">
        <v>-0.16</v>
      </c>
      <c r="V101" s="20">
        <v>2588.87</v>
      </c>
    </row>
    <row r="102" spans="1:22" ht="16.8" x14ac:dyDescent="0.3">
      <c r="A102" s="20">
        <v>10.1</v>
      </c>
      <c r="B102" s="20">
        <v>80</v>
      </c>
      <c r="C102" s="26">
        <v>62.38</v>
      </c>
      <c r="D102" s="20">
        <v>17.62</v>
      </c>
      <c r="E102" s="20">
        <v>-0.3</v>
      </c>
      <c r="F102" s="26">
        <v>3108.16</v>
      </c>
      <c r="Q102" s="20">
        <v>10.199999999999999</v>
      </c>
      <c r="R102" s="20">
        <v>77.599999999999994</v>
      </c>
      <c r="S102" s="26">
        <v>80</v>
      </c>
      <c r="T102" s="26">
        <v>2.4</v>
      </c>
      <c r="U102" s="26">
        <v>-0.15</v>
      </c>
      <c r="V102" s="20">
        <v>2585.5300000000002</v>
      </c>
    </row>
    <row r="103" spans="1:22" ht="16.8" x14ac:dyDescent="0.3">
      <c r="A103" s="20">
        <v>10.199999999999999</v>
      </c>
      <c r="B103" s="20">
        <v>80</v>
      </c>
      <c r="C103" s="20">
        <v>62.59</v>
      </c>
      <c r="D103" s="20">
        <v>17.41</v>
      </c>
      <c r="E103" s="20">
        <v>-0.21</v>
      </c>
      <c r="F103" s="26">
        <v>3234.09</v>
      </c>
      <c r="Q103" s="20">
        <v>10.3</v>
      </c>
      <c r="R103" s="20">
        <v>77.75</v>
      </c>
      <c r="S103" s="26">
        <v>80</v>
      </c>
      <c r="T103" s="26">
        <v>2.25</v>
      </c>
      <c r="U103" s="20">
        <v>-0.15</v>
      </c>
      <c r="V103" s="26">
        <v>2567.15</v>
      </c>
    </row>
    <row r="104" spans="1:22" ht="16.8" x14ac:dyDescent="0.3">
      <c r="A104" s="20">
        <v>10.3</v>
      </c>
      <c r="B104" s="20">
        <v>80</v>
      </c>
      <c r="C104" s="26">
        <v>62.93</v>
      </c>
      <c r="D104" s="20">
        <v>17.07</v>
      </c>
      <c r="E104" s="20">
        <v>-0.34</v>
      </c>
      <c r="F104" s="26">
        <v>3030.32</v>
      </c>
      <c r="Q104" s="20">
        <v>10.4</v>
      </c>
      <c r="R104" s="20">
        <v>77.83</v>
      </c>
      <c r="S104" s="26">
        <v>80</v>
      </c>
      <c r="T104" s="26">
        <v>2.17</v>
      </c>
      <c r="U104" s="26">
        <v>-0.09</v>
      </c>
      <c r="V104" s="20">
        <v>2609.4699999999998</v>
      </c>
    </row>
    <row r="105" spans="1:22" ht="16.8" x14ac:dyDescent="0.3">
      <c r="A105" s="20">
        <v>10.4</v>
      </c>
      <c r="B105" s="20">
        <v>80</v>
      </c>
      <c r="C105" s="20">
        <v>63.22</v>
      </c>
      <c r="D105" s="20">
        <v>16.78</v>
      </c>
      <c r="E105" s="20">
        <v>-0.28999999999999998</v>
      </c>
      <c r="F105" s="26">
        <v>3127.74</v>
      </c>
      <c r="Q105" s="20">
        <v>10.5</v>
      </c>
      <c r="R105" s="20">
        <v>77.98</v>
      </c>
      <c r="S105" s="26">
        <v>80</v>
      </c>
      <c r="T105" s="26">
        <v>2.02</v>
      </c>
      <c r="U105" s="26">
        <v>-0.15</v>
      </c>
      <c r="V105" s="26">
        <v>2539.27</v>
      </c>
    </row>
    <row r="106" spans="1:22" ht="16.8" x14ac:dyDescent="0.3">
      <c r="A106" s="20">
        <v>10.5</v>
      </c>
      <c r="B106" s="20">
        <v>80</v>
      </c>
      <c r="C106" s="26">
        <v>63.51</v>
      </c>
      <c r="D106" s="20">
        <v>16.489999999999998</v>
      </c>
      <c r="E106" s="20">
        <v>-0.28999999999999998</v>
      </c>
      <c r="F106" s="26">
        <v>3127.74</v>
      </c>
      <c r="Q106" s="20">
        <v>10.6</v>
      </c>
      <c r="R106" s="20">
        <v>78.16</v>
      </c>
      <c r="S106" s="26">
        <v>80</v>
      </c>
      <c r="T106" s="26">
        <v>1.84</v>
      </c>
      <c r="U106" s="26">
        <v>-0.18</v>
      </c>
      <c r="V106" s="20">
        <v>2484.75</v>
      </c>
    </row>
    <row r="107" spans="1:22" ht="16.8" x14ac:dyDescent="0.3">
      <c r="A107" s="20">
        <v>10.6</v>
      </c>
      <c r="B107" s="20">
        <v>80</v>
      </c>
      <c r="C107" s="26">
        <v>63.78</v>
      </c>
      <c r="D107" s="20">
        <v>16.22</v>
      </c>
      <c r="E107" s="20">
        <v>-0.26</v>
      </c>
      <c r="F107" s="20">
        <v>3170.04</v>
      </c>
      <c r="Q107" s="20">
        <v>10.7</v>
      </c>
      <c r="R107" s="20">
        <v>78.180000000000007</v>
      </c>
      <c r="S107" s="26">
        <v>80</v>
      </c>
      <c r="T107" s="26">
        <v>1.82</v>
      </c>
      <c r="U107" s="26">
        <v>-0.02</v>
      </c>
      <c r="V107" s="26">
        <v>2624.9</v>
      </c>
    </row>
    <row r="108" spans="1:22" ht="16.8" x14ac:dyDescent="0.3">
      <c r="A108" s="20">
        <v>10.7</v>
      </c>
      <c r="B108" s="20">
        <v>80</v>
      </c>
      <c r="C108" s="20">
        <v>64.010000000000005</v>
      </c>
      <c r="D108" s="20">
        <v>15.99</v>
      </c>
      <c r="E108" s="20">
        <v>-0.24</v>
      </c>
      <c r="F108" s="26">
        <v>3203.2</v>
      </c>
      <c r="Q108" s="20">
        <v>10.8</v>
      </c>
      <c r="R108" s="20">
        <v>78.31</v>
      </c>
      <c r="S108" s="26">
        <v>80</v>
      </c>
      <c r="T108" s="26">
        <v>1.69</v>
      </c>
      <c r="U108" s="26">
        <v>-0.13</v>
      </c>
      <c r="V108" s="20">
        <v>2512.67</v>
      </c>
    </row>
    <row r="109" spans="1:22" ht="16.8" x14ac:dyDescent="0.3">
      <c r="A109" s="20">
        <v>10.8</v>
      </c>
      <c r="B109" s="20">
        <v>80</v>
      </c>
      <c r="C109" s="26">
        <v>64.27</v>
      </c>
      <c r="D109" s="20">
        <v>15.73</v>
      </c>
      <c r="E109" s="20">
        <v>-0.25</v>
      </c>
      <c r="F109" s="20">
        <v>3181.41</v>
      </c>
      <c r="Q109" s="20">
        <v>10.9</v>
      </c>
      <c r="R109" s="20">
        <v>78.430000000000007</v>
      </c>
      <c r="S109" s="26">
        <v>80</v>
      </c>
      <c r="T109" s="20">
        <v>1.57</v>
      </c>
      <c r="U109" s="26">
        <v>-0.12</v>
      </c>
      <c r="V109" s="26">
        <v>2503.71</v>
      </c>
    </row>
    <row r="110" spans="1:22" ht="16.8" x14ac:dyDescent="0.3">
      <c r="A110" s="20">
        <v>10.9</v>
      </c>
      <c r="B110" s="20">
        <v>80</v>
      </c>
      <c r="C110" s="20">
        <v>64.569999999999993</v>
      </c>
      <c r="D110" s="20">
        <v>15.43</v>
      </c>
      <c r="E110" s="20">
        <v>-0.31</v>
      </c>
      <c r="F110" s="26">
        <v>3101.43</v>
      </c>
      <c r="Q110" s="20">
        <v>11</v>
      </c>
      <c r="R110" s="20">
        <v>78.56</v>
      </c>
      <c r="S110" s="26">
        <v>80</v>
      </c>
      <c r="T110" s="26">
        <v>1.44</v>
      </c>
      <c r="U110" s="26">
        <v>-0.13</v>
      </c>
      <c r="V110" s="20">
        <v>2478.3000000000002</v>
      </c>
    </row>
    <row r="111" spans="1:22" ht="16.8" x14ac:dyDescent="0.3">
      <c r="A111" s="20">
        <v>11</v>
      </c>
      <c r="B111" s="20">
        <v>80</v>
      </c>
      <c r="C111" s="26">
        <v>64.84</v>
      </c>
      <c r="D111" s="20">
        <v>15.16</v>
      </c>
      <c r="E111" s="20">
        <v>-0.26</v>
      </c>
      <c r="F111" s="26">
        <v>3157.92</v>
      </c>
      <c r="Q111" s="20">
        <v>11.1</v>
      </c>
      <c r="R111" s="20">
        <v>78.64</v>
      </c>
      <c r="S111" s="26">
        <v>80</v>
      </c>
      <c r="T111" s="26">
        <v>1.36</v>
      </c>
      <c r="U111" s="26">
        <v>-0.08</v>
      </c>
      <c r="V111" s="26">
        <v>2512.25</v>
      </c>
    </row>
    <row r="112" spans="1:22" ht="16.8" x14ac:dyDescent="0.3">
      <c r="A112" s="20">
        <v>11.1</v>
      </c>
      <c r="B112" s="20">
        <v>80</v>
      </c>
      <c r="C112" s="26">
        <v>65.14</v>
      </c>
      <c r="D112" s="20">
        <v>14.86</v>
      </c>
      <c r="E112" s="20">
        <v>-0.3</v>
      </c>
      <c r="F112" s="20">
        <v>3101.87</v>
      </c>
      <c r="Q112" s="20">
        <v>11.2</v>
      </c>
      <c r="R112" s="20">
        <v>78.650000000000006</v>
      </c>
      <c r="S112" s="26">
        <v>80</v>
      </c>
      <c r="T112" s="26">
        <v>1.35</v>
      </c>
      <c r="U112" s="26">
        <v>-0.01</v>
      </c>
      <c r="V112" s="20">
        <v>2580.7399999999998</v>
      </c>
    </row>
    <row r="113" spans="1:22" ht="16.8" x14ac:dyDescent="0.3">
      <c r="A113" s="20">
        <v>11.2</v>
      </c>
      <c r="B113" s="20">
        <v>80</v>
      </c>
      <c r="C113" s="20">
        <v>65.430000000000007</v>
      </c>
      <c r="D113" s="20">
        <v>14.57</v>
      </c>
      <c r="E113" s="20">
        <v>-0.28999999999999998</v>
      </c>
      <c r="F113" s="26">
        <v>3103.6</v>
      </c>
      <c r="Q113" s="20">
        <v>11.3</v>
      </c>
      <c r="R113" s="20">
        <v>78.77</v>
      </c>
      <c r="S113" s="20">
        <v>80</v>
      </c>
      <c r="T113" s="26">
        <v>1.23</v>
      </c>
      <c r="U113" s="26">
        <v>-0.12</v>
      </c>
      <c r="V113" s="20">
        <v>2461.19</v>
      </c>
    </row>
    <row r="114" spans="1:22" ht="16.8" x14ac:dyDescent="0.3">
      <c r="A114" s="20">
        <v>11.3</v>
      </c>
      <c r="B114" s="20">
        <v>80</v>
      </c>
      <c r="C114" s="26">
        <v>65.66</v>
      </c>
      <c r="D114" s="20">
        <v>14.34</v>
      </c>
      <c r="E114" s="20">
        <v>-0.23</v>
      </c>
      <c r="F114" s="20">
        <v>3142.03</v>
      </c>
      <c r="Q114" s="20">
        <v>11.4</v>
      </c>
      <c r="R114" s="20">
        <v>78.83</v>
      </c>
      <c r="S114" s="26">
        <v>80</v>
      </c>
      <c r="T114" s="26">
        <v>1.17</v>
      </c>
      <c r="U114" s="26">
        <v>-0.06</v>
      </c>
      <c r="V114" s="26">
        <v>2504.66</v>
      </c>
    </row>
    <row r="115" spans="1:22" ht="16.8" x14ac:dyDescent="0.3">
      <c r="A115" s="20">
        <v>11.4</v>
      </c>
      <c r="B115" s="20">
        <v>80</v>
      </c>
      <c r="C115" s="26">
        <v>66</v>
      </c>
      <c r="D115" s="20">
        <v>14</v>
      </c>
      <c r="E115" s="20">
        <v>-0.34</v>
      </c>
      <c r="F115" s="26">
        <v>3030.31</v>
      </c>
      <c r="Q115" s="20">
        <v>11.5</v>
      </c>
      <c r="R115" s="20">
        <v>78.95</v>
      </c>
      <c r="S115" s="26">
        <v>80</v>
      </c>
      <c r="T115" s="26">
        <v>1.05</v>
      </c>
      <c r="U115" s="26">
        <v>-0.12</v>
      </c>
      <c r="V115" s="20">
        <v>2435.64</v>
      </c>
    </row>
    <row r="116" spans="1:22" ht="16.8" x14ac:dyDescent="0.3">
      <c r="A116" s="20">
        <v>11.5</v>
      </c>
      <c r="B116" s="20">
        <v>80</v>
      </c>
      <c r="C116" s="20">
        <v>66.25</v>
      </c>
      <c r="D116" s="20">
        <v>13.75</v>
      </c>
      <c r="E116" s="20">
        <v>-0.24</v>
      </c>
      <c r="F116" s="26">
        <v>3094.56</v>
      </c>
      <c r="Q116" s="20">
        <v>11.6</v>
      </c>
      <c r="R116" s="20">
        <v>79.03</v>
      </c>
      <c r="S116" s="26">
        <v>80</v>
      </c>
      <c r="T116" s="26">
        <v>0.97</v>
      </c>
      <c r="U116" s="26">
        <v>-0.08</v>
      </c>
      <c r="V116" s="26">
        <v>2461.0500000000002</v>
      </c>
    </row>
    <row r="117" spans="1:22" ht="16.8" x14ac:dyDescent="0.3">
      <c r="A117" s="20">
        <v>11.6</v>
      </c>
      <c r="B117" s="20">
        <v>80</v>
      </c>
      <c r="C117" s="26">
        <v>66.45</v>
      </c>
      <c r="D117" s="20">
        <v>13.55</v>
      </c>
      <c r="E117" s="20">
        <v>-0.21</v>
      </c>
      <c r="F117" s="26">
        <v>3069.5</v>
      </c>
      <c r="Q117" s="20">
        <v>11.7</v>
      </c>
      <c r="R117" s="20">
        <v>79.16</v>
      </c>
      <c r="S117" s="26">
        <v>80</v>
      </c>
      <c r="T117" s="26">
        <v>0.84</v>
      </c>
      <c r="U117" s="26">
        <v>-0.13</v>
      </c>
      <c r="V117" s="20">
        <v>2397.27</v>
      </c>
    </row>
    <row r="118" spans="1:22" ht="16.8" x14ac:dyDescent="0.3">
      <c r="A118" s="20">
        <v>11.7</v>
      </c>
      <c r="B118" s="20">
        <v>80</v>
      </c>
      <c r="C118" s="20">
        <v>66.78</v>
      </c>
      <c r="D118" s="20">
        <v>13.22</v>
      </c>
      <c r="E118" s="20">
        <v>-0.33</v>
      </c>
      <c r="F118" s="26">
        <v>3063.22</v>
      </c>
      <c r="Q118" s="20">
        <v>11.8</v>
      </c>
      <c r="R118" s="20">
        <v>79.23</v>
      </c>
      <c r="S118" s="26">
        <v>80</v>
      </c>
      <c r="T118" s="26">
        <v>0.77</v>
      </c>
      <c r="U118" s="26">
        <v>-0.06</v>
      </c>
      <c r="V118" s="26">
        <v>2446.8200000000002</v>
      </c>
    </row>
    <row r="119" spans="1:22" ht="16.8" x14ac:dyDescent="0.3">
      <c r="A119" s="20">
        <v>11.8</v>
      </c>
      <c r="B119" s="20">
        <v>80</v>
      </c>
      <c r="C119" s="26">
        <v>67.010000000000005</v>
      </c>
      <c r="D119" s="20">
        <v>12.99</v>
      </c>
      <c r="E119" s="20">
        <v>-0.23</v>
      </c>
      <c r="F119" s="26">
        <v>3032.77</v>
      </c>
      <c r="Q119" s="20">
        <v>11.9</v>
      </c>
      <c r="R119" s="20">
        <v>79.25</v>
      </c>
      <c r="S119" s="26">
        <v>80</v>
      </c>
      <c r="T119" s="26">
        <v>0.75</v>
      </c>
      <c r="U119" s="26">
        <v>-0.02</v>
      </c>
      <c r="V119" s="20">
        <v>2481.39</v>
      </c>
    </row>
    <row r="120" spans="1:22" ht="16.8" x14ac:dyDescent="0.3">
      <c r="A120" s="20">
        <v>11.9</v>
      </c>
      <c r="B120" s="20">
        <v>80</v>
      </c>
      <c r="C120" s="26">
        <v>67.239999999999995</v>
      </c>
      <c r="D120" s="20">
        <v>12.76</v>
      </c>
      <c r="E120" s="20">
        <v>-0.23</v>
      </c>
      <c r="F120" s="26">
        <v>3011.14</v>
      </c>
      <c r="Q120" s="20">
        <v>12</v>
      </c>
      <c r="R120" s="20">
        <v>79.34</v>
      </c>
      <c r="S120" s="26">
        <v>80</v>
      </c>
      <c r="T120" s="26">
        <v>0.66</v>
      </c>
      <c r="U120" s="26">
        <v>-0.09</v>
      </c>
      <c r="V120" s="26">
        <v>2409.5300000000002</v>
      </c>
    </row>
    <row r="121" spans="1:22" ht="16.8" x14ac:dyDescent="0.3">
      <c r="A121" s="20">
        <v>12</v>
      </c>
      <c r="B121" s="20">
        <v>80</v>
      </c>
      <c r="C121" s="20">
        <v>67.540000000000006</v>
      </c>
      <c r="D121" s="20">
        <v>12.46</v>
      </c>
      <c r="E121" s="20">
        <v>-0.3</v>
      </c>
      <c r="F121" s="26">
        <v>3039.07</v>
      </c>
      <c r="Q121" s="20">
        <v>12.1</v>
      </c>
      <c r="R121" s="20">
        <v>79.36</v>
      </c>
      <c r="S121" s="26">
        <v>80</v>
      </c>
      <c r="T121" s="26">
        <v>0.64</v>
      </c>
      <c r="U121" s="26">
        <v>-0.02</v>
      </c>
      <c r="V121" s="20">
        <v>2465.67</v>
      </c>
    </row>
    <row r="122" spans="1:22" ht="16.8" x14ac:dyDescent="0.3">
      <c r="A122" s="20">
        <v>12.1</v>
      </c>
      <c r="B122" s="20">
        <v>80</v>
      </c>
      <c r="C122" s="26">
        <v>67.760000000000005</v>
      </c>
      <c r="D122" s="20">
        <v>12.24</v>
      </c>
      <c r="E122" s="20">
        <v>-0.23</v>
      </c>
      <c r="F122" s="26">
        <v>2958.98</v>
      </c>
      <c r="Q122" s="20">
        <v>12.2</v>
      </c>
      <c r="R122" s="20">
        <v>79.44</v>
      </c>
      <c r="S122" s="26">
        <v>80</v>
      </c>
      <c r="T122" s="26">
        <v>0.56000000000000005</v>
      </c>
      <c r="U122" s="26">
        <v>-7.0000000000000007E-2</v>
      </c>
      <c r="V122" s="26">
        <v>2410.9499999999998</v>
      </c>
    </row>
    <row r="123" spans="1:22" ht="16.8" x14ac:dyDescent="0.3">
      <c r="A123" s="20">
        <v>12.2</v>
      </c>
      <c r="B123" s="20">
        <v>80</v>
      </c>
      <c r="C123" s="20">
        <v>68.040000000000006</v>
      </c>
      <c r="D123" s="20">
        <v>11.96</v>
      </c>
      <c r="E123" s="20">
        <v>-0.28000000000000003</v>
      </c>
      <c r="F123" s="26">
        <v>2961.12</v>
      </c>
      <c r="Q123" s="20">
        <v>12.3</v>
      </c>
      <c r="R123" s="20">
        <v>79.510000000000005</v>
      </c>
      <c r="S123" s="26">
        <v>80</v>
      </c>
      <c r="T123" s="26">
        <v>0.49</v>
      </c>
      <c r="U123" s="26">
        <v>-7.0000000000000007E-2</v>
      </c>
      <c r="V123" s="20">
        <v>2399.77</v>
      </c>
    </row>
    <row r="124" spans="1:22" ht="16.8" x14ac:dyDescent="0.3">
      <c r="A124" s="20">
        <v>12.3</v>
      </c>
      <c r="B124" s="20">
        <v>80</v>
      </c>
      <c r="C124" s="26">
        <v>68.28</v>
      </c>
      <c r="D124" s="20">
        <v>11.72</v>
      </c>
      <c r="E124" s="20">
        <v>-0.24</v>
      </c>
      <c r="F124" s="26">
        <v>2903.07</v>
      </c>
      <c r="Q124" s="20">
        <v>12.4</v>
      </c>
      <c r="R124" s="20">
        <v>79.52</v>
      </c>
      <c r="S124" s="26">
        <v>80</v>
      </c>
      <c r="T124" s="26">
        <v>0.48</v>
      </c>
      <c r="U124" s="26">
        <v>-0.01</v>
      </c>
      <c r="V124" s="26">
        <v>2458.27</v>
      </c>
    </row>
    <row r="125" spans="1:22" ht="16.8" x14ac:dyDescent="0.3">
      <c r="A125" s="20">
        <v>12.4</v>
      </c>
      <c r="B125" s="20">
        <v>80</v>
      </c>
      <c r="C125" s="26">
        <v>68.48</v>
      </c>
      <c r="D125" s="20">
        <v>11.52</v>
      </c>
      <c r="E125" s="20">
        <v>-0.2</v>
      </c>
      <c r="F125" s="26">
        <v>2857.34</v>
      </c>
      <c r="Q125" s="20">
        <v>12.5</v>
      </c>
      <c r="R125" s="20">
        <v>79.650000000000006</v>
      </c>
      <c r="S125" s="26">
        <v>80</v>
      </c>
      <c r="T125" s="26">
        <v>0.35</v>
      </c>
      <c r="U125" s="26">
        <v>-0.14000000000000001</v>
      </c>
      <c r="V125" s="20">
        <v>2318.5500000000002</v>
      </c>
    </row>
    <row r="126" spans="1:22" ht="16.8" x14ac:dyDescent="0.3">
      <c r="A126" s="20">
        <v>12.5</v>
      </c>
      <c r="B126" s="20">
        <v>80</v>
      </c>
      <c r="C126" s="20">
        <v>68.75</v>
      </c>
      <c r="D126" s="20">
        <v>11.25</v>
      </c>
      <c r="E126" s="20">
        <v>-0.27</v>
      </c>
      <c r="F126" s="26">
        <v>2850.83</v>
      </c>
      <c r="Q126" s="20">
        <v>12.6</v>
      </c>
      <c r="R126" s="20">
        <v>79.67</v>
      </c>
      <c r="S126" s="26">
        <v>80</v>
      </c>
      <c r="T126" s="26">
        <v>0.33</v>
      </c>
      <c r="U126" s="26">
        <v>-0.02</v>
      </c>
      <c r="V126" s="20">
        <v>2426.2800000000002</v>
      </c>
    </row>
    <row r="127" spans="1:22" ht="16.8" x14ac:dyDescent="0.3">
      <c r="A127" s="20">
        <v>12.6</v>
      </c>
      <c r="B127" s="20">
        <v>80</v>
      </c>
      <c r="C127" s="26">
        <v>69</v>
      </c>
      <c r="D127" s="20">
        <v>11</v>
      </c>
      <c r="E127" s="20">
        <v>-0.25</v>
      </c>
      <c r="F127" s="26">
        <v>2793.05</v>
      </c>
      <c r="Q127" s="20">
        <v>12.7</v>
      </c>
      <c r="R127" s="20">
        <v>79.72</v>
      </c>
      <c r="S127" s="26">
        <v>80</v>
      </c>
      <c r="T127" s="26">
        <v>0.28000000000000003</v>
      </c>
      <c r="U127" s="20">
        <v>-0.05</v>
      </c>
      <c r="V127" s="26">
        <v>2389.4899999999998</v>
      </c>
    </row>
    <row r="128" spans="1:22" ht="16.8" x14ac:dyDescent="0.3">
      <c r="A128" s="20">
        <v>12.7</v>
      </c>
      <c r="B128" s="20">
        <v>80</v>
      </c>
      <c r="C128" s="20">
        <v>69.16</v>
      </c>
      <c r="D128" s="20">
        <v>10.84</v>
      </c>
      <c r="E128" s="20">
        <v>-0.16</v>
      </c>
      <c r="F128" s="20">
        <v>2734.97</v>
      </c>
      <c r="Q128" s="20">
        <v>12.8</v>
      </c>
      <c r="R128" s="20">
        <v>79.790000000000006</v>
      </c>
      <c r="S128" s="26">
        <v>80</v>
      </c>
      <c r="T128" s="26">
        <v>0.21</v>
      </c>
      <c r="U128" s="26">
        <v>-7.0000000000000007E-2</v>
      </c>
      <c r="V128" s="20">
        <v>2355.52</v>
      </c>
    </row>
    <row r="129" spans="1:22" ht="16.8" x14ac:dyDescent="0.3">
      <c r="A129" s="20">
        <v>12.8</v>
      </c>
      <c r="B129" s="20">
        <v>80</v>
      </c>
      <c r="C129" s="26">
        <v>69.44</v>
      </c>
      <c r="D129" s="20">
        <v>10.56</v>
      </c>
      <c r="E129" s="20">
        <v>-0.28000000000000003</v>
      </c>
      <c r="F129" s="26">
        <v>2714.03</v>
      </c>
      <c r="Q129" s="20">
        <v>12.9</v>
      </c>
      <c r="R129" s="20">
        <v>79.84</v>
      </c>
      <c r="S129" s="26">
        <v>80</v>
      </c>
      <c r="T129" s="26">
        <v>0.16</v>
      </c>
      <c r="U129" s="26">
        <v>-0.05</v>
      </c>
      <c r="V129" s="26">
        <v>2369.4899999999998</v>
      </c>
    </row>
    <row r="130" spans="1:22" ht="16.8" x14ac:dyDescent="0.3">
      <c r="A130" s="20">
        <v>12.9</v>
      </c>
      <c r="B130" s="20">
        <v>80</v>
      </c>
      <c r="C130" s="26">
        <v>69.62</v>
      </c>
      <c r="D130" s="20">
        <v>10.38</v>
      </c>
      <c r="E130" s="20">
        <v>-0.18</v>
      </c>
      <c r="F130" s="20">
        <v>2645.17</v>
      </c>
      <c r="Q130" s="20">
        <v>13</v>
      </c>
      <c r="R130" s="20">
        <v>79.86</v>
      </c>
      <c r="S130" s="26">
        <v>80</v>
      </c>
      <c r="T130" s="26">
        <v>0.14000000000000001</v>
      </c>
      <c r="U130" s="26">
        <v>-0.02</v>
      </c>
      <c r="V130" s="20">
        <v>2396.31</v>
      </c>
    </row>
    <row r="131" spans="1:22" ht="16.8" x14ac:dyDescent="0.3">
      <c r="A131" s="20">
        <v>13</v>
      </c>
      <c r="B131" s="20">
        <v>80</v>
      </c>
      <c r="C131" s="20">
        <v>69.84</v>
      </c>
      <c r="D131" s="20">
        <v>10.16</v>
      </c>
      <c r="E131" s="20">
        <v>-0.23</v>
      </c>
      <c r="F131" s="26">
        <v>2594.59</v>
      </c>
      <c r="Q131" s="20">
        <v>13.1</v>
      </c>
      <c r="R131" s="20">
        <v>79.900000000000006</v>
      </c>
      <c r="S131" s="26">
        <v>80</v>
      </c>
      <c r="T131" s="26">
        <v>0.1</v>
      </c>
      <c r="U131" s="26">
        <v>-0.04</v>
      </c>
      <c r="V131" s="26">
        <v>2367.67</v>
      </c>
    </row>
    <row r="132" spans="1:22" ht="16.8" x14ac:dyDescent="0.3">
      <c r="A132" s="20">
        <v>13.1</v>
      </c>
      <c r="B132" s="20">
        <v>80</v>
      </c>
      <c r="C132" s="26">
        <v>69.98</v>
      </c>
      <c r="D132" s="20">
        <v>10.02</v>
      </c>
      <c r="E132" s="20">
        <v>-0.13</v>
      </c>
      <c r="F132" s="26">
        <v>2555.94</v>
      </c>
      <c r="Q132" s="20">
        <v>13.2</v>
      </c>
      <c r="R132" s="20">
        <v>79.95</v>
      </c>
      <c r="S132" s="26">
        <v>80</v>
      </c>
      <c r="T132" s="26">
        <v>0.05</v>
      </c>
      <c r="U132" s="26">
        <v>-0.05</v>
      </c>
      <c r="V132" s="20">
        <v>2352.1</v>
      </c>
    </row>
    <row r="133" spans="1:22" ht="16.8" x14ac:dyDescent="0.3">
      <c r="A133" s="20">
        <v>13.2</v>
      </c>
      <c r="B133" s="20">
        <v>80</v>
      </c>
      <c r="C133" s="26">
        <v>70.19</v>
      </c>
      <c r="D133" s="20">
        <v>9.81</v>
      </c>
      <c r="E133" s="20">
        <v>-0.21</v>
      </c>
      <c r="F133" s="20">
        <v>2550</v>
      </c>
      <c r="Q133" s="20">
        <v>13.3</v>
      </c>
      <c r="R133" s="20">
        <v>80.03</v>
      </c>
      <c r="S133" s="26">
        <v>80</v>
      </c>
      <c r="T133" s="26">
        <v>-0.03</v>
      </c>
      <c r="U133" s="26">
        <v>-0.08</v>
      </c>
      <c r="V133" s="26">
        <v>2308.6999999999998</v>
      </c>
    </row>
    <row r="134" spans="1:22" ht="16.8" x14ac:dyDescent="0.3">
      <c r="A134" s="20">
        <v>13.3</v>
      </c>
      <c r="B134" s="20">
        <v>80</v>
      </c>
      <c r="C134" s="20">
        <v>70.34</v>
      </c>
      <c r="D134" s="20">
        <v>9.66</v>
      </c>
      <c r="E134" s="20">
        <v>-0.15</v>
      </c>
      <c r="F134" s="26">
        <v>2550</v>
      </c>
      <c r="Q134" s="20">
        <v>13.4</v>
      </c>
      <c r="R134" s="20">
        <v>80.03</v>
      </c>
      <c r="S134" s="26">
        <v>80</v>
      </c>
      <c r="T134" s="26">
        <v>-0.03</v>
      </c>
      <c r="U134" s="26">
        <v>-0.01</v>
      </c>
      <c r="V134" s="20">
        <v>2372.91</v>
      </c>
    </row>
    <row r="135" spans="1:22" ht="16.8" x14ac:dyDescent="0.3">
      <c r="A135" s="20">
        <v>13.4</v>
      </c>
      <c r="B135" s="20">
        <v>80</v>
      </c>
      <c r="C135" s="26">
        <v>70.569999999999993</v>
      </c>
      <c r="D135" s="20">
        <v>9.43</v>
      </c>
      <c r="E135" s="20">
        <v>-0.23</v>
      </c>
      <c r="F135" s="26">
        <v>2550</v>
      </c>
      <c r="Q135" s="20">
        <v>13.5</v>
      </c>
      <c r="R135" s="20">
        <v>80.08</v>
      </c>
      <c r="S135" s="26">
        <v>80</v>
      </c>
      <c r="T135" s="26">
        <v>-0.08</v>
      </c>
      <c r="U135" s="26">
        <v>-0.05</v>
      </c>
      <c r="V135" s="26">
        <v>2327.6999999999998</v>
      </c>
    </row>
    <row r="136" spans="1:22" ht="16.8" x14ac:dyDescent="0.3">
      <c r="A136" s="20">
        <v>13.5</v>
      </c>
      <c r="B136" s="20">
        <v>80</v>
      </c>
      <c r="C136" s="20">
        <v>70.69</v>
      </c>
      <c r="D136" s="20">
        <v>9.31</v>
      </c>
      <c r="E136" s="20">
        <v>-0.12</v>
      </c>
      <c r="F136" s="26">
        <v>2550</v>
      </c>
      <c r="Q136" s="20">
        <v>13.6</v>
      </c>
      <c r="R136" s="20">
        <v>80.12</v>
      </c>
      <c r="S136" s="26">
        <v>80</v>
      </c>
      <c r="T136" s="26">
        <v>-0.12</v>
      </c>
      <c r="U136" s="26">
        <v>-0.04</v>
      </c>
      <c r="V136" s="20">
        <v>2327.5700000000002</v>
      </c>
    </row>
    <row r="137" spans="1:22" ht="16.8" x14ac:dyDescent="0.3">
      <c r="A137" s="20">
        <v>13.6</v>
      </c>
      <c r="B137" s="20">
        <v>80</v>
      </c>
      <c r="C137" s="26">
        <v>70.88</v>
      </c>
      <c r="D137" s="20">
        <v>9.1199999999999992</v>
      </c>
      <c r="E137" s="20">
        <v>-0.19</v>
      </c>
      <c r="F137" s="26">
        <v>2550</v>
      </c>
      <c r="Q137" s="20">
        <v>13.7</v>
      </c>
      <c r="R137" s="20">
        <v>80.14</v>
      </c>
      <c r="S137" s="26">
        <v>80</v>
      </c>
      <c r="T137" s="26">
        <v>-0.14000000000000001</v>
      </c>
      <c r="U137" s="26">
        <v>-0.02</v>
      </c>
      <c r="V137" s="26">
        <v>2346.21</v>
      </c>
    </row>
    <row r="138" spans="1:22" ht="16.8" x14ac:dyDescent="0.3">
      <c r="A138" s="20">
        <v>13.7</v>
      </c>
      <c r="B138" s="20">
        <v>80</v>
      </c>
      <c r="C138" s="26">
        <v>71.03</v>
      </c>
      <c r="D138" s="20">
        <v>8.9700000000000006</v>
      </c>
      <c r="E138" s="20">
        <v>-0.15</v>
      </c>
      <c r="F138" s="26">
        <v>2550</v>
      </c>
      <c r="Q138" s="20">
        <v>13.8</v>
      </c>
      <c r="R138" s="20">
        <v>80.150000000000006</v>
      </c>
      <c r="S138" s="26">
        <v>80</v>
      </c>
      <c r="T138" s="26">
        <v>-0.15</v>
      </c>
      <c r="U138" s="26">
        <v>-0.01</v>
      </c>
      <c r="V138" s="20">
        <v>2351.66</v>
      </c>
    </row>
    <row r="139" spans="1:22" ht="16.8" x14ac:dyDescent="0.3">
      <c r="A139" s="20">
        <v>13.8</v>
      </c>
      <c r="B139" s="20">
        <v>80</v>
      </c>
      <c r="C139" s="20">
        <v>71.11</v>
      </c>
      <c r="D139" s="20">
        <v>8.89</v>
      </c>
      <c r="E139" s="20">
        <v>-0.08</v>
      </c>
      <c r="F139" s="26">
        <v>2550</v>
      </c>
      <c r="Q139" s="20">
        <v>13.9</v>
      </c>
      <c r="R139" s="20">
        <v>80.23</v>
      </c>
      <c r="S139" s="26">
        <v>80</v>
      </c>
      <c r="T139" s="26">
        <v>-0.23</v>
      </c>
      <c r="U139" s="26">
        <v>-0.08</v>
      </c>
      <c r="V139" s="20">
        <v>2271.15</v>
      </c>
    </row>
    <row r="140" spans="1:22" ht="16.8" x14ac:dyDescent="0.3">
      <c r="A140" s="20">
        <v>13.9</v>
      </c>
      <c r="B140" s="20">
        <v>80</v>
      </c>
      <c r="C140" s="26">
        <v>71.319999999999993</v>
      </c>
      <c r="D140" s="20">
        <v>8.68</v>
      </c>
      <c r="E140" s="20">
        <v>-0.21</v>
      </c>
      <c r="F140" s="26">
        <v>2550</v>
      </c>
      <c r="Q140" s="20">
        <v>14</v>
      </c>
      <c r="R140" s="20">
        <v>80.27</v>
      </c>
      <c r="S140" s="26">
        <v>80</v>
      </c>
      <c r="T140" s="26">
        <v>-0.27</v>
      </c>
      <c r="U140" s="26">
        <v>-0.04</v>
      </c>
      <c r="V140" s="26">
        <v>2299.79</v>
      </c>
    </row>
    <row r="141" spans="1:22" ht="16.8" x14ac:dyDescent="0.3">
      <c r="A141" s="20">
        <v>14</v>
      </c>
      <c r="B141" s="20">
        <v>80</v>
      </c>
      <c r="C141" s="20">
        <v>71.38</v>
      </c>
      <c r="D141" s="20">
        <v>8.6199999999999992</v>
      </c>
      <c r="E141" s="20">
        <v>-0.06</v>
      </c>
      <c r="F141" s="26">
        <v>2550</v>
      </c>
      <c r="Q141" s="20">
        <v>14.1</v>
      </c>
      <c r="R141" s="20">
        <v>80.209999999999994</v>
      </c>
      <c r="S141" s="26">
        <v>80</v>
      </c>
      <c r="T141" s="20">
        <v>-0.21</v>
      </c>
      <c r="U141" s="20">
        <v>0.06</v>
      </c>
      <c r="V141" s="20">
        <v>2396.59</v>
      </c>
    </row>
    <row r="142" spans="1:22" ht="16.8" x14ac:dyDescent="0.3">
      <c r="A142" s="20">
        <v>14.1</v>
      </c>
      <c r="B142" s="20">
        <v>80</v>
      </c>
      <c r="C142" s="26">
        <v>71.56</v>
      </c>
      <c r="D142" s="20">
        <v>8.44</v>
      </c>
      <c r="E142" s="20">
        <v>-0.17</v>
      </c>
      <c r="F142" s="26">
        <v>2550</v>
      </c>
      <c r="Q142" s="20">
        <v>14.2</v>
      </c>
      <c r="R142" s="20">
        <v>80.28</v>
      </c>
      <c r="S142" s="26">
        <v>80</v>
      </c>
      <c r="T142" s="26">
        <v>-0.28000000000000003</v>
      </c>
      <c r="U142" s="26">
        <v>-0.06</v>
      </c>
      <c r="V142" s="26">
        <v>2274.98</v>
      </c>
    </row>
    <row r="143" spans="1:22" ht="16.8" x14ac:dyDescent="0.3">
      <c r="A143" s="20">
        <v>14.2</v>
      </c>
      <c r="B143" s="20">
        <v>80</v>
      </c>
      <c r="C143" s="26">
        <v>71.62</v>
      </c>
      <c r="D143" s="20">
        <v>8.3800000000000008</v>
      </c>
      <c r="E143" s="20">
        <v>-7.0000000000000007E-2</v>
      </c>
      <c r="F143" s="26">
        <v>2550</v>
      </c>
      <c r="Q143" s="20">
        <v>14.3</v>
      </c>
      <c r="R143" s="20">
        <v>80.38</v>
      </c>
      <c r="S143" s="26">
        <v>80</v>
      </c>
      <c r="T143" s="26">
        <v>-0.38</v>
      </c>
      <c r="U143" s="26">
        <v>-0.1</v>
      </c>
      <c r="V143" s="20">
        <v>2218.94</v>
      </c>
    </row>
    <row r="144" spans="1:22" ht="16.8" x14ac:dyDescent="0.3">
      <c r="A144" s="20">
        <v>14.3</v>
      </c>
      <c r="B144" s="20">
        <v>80</v>
      </c>
      <c r="C144" s="20">
        <v>71.81</v>
      </c>
      <c r="D144" s="20">
        <v>8.19</v>
      </c>
      <c r="E144" s="20">
        <v>-0.19</v>
      </c>
      <c r="F144" s="20">
        <v>2550</v>
      </c>
      <c r="Q144" s="20">
        <v>14.4</v>
      </c>
      <c r="R144" s="20">
        <v>80.400000000000006</v>
      </c>
      <c r="S144" s="26">
        <v>80</v>
      </c>
      <c r="T144" s="26">
        <v>-0.4</v>
      </c>
      <c r="U144" s="26">
        <v>-0.02</v>
      </c>
      <c r="V144" s="26">
        <v>2286.4899999999998</v>
      </c>
    </row>
    <row r="145" spans="1:22" ht="16.8" x14ac:dyDescent="0.3">
      <c r="A145" s="20">
        <v>14.4</v>
      </c>
      <c r="B145" s="20">
        <v>80</v>
      </c>
      <c r="C145" s="26">
        <v>71.87</v>
      </c>
      <c r="D145" s="20">
        <v>8.1300000000000008</v>
      </c>
      <c r="E145" s="20">
        <v>-0.05</v>
      </c>
      <c r="F145" s="26">
        <v>2550</v>
      </c>
      <c r="Q145" s="20">
        <v>14.5</v>
      </c>
      <c r="R145" s="20">
        <v>80.38</v>
      </c>
      <c r="S145" s="26">
        <v>80</v>
      </c>
      <c r="T145" s="26">
        <v>-0.38</v>
      </c>
      <c r="U145" s="26">
        <v>0.02</v>
      </c>
      <c r="V145" s="20">
        <v>2333.33</v>
      </c>
    </row>
    <row r="146" spans="1:22" ht="16.8" x14ac:dyDescent="0.3">
      <c r="A146" s="20">
        <v>14.5</v>
      </c>
      <c r="B146" s="20">
        <v>80</v>
      </c>
      <c r="C146" s="26">
        <v>71.95</v>
      </c>
      <c r="D146" s="20">
        <v>8.0500000000000007</v>
      </c>
      <c r="E146" s="20">
        <v>-0.08</v>
      </c>
      <c r="F146" s="20">
        <v>2550</v>
      </c>
      <c r="Q146" s="20">
        <v>14.6</v>
      </c>
      <c r="R146" s="20">
        <v>80.42</v>
      </c>
      <c r="S146" s="26">
        <v>80</v>
      </c>
      <c r="T146" s="26">
        <v>-0.42</v>
      </c>
      <c r="U146" s="26">
        <v>-0.04</v>
      </c>
      <c r="V146" s="20">
        <v>2266.58</v>
      </c>
    </row>
    <row r="147" spans="1:22" ht="16.8" x14ac:dyDescent="0.3">
      <c r="A147" s="20">
        <v>14.6</v>
      </c>
      <c r="B147" s="20">
        <v>80</v>
      </c>
      <c r="C147" s="20">
        <v>72.09</v>
      </c>
      <c r="D147" s="20">
        <v>7.91</v>
      </c>
      <c r="E147" s="20">
        <v>-0.14000000000000001</v>
      </c>
      <c r="F147" s="26">
        <v>2550</v>
      </c>
      <c r="Q147" s="20">
        <v>14.7</v>
      </c>
      <c r="R147" s="20">
        <v>80.48</v>
      </c>
      <c r="S147" s="26">
        <v>80</v>
      </c>
      <c r="T147" s="26">
        <v>-0.48</v>
      </c>
      <c r="U147" s="26">
        <v>-0.06</v>
      </c>
      <c r="V147" s="26">
        <v>2240.65</v>
      </c>
    </row>
    <row r="148" spans="1:22" ht="16.8" x14ac:dyDescent="0.3">
      <c r="A148" s="20">
        <v>14.7</v>
      </c>
      <c r="B148" s="20">
        <v>80</v>
      </c>
      <c r="C148" s="26">
        <v>72.17</v>
      </c>
      <c r="D148" s="20">
        <v>7.83</v>
      </c>
      <c r="E148" s="20">
        <v>-0.08</v>
      </c>
      <c r="F148" s="26">
        <v>2550</v>
      </c>
      <c r="Q148" s="20">
        <v>14.8</v>
      </c>
      <c r="R148" s="20">
        <v>80.48</v>
      </c>
      <c r="S148" s="26">
        <v>80</v>
      </c>
      <c r="T148" s="26">
        <v>-0.48</v>
      </c>
      <c r="U148" s="26">
        <v>0</v>
      </c>
      <c r="V148" s="20">
        <v>2290.2600000000002</v>
      </c>
    </row>
    <row r="149" spans="1:22" ht="16.8" x14ac:dyDescent="0.3">
      <c r="A149" s="20">
        <v>14.8</v>
      </c>
      <c r="B149" s="20">
        <v>80</v>
      </c>
      <c r="C149" s="26">
        <v>72.25</v>
      </c>
      <c r="D149" s="20">
        <v>7.75</v>
      </c>
      <c r="E149" s="20">
        <v>-0.08</v>
      </c>
      <c r="F149" s="26">
        <v>2550</v>
      </c>
      <c r="Q149" s="20">
        <v>14.9</v>
      </c>
      <c r="R149" s="20">
        <v>80.48</v>
      </c>
      <c r="S149" s="26">
        <v>80</v>
      </c>
      <c r="T149" s="26">
        <v>-0.48</v>
      </c>
      <c r="U149" s="26">
        <v>-0.01</v>
      </c>
      <c r="V149" s="26">
        <v>2280.0500000000002</v>
      </c>
    </row>
    <row r="150" spans="1:22" ht="16.8" x14ac:dyDescent="0.3">
      <c r="A150" s="20">
        <v>14.9</v>
      </c>
      <c r="B150" s="20">
        <v>80</v>
      </c>
      <c r="C150" s="20">
        <v>72.39</v>
      </c>
      <c r="D150" s="20">
        <v>7.61</v>
      </c>
      <c r="E150" s="20">
        <v>-0.14000000000000001</v>
      </c>
      <c r="F150" s="26">
        <v>2550</v>
      </c>
      <c r="Q150" s="20">
        <v>15</v>
      </c>
      <c r="R150" s="20">
        <v>80.48</v>
      </c>
      <c r="S150" s="26">
        <v>80</v>
      </c>
      <c r="T150" s="26">
        <v>-0.48</v>
      </c>
      <c r="U150" s="26">
        <v>0.01</v>
      </c>
      <c r="V150" s="20">
        <v>2294.58</v>
      </c>
    </row>
    <row r="151" spans="1:22" ht="16.8" x14ac:dyDescent="0.3">
      <c r="A151" s="20">
        <v>15</v>
      </c>
      <c r="B151" s="20">
        <v>80</v>
      </c>
      <c r="C151" s="26">
        <v>72.45</v>
      </c>
      <c r="D151" s="20">
        <v>7.55</v>
      </c>
      <c r="E151" s="20">
        <v>-0.06</v>
      </c>
      <c r="F151" s="26">
        <v>2550</v>
      </c>
      <c r="Q151" s="20">
        <v>15.1</v>
      </c>
      <c r="R151" s="20">
        <v>80.510000000000005</v>
      </c>
      <c r="S151" s="26">
        <v>80</v>
      </c>
      <c r="T151" s="26">
        <v>-0.51</v>
      </c>
      <c r="U151" s="26">
        <v>-0.03</v>
      </c>
      <c r="V151" s="26">
        <v>2250.85</v>
      </c>
    </row>
    <row r="152" spans="1:22" ht="16.8" x14ac:dyDescent="0.3">
      <c r="A152" s="20">
        <v>15.1</v>
      </c>
      <c r="B152" s="20">
        <v>80</v>
      </c>
      <c r="C152" s="20">
        <v>72.61</v>
      </c>
      <c r="D152" s="20">
        <v>7.39</v>
      </c>
      <c r="E152" s="20">
        <v>-0.16</v>
      </c>
      <c r="F152" s="26">
        <v>2550</v>
      </c>
      <c r="Q152" s="20">
        <v>15.2</v>
      </c>
      <c r="R152" s="20">
        <v>80.510000000000005</v>
      </c>
      <c r="S152" s="26">
        <v>80</v>
      </c>
      <c r="T152" s="26">
        <v>-0.51</v>
      </c>
      <c r="U152" s="26">
        <v>0</v>
      </c>
      <c r="V152" s="20">
        <v>2278.48</v>
      </c>
    </row>
    <row r="153" spans="1:22" ht="16.8" x14ac:dyDescent="0.3">
      <c r="A153" s="20">
        <v>15.2</v>
      </c>
      <c r="B153" s="20">
        <v>80</v>
      </c>
      <c r="C153" s="26">
        <v>72.73</v>
      </c>
      <c r="D153" s="20">
        <v>7.27</v>
      </c>
      <c r="E153" s="20">
        <v>-0.12</v>
      </c>
      <c r="F153" s="26">
        <v>2550</v>
      </c>
      <c r="Q153" s="20">
        <v>15.3</v>
      </c>
      <c r="R153" s="20">
        <v>80.53</v>
      </c>
      <c r="S153" s="26">
        <v>80</v>
      </c>
      <c r="T153" s="26">
        <v>-0.53</v>
      </c>
      <c r="U153" s="26">
        <v>-0.02</v>
      </c>
      <c r="V153" s="26">
        <v>2259.44</v>
      </c>
    </row>
    <row r="154" spans="1:22" ht="16.8" x14ac:dyDescent="0.3">
      <c r="A154" s="20">
        <v>15.3</v>
      </c>
      <c r="B154" s="20">
        <v>80</v>
      </c>
      <c r="C154" s="26">
        <v>72.77</v>
      </c>
      <c r="D154" s="20">
        <v>7.23</v>
      </c>
      <c r="E154" s="20">
        <v>-0.04</v>
      </c>
      <c r="F154" s="26">
        <v>2550</v>
      </c>
      <c r="Q154" s="20">
        <v>15.4</v>
      </c>
      <c r="R154" s="20">
        <v>80.55</v>
      </c>
      <c r="S154" s="26">
        <v>80</v>
      </c>
      <c r="T154" s="20">
        <v>-0.55000000000000004</v>
      </c>
      <c r="U154" s="26">
        <v>-0.02</v>
      </c>
      <c r="V154" s="20">
        <v>2246.19</v>
      </c>
    </row>
    <row r="155" spans="1:22" ht="16.8" x14ac:dyDescent="0.3">
      <c r="A155" s="20">
        <v>15.4</v>
      </c>
      <c r="B155" s="20">
        <v>80</v>
      </c>
      <c r="C155" s="20">
        <v>72.900000000000006</v>
      </c>
      <c r="D155" s="20">
        <v>7.1</v>
      </c>
      <c r="E155" s="20">
        <v>-0.13</v>
      </c>
      <c r="F155" s="20">
        <v>2550</v>
      </c>
      <c r="Q155" s="20">
        <v>15.5</v>
      </c>
      <c r="R155" s="20">
        <v>80.59</v>
      </c>
      <c r="S155" s="26">
        <v>80</v>
      </c>
      <c r="T155" s="26">
        <v>-0.59</v>
      </c>
      <c r="U155" s="26">
        <v>-0.04</v>
      </c>
      <c r="V155" s="26">
        <v>2222.73</v>
      </c>
    </row>
    <row r="156" spans="1:22" ht="16.8" x14ac:dyDescent="0.3">
      <c r="A156" s="20">
        <v>15.5</v>
      </c>
      <c r="B156" s="20">
        <v>80</v>
      </c>
      <c r="C156" s="26">
        <v>72.97</v>
      </c>
      <c r="D156" s="20">
        <v>7.03</v>
      </c>
      <c r="E156" s="20">
        <v>-7.0000000000000007E-2</v>
      </c>
      <c r="F156" s="26">
        <v>2550</v>
      </c>
      <c r="Q156" s="20">
        <v>15.6</v>
      </c>
      <c r="R156" s="20">
        <v>80.510000000000005</v>
      </c>
      <c r="S156" s="26">
        <v>80</v>
      </c>
      <c r="T156" s="20">
        <v>-0.51</v>
      </c>
      <c r="U156" s="26">
        <v>0.08</v>
      </c>
      <c r="V156" s="20">
        <v>2344.7600000000002</v>
      </c>
    </row>
    <row r="157" spans="1:22" ht="16.8" x14ac:dyDescent="0.3">
      <c r="A157" s="20">
        <v>15.6</v>
      </c>
      <c r="B157" s="20">
        <v>80</v>
      </c>
      <c r="C157" s="26">
        <v>73.069999999999993</v>
      </c>
      <c r="D157" s="20">
        <v>6.93</v>
      </c>
      <c r="E157" s="20">
        <v>-0.1</v>
      </c>
      <c r="F157" s="26">
        <v>2550</v>
      </c>
      <c r="Q157" s="20">
        <v>15.7</v>
      </c>
      <c r="R157" s="20">
        <v>80.61</v>
      </c>
      <c r="S157" s="26">
        <v>80</v>
      </c>
      <c r="T157" s="26">
        <v>-0.61</v>
      </c>
      <c r="U157" s="26">
        <v>-0.1</v>
      </c>
      <c r="V157" s="20">
        <v>2165.34</v>
      </c>
    </row>
    <row r="158" spans="1:22" ht="16.8" x14ac:dyDescent="0.3">
      <c r="A158" s="20">
        <v>15.7</v>
      </c>
      <c r="B158" s="20">
        <v>80</v>
      </c>
      <c r="C158" s="20">
        <v>73.209999999999994</v>
      </c>
      <c r="D158" s="20">
        <v>6.79</v>
      </c>
      <c r="E158" s="20">
        <v>-0.15</v>
      </c>
      <c r="F158" s="26">
        <v>2550</v>
      </c>
      <c r="Q158" s="20">
        <v>15.8</v>
      </c>
      <c r="R158" s="20">
        <v>80.55</v>
      </c>
      <c r="S158" s="26">
        <v>80</v>
      </c>
      <c r="T158" s="26">
        <v>-0.55000000000000004</v>
      </c>
      <c r="U158" s="26">
        <v>0.06</v>
      </c>
      <c r="V158" s="26">
        <v>2312.2199999999998</v>
      </c>
    </row>
    <row r="159" spans="1:22" ht="16.8" x14ac:dyDescent="0.3">
      <c r="A159" s="20">
        <v>15.8</v>
      </c>
      <c r="B159" s="20">
        <v>80</v>
      </c>
      <c r="C159" s="26">
        <v>73.25</v>
      </c>
      <c r="D159" s="20">
        <v>6.75</v>
      </c>
      <c r="E159" s="20">
        <v>-0.04</v>
      </c>
      <c r="F159" s="26">
        <v>2550</v>
      </c>
      <c r="Q159" s="20">
        <v>15.9</v>
      </c>
      <c r="R159" s="20">
        <v>80.59</v>
      </c>
      <c r="S159" s="26">
        <v>80</v>
      </c>
      <c r="T159" s="26">
        <v>-0.59</v>
      </c>
      <c r="U159" s="26">
        <v>-0.04</v>
      </c>
      <c r="V159" s="20">
        <v>2215.7399999999998</v>
      </c>
    </row>
    <row r="160" spans="1:22" ht="16.8" x14ac:dyDescent="0.3">
      <c r="A160" s="20">
        <v>15.9</v>
      </c>
      <c r="B160" s="20">
        <v>80</v>
      </c>
      <c r="C160" s="26">
        <v>73.41</v>
      </c>
      <c r="D160" s="20">
        <v>6.59</v>
      </c>
      <c r="E160" s="20">
        <v>-0.16</v>
      </c>
      <c r="F160" s="26">
        <v>2550</v>
      </c>
      <c r="Q160" s="20">
        <v>16</v>
      </c>
      <c r="R160" s="20">
        <v>80.53</v>
      </c>
      <c r="S160" s="26">
        <v>80</v>
      </c>
      <c r="T160" s="26">
        <v>-0.53</v>
      </c>
      <c r="U160" s="26">
        <v>0.06</v>
      </c>
      <c r="V160" s="26">
        <v>2311.56</v>
      </c>
    </row>
    <row r="161" spans="1:22" ht="16.8" x14ac:dyDescent="0.3">
      <c r="A161" s="20">
        <v>16</v>
      </c>
      <c r="B161" s="20">
        <v>80</v>
      </c>
      <c r="C161" s="20">
        <v>73.5</v>
      </c>
      <c r="D161" s="20">
        <v>6.5</v>
      </c>
      <c r="E161" s="20">
        <v>-0.09</v>
      </c>
      <c r="F161" s="26">
        <v>2550</v>
      </c>
      <c r="Q161" s="20">
        <v>16.100000000000001</v>
      </c>
      <c r="R161" s="20">
        <v>80.56</v>
      </c>
      <c r="S161" s="26">
        <v>80</v>
      </c>
      <c r="T161" s="20">
        <v>-0.56000000000000005</v>
      </c>
      <c r="U161" s="20">
        <v>-0.02</v>
      </c>
      <c r="V161" s="20">
        <v>2232.6</v>
      </c>
    </row>
    <row r="162" spans="1:22" ht="16.8" x14ac:dyDescent="0.3">
      <c r="A162" s="20">
        <v>16.100000000000001</v>
      </c>
      <c r="B162" s="20">
        <v>80</v>
      </c>
      <c r="C162" s="26">
        <v>73.569999999999993</v>
      </c>
      <c r="D162" s="20">
        <v>6.43</v>
      </c>
      <c r="E162" s="20">
        <v>-7.0000000000000007E-2</v>
      </c>
      <c r="F162" s="26">
        <v>2550</v>
      </c>
      <c r="Q162" s="20">
        <v>16.2</v>
      </c>
      <c r="R162" s="20">
        <v>80.53</v>
      </c>
      <c r="S162" s="26">
        <v>80</v>
      </c>
      <c r="T162" s="26">
        <v>-0.53</v>
      </c>
      <c r="U162" s="26">
        <v>0.03</v>
      </c>
      <c r="V162" s="26">
        <v>2287.7199999999998</v>
      </c>
    </row>
    <row r="163" spans="1:22" ht="16.8" x14ac:dyDescent="0.3">
      <c r="A163" s="20">
        <v>16.2</v>
      </c>
      <c r="B163" s="20">
        <v>80</v>
      </c>
      <c r="C163" s="20">
        <v>73.709999999999994</v>
      </c>
      <c r="D163" s="20">
        <v>6.29</v>
      </c>
      <c r="E163" s="20">
        <v>-0.15</v>
      </c>
      <c r="F163" s="26">
        <v>2550</v>
      </c>
      <c r="Q163" s="20">
        <v>16.3</v>
      </c>
      <c r="R163" s="20">
        <v>80.59</v>
      </c>
      <c r="S163" s="26">
        <v>80</v>
      </c>
      <c r="T163" s="20">
        <v>-0.59</v>
      </c>
      <c r="U163" s="20">
        <v>-0.06</v>
      </c>
      <c r="V163" s="20">
        <v>2186.9899999999998</v>
      </c>
    </row>
    <row r="164" spans="1:22" ht="16.8" x14ac:dyDescent="0.3">
      <c r="A164" s="20">
        <v>16.3</v>
      </c>
      <c r="B164" s="20">
        <v>80</v>
      </c>
      <c r="C164" s="26">
        <v>73.790000000000006</v>
      </c>
      <c r="D164" s="20">
        <v>6.21</v>
      </c>
      <c r="E164" s="20">
        <v>-0.08</v>
      </c>
      <c r="F164" s="26">
        <v>2550</v>
      </c>
      <c r="Q164" s="20">
        <v>16.399999999999999</v>
      </c>
      <c r="R164" s="20">
        <v>80.59</v>
      </c>
      <c r="S164" s="26">
        <v>80</v>
      </c>
      <c r="T164" s="26">
        <v>-0.59</v>
      </c>
      <c r="U164" s="26">
        <v>0</v>
      </c>
      <c r="V164" s="26">
        <v>2243.58</v>
      </c>
    </row>
    <row r="165" spans="1:22" ht="16.8" x14ac:dyDescent="0.3">
      <c r="A165" s="20">
        <v>16.399999999999999</v>
      </c>
      <c r="B165" s="20">
        <v>80</v>
      </c>
      <c r="C165" s="26">
        <v>73.819999999999993</v>
      </c>
      <c r="D165" s="20">
        <v>6.18</v>
      </c>
      <c r="E165" s="20">
        <v>-0.03</v>
      </c>
      <c r="F165" s="26">
        <v>2550</v>
      </c>
      <c r="Q165" s="20">
        <v>16.5</v>
      </c>
      <c r="R165" s="20">
        <v>80.55</v>
      </c>
      <c r="S165" s="26">
        <v>80</v>
      </c>
      <c r="T165" s="26">
        <v>-0.55000000000000004</v>
      </c>
      <c r="U165" s="26">
        <v>0.04</v>
      </c>
      <c r="V165" s="20">
        <v>2285.42</v>
      </c>
    </row>
    <row r="166" spans="1:22" ht="16.8" x14ac:dyDescent="0.3">
      <c r="A166" s="20">
        <v>16.5</v>
      </c>
      <c r="B166" s="20">
        <v>80</v>
      </c>
      <c r="C166" s="20">
        <v>73.959999999999994</v>
      </c>
      <c r="D166" s="20">
        <v>6.04</v>
      </c>
      <c r="E166" s="20">
        <v>-0.13</v>
      </c>
      <c r="F166" s="20">
        <v>2550</v>
      </c>
      <c r="Q166" s="20">
        <v>16.600000000000001</v>
      </c>
      <c r="R166" s="20">
        <v>80.63</v>
      </c>
      <c r="S166" s="26">
        <v>80</v>
      </c>
      <c r="T166" s="26">
        <v>-0.63</v>
      </c>
      <c r="U166" s="26">
        <v>-0.08</v>
      </c>
      <c r="V166" s="20">
        <v>2159.86</v>
      </c>
    </row>
    <row r="167" spans="1:22" ht="16.8" x14ac:dyDescent="0.3">
      <c r="A167" s="20">
        <v>16.600000000000001</v>
      </c>
      <c r="B167" s="20">
        <v>80</v>
      </c>
      <c r="C167" s="26">
        <v>74.08</v>
      </c>
      <c r="D167" s="20">
        <v>5.92</v>
      </c>
      <c r="E167" s="20">
        <v>-0.12</v>
      </c>
      <c r="F167" s="26">
        <v>2550</v>
      </c>
      <c r="Q167" s="20">
        <v>16.7</v>
      </c>
      <c r="R167" s="20">
        <v>80.59</v>
      </c>
      <c r="S167" s="26">
        <v>80</v>
      </c>
      <c r="T167" s="26">
        <v>-0.59</v>
      </c>
      <c r="U167" s="26">
        <v>0.04</v>
      </c>
      <c r="V167" s="26">
        <v>2274.6</v>
      </c>
    </row>
    <row r="168" spans="1:22" ht="16.8" x14ac:dyDescent="0.3">
      <c r="A168" s="20">
        <v>16.7</v>
      </c>
      <c r="B168" s="20">
        <v>80</v>
      </c>
      <c r="C168" s="20">
        <v>74.12</v>
      </c>
      <c r="D168" s="20">
        <v>5.88</v>
      </c>
      <c r="E168" s="20">
        <v>-0.04</v>
      </c>
      <c r="F168" s="26">
        <v>2550</v>
      </c>
      <c r="Q168" s="20">
        <v>16.8</v>
      </c>
      <c r="R168" s="20">
        <v>80.61</v>
      </c>
      <c r="S168" s="26">
        <v>80</v>
      </c>
      <c r="T168" s="26">
        <v>-0.61</v>
      </c>
      <c r="U168" s="26">
        <v>-0.02</v>
      </c>
      <c r="V168" s="20">
        <v>2210.0500000000002</v>
      </c>
    </row>
    <row r="169" spans="1:22" ht="16.8" x14ac:dyDescent="0.3">
      <c r="A169" s="20">
        <v>16.8</v>
      </c>
      <c r="B169" s="20">
        <v>80</v>
      </c>
      <c r="C169" s="26">
        <v>74.22</v>
      </c>
      <c r="D169" s="20">
        <v>5.78</v>
      </c>
      <c r="E169" s="20">
        <v>-0.09</v>
      </c>
      <c r="F169" s="20">
        <v>2550</v>
      </c>
      <c r="Q169" s="20">
        <v>16.899999999999999</v>
      </c>
      <c r="R169" s="20">
        <v>80.61</v>
      </c>
      <c r="S169" s="26">
        <v>80</v>
      </c>
      <c r="T169" s="26">
        <v>-0.61</v>
      </c>
      <c r="U169" s="26">
        <v>0</v>
      </c>
      <c r="V169" s="26">
        <v>2230.0500000000002</v>
      </c>
    </row>
    <row r="170" spans="1:22" ht="16.8" x14ac:dyDescent="0.3">
      <c r="A170" s="20">
        <v>16.899999999999999</v>
      </c>
      <c r="B170" s="20">
        <v>80</v>
      </c>
      <c r="C170" s="26">
        <v>74.319999999999993</v>
      </c>
      <c r="D170" s="20">
        <v>5.68</v>
      </c>
      <c r="E170" s="20">
        <v>-0.1</v>
      </c>
      <c r="F170" s="26">
        <v>2550</v>
      </c>
      <c r="Q170" s="20">
        <v>17</v>
      </c>
      <c r="R170" s="20">
        <v>80.650000000000006</v>
      </c>
      <c r="S170" s="26">
        <v>80</v>
      </c>
      <c r="T170" s="26">
        <v>-0.65</v>
      </c>
      <c r="U170" s="26">
        <v>-0.03</v>
      </c>
      <c r="V170" s="20">
        <v>2193.2199999999998</v>
      </c>
    </row>
    <row r="171" spans="1:22" ht="16.8" x14ac:dyDescent="0.3">
      <c r="A171" s="20">
        <v>17</v>
      </c>
      <c r="B171" s="20">
        <v>80</v>
      </c>
      <c r="C171" s="20">
        <v>74.400000000000006</v>
      </c>
      <c r="D171" s="20">
        <v>5.6</v>
      </c>
      <c r="E171" s="20">
        <v>-0.08</v>
      </c>
      <c r="F171" s="20">
        <v>2550</v>
      </c>
      <c r="Q171" s="20">
        <v>17.100000000000001</v>
      </c>
      <c r="R171" s="20">
        <v>80.72</v>
      </c>
      <c r="S171" s="26">
        <v>80</v>
      </c>
      <c r="T171" s="26">
        <v>-0.72</v>
      </c>
      <c r="U171" s="26">
        <v>-7.0000000000000007E-2</v>
      </c>
      <c r="V171" s="26">
        <v>2141.8000000000002</v>
      </c>
    </row>
    <row r="172" spans="1:22" ht="16.8" x14ac:dyDescent="0.3">
      <c r="A172" s="20">
        <v>17.100000000000001</v>
      </c>
      <c r="B172" s="20">
        <v>80</v>
      </c>
      <c r="C172" s="26">
        <v>74.459999999999994</v>
      </c>
      <c r="D172" s="20">
        <v>5.54</v>
      </c>
      <c r="E172" s="20">
        <v>-0.05</v>
      </c>
      <c r="F172" s="26">
        <v>2550</v>
      </c>
      <c r="Q172" s="20">
        <v>17.2</v>
      </c>
      <c r="R172" s="20">
        <v>80.64</v>
      </c>
      <c r="S172" s="26">
        <v>80</v>
      </c>
      <c r="T172" s="26">
        <v>-0.64</v>
      </c>
      <c r="U172" s="26">
        <v>0.08</v>
      </c>
      <c r="V172" s="20">
        <v>2292.62</v>
      </c>
    </row>
    <row r="173" spans="1:22" ht="16.8" x14ac:dyDescent="0.3">
      <c r="A173" s="20">
        <v>17.2</v>
      </c>
      <c r="B173" s="20">
        <v>80</v>
      </c>
      <c r="C173" s="26">
        <v>74.55</v>
      </c>
      <c r="D173" s="20">
        <v>5.45</v>
      </c>
      <c r="E173" s="20">
        <v>-0.09</v>
      </c>
      <c r="F173" s="26">
        <v>2550</v>
      </c>
      <c r="Q173" s="20">
        <v>17.3</v>
      </c>
      <c r="R173" s="20">
        <v>80.680000000000007</v>
      </c>
      <c r="S173" s="26">
        <v>80</v>
      </c>
      <c r="T173" s="26">
        <v>-0.68</v>
      </c>
      <c r="U173" s="26">
        <v>-0.04</v>
      </c>
      <c r="V173" s="26">
        <v>2173.9699999999998</v>
      </c>
    </row>
    <row r="174" spans="1:22" ht="16.8" x14ac:dyDescent="0.3">
      <c r="A174" s="20">
        <v>17.3</v>
      </c>
      <c r="B174" s="20">
        <v>80</v>
      </c>
      <c r="C174" s="20">
        <v>74.63</v>
      </c>
      <c r="D174" s="20">
        <v>5.37</v>
      </c>
      <c r="E174" s="20">
        <v>-0.09</v>
      </c>
      <c r="F174" s="26">
        <v>2550</v>
      </c>
      <c r="Q174" s="20">
        <v>17.399999999999999</v>
      </c>
      <c r="R174" s="20">
        <v>80.650000000000006</v>
      </c>
      <c r="S174" s="26">
        <v>80</v>
      </c>
      <c r="T174" s="26">
        <v>-0.65</v>
      </c>
      <c r="U174" s="26">
        <v>0.03</v>
      </c>
      <c r="V174" s="20">
        <v>2243.3000000000002</v>
      </c>
    </row>
    <row r="175" spans="1:22" ht="16.8" x14ac:dyDescent="0.3">
      <c r="A175" s="20">
        <v>17.399999999999999</v>
      </c>
      <c r="B175" s="20">
        <v>80</v>
      </c>
      <c r="C175" s="26">
        <v>74.69</v>
      </c>
      <c r="D175" s="20">
        <v>5.31</v>
      </c>
      <c r="E175" s="20">
        <v>-0.06</v>
      </c>
      <c r="F175" s="26">
        <v>2550</v>
      </c>
      <c r="Q175" s="20">
        <v>17.5</v>
      </c>
      <c r="R175" s="20">
        <v>80.69</v>
      </c>
      <c r="S175" s="26">
        <v>80</v>
      </c>
      <c r="T175" s="26">
        <v>-0.69</v>
      </c>
      <c r="U175" s="26">
        <v>-0.05</v>
      </c>
      <c r="V175" s="26">
        <v>2159.69</v>
      </c>
    </row>
    <row r="176" spans="1:22" ht="16.8" x14ac:dyDescent="0.3">
      <c r="A176" s="20">
        <v>17.5</v>
      </c>
      <c r="B176" s="20">
        <v>80</v>
      </c>
      <c r="C176" s="20">
        <v>74.739999999999995</v>
      </c>
      <c r="D176" s="20">
        <v>5.26</v>
      </c>
      <c r="E176" s="20">
        <v>-0.04</v>
      </c>
      <c r="F176" s="26">
        <v>2550</v>
      </c>
      <c r="Q176" s="20">
        <v>17.600000000000001</v>
      </c>
      <c r="R176" s="20">
        <v>80.61</v>
      </c>
      <c r="S176" s="26">
        <v>80</v>
      </c>
      <c r="T176" s="20">
        <v>-0.61</v>
      </c>
      <c r="U176" s="26">
        <v>0.08</v>
      </c>
      <c r="V176" s="20">
        <v>2288.6799999999998</v>
      </c>
    </row>
    <row r="177" spans="1:22" ht="16.8" x14ac:dyDescent="0.3">
      <c r="A177" s="20">
        <v>17.600000000000001</v>
      </c>
      <c r="B177" s="20">
        <v>80</v>
      </c>
      <c r="C177" s="26">
        <v>74.87</v>
      </c>
      <c r="D177" s="20">
        <v>5.13</v>
      </c>
      <c r="E177" s="20">
        <v>-0.13</v>
      </c>
      <c r="F177" s="26">
        <v>2550</v>
      </c>
      <c r="Q177" s="20">
        <v>17.7</v>
      </c>
      <c r="R177" s="20">
        <v>80.66</v>
      </c>
      <c r="S177" s="26">
        <v>80</v>
      </c>
      <c r="T177" s="26">
        <v>-0.66</v>
      </c>
      <c r="U177" s="26">
        <v>-0.05</v>
      </c>
      <c r="V177" s="20">
        <v>2161.38</v>
      </c>
    </row>
    <row r="178" spans="1:22" ht="16.8" x14ac:dyDescent="0.3">
      <c r="A178" s="20">
        <v>17.7</v>
      </c>
      <c r="B178" s="20">
        <v>80</v>
      </c>
      <c r="C178" s="26">
        <v>74.95</v>
      </c>
      <c r="D178" s="20">
        <v>5.05</v>
      </c>
      <c r="E178" s="20">
        <v>-0.08</v>
      </c>
      <c r="F178" s="26">
        <v>2550</v>
      </c>
      <c r="Q178" s="20">
        <v>17.8</v>
      </c>
      <c r="R178" s="20">
        <v>80.69</v>
      </c>
      <c r="S178" s="26">
        <v>80</v>
      </c>
      <c r="T178" s="20">
        <v>-0.69</v>
      </c>
      <c r="U178" s="26">
        <v>-0.02</v>
      </c>
      <c r="V178" s="26">
        <v>2176.92</v>
      </c>
    </row>
    <row r="179" spans="1:22" ht="16.8" x14ac:dyDescent="0.3">
      <c r="A179" s="20">
        <v>17.8</v>
      </c>
      <c r="B179" s="20">
        <v>80</v>
      </c>
      <c r="C179" s="20">
        <v>75</v>
      </c>
      <c r="D179" s="20">
        <v>5</v>
      </c>
      <c r="E179" s="20">
        <v>-0.04</v>
      </c>
      <c r="F179" s="26">
        <v>2550</v>
      </c>
      <c r="Q179" s="20">
        <v>17.899999999999999</v>
      </c>
      <c r="R179" s="20">
        <v>80.63</v>
      </c>
      <c r="S179" s="26">
        <v>80</v>
      </c>
      <c r="T179" s="26">
        <v>-0.63</v>
      </c>
      <c r="U179" s="26">
        <v>0.06</v>
      </c>
      <c r="V179" s="20">
        <v>2257.83</v>
      </c>
    </row>
    <row r="180" spans="1:22" ht="16.8" x14ac:dyDescent="0.3">
      <c r="A180" s="20">
        <v>17.899999999999999</v>
      </c>
      <c r="B180" s="20">
        <v>80</v>
      </c>
      <c r="C180" s="26">
        <v>75.099999999999994</v>
      </c>
      <c r="D180" s="20">
        <v>4.9000000000000004</v>
      </c>
      <c r="E180" s="20">
        <v>-0.1</v>
      </c>
      <c r="F180" s="26">
        <v>2550</v>
      </c>
      <c r="Q180" s="20">
        <v>18</v>
      </c>
      <c r="R180" s="20">
        <v>80.680000000000007</v>
      </c>
      <c r="S180" s="26">
        <v>80</v>
      </c>
      <c r="T180" s="26">
        <v>-0.68</v>
      </c>
      <c r="U180" s="26">
        <v>-0.05</v>
      </c>
      <c r="V180" s="26">
        <v>2152.38</v>
      </c>
    </row>
    <row r="181" spans="1:22" ht="16.8" x14ac:dyDescent="0.3">
      <c r="A181" s="20">
        <v>18</v>
      </c>
      <c r="B181" s="20">
        <v>80</v>
      </c>
      <c r="C181" s="20">
        <v>75.180000000000007</v>
      </c>
      <c r="D181" s="20">
        <v>4.82</v>
      </c>
      <c r="E181" s="20">
        <v>-0.08</v>
      </c>
      <c r="F181" s="26">
        <v>2550</v>
      </c>
      <c r="Q181" s="20">
        <v>18.100000000000001</v>
      </c>
      <c r="R181" s="20">
        <v>80.64</v>
      </c>
      <c r="S181" s="26">
        <v>80</v>
      </c>
      <c r="T181" s="26">
        <v>-0.64</v>
      </c>
      <c r="U181" s="26">
        <v>0.04</v>
      </c>
      <c r="V181" s="20">
        <v>2237.7399999999998</v>
      </c>
    </row>
    <row r="182" spans="1:22" ht="16.8" x14ac:dyDescent="0.3">
      <c r="A182" s="45">
        <v>18.100000000000001</v>
      </c>
      <c r="B182" s="20">
        <v>80</v>
      </c>
      <c r="C182" s="26">
        <v>75.22</v>
      </c>
      <c r="D182" s="20">
        <v>4.78</v>
      </c>
      <c r="E182" s="20">
        <v>-0.04</v>
      </c>
      <c r="F182" s="20">
        <v>2550</v>
      </c>
      <c r="Q182" s="20">
        <v>18.2</v>
      </c>
      <c r="R182" s="20">
        <v>80.69</v>
      </c>
      <c r="S182" s="26">
        <v>80</v>
      </c>
      <c r="T182" s="26">
        <v>-0.69</v>
      </c>
      <c r="U182" s="26">
        <v>-0.06</v>
      </c>
      <c r="V182" s="26">
        <v>2138.12</v>
      </c>
    </row>
    <row r="183" spans="1:22" ht="16.8" x14ac:dyDescent="0.3">
      <c r="A183" s="20">
        <v>18.2</v>
      </c>
      <c r="B183" s="20">
        <v>80</v>
      </c>
      <c r="C183" s="26">
        <v>75.28</v>
      </c>
      <c r="D183" s="20">
        <v>4.72</v>
      </c>
      <c r="E183" s="20">
        <v>-0.06</v>
      </c>
      <c r="F183" s="26">
        <v>2550</v>
      </c>
      <c r="Q183" s="20">
        <v>18.3</v>
      </c>
      <c r="R183" s="20">
        <v>80.66</v>
      </c>
      <c r="S183" s="26">
        <v>80</v>
      </c>
      <c r="T183" s="20">
        <v>-0.66</v>
      </c>
      <c r="U183" s="26">
        <v>0.03</v>
      </c>
      <c r="V183" s="20">
        <v>2222.0100000000002</v>
      </c>
    </row>
    <row r="184" spans="1:22" ht="16.8" x14ac:dyDescent="0.3">
      <c r="A184" s="20">
        <v>18.3</v>
      </c>
      <c r="B184" s="20">
        <v>80</v>
      </c>
      <c r="C184" s="20">
        <v>75.319999999999993</v>
      </c>
      <c r="D184" s="20">
        <v>4.68</v>
      </c>
      <c r="E184" s="20">
        <v>-0.04</v>
      </c>
      <c r="F184" s="20">
        <v>2550</v>
      </c>
      <c r="Q184" s="20">
        <v>18.399999999999999</v>
      </c>
      <c r="R184" s="20">
        <v>80.64</v>
      </c>
      <c r="S184" s="26">
        <v>80</v>
      </c>
      <c r="T184" s="26">
        <v>-0.64</v>
      </c>
      <c r="U184" s="26">
        <v>0.02</v>
      </c>
      <c r="V184" s="26">
        <v>2216.9499999999998</v>
      </c>
    </row>
    <row r="185" spans="1:22" ht="16.8" x14ac:dyDescent="0.3">
      <c r="A185" s="20">
        <v>18.399999999999999</v>
      </c>
      <c r="B185" s="20">
        <v>80</v>
      </c>
      <c r="C185" s="26">
        <v>75.319999999999993</v>
      </c>
      <c r="D185" s="20">
        <v>4.68</v>
      </c>
      <c r="E185" s="20">
        <v>0</v>
      </c>
      <c r="F185" s="26">
        <v>2550</v>
      </c>
      <c r="Q185" s="20">
        <v>18.5</v>
      </c>
      <c r="R185" s="20">
        <v>80.64</v>
      </c>
      <c r="S185" s="26">
        <v>80</v>
      </c>
      <c r="T185" s="20">
        <v>-0.64</v>
      </c>
      <c r="U185" s="26">
        <v>0</v>
      </c>
      <c r="V185" s="20">
        <v>2193.08</v>
      </c>
    </row>
    <row r="186" spans="1:22" ht="16.8" x14ac:dyDescent="0.3">
      <c r="A186" s="20">
        <v>18.5</v>
      </c>
      <c r="B186" s="20">
        <v>80</v>
      </c>
      <c r="C186" s="26">
        <v>75.48</v>
      </c>
      <c r="D186" s="20">
        <v>4.5199999999999996</v>
      </c>
      <c r="E186" s="20">
        <v>-0.15</v>
      </c>
      <c r="F186" s="26">
        <v>2550</v>
      </c>
      <c r="Q186" s="20">
        <v>18.600000000000001</v>
      </c>
      <c r="R186" s="20">
        <v>80.61</v>
      </c>
      <c r="S186" s="26">
        <v>80</v>
      </c>
      <c r="T186" s="26">
        <v>-0.61</v>
      </c>
      <c r="U186" s="26">
        <v>0.03</v>
      </c>
      <c r="V186" s="20">
        <v>2226.0500000000002</v>
      </c>
    </row>
    <row r="187" spans="1:22" ht="16.8" x14ac:dyDescent="0.3">
      <c r="A187" s="20">
        <v>18.600000000000001</v>
      </c>
      <c r="B187" s="20">
        <v>80</v>
      </c>
      <c r="C187" s="20">
        <v>75.5</v>
      </c>
      <c r="D187" s="20">
        <v>4.5</v>
      </c>
      <c r="E187" s="20">
        <v>-0.02</v>
      </c>
      <c r="F187" s="20">
        <v>2550</v>
      </c>
      <c r="Q187" s="20">
        <v>18.7</v>
      </c>
      <c r="R187" s="20">
        <v>80.56</v>
      </c>
      <c r="S187" s="26">
        <v>80</v>
      </c>
      <c r="T187" s="26">
        <v>-0.56000000000000005</v>
      </c>
      <c r="U187" s="26">
        <v>0.05</v>
      </c>
      <c r="V187" s="26">
        <v>2247.37</v>
      </c>
    </row>
    <row r="188" spans="1:22" ht="16.8" x14ac:dyDescent="0.3">
      <c r="A188" s="20">
        <v>18.7</v>
      </c>
      <c r="B188" s="20">
        <v>80</v>
      </c>
      <c r="C188" s="26">
        <v>75.569999999999993</v>
      </c>
      <c r="D188" s="20">
        <v>4.43</v>
      </c>
      <c r="E188" s="20">
        <v>-7.0000000000000007E-2</v>
      </c>
      <c r="F188" s="26">
        <v>2550</v>
      </c>
      <c r="Q188" s="20">
        <v>18.8</v>
      </c>
      <c r="R188" s="20">
        <v>80.61</v>
      </c>
      <c r="S188" s="26">
        <v>80</v>
      </c>
      <c r="T188" s="26">
        <v>-0.61</v>
      </c>
      <c r="U188" s="26">
        <v>-0.05</v>
      </c>
      <c r="V188" s="20">
        <v>2149.4299999999998</v>
      </c>
    </row>
    <row r="189" spans="1:22" ht="16.8" x14ac:dyDescent="0.3">
      <c r="A189" s="20">
        <v>18.8</v>
      </c>
      <c r="B189" s="20">
        <v>80</v>
      </c>
      <c r="C189" s="20">
        <v>75.64</v>
      </c>
      <c r="D189" s="20">
        <v>4.3600000000000003</v>
      </c>
      <c r="E189" s="20">
        <v>-7.0000000000000007E-2</v>
      </c>
      <c r="F189" s="26">
        <v>2550</v>
      </c>
      <c r="Q189" s="20">
        <v>18.899999999999999</v>
      </c>
      <c r="R189" s="20">
        <v>80.59</v>
      </c>
      <c r="S189" s="26">
        <v>80</v>
      </c>
      <c r="T189" s="26">
        <v>-0.59</v>
      </c>
      <c r="U189" s="26">
        <v>0.02</v>
      </c>
      <c r="V189" s="26">
        <v>2208.8200000000002</v>
      </c>
    </row>
    <row r="190" spans="1:22" ht="16.8" x14ac:dyDescent="0.3">
      <c r="A190" s="20">
        <v>18.899999999999999</v>
      </c>
      <c r="B190" s="20">
        <v>80</v>
      </c>
      <c r="C190" s="26">
        <v>75.650000000000006</v>
      </c>
      <c r="D190" s="20">
        <v>4.3499999999999996</v>
      </c>
      <c r="E190" s="20">
        <v>-0.01</v>
      </c>
      <c r="F190" s="26">
        <v>2550</v>
      </c>
      <c r="Q190" s="20">
        <v>19</v>
      </c>
      <c r="R190" s="20">
        <v>80.58</v>
      </c>
      <c r="S190" s="26">
        <v>80</v>
      </c>
      <c r="T190" s="26">
        <v>-0.57999999999999996</v>
      </c>
      <c r="U190" s="26">
        <v>0.01</v>
      </c>
      <c r="V190" s="20">
        <v>2201.13</v>
      </c>
    </row>
    <row r="191" spans="1:22" ht="16.8" x14ac:dyDescent="0.3">
      <c r="A191" s="20">
        <v>19</v>
      </c>
      <c r="B191" s="20">
        <v>80</v>
      </c>
      <c r="C191" s="26">
        <v>75.739999999999995</v>
      </c>
      <c r="D191" s="20">
        <v>4.26</v>
      </c>
      <c r="E191" s="20">
        <v>-0.09</v>
      </c>
      <c r="F191" s="26">
        <v>2550</v>
      </c>
      <c r="Q191" s="20">
        <v>19.100000000000001</v>
      </c>
      <c r="R191" s="20">
        <v>80.53</v>
      </c>
      <c r="S191" s="26">
        <v>80</v>
      </c>
      <c r="T191" s="20">
        <v>-0.53</v>
      </c>
      <c r="U191" s="20">
        <v>0.05</v>
      </c>
      <c r="V191" s="26">
        <v>2244.4299999999998</v>
      </c>
    </row>
    <row r="192" spans="1:22" ht="16.8" x14ac:dyDescent="0.3">
      <c r="A192" s="20">
        <v>19.100000000000001</v>
      </c>
      <c r="B192" s="20">
        <v>80</v>
      </c>
      <c r="C192" s="20">
        <v>75.83</v>
      </c>
      <c r="D192" s="20">
        <v>4.17</v>
      </c>
      <c r="E192" s="20">
        <v>-0.08</v>
      </c>
      <c r="F192" s="26">
        <v>2550</v>
      </c>
      <c r="Q192" s="20">
        <v>19.2</v>
      </c>
      <c r="R192" s="20">
        <v>80.58</v>
      </c>
      <c r="S192" s="26">
        <v>80</v>
      </c>
      <c r="T192" s="26">
        <v>-0.57999999999999996</v>
      </c>
      <c r="U192" s="26">
        <v>-0.05</v>
      </c>
      <c r="V192" s="20">
        <v>2146.5700000000002</v>
      </c>
    </row>
    <row r="193" spans="1:22" ht="16.8" x14ac:dyDescent="0.3">
      <c r="A193" s="20">
        <v>19.2</v>
      </c>
      <c r="B193" s="20">
        <v>80</v>
      </c>
      <c r="C193" s="26">
        <v>75.88</v>
      </c>
      <c r="D193" s="20">
        <v>4.12</v>
      </c>
      <c r="E193" s="20">
        <v>-0.05</v>
      </c>
      <c r="F193" s="26">
        <v>2550</v>
      </c>
      <c r="Q193" s="20">
        <v>19.3</v>
      </c>
      <c r="R193" s="20">
        <v>80.53</v>
      </c>
      <c r="S193" s="26">
        <v>80</v>
      </c>
      <c r="T193" s="26">
        <v>-0.53</v>
      </c>
      <c r="U193" s="26">
        <v>0.06</v>
      </c>
      <c r="V193" s="26">
        <v>2249.73</v>
      </c>
    </row>
    <row r="194" spans="1:22" ht="16.8" x14ac:dyDescent="0.3">
      <c r="A194" s="20">
        <v>19.3</v>
      </c>
      <c r="B194" s="20">
        <v>80</v>
      </c>
      <c r="C194" s="20">
        <v>75.92</v>
      </c>
      <c r="D194" s="20">
        <v>4.08</v>
      </c>
      <c r="E194" s="20">
        <v>-0.05</v>
      </c>
      <c r="F194" s="26">
        <v>2550</v>
      </c>
      <c r="Q194" s="20">
        <v>19.399999999999999</v>
      </c>
      <c r="R194" s="20">
        <v>80.58</v>
      </c>
      <c r="S194" s="26">
        <v>80</v>
      </c>
      <c r="T194" s="26">
        <v>-0.57999999999999996</v>
      </c>
      <c r="U194" s="26">
        <v>-0.06</v>
      </c>
      <c r="V194" s="20">
        <v>2135.8200000000002</v>
      </c>
    </row>
    <row r="195" spans="1:22" ht="16.8" x14ac:dyDescent="0.3">
      <c r="A195" s="20">
        <v>19.399999999999999</v>
      </c>
      <c r="B195" s="20">
        <v>80</v>
      </c>
      <c r="C195" s="26">
        <v>75.97</v>
      </c>
      <c r="D195" s="20">
        <v>4.03</v>
      </c>
      <c r="E195" s="20">
        <v>-0.04</v>
      </c>
      <c r="F195" s="26">
        <v>2550</v>
      </c>
      <c r="Q195" s="20">
        <v>19.5</v>
      </c>
      <c r="R195" s="20">
        <v>80.53</v>
      </c>
      <c r="S195" s="26">
        <v>80</v>
      </c>
      <c r="T195" s="26">
        <v>-0.53</v>
      </c>
      <c r="U195" s="26">
        <v>0.06</v>
      </c>
      <c r="V195" s="26">
        <v>2246.3000000000002</v>
      </c>
    </row>
    <row r="196" spans="1:22" ht="16.8" x14ac:dyDescent="0.3">
      <c r="A196" s="20">
        <v>19.5</v>
      </c>
      <c r="B196" s="20">
        <v>80</v>
      </c>
      <c r="C196" s="26">
        <v>76.040000000000006</v>
      </c>
      <c r="D196" s="20">
        <v>3.96</v>
      </c>
      <c r="E196" s="20">
        <v>-7.0000000000000007E-2</v>
      </c>
      <c r="F196" s="26">
        <v>2550</v>
      </c>
      <c r="Q196" s="20">
        <v>19.600000000000001</v>
      </c>
      <c r="R196" s="20">
        <v>80.53</v>
      </c>
      <c r="S196" s="26">
        <v>80</v>
      </c>
      <c r="T196" s="20">
        <v>-0.53</v>
      </c>
      <c r="U196" s="26">
        <v>-0.01</v>
      </c>
      <c r="V196" s="20">
        <v>2184.8000000000002</v>
      </c>
    </row>
    <row r="197" spans="1:22" ht="16.8" x14ac:dyDescent="0.3">
      <c r="A197" s="20">
        <v>19.600000000000001</v>
      </c>
      <c r="B197" s="20">
        <v>80</v>
      </c>
      <c r="C197" s="20">
        <v>76.14</v>
      </c>
      <c r="D197" s="20">
        <v>3.86</v>
      </c>
      <c r="E197" s="20">
        <v>-0.1</v>
      </c>
      <c r="F197" s="26">
        <v>2550</v>
      </c>
      <c r="Q197" s="20">
        <v>19.7</v>
      </c>
      <c r="R197" s="20">
        <v>80.53</v>
      </c>
      <c r="S197" s="26">
        <v>80</v>
      </c>
      <c r="T197" s="26">
        <v>-0.53</v>
      </c>
      <c r="U197" s="26">
        <v>0</v>
      </c>
      <c r="V197" s="26">
        <v>2190.46</v>
      </c>
    </row>
    <row r="198" spans="1:22" ht="16.8" x14ac:dyDescent="0.3">
      <c r="A198" s="20">
        <v>19.7</v>
      </c>
      <c r="B198" s="20">
        <v>80</v>
      </c>
      <c r="C198" s="26">
        <v>76.17</v>
      </c>
      <c r="D198" s="20">
        <v>3.83</v>
      </c>
      <c r="E198" s="20">
        <v>-0.03</v>
      </c>
      <c r="F198" s="26">
        <v>2550</v>
      </c>
      <c r="Q198" s="20">
        <v>19.8</v>
      </c>
      <c r="R198" s="20">
        <v>80.53</v>
      </c>
      <c r="S198" s="26">
        <v>80</v>
      </c>
      <c r="T198" s="20">
        <v>-0.53</v>
      </c>
      <c r="U198" s="26">
        <v>0.01</v>
      </c>
      <c r="V198" s="20">
        <v>2197.56</v>
      </c>
    </row>
    <row r="199" spans="1:22" ht="16.8" x14ac:dyDescent="0.3">
      <c r="A199" s="20">
        <v>19.8</v>
      </c>
      <c r="B199" s="20">
        <v>80</v>
      </c>
      <c r="C199" s="26">
        <v>76.23</v>
      </c>
      <c r="D199" s="20">
        <v>3.77</v>
      </c>
      <c r="E199" s="20">
        <v>-0.06</v>
      </c>
      <c r="F199" s="26">
        <v>2550</v>
      </c>
      <c r="Q199" s="20">
        <v>19.899999999999999</v>
      </c>
      <c r="R199" s="20">
        <v>80.52</v>
      </c>
      <c r="S199" s="26">
        <v>80</v>
      </c>
      <c r="T199" s="26">
        <v>-0.52</v>
      </c>
      <c r="U199" s="26">
        <v>0.01</v>
      </c>
      <c r="V199" s="20">
        <v>2197.35</v>
      </c>
    </row>
    <row r="200" spans="1:22" ht="16.8" x14ac:dyDescent="0.3">
      <c r="A200" s="20">
        <v>19.899999999999999</v>
      </c>
      <c r="B200" s="20">
        <v>80</v>
      </c>
      <c r="C200" s="20">
        <v>76.31</v>
      </c>
      <c r="D200" s="20">
        <v>3.69</v>
      </c>
      <c r="E200" s="20">
        <v>-0.08</v>
      </c>
      <c r="F200" s="20">
        <v>2550</v>
      </c>
      <c r="Q200" s="20">
        <v>20</v>
      </c>
      <c r="R200" s="20">
        <v>80.489999999999995</v>
      </c>
      <c r="S200" s="26">
        <v>80</v>
      </c>
      <c r="T200" s="26">
        <v>-0.49</v>
      </c>
      <c r="U200" s="26">
        <v>0.02</v>
      </c>
      <c r="V200" s="26">
        <v>2214.65</v>
      </c>
    </row>
    <row r="201" spans="1:22" ht="16.8" x14ac:dyDescent="0.3">
      <c r="A201" s="20">
        <v>20</v>
      </c>
      <c r="B201" s="20">
        <v>80</v>
      </c>
      <c r="C201" s="26">
        <v>76.39</v>
      </c>
      <c r="D201" s="20">
        <v>3.61</v>
      </c>
      <c r="E201" s="20">
        <v>-0.08</v>
      </c>
      <c r="F201" s="26">
        <v>2550</v>
      </c>
      <c r="Q201" s="20">
        <v>20.100000000000001</v>
      </c>
      <c r="R201" s="20">
        <v>80.459999999999994</v>
      </c>
      <c r="S201" s="26">
        <v>80</v>
      </c>
      <c r="T201" s="26">
        <v>-0.46</v>
      </c>
      <c r="U201" s="26">
        <v>0.03</v>
      </c>
      <c r="V201" s="20">
        <v>2226.17</v>
      </c>
    </row>
    <row r="202" spans="1:22" ht="16.8" x14ac:dyDescent="0.3">
      <c r="A202" s="20">
        <v>20.100000000000001</v>
      </c>
      <c r="B202" s="20">
        <v>80</v>
      </c>
      <c r="C202" s="20">
        <v>76.44</v>
      </c>
      <c r="D202" s="20">
        <v>3.56</v>
      </c>
      <c r="E202" s="20">
        <v>-0.05</v>
      </c>
      <c r="F202" s="26">
        <v>2550</v>
      </c>
      <c r="Q202" s="20">
        <v>20.2</v>
      </c>
      <c r="R202" s="20">
        <v>80.489999999999995</v>
      </c>
      <c r="S202" s="26">
        <v>80</v>
      </c>
      <c r="T202" s="26">
        <v>-0.49</v>
      </c>
      <c r="U202" s="26">
        <v>-0.03</v>
      </c>
      <c r="V202" s="26">
        <v>2160.58</v>
      </c>
    </row>
    <row r="203" spans="1:22" ht="16.8" x14ac:dyDescent="0.3">
      <c r="A203" s="20">
        <v>20.2</v>
      </c>
      <c r="B203" s="20">
        <v>80</v>
      </c>
      <c r="C203" s="26">
        <v>76.5</v>
      </c>
      <c r="D203" s="20">
        <v>3.5</v>
      </c>
      <c r="E203" s="20">
        <v>-0.06</v>
      </c>
      <c r="F203" s="26">
        <v>2550</v>
      </c>
      <c r="Q203" s="20">
        <v>20.3</v>
      </c>
      <c r="R203" s="20">
        <v>80.45</v>
      </c>
      <c r="S203" s="26">
        <v>80</v>
      </c>
      <c r="T203" s="20">
        <v>-0.45</v>
      </c>
      <c r="U203" s="26">
        <v>0.04</v>
      </c>
      <c r="V203" s="20">
        <v>2231.9499999999998</v>
      </c>
    </row>
    <row r="204" spans="1:22" ht="16.8" x14ac:dyDescent="0.3">
      <c r="A204" s="20">
        <v>20.3</v>
      </c>
      <c r="B204" s="20">
        <v>80</v>
      </c>
      <c r="C204" s="26">
        <v>76.52</v>
      </c>
      <c r="D204" s="20">
        <v>3.48</v>
      </c>
      <c r="E204" s="20">
        <v>-0.02</v>
      </c>
      <c r="F204" s="26">
        <v>2550</v>
      </c>
      <c r="Q204" s="20">
        <v>20.399999999999999</v>
      </c>
      <c r="R204" s="20">
        <v>80.489999999999995</v>
      </c>
      <c r="S204" s="26">
        <v>80</v>
      </c>
      <c r="T204" s="26">
        <v>-0.49</v>
      </c>
      <c r="U204" s="26">
        <v>-0.04</v>
      </c>
      <c r="V204" s="26">
        <v>2150.35</v>
      </c>
    </row>
    <row r="205" spans="1:22" ht="16.8" x14ac:dyDescent="0.3">
      <c r="A205" s="20">
        <v>20.399999999999999</v>
      </c>
      <c r="B205" s="20">
        <v>80</v>
      </c>
      <c r="C205" s="20">
        <v>76.56</v>
      </c>
      <c r="D205" s="20">
        <v>3.44</v>
      </c>
      <c r="E205" s="20">
        <v>-0.04</v>
      </c>
      <c r="F205" s="20">
        <v>2550</v>
      </c>
      <c r="Q205" s="20">
        <v>20.5</v>
      </c>
      <c r="R205" s="20">
        <v>80.47</v>
      </c>
      <c r="S205" s="26">
        <v>80</v>
      </c>
      <c r="T205" s="20">
        <v>-0.47</v>
      </c>
      <c r="U205" s="26">
        <v>0.02</v>
      </c>
      <c r="V205" s="20">
        <v>2211.5500000000002</v>
      </c>
    </row>
    <row r="206" spans="1:22" ht="16.8" x14ac:dyDescent="0.3">
      <c r="A206" s="20">
        <v>20.5</v>
      </c>
      <c r="B206" s="20">
        <v>80</v>
      </c>
      <c r="C206" s="26">
        <v>76.650000000000006</v>
      </c>
      <c r="D206" s="20">
        <v>3.35</v>
      </c>
      <c r="E206" s="20">
        <v>-0.08</v>
      </c>
      <c r="F206" s="26">
        <v>2550</v>
      </c>
      <c r="Q206" s="20">
        <v>20.6</v>
      </c>
      <c r="R206" s="20">
        <v>80.5</v>
      </c>
      <c r="S206" s="26">
        <v>80</v>
      </c>
      <c r="T206" s="26">
        <v>-0.5</v>
      </c>
      <c r="U206" s="26">
        <v>-0.03</v>
      </c>
      <c r="V206" s="20">
        <v>2153.23</v>
      </c>
    </row>
    <row r="207" spans="1:22" ht="16.8" x14ac:dyDescent="0.3">
      <c r="A207" s="20">
        <v>20.6</v>
      </c>
      <c r="B207" s="20">
        <v>80</v>
      </c>
      <c r="C207" s="20">
        <v>76.709999999999994</v>
      </c>
      <c r="D207" s="20">
        <v>3.29</v>
      </c>
      <c r="E207" s="20">
        <v>-0.06</v>
      </c>
      <c r="F207" s="20">
        <v>2550</v>
      </c>
      <c r="Q207" s="20">
        <v>20.7</v>
      </c>
      <c r="R207" s="20">
        <v>80.5</v>
      </c>
      <c r="S207" s="26">
        <v>80</v>
      </c>
      <c r="T207" s="26">
        <v>-0.5</v>
      </c>
      <c r="U207" s="26">
        <v>0</v>
      </c>
      <c r="V207" s="26">
        <v>2180.89</v>
      </c>
    </row>
    <row r="208" spans="1:22" ht="16.8" x14ac:dyDescent="0.3">
      <c r="A208" s="20">
        <v>20.7</v>
      </c>
      <c r="B208" s="20">
        <v>80</v>
      </c>
      <c r="C208" s="26">
        <v>76.77</v>
      </c>
      <c r="D208" s="20">
        <v>3.23</v>
      </c>
      <c r="E208" s="20">
        <v>-0.06</v>
      </c>
      <c r="F208" s="26">
        <v>2550</v>
      </c>
      <c r="Q208" s="20">
        <v>20.8</v>
      </c>
      <c r="R208" s="20">
        <v>80.41</v>
      </c>
      <c r="S208" s="26">
        <v>80</v>
      </c>
      <c r="T208" s="26">
        <v>-0.41</v>
      </c>
      <c r="U208" s="26">
        <v>0.09</v>
      </c>
      <c r="V208" s="20">
        <v>2275.42</v>
      </c>
    </row>
    <row r="209" spans="1:22" ht="16.8" x14ac:dyDescent="0.3">
      <c r="A209" s="20">
        <v>20.8</v>
      </c>
      <c r="B209" s="20">
        <v>80</v>
      </c>
      <c r="C209" s="26">
        <v>76.86</v>
      </c>
      <c r="D209" s="20">
        <v>3.14</v>
      </c>
      <c r="E209" s="20">
        <v>-0.1</v>
      </c>
      <c r="F209" s="26">
        <v>2550</v>
      </c>
      <c r="Q209" s="20">
        <v>20.9</v>
      </c>
      <c r="R209" s="20">
        <v>80.400000000000006</v>
      </c>
      <c r="S209" s="26">
        <v>80</v>
      </c>
      <c r="T209" s="26">
        <v>-0.4</v>
      </c>
      <c r="U209" s="26">
        <v>0.01</v>
      </c>
      <c r="V209" s="26">
        <v>2202.58</v>
      </c>
    </row>
    <row r="210" spans="1:22" ht="16.8" x14ac:dyDescent="0.3">
      <c r="A210" s="20">
        <v>20.9</v>
      </c>
      <c r="B210" s="20">
        <v>80</v>
      </c>
      <c r="C210" s="20">
        <v>76.930000000000007</v>
      </c>
      <c r="D210" s="20">
        <v>3.07</v>
      </c>
      <c r="E210" s="20">
        <v>-0.06</v>
      </c>
      <c r="F210" s="20">
        <v>2550</v>
      </c>
      <c r="Q210" s="20">
        <v>21</v>
      </c>
      <c r="R210" s="20">
        <v>80.44</v>
      </c>
      <c r="S210" s="26">
        <v>80</v>
      </c>
      <c r="T210" s="26">
        <v>-0.44</v>
      </c>
      <c r="U210" s="26">
        <v>-0.04</v>
      </c>
      <c r="V210" s="20">
        <v>2150.34</v>
      </c>
    </row>
    <row r="211" spans="1:22" ht="16.8" x14ac:dyDescent="0.3">
      <c r="A211" s="20">
        <v>21</v>
      </c>
      <c r="B211" s="20">
        <v>80</v>
      </c>
      <c r="C211" s="26">
        <v>76.97</v>
      </c>
      <c r="D211" s="20">
        <v>3.03</v>
      </c>
      <c r="E211" s="20">
        <v>-0.04</v>
      </c>
      <c r="F211" s="26">
        <v>2550</v>
      </c>
      <c r="Q211" s="20">
        <v>21.1</v>
      </c>
      <c r="R211" s="20">
        <v>80.33</v>
      </c>
      <c r="S211" s="26">
        <v>80</v>
      </c>
      <c r="T211" s="20">
        <v>-0.33</v>
      </c>
      <c r="U211" s="26">
        <v>0.11</v>
      </c>
      <c r="V211" s="26">
        <v>2307.7600000000002</v>
      </c>
    </row>
    <row r="212" spans="1:22" ht="16.8" x14ac:dyDescent="0.3">
      <c r="A212" s="20">
        <v>21.1</v>
      </c>
      <c r="B212" s="20">
        <v>80</v>
      </c>
      <c r="C212" s="26">
        <v>77.05</v>
      </c>
      <c r="D212" s="20">
        <v>2.95</v>
      </c>
      <c r="E212" s="20">
        <v>-0.08</v>
      </c>
      <c r="F212" s="20">
        <v>2608.7399999999998</v>
      </c>
      <c r="Q212" s="20">
        <v>21.2</v>
      </c>
      <c r="R212" s="20">
        <v>80.349999999999994</v>
      </c>
      <c r="S212" s="26">
        <v>80</v>
      </c>
      <c r="T212" s="26">
        <v>-0.35</v>
      </c>
      <c r="U212" s="26">
        <v>-0.02</v>
      </c>
      <c r="V212" s="20">
        <v>2187.0500000000002</v>
      </c>
    </row>
    <row r="213" spans="1:22" ht="16.8" x14ac:dyDescent="0.3">
      <c r="A213" s="20">
        <v>21.2</v>
      </c>
      <c r="B213" s="20">
        <v>80</v>
      </c>
      <c r="C213" s="20">
        <v>77.09</v>
      </c>
      <c r="D213" s="20">
        <v>2.91</v>
      </c>
      <c r="E213" s="20">
        <v>-0.04</v>
      </c>
      <c r="F213" s="26">
        <v>2638.38</v>
      </c>
      <c r="Q213" s="20">
        <v>21.3</v>
      </c>
      <c r="R213" s="20">
        <v>80.400000000000006</v>
      </c>
      <c r="S213" s="26">
        <v>80</v>
      </c>
      <c r="T213" s="26">
        <v>-0.4</v>
      </c>
      <c r="U213" s="26">
        <v>-0.05</v>
      </c>
      <c r="V213" s="26">
        <v>2148.16</v>
      </c>
    </row>
    <row r="214" spans="1:22" ht="16.8" x14ac:dyDescent="0.3">
      <c r="A214" s="20">
        <v>21.3</v>
      </c>
      <c r="B214" s="20">
        <v>80</v>
      </c>
      <c r="C214" s="26">
        <v>77.12</v>
      </c>
      <c r="D214" s="20">
        <v>2.88</v>
      </c>
      <c r="E214" s="20">
        <v>-0.03</v>
      </c>
      <c r="F214" s="26">
        <v>2613.34</v>
      </c>
      <c r="Q214" s="20">
        <v>21.4</v>
      </c>
      <c r="R214" s="20">
        <v>80.38</v>
      </c>
      <c r="S214" s="26">
        <v>80</v>
      </c>
      <c r="T214" s="26">
        <v>-0.38</v>
      </c>
      <c r="U214" s="26">
        <v>0.02</v>
      </c>
      <c r="V214" s="20">
        <v>2208.1999999999998</v>
      </c>
    </row>
    <row r="215" spans="1:22" ht="16.8" x14ac:dyDescent="0.3">
      <c r="A215" s="20">
        <v>21.4</v>
      </c>
      <c r="B215" s="20">
        <v>80</v>
      </c>
      <c r="C215" s="20">
        <v>77.16</v>
      </c>
      <c r="D215" s="20">
        <v>2.84</v>
      </c>
      <c r="E215" s="20">
        <v>-0.05</v>
      </c>
      <c r="F215" s="26">
        <v>2654.99</v>
      </c>
      <c r="Q215" s="20">
        <v>21.5</v>
      </c>
      <c r="R215" s="20">
        <v>80.319999999999993</v>
      </c>
      <c r="S215" s="26">
        <v>80</v>
      </c>
      <c r="T215" s="26">
        <v>-0.32</v>
      </c>
      <c r="U215" s="26">
        <v>0.06</v>
      </c>
      <c r="V215" s="26">
        <v>2262.3200000000002</v>
      </c>
    </row>
    <row r="216" spans="1:22" ht="16.8" x14ac:dyDescent="0.3">
      <c r="A216" s="20">
        <v>21.5</v>
      </c>
      <c r="B216" s="20">
        <v>80</v>
      </c>
      <c r="C216" s="26">
        <v>77.27</v>
      </c>
      <c r="D216" s="20">
        <v>2.73</v>
      </c>
      <c r="E216" s="20">
        <v>-0.1</v>
      </c>
      <c r="F216" s="26">
        <v>2760.05</v>
      </c>
      <c r="Q216" s="20">
        <v>21.6</v>
      </c>
      <c r="R216" s="20">
        <v>80.34</v>
      </c>
      <c r="S216" s="26">
        <v>80</v>
      </c>
      <c r="T216" s="20">
        <v>-0.34</v>
      </c>
      <c r="U216" s="26">
        <v>-0.02</v>
      </c>
      <c r="V216" s="20">
        <v>2176.7199999999998</v>
      </c>
    </row>
    <row r="217" spans="1:22" ht="16.8" x14ac:dyDescent="0.3">
      <c r="A217" s="20">
        <v>21.6</v>
      </c>
      <c r="B217" s="20">
        <v>80</v>
      </c>
      <c r="C217" s="26">
        <v>77.36</v>
      </c>
      <c r="D217" s="20">
        <v>2.64</v>
      </c>
      <c r="E217" s="20">
        <v>-0.09</v>
      </c>
      <c r="F217" s="26">
        <v>2735.2</v>
      </c>
      <c r="Q217" s="20">
        <v>21.7</v>
      </c>
      <c r="R217" s="20">
        <v>80.319999999999993</v>
      </c>
      <c r="S217" s="26">
        <v>80</v>
      </c>
      <c r="T217" s="26">
        <v>-0.32</v>
      </c>
      <c r="U217" s="26">
        <v>0.02</v>
      </c>
      <c r="V217" s="26">
        <v>2215.04</v>
      </c>
    </row>
    <row r="218" spans="1:22" ht="16.8" x14ac:dyDescent="0.3">
      <c r="A218" s="20">
        <v>21.7</v>
      </c>
      <c r="B218" s="20">
        <v>80</v>
      </c>
      <c r="C218" s="20">
        <v>77.36</v>
      </c>
      <c r="D218" s="20">
        <v>2.64</v>
      </c>
      <c r="E218" s="20">
        <v>0</v>
      </c>
      <c r="F218" s="26">
        <v>2560.0300000000002</v>
      </c>
      <c r="Q218" s="20">
        <v>21.8</v>
      </c>
      <c r="R218" s="20">
        <v>80.37</v>
      </c>
      <c r="S218" s="26">
        <v>80</v>
      </c>
      <c r="T218" s="26">
        <v>-0.37</v>
      </c>
      <c r="U218" s="26">
        <v>-0.05</v>
      </c>
      <c r="V218" s="20">
        <v>2147.0100000000002</v>
      </c>
    </row>
    <row r="219" spans="1:22" ht="16.8" x14ac:dyDescent="0.3">
      <c r="A219" s="20">
        <v>21.8</v>
      </c>
      <c r="B219" s="20">
        <v>80</v>
      </c>
      <c r="C219" s="26">
        <v>77.430000000000007</v>
      </c>
      <c r="D219" s="20">
        <v>2.57</v>
      </c>
      <c r="E219" s="20">
        <v>-7.0000000000000007E-2</v>
      </c>
      <c r="F219" s="26">
        <v>2710.29</v>
      </c>
      <c r="Q219" s="20">
        <v>21.9</v>
      </c>
      <c r="R219" s="20">
        <v>80.3</v>
      </c>
      <c r="S219" s="26">
        <v>80</v>
      </c>
      <c r="T219" s="26">
        <v>-0.3</v>
      </c>
      <c r="U219" s="26">
        <v>7.0000000000000007E-2</v>
      </c>
      <c r="V219" s="20">
        <v>2268.3000000000002</v>
      </c>
    </row>
    <row r="220" spans="1:22" ht="16.8" x14ac:dyDescent="0.3">
      <c r="A220" s="20">
        <v>21.9</v>
      </c>
      <c r="B220" s="20">
        <v>80</v>
      </c>
      <c r="C220" s="20">
        <v>77.48</v>
      </c>
      <c r="D220" s="20">
        <v>2.52</v>
      </c>
      <c r="E220" s="20">
        <v>-0.05</v>
      </c>
      <c r="F220" s="26">
        <v>2664.49</v>
      </c>
      <c r="Q220" s="20">
        <v>22</v>
      </c>
      <c r="R220" s="20">
        <v>80.3</v>
      </c>
      <c r="S220" s="26">
        <v>80</v>
      </c>
      <c r="T220" s="26">
        <v>-0.3</v>
      </c>
      <c r="U220" s="26">
        <v>0</v>
      </c>
      <c r="V220" s="26">
        <v>2201.65</v>
      </c>
    </row>
    <row r="221" spans="1:22" ht="16.8" x14ac:dyDescent="0.3">
      <c r="A221" s="20">
        <v>22</v>
      </c>
      <c r="B221" s="20">
        <v>80</v>
      </c>
      <c r="C221" s="26">
        <v>77.59</v>
      </c>
      <c r="D221" s="20">
        <v>2.41</v>
      </c>
      <c r="E221" s="20">
        <v>-0.1</v>
      </c>
      <c r="F221" s="26">
        <v>2781.16</v>
      </c>
      <c r="Q221" s="20">
        <v>22.1</v>
      </c>
      <c r="R221" s="20">
        <v>80.28</v>
      </c>
      <c r="S221" s="26">
        <v>80</v>
      </c>
      <c r="T221" s="26">
        <v>-0.28000000000000003</v>
      </c>
      <c r="U221" s="26">
        <v>0.02</v>
      </c>
      <c r="V221" s="20">
        <v>2226.94</v>
      </c>
    </row>
    <row r="222" spans="1:22" ht="16.8" x14ac:dyDescent="0.3">
      <c r="A222" s="20">
        <v>22.1</v>
      </c>
      <c r="B222" s="20">
        <v>80</v>
      </c>
      <c r="C222" s="26">
        <v>77.58</v>
      </c>
      <c r="D222" s="20">
        <v>2.42</v>
      </c>
      <c r="E222" s="20">
        <v>0</v>
      </c>
      <c r="F222" s="26">
        <v>2561.15</v>
      </c>
      <c r="Q222" s="20">
        <v>22.2</v>
      </c>
      <c r="R222" s="20">
        <v>80.28</v>
      </c>
      <c r="S222" s="26">
        <v>80</v>
      </c>
      <c r="T222" s="26">
        <v>-0.28000000000000003</v>
      </c>
      <c r="U222" s="26">
        <v>0</v>
      </c>
      <c r="V222" s="26">
        <v>2204.1799999999998</v>
      </c>
    </row>
    <row r="223" spans="1:22" ht="16.8" x14ac:dyDescent="0.3">
      <c r="A223" s="20">
        <v>22.2</v>
      </c>
      <c r="B223" s="20">
        <v>80</v>
      </c>
      <c r="C223" s="20">
        <v>77.680000000000007</v>
      </c>
      <c r="D223" s="20">
        <v>2.3199999999999998</v>
      </c>
      <c r="E223" s="20">
        <v>-0.1</v>
      </c>
      <c r="F223" s="26">
        <v>2786.01</v>
      </c>
      <c r="Q223" s="20">
        <v>22.3</v>
      </c>
      <c r="R223" s="20">
        <v>80.25</v>
      </c>
      <c r="S223" s="26">
        <v>80</v>
      </c>
      <c r="T223" s="20">
        <v>-0.25</v>
      </c>
      <c r="U223" s="26">
        <v>0.02</v>
      </c>
      <c r="V223" s="20">
        <v>2229.52</v>
      </c>
    </row>
    <row r="224" spans="1:22" ht="16.8" x14ac:dyDescent="0.3">
      <c r="A224" s="20">
        <v>22.3</v>
      </c>
      <c r="B224" s="20">
        <v>80</v>
      </c>
      <c r="C224" s="26">
        <v>77.73</v>
      </c>
      <c r="D224" s="20">
        <v>2.27</v>
      </c>
      <c r="E224" s="20">
        <v>-0.05</v>
      </c>
      <c r="F224" s="26">
        <v>2682.26</v>
      </c>
      <c r="Q224" s="20">
        <v>22.4</v>
      </c>
      <c r="R224" s="20">
        <v>80.260000000000005</v>
      </c>
      <c r="S224" s="26">
        <v>80</v>
      </c>
      <c r="T224" s="26">
        <v>-0.26</v>
      </c>
      <c r="U224" s="26">
        <v>-0.01</v>
      </c>
      <c r="V224" s="26">
        <v>2198.11</v>
      </c>
    </row>
    <row r="225" spans="1:22" ht="16.8" x14ac:dyDescent="0.3">
      <c r="A225" s="20">
        <v>22.4</v>
      </c>
      <c r="B225" s="20">
        <v>80</v>
      </c>
      <c r="C225" s="26">
        <v>77.8</v>
      </c>
      <c r="D225" s="20">
        <v>2.2000000000000002</v>
      </c>
      <c r="E225" s="20">
        <v>-7.0000000000000007E-2</v>
      </c>
      <c r="F225" s="20">
        <v>2724.18</v>
      </c>
      <c r="Q225" s="20">
        <v>22.5</v>
      </c>
      <c r="R225" s="20">
        <v>80.209999999999994</v>
      </c>
      <c r="S225" s="26">
        <v>80</v>
      </c>
      <c r="T225" s="26">
        <v>-0.21</v>
      </c>
      <c r="U225" s="26">
        <v>0.05</v>
      </c>
      <c r="V225" s="20">
        <v>2257.0100000000002</v>
      </c>
    </row>
    <row r="226" spans="1:22" ht="16.8" x14ac:dyDescent="0.3">
      <c r="A226" s="20">
        <v>22.5</v>
      </c>
      <c r="B226" s="20">
        <v>80</v>
      </c>
      <c r="C226" s="20">
        <v>77.88</v>
      </c>
      <c r="D226" s="20">
        <v>2.12</v>
      </c>
      <c r="E226" s="20">
        <v>-0.08</v>
      </c>
      <c r="F226" s="26">
        <v>2732.47</v>
      </c>
      <c r="Q226" s="20">
        <v>22.6</v>
      </c>
      <c r="R226" s="20">
        <v>80.260000000000005</v>
      </c>
      <c r="S226" s="26">
        <v>80</v>
      </c>
      <c r="T226" s="26">
        <v>-0.26</v>
      </c>
      <c r="U226" s="26">
        <v>-0.05</v>
      </c>
      <c r="V226" s="26">
        <v>2160.16</v>
      </c>
    </row>
    <row r="227" spans="1:22" ht="16.8" x14ac:dyDescent="0.3">
      <c r="A227" s="20">
        <v>22.6</v>
      </c>
      <c r="B227" s="20">
        <v>80</v>
      </c>
      <c r="C227" s="26">
        <v>77.959999999999994</v>
      </c>
      <c r="D227" s="20">
        <v>2.04</v>
      </c>
      <c r="E227" s="20">
        <v>-0.08</v>
      </c>
      <c r="F227" s="26">
        <v>2732.9</v>
      </c>
      <c r="Q227" s="20">
        <v>22.7</v>
      </c>
      <c r="R227" s="20">
        <v>80.23</v>
      </c>
      <c r="S227" s="26">
        <v>80</v>
      </c>
      <c r="T227" s="26">
        <v>-0.23</v>
      </c>
      <c r="U227" s="26">
        <v>0.03</v>
      </c>
      <c r="V227" s="20">
        <v>2238.08</v>
      </c>
    </row>
    <row r="228" spans="1:22" ht="16.8" x14ac:dyDescent="0.3">
      <c r="A228" s="20">
        <v>22.7</v>
      </c>
      <c r="B228" s="20">
        <v>80</v>
      </c>
      <c r="C228" s="20">
        <v>78.02</v>
      </c>
      <c r="D228" s="20">
        <v>1.98</v>
      </c>
      <c r="E228" s="20">
        <v>-0.06</v>
      </c>
      <c r="F228" s="26">
        <v>2689.41</v>
      </c>
      <c r="Q228" s="20">
        <v>22.8</v>
      </c>
      <c r="R228" s="20">
        <v>80.239999999999995</v>
      </c>
      <c r="S228" s="26">
        <v>80</v>
      </c>
      <c r="T228" s="26">
        <v>-0.24</v>
      </c>
      <c r="U228" s="26">
        <v>-0.01</v>
      </c>
      <c r="V228" s="20">
        <v>2199.4499999999998</v>
      </c>
    </row>
    <row r="229" spans="1:22" ht="16.8" x14ac:dyDescent="0.3">
      <c r="A229" s="20">
        <v>22.8</v>
      </c>
      <c r="B229" s="20">
        <v>80</v>
      </c>
      <c r="C229" s="26">
        <v>78.05</v>
      </c>
      <c r="D229" s="20">
        <v>1.95</v>
      </c>
      <c r="E229" s="20">
        <v>-0.03</v>
      </c>
      <c r="F229" s="26">
        <v>2618.9299999999998</v>
      </c>
      <c r="Q229" s="20">
        <v>22.9</v>
      </c>
      <c r="R229" s="20">
        <v>80.19</v>
      </c>
      <c r="S229" s="26">
        <v>80</v>
      </c>
      <c r="T229" s="26">
        <v>-0.19</v>
      </c>
      <c r="U229" s="26">
        <v>0.05</v>
      </c>
      <c r="V229" s="26">
        <v>2258.44</v>
      </c>
    </row>
    <row r="230" spans="1:22" ht="16.8" x14ac:dyDescent="0.3">
      <c r="A230" s="20">
        <v>22.9</v>
      </c>
      <c r="B230" s="20">
        <v>80</v>
      </c>
      <c r="C230" s="26">
        <v>78.17</v>
      </c>
      <c r="D230" s="20">
        <v>1.83</v>
      </c>
      <c r="E230" s="20">
        <v>-0.12</v>
      </c>
      <c r="F230" s="20">
        <v>2794.95</v>
      </c>
      <c r="Q230" s="20">
        <v>23</v>
      </c>
      <c r="R230" s="20">
        <v>80.239999999999995</v>
      </c>
      <c r="S230" s="26">
        <v>80</v>
      </c>
      <c r="T230" s="26">
        <v>-0.24</v>
      </c>
      <c r="U230" s="26">
        <v>-0.05</v>
      </c>
      <c r="V230" s="20">
        <v>2161.63</v>
      </c>
    </row>
    <row r="231" spans="1:22" ht="16.8" x14ac:dyDescent="0.3">
      <c r="A231" s="20">
        <v>23</v>
      </c>
      <c r="B231" s="20">
        <v>80</v>
      </c>
      <c r="C231" s="20">
        <v>78.22</v>
      </c>
      <c r="D231" s="20">
        <v>1.78</v>
      </c>
      <c r="E231" s="20">
        <v>-0.05</v>
      </c>
      <c r="F231" s="26">
        <v>2665.07</v>
      </c>
      <c r="Q231" s="20">
        <v>23.1</v>
      </c>
      <c r="R231" s="20">
        <v>80.2</v>
      </c>
      <c r="S231" s="26">
        <v>80</v>
      </c>
      <c r="T231" s="20">
        <v>-0.2</v>
      </c>
      <c r="U231" s="26">
        <v>0.03</v>
      </c>
      <c r="V231" s="26">
        <v>2239.66</v>
      </c>
    </row>
    <row r="232" spans="1:22" ht="16.8" x14ac:dyDescent="0.3">
      <c r="A232" s="20">
        <v>23.1</v>
      </c>
      <c r="B232" s="20">
        <v>80</v>
      </c>
      <c r="C232" s="26">
        <v>78.28</v>
      </c>
      <c r="D232" s="20">
        <v>1.72</v>
      </c>
      <c r="E232" s="20">
        <v>-0.06</v>
      </c>
      <c r="F232" s="26">
        <v>2679.16</v>
      </c>
      <c r="Q232" s="20">
        <v>23.2</v>
      </c>
      <c r="R232" s="20">
        <v>80.22</v>
      </c>
      <c r="S232" s="26">
        <v>80</v>
      </c>
      <c r="T232" s="26">
        <v>-0.22</v>
      </c>
      <c r="U232" s="26">
        <v>-0.02</v>
      </c>
      <c r="V232" s="20">
        <v>2192.34</v>
      </c>
    </row>
    <row r="233" spans="1:22" ht="16.8" x14ac:dyDescent="0.3">
      <c r="A233" s="20">
        <v>23.2</v>
      </c>
      <c r="B233" s="20">
        <v>80</v>
      </c>
      <c r="C233" s="26">
        <v>78.33</v>
      </c>
      <c r="D233" s="20">
        <v>1.67</v>
      </c>
      <c r="E233" s="20">
        <v>-0.04</v>
      </c>
      <c r="F233" s="20">
        <v>2638.95</v>
      </c>
      <c r="Q233" s="20">
        <v>23.3</v>
      </c>
      <c r="R233" s="20">
        <v>80.16</v>
      </c>
      <c r="S233" s="26">
        <v>80</v>
      </c>
      <c r="T233" s="26">
        <v>-0.16</v>
      </c>
      <c r="U233" s="26">
        <v>0.06</v>
      </c>
      <c r="V233" s="26">
        <v>2267.4299999999998</v>
      </c>
    </row>
    <row r="234" spans="1:22" ht="16.8" x14ac:dyDescent="0.3">
      <c r="A234" s="20">
        <v>23.3</v>
      </c>
      <c r="B234" s="20">
        <v>80</v>
      </c>
      <c r="C234" s="20">
        <v>78.45</v>
      </c>
      <c r="D234" s="20">
        <v>1.55</v>
      </c>
      <c r="E234" s="20">
        <v>-0.12</v>
      </c>
      <c r="F234" s="26">
        <v>2788.04</v>
      </c>
      <c r="Q234" s="20">
        <v>23.4</v>
      </c>
      <c r="R234" s="20">
        <v>80.22</v>
      </c>
      <c r="S234" s="26">
        <v>80</v>
      </c>
      <c r="T234" s="26">
        <v>-0.22</v>
      </c>
      <c r="U234" s="26">
        <v>-0.06</v>
      </c>
      <c r="V234" s="20">
        <v>2154.65</v>
      </c>
    </row>
    <row r="235" spans="1:22" ht="16.8" x14ac:dyDescent="0.3">
      <c r="A235" s="20">
        <v>23.4</v>
      </c>
      <c r="B235" s="20">
        <v>80</v>
      </c>
      <c r="C235" s="26">
        <v>78.459999999999994</v>
      </c>
      <c r="D235" s="20">
        <v>1.54</v>
      </c>
      <c r="E235" s="20">
        <v>-0.01</v>
      </c>
      <c r="F235" s="20">
        <v>2577.9</v>
      </c>
      <c r="Q235" s="20">
        <v>23.5</v>
      </c>
      <c r="R235" s="20">
        <v>80.150000000000006</v>
      </c>
      <c r="S235" s="26">
        <v>80</v>
      </c>
      <c r="T235" s="26">
        <v>-0.15</v>
      </c>
      <c r="U235" s="26">
        <v>0.06</v>
      </c>
      <c r="V235" s="26">
        <v>2274.98</v>
      </c>
    </row>
    <row r="236" spans="1:22" ht="16.8" x14ac:dyDescent="0.3">
      <c r="A236" s="20">
        <v>23.5</v>
      </c>
      <c r="B236" s="20">
        <v>80</v>
      </c>
      <c r="C236" s="26">
        <v>78.510000000000005</v>
      </c>
      <c r="D236" s="20">
        <v>1.49</v>
      </c>
      <c r="E236" s="20">
        <v>-0.05</v>
      </c>
      <c r="F236" s="26">
        <v>2662.73</v>
      </c>
      <c r="Q236" s="20">
        <v>23.6</v>
      </c>
      <c r="R236" s="20">
        <v>80.17</v>
      </c>
      <c r="S236" s="26">
        <v>80</v>
      </c>
      <c r="T236" s="26">
        <v>-0.17</v>
      </c>
      <c r="U236" s="26">
        <v>-0.02</v>
      </c>
      <c r="V236" s="20">
        <v>2198.61</v>
      </c>
    </row>
    <row r="237" spans="1:22" ht="16.8" x14ac:dyDescent="0.3">
      <c r="A237" s="20">
        <v>23.6</v>
      </c>
      <c r="B237" s="20">
        <v>80</v>
      </c>
      <c r="C237" s="20">
        <v>78.63</v>
      </c>
      <c r="D237" s="20">
        <v>1.37</v>
      </c>
      <c r="E237" s="20">
        <v>-0.12</v>
      </c>
      <c r="F237" s="26">
        <v>2781.14</v>
      </c>
      <c r="Q237" s="20">
        <v>23.7</v>
      </c>
      <c r="R237" s="20">
        <v>80.17</v>
      </c>
      <c r="S237" s="26">
        <v>80</v>
      </c>
      <c r="T237" s="26">
        <v>-0.17</v>
      </c>
      <c r="U237" s="26">
        <v>0</v>
      </c>
      <c r="V237" s="20">
        <v>2212.69</v>
      </c>
    </row>
    <row r="238" spans="1:22" ht="16.8" x14ac:dyDescent="0.3">
      <c r="A238" s="20">
        <v>23.7</v>
      </c>
      <c r="B238" s="20">
        <v>80</v>
      </c>
      <c r="C238" s="26">
        <v>78.680000000000007</v>
      </c>
      <c r="D238" s="20">
        <v>1.32</v>
      </c>
      <c r="E238" s="20">
        <v>-0.05</v>
      </c>
      <c r="F238" s="26">
        <v>2655.09</v>
      </c>
      <c r="Q238" s="20">
        <v>23.8</v>
      </c>
      <c r="R238" s="20">
        <v>80.16</v>
      </c>
      <c r="S238" s="26">
        <v>80</v>
      </c>
      <c r="T238" s="20">
        <v>-0.16</v>
      </c>
      <c r="U238" s="26">
        <v>0.01</v>
      </c>
      <c r="V238" s="26">
        <v>2220.9</v>
      </c>
    </row>
    <row r="239" spans="1:22" ht="16.8" x14ac:dyDescent="0.3">
      <c r="A239" s="20">
        <v>23.8</v>
      </c>
      <c r="B239" s="20">
        <v>80</v>
      </c>
      <c r="C239" s="26">
        <v>78.739999999999995</v>
      </c>
      <c r="D239" s="20">
        <v>1.26</v>
      </c>
      <c r="E239" s="20">
        <v>-7.0000000000000007E-2</v>
      </c>
      <c r="F239" s="26">
        <v>2694.89</v>
      </c>
      <c r="Q239" s="20">
        <v>23.9</v>
      </c>
      <c r="R239" s="20">
        <v>80.150000000000006</v>
      </c>
      <c r="S239" s="26">
        <v>80</v>
      </c>
      <c r="T239" s="26">
        <v>-0.15</v>
      </c>
      <c r="U239" s="26">
        <v>0.02</v>
      </c>
      <c r="V239" s="20">
        <v>2230.5500000000002</v>
      </c>
    </row>
    <row r="240" spans="1:22" ht="16.8" x14ac:dyDescent="0.3">
      <c r="A240" s="20">
        <v>23.9</v>
      </c>
      <c r="B240" s="20">
        <v>80</v>
      </c>
      <c r="C240" s="20">
        <v>78.81</v>
      </c>
      <c r="D240" s="20">
        <v>1.19</v>
      </c>
      <c r="E240" s="20">
        <v>-0.06</v>
      </c>
      <c r="F240" s="26">
        <v>2689.4</v>
      </c>
      <c r="Q240" s="20">
        <v>24</v>
      </c>
      <c r="R240" s="20">
        <v>80.14</v>
      </c>
      <c r="S240" s="26">
        <v>80</v>
      </c>
      <c r="T240" s="26">
        <v>-0.14000000000000001</v>
      </c>
      <c r="U240" s="26">
        <v>0.01</v>
      </c>
      <c r="V240" s="26">
        <v>2224.23</v>
      </c>
    </row>
    <row r="241" spans="1:22" ht="16.8" x14ac:dyDescent="0.3">
      <c r="A241" s="20">
        <v>24</v>
      </c>
      <c r="B241" s="20">
        <v>80</v>
      </c>
      <c r="C241" s="26">
        <v>78.849999999999994</v>
      </c>
      <c r="D241" s="20">
        <v>1.1499999999999999</v>
      </c>
      <c r="E241" s="20">
        <v>-0.04</v>
      </c>
      <c r="F241" s="20">
        <v>2650.96</v>
      </c>
      <c r="Q241" s="20">
        <v>24.1</v>
      </c>
      <c r="R241" s="20">
        <v>80.17</v>
      </c>
      <c r="S241" s="26">
        <v>80</v>
      </c>
      <c r="T241" s="26">
        <v>-0.17</v>
      </c>
      <c r="U241" s="26">
        <v>-0.03</v>
      </c>
      <c r="V241" s="20">
        <v>2181.56</v>
      </c>
    </row>
    <row r="242" spans="1:22" ht="16.8" x14ac:dyDescent="0.3">
      <c r="A242" s="20">
        <v>24.1</v>
      </c>
      <c r="B242" s="20">
        <v>80</v>
      </c>
      <c r="C242" s="26">
        <v>78.989999999999995</v>
      </c>
      <c r="D242" s="20">
        <v>1.01</v>
      </c>
      <c r="E242" s="20">
        <v>-0.14000000000000001</v>
      </c>
      <c r="F242" s="26">
        <v>2822.44</v>
      </c>
      <c r="Q242" s="20">
        <v>24.2</v>
      </c>
      <c r="R242" s="20">
        <v>80.150000000000006</v>
      </c>
      <c r="S242" s="26">
        <v>80</v>
      </c>
      <c r="T242" s="26">
        <v>-0.15</v>
      </c>
      <c r="U242" s="26">
        <v>0.02</v>
      </c>
      <c r="V242" s="20">
        <v>2227.71</v>
      </c>
    </row>
    <row r="243" spans="1:22" ht="16.8" x14ac:dyDescent="0.3">
      <c r="A243" s="20">
        <v>24.2</v>
      </c>
      <c r="B243" s="20">
        <v>80</v>
      </c>
      <c r="C243" s="20">
        <v>78.98</v>
      </c>
      <c r="D243" s="20">
        <v>1.02</v>
      </c>
      <c r="E243" s="20">
        <v>0.01</v>
      </c>
      <c r="F243" s="26">
        <v>2570.86</v>
      </c>
      <c r="Q243" s="20">
        <v>24.3</v>
      </c>
      <c r="R243" s="20">
        <v>80.14</v>
      </c>
      <c r="S243" s="26">
        <v>80</v>
      </c>
      <c r="T243" s="20">
        <v>-0.14000000000000001</v>
      </c>
      <c r="U243" s="26">
        <v>0.02</v>
      </c>
      <c r="V243" s="26">
        <v>2230.1</v>
      </c>
    </row>
    <row r="244" spans="1:22" ht="16.8" x14ac:dyDescent="0.3">
      <c r="A244" s="20">
        <v>24.3</v>
      </c>
      <c r="B244" s="20">
        <v>80</v>
      </c>
      <c r="C244" s="26">
        <v>79.08</v>
      </c>
      <c r="D244" s="20">
        <v>0.92</v>
      </c>
      <c r="E244" s="20">
        <v>-0.1</v>
      </c>
      <c r="F244" s="26">
        <v>2765.97</v>
      </c>
      <c r="Q244" s="20">
        <v>24.4</v>
      </c>
      <c r="R244" s="20">
        <v>80.12</v>
      </c>
      <c r="S244" s="26">
        <v>80</v>
      </c>
      <c r="T244" s="26">
        <v>-0.12</v>
      </c>
      <c r="U244" s="26">
        <v>0.02</v>
      </c>
      <c r="V244" s="20">
        <v>2232.5500000000002</v>
      </c>
    </row>
    <row r="245" spans="1:22" ht="16.8" x14ac:dyDescent="0.3">
      <c r="A245" s="20">
        <v>24.4</v>
      </c>
      <c r="B245" s="20">
        <v>80</v>
      </c>
      <c r="C245" s="20">
        <v>79.17</v>
      </c>
      <c r="D245" s="20">
        <v>0.83</v>
      </c>
      <c r="E245" s="20">
        <v>-0.09</v>
      </c>
      <c r="F245" s="26">
        <v>2769.3</v>
      </c>
      <c r="Q245" s="20">
        <v>24.5</v>
      </c>
      <c r="R245" s="20">
        <v>80.13</v>
      </c>
      <c r="S245" s="26">
        <v>80</v>
      </c>
      <c r="T245" s="20">
        <v>-0.13</v>
      </c>
      <c r="U245" s="26">
        <v>-0.01</v>
      </c>
      <c r="V245" s="26">
        <v>2208.81</v>
      </c>
    </row>
    <row r="246" spans="1:22" ht="16.8" x14ac:dyDescent="0.3">
      <c r="A246" s="20">
        <v>24.5</v>
      </c>
      <c r="B246" s="20">
        <v>80</v>
      </c>
      <c r="C246" s="26">
        <v>79.260000000000005</v>
      </c>
      <c r="D246" s="20">
        <v>0.74</v>
      </c>
      <c r="E246" s="20">
        <v>-0.08</v>
      </c>
      <c r="F246" s="26">
        <v>2765.47</v>
      </c>
      <c r="Q246" s="20">
        <v>24.6</v>
      </c>
      <c r="R246" s="20">
        <v>80.099999999999994</v>
      </c>
      <c r="S246" s="26">
        <v>80</v>
      </c>
      <c r="T246" s="26">
        <v>-0.1</v>
      </c>
      <c r="U246" s="26">
        <v>0.03</v>
      </c>
      <c r="V246" s="20">
        <v>2250.67</v>
      </c>
    </row>
    <row r="247" spans="1:22" ht="16.8" x14ac:dyDescent="0.3">
      <c r="A247" s="20">
        <v>24.6</v>
      </c>
      <c r="B247" s="20">
        <v>80</v>
      </c>
      <c r="C247" s="26">
        <v>79.27</v>
      </c>
      <c r="D247" s="20">
        <v>0.73</v>
      </c>
      <c r="E247" s="20">
        <v>-0.02</v>
      </c>
      <c r="F247" s="26">
        <v>2599.61</v>
      </c>
      <c r="Q247" s="20">
        <v>24.7</v>
      </c>
      <c r="R247" s="20">
        <v>80.08</v>
      </c>
      <c r="S247" s="26">
        <v>80</v>
      </c>
      <c r="T247" s="26">
        <v>-0.08</v>
      </c>
      <c r="U247" s="26">
        <v>0.02</v>
      </c>
      <c r="V247" s="26">
        <v>2238.63</v>
      </c>
    </row>
    <row r="248" spans="1:22" ht="16.8" x14ac:dyDescent="0.3">
      <c r="A248" s="20">
        <v>24.7</v>
      </c>
      <c r="B248" s="20">
        <v>80</v>
      </c>
      <c r="C248" s="20">
        <v>79.41</v>
      </c>
      <c r="D248" s="20">
        <v>0.59</v>
      </c>
      <c r="E248" s="20">
        <v>-0.13</v>
      </c>
      <c r="F248" s="20">
        <v>2888.56</v>
      </c>
      <c r="Q248" s="20">
        <v>24.8</v>
      </c>
      <c r="R248" s="20">
        <v>80.099999999999994</v>
      </c>
      <c r="S248" s="26">
        <v>80</v>
      </c>
      <c r="T248" s="26">
        <v>-0.1</v>
      </c>
      <c r="U248" s="26">
        <v>-0.02</v>
      </c>
      <c r="V248" s="20">
        <v>2206.29</v>
      </c>
    </row>
    <row r="249" spans="1:22" ht="16.8" x14ac:dyDescent="0.3">
      <c r="A249" s="20">
        <v>24.8</v>
      </c>
      <c r="B249" s="20">
        <v>80</v>
      </c>
      <c r="C249" s="26">
        <v>79.44</v>
      </c>
      <c r="D249" s="20">
        <v>0.56000000000000005</v>
      </c>
      <c r="E249" s="20">
        <v>-0.04</v>
      </c>
      <c r="F249" s="26">
        <v>2675.3</v>
      </c>
      <c r="Q249" s="20">
        <v>24.9</v>
      </c>
      <c r="R249" s="20">
        <v>80.069999999999993</v>
      </c>
      <c r="S249" s="26">
        <v>80</v>
      </c>
      <c r="T249" s="26">
        <v>-7.0000000000000007E-2</v>
      </c>
      <c r="U249" s="26">
        <v>0.02</v>
      </c>
      <c r="V249" s="26">
        <v>2246.8000000000002</v>
      </c>
    </row>
    <row r="250" spans="1:22" ht="16.8" x14ac:dyDescent="0.3">
      <c r="A250" s="20">
        <v>24.9</v>
      </c>
      <c r="B250" s="20">
        <v>80</v>
      </c>
      <c r="C250" s="20">
        <v>79.489999999999995</v>
      </c>
      <c r="D250" s="20">
        <v>0.51</v>
      </c>
      <c r="E250" s="20">
        <v>-0.04</v>
      </c>
      <c r="F250" s="26">
        <v>2703.53</v>
      </c>
      <c r="Q250" s="20">
        <v>25</v>
      </c>
      <c r="R250" s="20">
        <v>80.069999999999993</v>
      </c>
      <c r="S250" s="26">
        <v>80</v>
      </c>
      <c r="T250" s="26">
        <v>-7.0000000000000007E-2</v>
      </c>
      <c r="U250" s="26">
        <v>0</v>
      </c>
      <c r="V250" s="20">
        <v>2224.67</v>
      </c>
    </row>
    <row r="251" spans="1:22" ht="16.8" x14ac:dyDescent="0.3">
      <c r="A251" s="20">
        <v>25</v>
      </c>
      <c r="B251" s="20">
        <v>80</v>
      </c>
      <c r="C251" s="26">
        <v>79.59</v>
      </c>
      <c r="D251" s="20">
        <v>0.41</v>
      </c>
      <c r="E251" s="20">
        <v>-0.1</v>
      </c>
      <c r="F251" s="26">
        <v>2800.37</v>
      </c>
      <c r="Q251" s="20">
        <v>25.1</v>
      </c>
      <c r="R251" s="20">
        <v>80.069999999999993</v>
      </c>
      <c r="S251" s="26">
        <v>80</v>
      </c>
      <c r="T251" s="26">
        <v>-7.0000000000000007E-2</v>
      </c>
      <c r="U251" s="26">
        <v>0</v>
      </c>
      <c r="V251" s="26">
        <v>2224.44</v>
      </c>
    </row>
    <row r="252" spans="1:22" ht="16.8" x14ac:dyDescent="0.3">
      <c r="A252" s="20">
        <v>25.1</v>
      </c>
      <c r="B252" s="20">
        <v>80</v>
      </c>
      <c r="C252" s="26">
        <v>79.64</v>
      </c>
      <c r="D252" s="20">
        <v>0.36</v>
      </c>
      <c r="E252" s="20">
        <v>-0.05</v>
      </c>
      <c r="F252" s="26">
        <v>2686.39</v>
      </c>
      <c r="Q252" s="20">
        <v>25.2</v>
      </c>
      <c r="R252" s="20">
        <v>80.06</v>
      </c>
      <c r="S252" s="26">
        <v>80</v>
      </c>
      <c r="T252" s="26">
        <v>-0.06</v>
      </c>
      <c r="U252" s="26">
        <v>0.02</v>
      </c>
      <c r="V252" s="20">
        <v>2241.6799999999998</v>
      </c>
    </row>
    <row r="253" spans="1:22" ht="16.8" x14ac:dyDescent="0.3">
      <c r="A253" s="20">
        <v>25.2</v>
      </c>
      <c r="B253" s="20">
        <v>80</v>
      </c>
      <c r="C253" s="20">
        <v>79.67</v>
      </c>
      <c r="D253" s="20">
        <v>0.33</v>
      </c>
      <c r="E253" s="20">
        <v>-0.03</v>
      </c>
      <c r="F253" s="20">
        <v>2625.27</v>
      </c>
      <c r="Q253" s="20">
        <v>25.3</v>
      </c>
      <c r="R253" s="20">
        <v>80.08</v>
      </c>
      <c r="S253" s="26">
        <v>80</v>
      </c>
      <c r="T253" s="26">
        <v>-0.08</v>
      </c>
      <c r="U253" s="26">
        <v>-0.02</v>
      </c>
      <c r="V253" s="20">
        <v>2200.6999999999998</v>
      </c>
    </row>
    <row r="254" spans="1:22" ht="16.8" x14ac:dyDescent="0.3">
      <c r="A254" s="20">
        <v>25.3</v>
      </c>
      <c r="B254" s="20">
        <v>80</v>
      </c>
      <c r="C254" s="26">
        <v>79.77</v>
      </c>
      <c r="D254" s="20">
        <v>0.23</v>
      </c>
      <c r="E254" s="20">
        <v>-0.1</v>
      </c>
      <c r="F254" s="26">
        <v>2760.64</v>
      </c>
      <c r="Q254" s="20">
        <v>25.4</v>
      </c>
      <c r="R254" s="20">
        <v>80.06</v>
      </c>
      <c r="S254" s="26">
        <v>80</v>
      </c>
      <c r="T254" s="26">
        <v>-0.06</v>
      </c>
      <c r="U254" s="26">
        <v>0.02</v>
      </c>
      <c r="V254" s="26">
        <v>2248.54</v>
      </c>
    </row>
    <row r="255" spans="1:22" ht="16.8" x14ac:dyDescent="0.3">
      <c r="A255" s="20">
        <v>25.4</v>
      </c>
      <c r="B255" s="20">
        <v>80</v>
      </c>
      <c r="C255" s="20">
        <v>79.83</v>
      </c>
      <c r="D255" s="20">
        <v>0.17</v>
      </c>
      <c r="E255" s="20">
        <v>-0.06</v>
      </c>
      <c r="F255" s="26">
        <v>2682.12</v>
      </c>
      <c r="Q255" s="20">
        <v>25.5</v>
      </c>
      <c r="R255" s="20">
        <v>80.099999999999994</v>
      </c>
      <c r="S255" s="26">
        <v>80</v>
      </c>
      <c r="T255" s="26">
        <v>-0.1</v>
      </c>
      <c r="U255" s="26">
        <v>-0.04</v>
      </c>
      <c r="V255" s="20">
        <v>2182.79</v>
      </c>
    </row>
    <row r="256" spans="1:22" ht="16.8" x14ac:dyDescent="0.3">
      <c r="A256" s="20">
        <v>25.5</v>
      </c>
      <c r="B256" s="20">
        <v>80</v>
      </c>
      <c r="C256" s="26">
        <v>79.87</v>
      </c>
      <c r="D256" s="20">
        <v>0.13</v>
      </c>
      <c r="E256" s="20">
        <v>-0.04</v>
      </c>
      <c r="F256" s="26">
        <v>2640.14</v>
      </c>
      <c r="Q256" s="20">
        <v>25.6</v>
      </c>
      <c r="R256" s="20">
        <v>80.069999999999993</v>
      </c>
      <c r="S256" s="26">
        <v>80</v>
      </c>
      <c r="T256" s="26">
        <v>-7.0000000000000007E-2</v>
      </c>
      <c r="U256" s="26">
        <v>0.03</v>
      </c>
      <c r="V256" s="26">
        <v>2253.9299999999998</v>
      </c>
    </row>
    <row r="257" spans="1:22" ht="16.8" x14ac:dyDescent="0.3">
      <c r="A257" s="20">
        <v>25.6</v>
      </c>
      <c r="B257" s="20">
        <v>80</v>
      </c>
      <c r="C257" s="26">
        <v>79.959999999999994</v>
      </c>
      <c r="D257" s="20">
        <v>0.04</v>
      </c>
      <c r="E257" s="20">
        <v>-0.09</v>
      </c>
      <c r="F257" s="26">
        <v>2603.17</v>
      </c>
      <c r="Q257" s="20">
        <v>25.7</v>
      </c>
      <c r="R257" s="20">
        <v>80.069999999999993</v>
      </c>
      <c r="S257" s="26">
        <v>80</v>
      </c>
      <c r="T257" s="26">
        <v>-7.0000000000000007E-2</v>
      </c>
      <c r="U257" s="26">
        <v>-0.01</v>
      </c>
      <c r="V257" s="20">
        <v>2215.79</v>
      </c>
    </row>
    <row r="258" spans="1:22" ht="16.8" x14ac:dyDescent="0.3">
      <c r="A258" s="20">
        <v>25.7</v>
      </c>
      <c r="B258" s="20">
        <v>80</v>
      </c>
      <c r="C258" s="20">
        <v>80.010000000000005</v>
      </c>
      <c r="D258" s="20">
        <v>-0.01</v>
      </c>
      <c r="E258" s="20">
        <v>-0.06</v>
      </c>
      <c r="F258" s="26">
        <v>2525.96</v>
      </c>
      <c r="Q258" s="20">
        <v>25.8</v>
      </c>
      <c r="R258" s="20">
        <v>79.989999999999995</v>
      </c>
      <c r="S258" s="26">
        <v>80</v>
      </c>
      <c r="T258" s="26">
        <v>0.01</v>
      </c>
      <c r="U258" s="26">
        <v>0.08</v>
      </c>
      <c r="V258" s="26">
        <v>2310.21</v>
      </c>
    </row>
    <row r="259" spans="1:22" ht="16.8" x14ac:dyDescent="0.3">
      <c r="A259" s="20">
        <v>25.8</v>
      </c>
      <c r="B259" s="20">
        <v>80</v>
      </c>
      <c r="C259" s="26">
        <v>80.02</v>
      </c>
      <c r="D259" s="20">
        <v>-0.02</v>
      </c>
      <c r="E259" s="20">
        <v>0</v>
      </c>
      <c r="F259" s="26">
        <v>2524.83</v>
      </c>
      <c r="Q259" s="20">
        <v>25.9</v>
      </c>
      <c r="R259" s="20">
        <v>80.09</v>
      </c>
      <c r="S259" s="26">
        <v>80</v>
      </c>
      <c r="T259" s="26">
        <v>-0.09</v>
      </c>
      <c r="U259" s="26">
        <v>-0.1</v>
      </c>
      <c r="V259" s="20">
        <v>2132.4</v>
      </c>
    </row>
    <row r="260" spans="1:22" ht="16.8" x14ac:dyDescent="0.3">
      <c r="A260" s="20">
        <v>25.9</v>
      </c>
      <c r="B260" s="20">
        <v>80</v>
      </c>
      <c r="C260" s="20">
        <v>80.150000000000006</v>
      </c>
      <c r="D260" s="20">
        <v>-0.15</v>
      </c>
      <c r="E260" s="20">
        <v>-0.14000000000000001</v>
      </c>
      <c r="F260" s="26">
        <v>2295.08</v>
      </c>
      <c r="Q260" s="20">
        <v>26</v>
      </c>
      <c r="R260" s="20">
        <v>80</v>
      </c>
      <c r="S260" s="26">
        <v>80</v>
      </c>
      <c r="T260" s="26">
        <v>0</v>
      </c>
      <c r="U260" s="20">
        <v>0.09</v>
      </c>
      <c r="V260" s="20">
        <v>2315.8200000000002</v>
      </c>
    </row>
    <row r="261" spans="1:22" ht="16.8" x14ac:dyDescent="0.3">
      <c r="A261" s="20">
        <v>26</v>
      </c>
      <c r="B261" s="20">
        <v>80</v>
      </c>
      <c r="C261" s="26">
        <v>80.2</v>
      </c>
      <c r="D261" s="20">
        <v>-0.2</v>
      </c>
      <c r="E261" s="20">
        <v>-0.04</v>
      </c>
      <c r="F261" s="26">
        <v>2295.04</v>
      </c>
      <c r="Q261" s="20">
        <v>26.1</v>
      </c>
      <c r="R261" s="20">
        <v>80.08</v>
      </c>
      <c r="S261" s="26">
        <v>80</v>
      </c>
      <c r="T261" s="26">
        <v>-0.08</v>
      </c>
      <c r="U261" s="26">
        <v>-0.08</v>
      </c>
      <c r="V261" s="26">
        <v>2148.16</v>
      </c>
    </row>
    <row r="262" spans="1:22" ht="16.8" x14ac:dyDescent="0.3">
      <c r="A262" s="20">
        <v>26.1</v>
      </c>
      <c r="B262" s="20">
        <v>80</v>
      </c>
      <c r="C262" s="26">
        <v>80.239999999999995</v>
      </c>
      <c r="D262" s="20">
        <v>-0.24</v>
      </c>
      <c r="E262" s="20">
        <v>-0.04</v>
      </c>
      <c r="F262" s="26">
        <v>2265.66</v>
      </c>
      <c r="Q262" s="20">
        <v>26.2</v>
      </c>
      <c r="R262" s="20">
        <v>80.02</v>
      </c>
      <c r="S262" s="26">
        <v>80</v>
      </c>
      <c r="T262" s="26">
        <v>-0.02</v>
      </c>
      <c r="U262" s="26">
        <v>0.06</v>
      </c>
      <c r="V262" s="20">
        <v>2290.7800000000002</v>
      </c>
    </row>
    <row r="263" spans="1:22" ht="16.8" x14ac:dyDescent="0.3">
      <c r="A263" s="20">
        <v>26.2</v>
      </c>
      <c r="B263" s="20">
        <v>80</v>
      </c>
      <c r="C263" s="20">
        <v>80.3</v>
      </c>
      <c r="D263" s="20">
        <v>-0.3</v>
      </c>
      <c r="E263" s="20">
        <v>-0.06</v>
      </c>
      <c r="F263" s="26">
        <v>2180.7199999999998</v>
      </c>
      <c r="Q263" s="20">
        <v>26.3</v>
      </c>
      <c r="R263" s="20">
        <v>80.069999999999993</v>
      </c>
      <c r="S263" s="26">
        <v>80</v>
      </c>
      <c r="T263" s="26">
        <v>-7.0000000000000007E-2</v>
      </c>
      <c r="U263" s="26">
        <v>-0.06</v>
      </c>
      <c r="V263" s="26">
        <v>2171.19</v>
      </c>
    </row>
    <row r="264" spans="1:22" ht="16.8" x14ac:dyDescent="0.3">
      <c r="A264" s="20">
        <v>26.3</v>
      </c>
      <c r="B264" s="20">
        <v>80</v>
      </c>
      <c r="C264" s="26">
        <v>80.33</v>
      </c>
      <c r="D264" s="20">
        <v>-0.33</v>
      </c>
      <c r="E264" s="20">
        <v>-0.04</v>
      </c>
      <c r="F264" s="26">
        <v>2162.1799999999998</v>
      </c>
      <c r="Q264" s="20">
        <v>26.4</v>
      </c>
      <c r="R264" s="20">
        <v>80.03</v>
      </c>
      <c r="S264" s="26">
        <v>80</v>
      </c>
      <c r="T264" s="26">
        <v>-0.03</v>
      </c>
      <c r="U264" s="26">
        <v>0.04</v>
      </c>
      <c r="V264" s="20">
        <v>2265.73</v>
      </c>
    </row>
    <row r="265" spans="1:22" ht="16.8" x14ac:dyDescent="0.3">
      <c r="A265" s="20">
        <v>26.4</v>
      </c>
      <c r="B265" s="20">
        <v>80</v>
      </c>
      <c r="C265" s="20">
        <v>80.36</v>
      </c>
      <c r="D265" s="20">
        <v>-0.36</v>
      </c>
      <c r="E265" s="20">
        <v>-0.02</v>
      </c>
      <c r="F265" s="26">
        <v>2144.94</v>
      </c>
      <c r="Q265" s="20">
        <v>26.5</v>
      </c>
      <c r="R265" s="20">
        <v>80.05</v>
      </c>
      <c r="S265" s="26">
        <v>80</v>
      </c>
      <c r="T265" s="26">
        <v>-0.05</v>
      </c>
      <c r="U265" s="26">
        <v>-0.02</v>
      </c>
      <c r="V265" s="26">
        <v>2211.66</v>
      </c>
    </row>
    <row r="266" spans="1:22" ht="16.8" x14ac:dyDescent="0.3">
      <c r="A266" s="20">
        <v>26.5</v>
      </c>
      <c r="B266" s="20">
        <v>80</v>
      </c>
      <c r="C266" s="26">
        <v>80.36</v>
      </c>
      <c r="D266" s="20">
        <v>-0.36</v>
      </c>
      <c r="E266" s="20">
        <v>-0.01</v>
      </c>
      <c r="F266" s="26">
        <v>2149.8200000000002</v>
      </c>
      <c r="Q266" s="20">
        <v>26.6</v>
      </c>
      <c r="R266" s="20">
        <v>80.040000000000006</v>
      </c>
      <c r="S266" s="26">
        <v>80</v>
      </c>
      <c r="T266" s="26">
        <v>-0.04</v>
      </c>
      <c r="U266" s="26">
        <v>0.01</v>
      </c>
      <c r="V266" s="20">
        <v>2234.83</v>
      </c>
    </row>
    <row r="267" spans="1:22" ht="16.8" x14ac:dyDescent="0.3">
      <c r="A267" s="20">
        <v>26.6</v>
      </c>
      <c r="B267" s="20">
        <v>80</v>
      </c>
      <c r="C267" s="26">
        <v>80.37</v>
      </c>
      <c r="D267" s="20">
        <v>-0.37</v>
      </c>
      <c r="E267" s="20">
        <v>0</v>
      </c>
      <c r="F267" s="26">
        <v>2148.59</v>
      </c>
      <c r="Q267" s="20">
        <v>26.7</v>
      </c>
      <c r="R267" s="20">
        <v>80.03</v>
      </c>
      <c r="S267" s="26">
        <v>80</v>
      </c>
      <c r="T267" s="26">
        <v>-0.03</v>
      </c>
      <c r="U267" s="26">
        <v>0.02</v>
      </c>
      <c r="V267" s="26">
        <v>2244.87</v>
      </c>
    </row>
    <row r="268" spans="1:22" ht="16.8" x14ac:dyDescent="0.3">
      <c r="A268" s="20">
        <v>26.7</v>
      </c>
      <c r="B268" s="20">
        <v>80</v>
      </c>
      <c r="C268" s="20">
        <v>80.42</v>
      </c>
      <c r="D268" s="20">
        <v>-0.42</v>
      </c>
      <c r="E268" s="20">
        <v>-0.05</v>
      </c>
      <c r="F268" s="26">
        <v>2037.95</v>
      </c>
      <c r="Q268" s="20">
        <v>26.8</v>
      </c>
      <c r="R268" s="20">
        <v>80.06</v>
      </c>
      <c r="S268" s="26">
        <v>80</v>
      </c>
      <c r="T268" s="26">
        <v>-0.06</v>
      </c>
      <c r="U268" s="26">
        <v>-0.03</v>
      </c>
      <c r="V268" s="20">
        <v>2195.2600000000002</v>
      </c>
    </row>
    <row r="269" spans="1:22" ht="16.8" x14ac:dyDescent="0.3">
      <c r="A269" s="20">
        <v>26.8</v>
      </c>
      <c r="B269" s="20">
        <v>80</v>
      </c>
      <c r="C269" s="26">
        <v>80.41</v>
      </c>
      <c r="D269" s="20">
        <v>-0.41</v>
      </c>
      <c r="E269" s="20">
        <v>0.01</v>
      </c>
      <c r="F269" s="26">
        <v>2096.02</v>
      </c>
      <c r="Q269" s="20">
        <v>26.9</v>
      </c>
      <c r="R269" s="20">
        <v>80.010000000000005</v>
      </c>
      <c r="S269" s="26">
        <v>80</v>
      </c>
      <c r="T269" s="26">
        <v>-0.01</v>
      </c>
      <c r="U269" s="26">
        <v>0.05</v>
      </c>
      <c r="V269" s="20">
        <v>2276.6799999999998</v>
      </c>
    </row>
    <row r="270" spans="1:22" ht="16.8" x14ac:dyDescent="0.3">
      <c r="A270" s="20">
        <v>26.9</v>
      </c>
      <c r="B270" s="20">
        <v>80</v>
      </c>
      <c r="C270" s="26">
        <v>80.37</v>
      </c>
      <c r="D270" s="20">
        <v>-0.37</v>
      </c>
      <c r="E270" s="20">
        <v>0.04</v>
      </c>
      <c r="F270" s="26">
        <v>2152.21</v>
      </c>
      <c r="Q270" s="20">
        <v>27</v>
      </c>
      <c r="R270" s="20">
        <v>80.02</v>
      </c>
      <c r="S270" s="26">
        <v>80</v>
      </c>
      <c r="T270" s="26">
        <v>-0.02</v>
      </c>
      <c r="U270" s="26">
        <v>-0.01</v>
      </c>
      <c r="V270" s="26">
        <v>2224.12</v>
      </c>
    </row>
    <row r="271" spans="1:22" ht="16.8" x14ac:dyDescent="0.3">
      <c r="A271" s="20">
        <v>27</v>
      </c>
      <c r="B271" s="20">
        <v>80</v>
      </c>
      <c r="C271" s="20">
        <v>80.37</v>
      </c>
      <c r="D271" s="20">
        <v>-0.37</v>
      </c>
      <c r="E271" s="20">
        <v>0</v>
      </c>
      <c r="F271" s="20">
        <v>2143.66</v>
      </c>
      <c r="Q271" s="20">
        <v>27.1</v>
      </c>
      <c r="R271" s="20">
        <v>79.989999999999995</v>
      </c>
      <c r="S271" s="26">
        <v>80</v>
      </c>
      <c r="T271" s="26">
        <v>0.01</v>
      </c>
      <c r="U271" s="26">
        <v>0.02</v>
      </c>
      <c r="V271" s="20">
        <v>2257.58</v>
      </c>
    </row>
    <row r="272" spans="1:22" ht="16.8" x14ac:dyDescent="0.3">
      <c r="A272" s="20">
        <v>27.1</v>
      </c>
      <c r="B272" s="20">
        <v>80</v>
      </c>
      <c r="C272" s="26">
        <v>80.400000000000006</v>
      </c>
      <c r="D272" s="20">
        <v>-0.4</v>
      </c>
      <c r="E272" s="20">
        <v>-0.03</v>
      </c>
      <c r="F272" s="26">
        <v>2086.4499999999998</v>
      </c>
      <c r="Q272" s="20">
        <v>27.2</v>
      </c>
      <c r="R272" s="20">
        <v>80.02</v>
      </c>
      <c r="S272" s="26">
        <v>80</v>
      </c>
      <c r="T272" s="26">
        <v>-0.02</v>
      </c>
      <c r="U272" s="26">
        <v>-0.02</v>
      </c>
      <c r="V272" s="26">
        <v>2209.4699999999998</v>
      </c>
    </row>
    <row r="273" spans="1:22" ht="16.8" x14ac:dyDescent="0.3">
      <c r="A273" s="20">
        <v>27.2</v>
      </c>
      <c r="B273" s="20">
        <v>80</v>
      </c>
      <c r="C273" s="26">
        <v>80.3</v>
      </c>
      <c r="D273" s="20">
        <v>-0.3</v>
      </c>
      <c r="E273" s="20">
        <v>0.1</v>
      </c>
      <c r="F273" s="20">
        <v>2226.12</v>
      </c>
      <c r="Q273" s="20">
        <v>27.3</v>
      </c>
      <c r="R273" s="20">
        <v>79.989999999999995</v>
      </c>
      <c r="S273" s="26">
        <v>80</v>
      </c>
      <c r="T273" s="26">
        <v>0.01</v>
      </c>
      <c r="U273" s="26">
        <v>0.03</v>
      </c>
      <c r="V273" s="20">
        <v>2266.2800000000002</v>
      </c>
    </row>
    <row r="274" spans="1:22" ht="16.8" x14ac:dyDescent="0.3">
      <c r="A274" s="20">
        <v>27.3</v>
      </c>
      <c r="B274" s="20">
        <v>80</v>
      </c>
      <c r="C274" s="20">
        <v>80.34</v>
      </c>
      <c r="D274" s="20">
        <v>-0.34</v>
      </c>
      <c r="E274" s="20">
        <v>-0.03</v>
      </c>
      <c r="F274" s="26">
        <v>2161.14</v>
      </c>
      <c r="Q274" s="20">
        <v>27.4</v>
      </c>
      <c r="R274" s="20">
        <v>79.989999999999995</v>
      </c>
      <c r="S274" s="26">
        <v>80</v>
      </c>
      <c r="T274" s="26">
        <v>0.01</v>
      </c>
      <c r="U274" s="26">
        <v>0</v>
      </c>
      <c r="V274" s="26">
        <v>2237.12</v>
      </c>
    </row>
    <row r="275" spans="1:22" ht="16.8" x14ac:dyDescent="0.3">
      <c r="A275" s="20">
        <v>27.4</v>
      </c>
      <c r="B275" s="20">
        <v>80</v>
      </c>
      <c r="C275" s="26">
        <v>80.290000000000006</v>
      </c>
      <c r="D275" s="20">
        <v>-0.28999999999999998</v>
      </c>
      <c r="E275" s="20">
        <v>0.04</v>
      </c>
      <c r="F275" s="26">
        <v>2239.23</v>
      </c>
      <c r="Q275" s="20">
        <v>27.5</v>
      </c>
      <c r="R275" s="20">
        <v>80.010000000000005</v>
      </c>
      <c r="S275" s="26">
        <v>80</v>
      </c>
      <c r="T275" s="26">
        <v>-0.01</v>
      </c>
      <c r="U275" s="26">
        <v>-0.02</v>
      </c>
      <c r="V275" s="20">
        <v>2210.94</v>
      </c>
    </row>
    <row r="276" spans="1:22" ht="16.8" x14ac:dyDescent="0.3">
      <c r="A276" s="20">
        <v>27.5</v>
      </c>
      <c r="B276" s="20">
        <v>80</v>
      </c>
      <c r="C276" s="20">
        <v>80.22</v>
      </c>
      <c r="D276" s="20">
        <v>-0.22</v>
      </c>
      <c r="E276" s="20">
        <v>0.08</v>
      </c>
      <c r="F276" s="26">
        <v>2319.31</v>
      </c>
      <c r="Q276" s="20">
        <v>27.6</v>
      </c>
      <c r="R276" s="20">
        <v>79.900000000000006</v>
      </c>
      <c r="S276" s="26">
        <v>80</v>
      </c>
      <c r="T276" s="26">
        <v>0.1</v>
      </c>
      <c r="U276" s="26">
        <v>0.1</v>
      </c>
      <c r="V276" s="26">
        <v>2346.4</v>
      </c>
    </row>
    <row r="277" spans="1:22" ht="16.8" x14ac:dyDescent="0.3">
      <c r="A277" s="20">
        <v>27.6</v>
      </c>
      <c r="B277" s="20">
        <v>80</v>
      </c>
      <c r="C277" s="26">
        <v>80.22</v>
      </c>
      <c r="D277" s="20">
        <v>-0.22</v>
      </c>
      <c r="E277" s="20">
        <v>-0.01</v>
      </c>
      <c r="F277" s="26">
        <v>2303.7399999999998</v>
      </c>
      <c r="Q277" s="20">
        <v>27.7</v>
      </c>
      <c r="R277" s="20">
        <v>79.98</v>
      </c>
      <c r="S277" s="26">
        <v>80</v>
      </c>
      <c r="T277" s="26">
        <v>0.02</v>
      </c>
      <c r="U277" s="26">
        <v>-7.0000000000000007E-2</v>
      </c>
      <c r="V277" s="20">
        <v>2173.15</v>
      </c>
    </row>
    <row r="278" spans="1:22" ht="16.8" x14ac:dyDescent="0.3">
      <c r="A278" s="20">
        <v>27.7</v>
      </c>
      <c r="B278" s="20">
        <v>80</v>
      </c>
      <c r="C278" s="26">
        <v>80.150000000000006</v>
      </c>
      <c r="D278" s="20">
        <v>-0.15</v>
      </c>
      <c r="E278" s="20">
        <v>7.0000000000000007E-2</v>
      </c>
      <c r="F278" s="26">
        <v>2385.16</v>
      </c>
      <c r="Q278" s="20">
        <v>27.8</v>
      </c>
      <c r="R278" s="20">
        <v>79.37</v>
      </c>
      <c r="S278" s="20">
        <v>80</v>
      </c>
      <c r="T278" s="26">
        <v>0.63</v>
      </c>
      <c r="U278" s="26">
        <v>0.6</v>
      </c>
      <c r="V278" s="20">
        <v>2894.09</v>
      </c>
    </row>
    <row r="279" spans="1:22" ht="16.8" x14ac:dyDescent="0.3">
      <c r="A279" s="20">
        <v>27.8</v>
      </c>
      <c r="B279" s="20">
        <v>80</v>
      </c>
      <c r="C279" s="20">
        <v>80.11</v>
      </c>
      <c r="D279" s="20">
        <v>-0.11</v>
      </c>
      <c r="E279" s="20">
        <v>0.04</v>
      </c>
      <c r="F279" s="26">
        <v>2422.6799999999998</v>
      </c>
      <c r="Q279" s="20">
        <v>27.9</v>
      </c>
      <c r="R279" s="20">
        <v>79.98</v>
      </c>
      <c r="S279" s="26">
        <v>80</v>
      </c>
      <c r="T279" s="26">
        <v>0.02</v>
      </c>
      <c r="U279" s="26">
        <v>-0.6</v>
      </c>
      <c r="V279" s="26">
        <v>1693.3</v>
      </c>
    </row>
    <row r="280" spans="1:22" ht="16.8" x14ac:dyDescent="0.3">
      <c r="A280" s="20">
        <v>27.9</v>
      </c>
      <c r="B280" s="20">
        <v>80</v>
      </c>
      <c r="C280" s="26">
        <v>80.08</v>
      </c>
      <c r="D280" s="20">
        <v>-0.08</v>
      </c>
      <c r="E280" s="20">
        <v>0.03</v>
      </c>
      <c r="F280" s="26">
        <v>2456.85</v>
      </c>
      <c r="Q280" s="20">
        <v>28</v>
      </c>
      <c r="R280" s="20">
        <v>79.3</v>
      </c>
      <c r="S280" s="26">
        <v>80</v>
      </c>
      <c r="T280" s="26">
        <v>0.7</v>
      </c>
      <c r="U280" s="26">
        <v>0.68</v>
      </c>
      <c r="V280" s="20">
        <v>2974.73</v>
      </c>
    </row>
    <row r="281" spans="1:22" ht="16.8" x14ac:dyDescent="0.3">
      <c r="A281" s="20">
        <v>28</v>
      </c>
      <c r="B281" s="20">
        <v>80</v>
      </c>
      <c r="C281" s="26">
        <v>80.03</v>
      </c>
      <c r="D281" s="20">
        <v>-0.03</v>
      </c>
      <c r="E281" s="20">
        <v>0.05</v>
      </c>
      <c r="F281" s="26">
        <v>2510.09</v>
      </c>
      <c r="Q281" s="20">
        <v>28.1</v>
      </c>
      <c r="R281" s="20">
        <v>79.98</v>
      </c>
      <c r="S281" s="26">
        <v>80</v>
      </c>
      <c r="T281" s="26">
        <v>0.02</v>
      </c>
      <c r="U281" s="26">
        <v>-0.68</v>
      </c>
      <c r="V281" s="26">
        <v>1629.82</v>
      </c>
    </row>
    <row r="282" spans="1:22" ht="16.8" x14ac:dyDescent="0.3">
      <c r="A282" s="20">
        <v>28.1</v>
      </c>
      <c r="B282" s="20">
        <v>80</v>
      </c>
      <c r="C282" s="20">
        <v>80.05</v>
      </c>
      <c r="D282" s="20">
        <v>-0.05</v>
      </c>
      <c r="E282" s="20">
        <v>-0.02</v>
      </c>
      <c r="F282" s="26">
        <v>2475.8200000000002</v>
      </c>
      <c r="Q282" s="20">
        <v>28.2</v>
      </c>
      <c r="R282" s="20">
        <v>79.290000000000006</v>
      </c>
      <c r="S282" s="26">
        <v>80</v>
      </c>
      <c r="T282" s="26">
        <v>0.71</v>
      </c>
      <c r="U282" s="26">
        <v>0.68</v>
      </c>
      <c r="V282" s="20">
        <v>2985.71</v>
      </c>
    </row>
    <row r="283" spans="1:22" ht="16.8" x14ac:dyDescent="0.3">
      <c r="A283" s="20">
        <v>28.2</v>
      </c>
      <c r="B283" s="20">
        <v>80</v>
      </c>
      <c r="C283" s="26">
        <v>79.989999999999995</v>
      </c>
      <c r="D283" s="20">
        <v>0.01</v>
      </c>
      <c r="E283" s="20">
        <v>0.06</v>
      </c>
      <c r="F283" s="26">
        <v>2558.36</v>
      </c>
      <c r="Q283" s="20">
        <v>28.3</v>
      </c>
      <c r="R283" s="20">
        <v>79.989999999999995</v>
      </c>
      <c r="S283" s="26">
        <v>80</v>
      </c>
      <c r="T283" s="26">
        <v>0.01</v>
      </c>
      <c r="U283" s="26">
        <v>-0.7</v>
      </c>
      <c r="V283" s="26">
        <v>1607.32</v>
      </c>
    </row>
    <row r="284" spans="1:22" ht="16.8" x14ac:dyDescent="0.3">
      <c r="A284" s="20">
        <v>28.3</v>
      </c>
      <c r="B284" s="20">
        <v>80</v>
      </c>
      <c r="C284" s="20">
        <v>79.97</v>
      </c>
      <c r="D284" s="20">
        <v>0.03</v>
      </c>
      <c r="E284" s="20">
        <v>0.03</v>
      </c>
      <c r="F284" s="20">
        <v>2592.38</v>
      </c>
      <c r="Q284" s="20">
        <v>28.4</v>
      </c>
      <c r="R284" s="20">
        <v>79.319999999999993</v>
      </c>
      <c r="S284" s="26">
        <v>80</v>
      </c>
      <c r="T284" s="20">
        <v>0.68</v>
      </c>
      <c r="U284" s="26">
        <v>0.67</v>
      </c>
      <c r="V284" s="20">
        <v>2967.58</v>
      </c>
    </row>
    <row r="285" spans="1:22" ht="16.8" x14ac:dyDescent="0.3">
      <c r="A285" s="20">
        <v>28.4</v>
      </c>
      <c r="B285" s="20">
        <v>80</v>
      </c>
      <c r="C285" s="26">
        <v>79.95</v>
      </c>
      <c r="D285" s="20">
        <v>0.05</v>
      </c>
      <c r="E285" s="20">
        <v>0.01</v>
      </c>
      <c r="F285" s="26">
        <v>2577.98</v>
      </c>
      <c r="Q285" s="20">
        <v>28.5</v>
      </c>
      <c r="R285" s="20">
        <v>80.03</v>
      </c>
      <c r="S285" s="26">
        <v>80</v>
      </c>
      <c r="T285" s="26">
        <v>-0.03</v>
      </c>
      <c r="U285" s="26">
        <v>-0.71</v>
      </c>
      <c r="V285" s="26">
        <v>1594.95</v>
      </c>
    </row>
    <row r="286" spans="1:22" ht="16.8" x14ac:dyDescent="0.3">
      <c r="A286" s="20">
        <v>28.5</v>
      </c>
      <c r="B286" s="20">
        <v>80</v>
      </c>
      <c r="C286" s="26">
        <v>79.95</v>
      </c>
      <c r="D286" s="20">
        <v>0.05</v>
      </c>
      <c r="E286" s="20">
        <v>0</v>
      </c>
      <c r="F286" s="26">
        <v>2550</v>
      </c>
      <c r="Q286" s="20">
        <v>28.6</v>
      </c>
      <c r="R286" s="20">
        <v>79.3</v>
      </c>
      <c r="S286" s="26">
        <v>80</v>
      </c>
      <c r="T286" s="20">
        <v>0.7</v>
      </c>
      <c r="U286" s="26">
        <v>0.73</v>
      </c>
      <c r="V286" s="20">
        <v>3032.29</v>
      </c>
    </row>
    <row r="287" spans="1:22" ht="16.8" x14ac:dyDescent="0.3">
      <c r="A287" s="20">
        <v>28.6</v>
      </c>
      <c r="B287" s="20">
        <v>80</v>
      </c>
      <c r="C287" s="20">
        <v>79.95</v>
      </c>
      <c r="D287" s="20">
        <v>0.05</v>
      </c>
      <c r="E287" s="20">
        <v>0.01</v>
      </c>
      <c r="F287" s="26">
        <v>2568.83</v>
      </c>
      <c r="Q287" s="20">
        <v>28.7</v>
      </c>
      <c r="R287" s="20">
        <v>80.08</v>
      </c>
      <c r="S287" s="26">
        <v>80</v>
      </c>
      <c r="T287" s="26">
        <v>-0.08</v>
      </c>
      <c r="U287" s="26">
        <v>-0.78</v>
      </c>
      <c r="V287" s="26">
        <v>1522.71</v>
      </c>
    </row>
    <row r="288" spans="1:22" ht="16.8" x14ac:dyDescent="0.3">
      <c r="A288" s="20">
        <v>28.7</v>
      </c>
      <c r="B288" s="20">
        <v>80</v>
      </c>
      <c r="C288" s="26">
        <v>79.95</v>
      </c>
      <c r="D288" s="20">
        <v>0.05</v>
      </c>
      <c r="E288" s="20">
        <v>0</v>
      </c>
      <c r="F288" s="26">
        <v>2559.4899999999998</v>
      </c>
      <c r="Q288" s="20">
        <v>28.8</v>
      </c>
      <c r="R288" s="20">
        <v>79.36</v>
      </c>
      <c r="S288" s="26">
        <v>80</v>
      </c>
      <c r="T288" s="26">
        <v>0.64</v>
      </c>
      <c r="U288" s="26">
        <v>0.73</v>
      </c>
      <c r="V288" s="20">
        <v>3016.85</v>
      </c>
    </row>
    <row r="289" spans="1:22" ht="16.8" x14ac:dyDescent="0.3">
      <c r="A289" s="20">
        <v>28.8</v>
      </c>
      <c r="B289" s="20">
        <v>80</v>
      </c>
      <c r="C289" s="26">
        <v>79.98</v>
      </c>
      <c r="D289" s="20">
        <v>0.02</v>
      </c>
      <c r="E289" s="20">
        <v>-0.03</v>
      </c>
      <c r="F289" s="20">
        <v>2578.0300000000002</v>
      </c>
      <c r="Q289" s="20">
        <v>28.9</v>
      </c>
      <c r="R289" s="20">
        <v>80.03</v>
      </c>
      <c r="S289" s="26">
        <v>80</v>
      </c>
      <c r="T289" s="26">
        <v>-0.03</v>
      </c>
      <c r="U289" s="26">
        <v>-0.68</v>
      </c>
      <c r="V289" s="26">
        <v>1627.95</v>
      </c>
    </row>
    <row r="290" spans="1:22" ht="16.8" x14ac:dyDescent="0.3">
      <c r="A290" s="20">
        <v>28.9</v>
      </c>
      <c r="B290" s="20">
        <v>80</v>
      </c>
      <c r="C290" s="20">
        <v>79.989999999999995</v>
      </c>
      <c r="D290" s="20">
        <v>0.01</v>
      </c>
      <c r="E290" s="20">
        <v>-0.02</v>
      </c>
      <c r="F290" s="26">
        <v>2558.2600000000002</v>
      </c>
      <c r="Q290" s="20">
        <v>29</v>
      </c>
      <c r="R290" s="20">
        <v>79.33</v>
      </c>
      <c r="S290" s="26">
        <v>80</v>
      </c>
      <c r="T290" s="26">
        <v>0.67</v>
      </c>
      <c r="U290" s="26">
        <v>0.7</v>
      </c>
      <c r="V290" s="20">
        <v>3001.15</v>
      </c>
    </row>
    <row r="291" spans="1:22" ht="16.8" x14ac:dyDescent="0.3">
      <c r="A291" s="20">
        <v>29</v>
      </c>
      <c r="B291" s="20">
        <v>80</v>
      </c>
      <c r="C291" s="26">
        <v>79.989999999999995</v>
      </c>
      <c r="D291" s="20">
        <v>0.01</v>
      </c>
      <c r="E291" s="20">
        <v>0</v>
      </c>
      <c r="F291" s="26">
        <v>2559.4499999999998</v>
      </c>
      <c r="Q291" s="20">
        <v>29.1</v>
      </c>
      <c r="R291" s="20">
        <v>80.12</v>
      </c>
      <c r="S291" s="26">
        <v>80</v>
      </c>
      <c r="T291" s="20">
        <v>-0.12</v>
      </c>
      <c r="U291" s="26">
        <v>-0.79</v>
      </c>
      <c r="V291" s="20">
        <v>1511.95</v>
      </c>
    </row>
    <row r="292" spans="1:22" ht="16.8" x14ac:dyDescent="0.3">
      <c r="A292" s="20">
        <v>29.1</v>
      </c>
      <c r="B292" s="20">
        <v>80</v>
      </c>
      <c r="C292" s="20">
        <v>79.989999999999995</v>
      </c>
      <c r="D292" s="20">
        <v>0.01</v>
      </c>
      <c r="E292" s="20">
        <v>0</v>
      </c>
      <c r="F292" s="26">
        <v>2559.4499999999998</v>
      </c>
      <c r="Q292" s="20">
        <v>29.2</v>
      </c>
      <c r="R292" s="20">
        <v>79.36</v>
      </c>
      <c r="S292" s="26">
        <v>80</v>
      </c>
      <c r="T292" s="26">
        <v>0.64</v>
      </c>
      <c r="U292" s="26">
        <v>0.76</v>
      </c>
      <c r="V292" s="26">
        <v>3048.19</v>
      </c>
    </row>
    <row r="293" spans="1:22" ht="16.8" x14ac:dyDescent="0.3">
      <c r="A293" s="20">
        <v>29.2</v>
      </c>
      <c r="B293" s="20">
        <v>80</v>
      </c>
      <c r="C293" s="26">
        <v>80.03</v>
      </c>
      <c r="D293" s="20">
        <v>-0.03</v>
      </c>
      <c r="E293" s="20">
        <v>-0.04</v>
      </c>
      <c r="F293" s="26">
        <v>2505.25</v>
      </c>
      <c r="Q293" s="20">
        <v>29.3</v>
      </c>
      <c r="R293" s="20">
        <v>80.11</v>
      </c>
      <c r="S293" s="26">
        <v>80</v>
      </c>
      <c r="T293" s="26">
        <v>-0.11</v>
      </c>
      <c r="U293" s="26">
        <v>-0.75</v>
      </c>
      <c r="V293" s="20">
        <v>1551.48</v>
      </c>
    </row>
    <row r="294" spans="1:22" ht="16.8" x14ac:dyDescent="0.3">
      <c r="A294" s="20">
        <v>29.3</v>
      </c>
      <c r="B294" s="20">
        <v>80</v>
      </c>
      <c r="C294" s="26">
        <v>80</v>
      </c>
      <c r="D294" s="20">
        <v>0</v>
      </c>
      <c r="E294" s="20">
        <v>0.03</v>
      </c>
      <c r="F294" s="26">
        <v>2553.2399999999998</v>
      </c>
      <c r="Q294" s="20">
        <v>29.4</v>
      </c>
      <c r="R294" s="20">
        <v>79.349999999999994</v>
      </c>
      <c r="S294" s="26">
        <v>80</v>
      </c>
      <c r="T294" s="26">
        <v>0.65</v>
      </c>
      <c r="U294" s="26">
        <v>0.77</v>
      </c>
      <c r="V294" s="26">
        <v>3059.99</v>
      </c>
    </row>
    <row r="295" spans="1:22" ht="16.8" x14ac:dyDescent="0.3">
      <c r="A295" s="20">
        <v>29.4</v>
      </c>
      <c r="B295" s="20">
        <v>80</v>
      </c>
      <c r="C295" s="20">
        <v>80.099999999999994</v>
      </c>
      <c r="D295" s="20">
        <v>-0.1</v>
      </c>
      <c r="E295" s="20">
        <v>-0.1</v>
      </c>
      <c r="F295" s="26">
        <v>2384.77</v>
      </c>
      <c r="Q295" s="20">
        <v>29.5</v>
      </c>
      <c r="R295" s="20">
        <v>80.11</v>
      </c>
      <c r="S295" s="26">
        <v>80</v>
      </c>
      <c r="T295" s="26">
        <v>-0.11</v>
      </c>
      <c r="U295" s="26">
        <v>-0.76</v>
      </c>
      <c r="V295" s="20">
        <v>1547.27</v>
      </c>
    </row>
    <row r="296" spans="1:22" ht="16.8" x14ac:dyDescent="0.3">
      <c r="A296" s="20">
        <v>29.5</v>
      </c>
      <c r="B296" s="20">
        <v>80</v>
      </c>
      <c r="C296" s="26">
        <v>80.069999999999993</v>
      </c>
      <c r="D296" s="20">
        <v>-7.0000000000000007E-2</v>
      </c>
      <c r="E296" s="20">
        <v>0.03</v>
      </c>
      <c r="F296" s="26">
        <v>2474.3200000000002</v>
      </c>
      <c r="Q296" s="20">
        <v>29.6</v>
      </c>
      <c r="R296" s="20">
        <v>79.41</v>
      </c>
      <c r="S296" s="26">
        <v>80</v>
      </c>
      <c r="T296" s="26">
        <v>0.59</v>
      </c>
      <c r="U296" s="26">
        <v>0.69</v>
      </c>
      <c r="V296" s="26">
        <v>2984.49</v>
      </c>
    </row>
    <row r="297" spans="1:22" ht="16.8" x14ac:dyDescent="0.3">
      <c r="A297" s="20">
        <v>29.6</v>
      </c>
      <c r="B297" s="20">
        <v>80</v>
      </c>
      <c r="C297" s="26">
        <v>80.12</v>
      </c>
      <c r="D297" s="20">
        <v>-0.12</v>
      </c>
      <c r="E297" s="20">
        <v>-0.05</v>
      </c>
      <c r="F297" s="26">
        <v>2368.1999999999998</v>
      </c>
      <c r="Q297" s="20">
        <v>29.7</v>
      </c>
      <c r="R297" s="20">
        <v>80.069999999999993</v>
      </c>
      <c r="S297" s="26">
        <v>80</v>
      </c>
      <c r="T297" s="26">
        <v>-7.0000000000000007E-2</v>
      </c>
      <c r="U297" s="26">
        <v>-0.66</v>
      </c>
      <c r="V297" s="20">
        <v>1642.11</v>
      </c>
    </row>
    <row r="298" spans="1:22" ht="16.8" x14ac:dyDescent="0.3">
      <c r="A298" s="20">
        <v>29.7</v>
      </c>
      <c r="B298" s="20">
        <v>80</v>
      </c>
      <c r="C298" s="20">
        <v>80.13</v>
      </c>
      <c r="D298" s="20">
        <v>-0.13</v>
      </c>
      <c r="E298" s="20">
        <v>-0.02</v>
      </c>
      <c r="F298" s="26">
        <v>2386.44</v>
      </c>
      <c r="Q298" s="20">
        <v>29.8</v>
      </c>
      <c r="R298" s="20">
        <v>79.430000000000007</v>
      </c>
      <c r="S298" s="26">
        <v>80</v>
      </c>
      <c r="T298" s="26">
        <v>0.56999999999999995</v>
      </c>
      <c r="U298" s="26">
        <v>0.64</v>
      </c>
      <c r="V298" s="26">
        <v>2939.41</v>
      </c>
    </row>
    <row r="299" spans="1:22" ht="16.8" x14ac:dyDescent="0.3">
      <c r="A299" s="20">
        <v>29.8</v>
      </c>
      <c r="B299" s="20">
        <v>80</v>
      </c>
      <c r="C299" s="26">
        <v>80.2</v>
      </c>
      <c r="D299" s="20">
        <v>-0.2</v>
      </c>
      <c r="E299" s="20">
        <v>-7.0000000000000007E-2</v>
      </c>
      <c r="F299" s="26">
        <v>2268.9499999999998</v>
      </c>
      <c r="Q299" s="20">
        <v>29.9</v>
      </c>
      <c r="R299" s="20">
        <v>80.150000000000006</v>
      </c>
      <c r="S299" s="26">
        <v>80</v>
      </c>
      <c r="T299" s="26">
        <v>-0.15</v>
      </c>
      <c r="U299" s="26">
        <v>-0.73</v>
      </c>
      <c r="V299" s="20">
        <v>1570.89</v>
      </c>
    </row>
    <row r="300" spans="1:22" ht="16.8" x14ac:dyDescent="0.3">
      <c r="A300" s="20">
        <v>29.9</v>
      </c>
      <c r="B300" s="20">
        <v>80</v>
      </c>
      <c r="C300" s="26">
        <v>80.22</v>
      </c>
      <c r="D300" s="20">
        <v>-0.22</v>
      </c>
      <c r="E300" s="20">
        <v>-0.01</v>
      </c>
      <c r="F300" s="26">
        <v>2308.2800000000002</v>
      </c>
      <c r="Q300" s="20">
        <v>30</v>
      </c>
      <c r="R300" s="20">
        <v>79.41</v>
      </c>
      <c r="S300" s="26">
        <v>80</v>
      </c>
      <c r="T300" s="26">
        <v>0.59</v>
      </c>
      <c r="U300" s="26">
        <v>0.75</v>
      </c>
      <c r="V300" s="20">
        <v>3039.92</v>
      </c>
    </row>
    <row r="301" spans="1:22" ht="16.8" x14ac:dyDescent="0.3">
      <c r="A301" s="20">
        <v>30</v>
      </c>
      <c r="B301" s="20">
        <v>80</v>
      </c>
      <c r="C301" s="20">
        <v>80.17</v>
      </c>
      <c r="D301" s="20">
        <v>-0.17</v>
      </c>
      <c r="E301" s="20">
        <v>0.05</v>
      </c>
      <c r="F301" s="26">
        <v>2368.64</v>
      </c>
      <c r="Q301" s="20">
        <v>30.1</v>
      </c>
      <c r="R301" s="20">
        <v>80.150000000000006</v>
      </c>
      <c r="S301" s="26">
        <v>80</v>
      </c>
      <c r="T301" s="26">
        <v>-0.15</v>
      </c>
      <c r="U301" s="26">
        <v>-0.75</v>
      </c>
      <c r="V301" s="26">
        <v>1550.35</v>
      </c>
    </row>
    <row r="302" spans="1:22" ht="16.8" x14ac:dyDescent="0.3">
      <c r="A302" s="20">
        <v>30.1</v>
      </c>
      <c r="B302" s="20">
        <v>80</v>
      </c>
      <c r="C302" s="26">
        <v>80.180000000000007</v>
      </c>
      <c r="D302" s="20">
        <v>-0.18</v>
      </c>
      <c r="E302" s="20">
        <v>-0.02</v>
      </c>
      <c r="F302" s="20">
        <v>2337.3200000000002</v>
      </c>
      <c r="Q302" s="20">
        <v>30.2</v>
      </c>
      <c r="R302" s="20">
        <v>79.44</v>
      </c>
      <c r="S302" s="26">
        <v>80</v>
      </c>
      <c r="T302" s="26">
        <v>0.56000000000000005</v>
      </c>
      <c r="U302" s="26">
        <v>0.72</v>
      </c>
      <c r="V302" s="20">
        <v>3006.35</v>
      </c>
    </row>
    <row r="303" spans="1:22" ht="16.8" x14ac:dyDescent="0.3">
      <c r="A303" s="20">
        <v>30.2</v>
      </c>
      <c r="B303" s="20">
        <v>80</v>
      </c>
      <c r="C303" s="20">
        <v>80.239999999999995</v>
      </c>
      <c r="D303" s="20">
        <v>-0.24</v>
      </c>
      <c r="E303" s="20">
        <v>-0.06</v>
      </c>
      <c r="F303" s="26">
        <v>2235.5500000000002</v>
      </c>
      <c r="Q303" s="20">
        <v>30.3</v>
      </c>
      <c r="R303" s="20">
        <v>80.150000000000006</v>
      </c>
      <c r="S303" s="26">
        <v>80</v>
      </c>
      <c r="T303" s="26">
        <v>-0.15</v>
      </c>
      <c r="U303" s="26">
        <v>-0.72</v>
      </c>
      <c r="V303" s="26">
        <v>1580.81</v>
      </c>
    </row>
    <row r="304" spans="1:22" ht="16.8" x14ac:dyDescent="0.3">
      <c r="A304" s="20">
        <v>30.3</v>
      </c>
      <c r="B304" s="20">
        <v>80</v>
      </c>
      <c r="C304" s="26">
        <v>80.239999999999995</v>
      </c>
      <c r="D304" s="20">
        <v>-0.24</v>
      </c>
      <c r="E304" s="20">
        <v>0.01</v>
      </c>
      <c r="F304" s="26">
        <v>2298.62</v>
      </c>
      <c r="Q304" s="20">
        <v>30.4</v>
      </c>
      <c r="R304" s="20">
        <v>79.400000000000006</v>
      </c>
      <c r="S304" s="26">
        <v>80</v>
      </c>
      <c r="T304" s="26">
        <v>0.6</v>
      </c>
      <c r="U304" s="26">
        <v>0.76</v>
      </c>
      <c r="V304" s="20">
        <v>3051.28</v>
      </c>
    </row>
    <row r="305" spans="1:22" ht="16.8" x14ac:dyDescent="0.3">
      <c r="A305" s="20">
        <v>30.4</v>
      </c>
      <c r="B305" s="20">
        <v>80</v>
      </c>
      <c r="C305" s="26">
        <v>80.239999999999995</v>
      </c>
      <c r="D305" s="20">
        <v>-0.24</v>
      </c>
      <c r="E305" s="20">
        <v>0</v>
      </c>
      <c r="F305" s="26">
        <v>2290.77</v>
      </c>
      <c r="Q305" s="20">
        <v>30.5</v>
      </c>
      <c r="R305" s="20">
        <v>80.19</v>
      </c>
      <c r="S305" s="26">
        <v>80</v>
      </c>
      <c r="T305" s="26">
        <v>-0.19</v>
      </c>
      <c r="U305" s="26">
        <v>-0.79</v>
      </c>
      <c r="V305" s="26">
        <v>1510.77</v>
      </c>
    </row>
    <row r="306" spans="1:22" ht="16.8" x14ac:dyDescent="0.3">
      <c r="A306" s="20">
        <v>30.5</v>
      </c>
      <c r="B306" s="20">
        <v>80</v>
      </c>
      <c r="C306" s="20">
        <v>80.22</v>
      </c>
      <c r="D306" s="20">
        <v>-0.22</v>
      </c>
      <c r="E306" s="20">
        <v>0.02</v>
      </c>
      <c r="F306" s="26">
        <v>2319.31</v>
      </c>
      <c r="Q306" s="20">
        <v>30.6</v>
      </c>
      <c r="R306" s="20">
        <v>79.47</v>
      </c>
      <c r="S306" s="26">
        <v>80</v>
      </c>
      <c r="T306" s="20">
        <v>0.53</v>
      </c>
      <c r="U306" s="26">
        <v>0.72</v>
      </c>
      <c r="V306" s="20">
        <v>3003.16</v>
      </c>
    </row>
    <row r="307" spans="1:22" ht="16.8" x14ac:dyDescent="0.3">
      <c r="A307" s="20">
        <v>30.6</v>
      </c>
      <c r="B307" s="20">
        <v>80</v>
      </c>
      <c r="C307" s="26">
        <v>80.209999999999994</v>
      </c>
      <c r="D307" s="20">
        <v>-0.21</v>
      </c>
      <c r="E307" s="20">
        <v>0.01</v>
      </c>
      <c r="F307" s="20">
        <v>2327.59</v>
      </c>
      <c r="Q307" s="20">
        <v>30.7</v>
      </c>
      <c r="R307" s="20">
        <v>80.16</v>
      </c>
      <c r="S307" s="26">
        <v>80</v>
      </c>
      <c r="T307" s="26">
        <v>-0.16</v>
      </c>
      <c r="U307" s="26">
        <v>-0.69</v>
      </c>
      <c r="V307" s="20">
        <v>1603.74</v>
      </c>
    </row>
    <row r="308" spans="1:22" ht="16.8" x14ac:dyDescent="0.3">
      <c r="A308" s="20">
        <v>30.7</v>
      </c>
      <c r="B308" s="20">
        <v>80</v>
      </c>
      <c r="C308" s="26">
        <v>80.239999999999995</v>
      </c>
      <c r="D308" s="20">
        <v>-0.24</v>
      </c>
      <c r="E308" s="20">
        <v>-0.03</v>
      </c>
      <c r="F308" s="26">
        <v>2265.13</v>
      </c>
      <c r="Q308" s="20">
        <v>30.8</v>
      </c>
      <c r="R308" s="20">
        <v>79.489999999999995</v>
      </c>
      <c r="S308" s="26">
        <v>80</v>
      </c>
      <c r="T308" s="26">
        <v>0.51</v>
      </c>
      <c r="U308" s="26">
        <v>0.68</v>
      </c>
      <c r="V308" s="26">
        <v>2964.92</v>
      </c>
    </row>
    <row r="309" spans="1:22" ht="16.8" x14ac:dyDescent="0.3">
      <c r="A309" s="20">
        <v>30.8</v>
      </c>
      <c r="B309" s="20">
        <v>80</v>
      </c>
      <c r="C309" s="20">
        <v>80.2</v>
      </c>
      <c r="D309" s="20">
        <v>-0.2</v>
      </c>
      <c r="E309" s="20">
        <v>0.04</v>
      </c>
      <c r="F309" s="20">
        <v>2331.6999999999998</v>
      </c>
      <c r="Q309" s="20">
        <v>30.9</v>
      </c>
      <c r="R309" s="20">
        <v>80.17</v>
      </c>
      <c r="S309" s="26">
        <v>80</v>
      </c>
      <c r="T309" s="26">
        <v>-0.17</v>
      </c>
      <c r="U309" s="26">
        <v>-0.68</v>
      </c>
      <c r="V309" s="20">
        <v>1610.7</v>
      </c>
    </row>
    <row r="310" spans="1:22" ht="16.8" x14ac:dyDescent="0.3">
      <c r="A310" s="20">
        <v>30.9</v>
      </c>
      <c r="B310" s="20">
        <v>80</v>
      </c>
      <c r="C310" s="26">
        <v>80.209999999999994</v>
      </c>
      <c r="D310" s="20">
        <v>-0.21</v>
      </c>
      <c r="E310" s="20">
        <v>-0.01</v>
      </c>
      <c r="F310" s="26">
        <v>2316.04</v>
      </c>
      <c r="Q310" s="20">
        <v>31</v>
      </c>
      <c r="R310" s="20">
        <v>79.45</v>
      </c>
      <c r="S310" s="26">
        <v>80</v>
      </c>
      <c r="T310" s="26">
        <v>0.55000000000000004</v>
      </c>
      <c r="U310" s="26">
        <v>0.72</v>
      </c>
      <c r="V310" s="26">
        <v>3008.24</v>
      </c>
    </row>
    <row r="311" spans="1:22" ht="16.8" x14ac:dyDescent="0.3">
      <c r="A311" s="20">
        <v>31</v>
      </c>
      <c r="B311" s="20">
        <v>80</v>
      </c>
      <c r="C311" s="26">
        <v>80.22</v>
      </c>
      <c r="D311" s="20">
        <v>-0.22</v>
      </c>
      <c r="E311" s="20">
        <v>-0.01</v>
      </c>
      <c r="F311" s="26">
        <v>2307.8200000000002</v>
      </c>
      <c r="Q311" s="20">
        <v>31.1</v>
      </c>
      <c r="R311" s="20">
        <v>80.25</v>
      </c>
      <c r="S311" s="26">
        <v>80</v>
      </c>
      <c r="T311" s="20">
        <v>-0.25</v>
      </c>
      <c r="U311" s="26">
        <v>-0.8</v>
      </c>
      <c r="V311" s="20">
        <v>1495.3</v>
      </c>
    </row>
    <row r="312" spans="1:22" ht="16.8" x14ac:dyDescent="0.3">
      <c r="A312" s="20">
        <v>31.1</v>
      </c>
      <c r="B312" s="20">
        <v>80</v>
      </c>
      <c r="C312" s="20">
        <v>80.239999999999995</v>
      </c>
      <c r="D312" s="20">
        <v>-0.24</v>
      </c>
      <c r="E312" s="20">
        <v>-0.02</v>
      </c>
      <c r="F312" s="20">
        <v>2276.12</v>
      </c>
      <c r="Q312" s="20">
        <v>31.2</v>
      </c>
      <c r="R312" s="20">
        <v>79.510000000000005</v>
      </c>
      <c r="S312" s="26">
        <v>80</v>
      </c>
      <c r="T312" s="26">
        <v>0.49</v>
      </c>
      <c r="U312" s="26">
        <v>0.74</v>
      </c>
      <c r="V312" s="26">
        <v>3021.01</v>
      </c>
    </row>
    <row r="313" spans="1:22" ht="16.8" x14ac:dyDescent="0.3">
      <c r="A313" s="20">
        <v>31.2</v>
      </c>
      <c r="B313" s="20">
        <v>80</v>
      </c>
      <c r="C313" s="26">
        <v>80.25</v>
      </c>
      <c r="D313" s="20">
        <v>-0.25</v>
      </c>
      <c r="E313" s="20">
        <v>-0.01</v>
      </c>
      <c r="F313" s="26">
        <v>2278.8200000000002</v>
      </c>
      <c r="Q313" s="20">
        <v>31.3</v>
      </c>
      <c r="R313" s="20">
        <v>80.239999999999995</v>
      </c>
      <c r="S313" s="26">
        <v>80</v>
      </c>
      <c r="T313" s="20">
        <v>-0.24</v>
      </c>
      <c r="U313" s="26">
        <v>-0.73</v>
      </c>
      <c r="V313" s="20">
        <v>1555.89</v>
      </c>
    </row>
    <row r="314" spans="1:22" ht="16.8" x14ac:dyDescent="0.3">
      <c r="A314" s="20">
        <v>31.3</v>
      </c>
      <c r="B314" s="20">
        <v>80</v>
      </c>
      <c r="C314" s="20">
        <v>80.209999999999994</v>
      </c>
      <c r="D314" s="20">
        <v>-0.21</v>
      </c>
      <c r="E314" s="20">
        <v>0.04</v>
      </c>
      <c r="F314" s="26">
        <v>2323.44</v>
      </c>
      <c r="Q314" s="20">
        <v>31.4</v>
      </c>
      <c r="R314" s="20">
        <v>79.5</v>
      </c>
      <c r="S314" s="20">
        <v>80</v>
      </c>
      <c r="T314" s="26">
        <v>0.5</v>
      </c>
      <c r="U314" s="26">
        <v>0.74</v>
      </c>
      <c r="V314" s="20">
        <v>3023.21</v>
      </c>
    </row>
    <row r="315" spans="1:22" ht="16.8" x14ac:dyDescent="0.3">
      <c r="A315" s="20">
        <v>31.4</v>
      </c>
      <c r="B315" s="20">
        <v>80</v>
      </c>
      <c r="C315" s="26">
        <v>80.22</v>
      </c>
      <c r="D315" s="20">
        <v>-0.22</v>
      </c>
      <c r="E315" s="20">
        <v>-0.01</v>
      </c>
      <c r="F315" s="26">
        <v>2300.09</v>
      </c>
      <c r="Q315" s="20">
        <v>31.5</v>
      </c>
      <c r="R315" s="20">
        <v>80.239999999999995</v>
      </c>
      <c r="S315" s="26">
        <v>80</v>
      </c>
      <c r="T315" s="26">
        <v>-0.24</v>
      </c>
      <c r="U315" s="26">
        <v>-0.73</v>
      </c>
      <c r="V315" s="26">
        <v>1558.11</v>
      </c>
    </row>
    <row r="316" spans="1:22" ht="16.8" x14ac:dyDescent="0.3">
      <c r="A316" s="20">
        <v>31.5</v>
      </c>
      <c r="B316" s="20">
        <v>80</v>
      </c>
      <c r="C316" s="26">
        <v>80.180000000000007</v>
      </c>
      <c r="D316" s="20">
        <v>-0.18</v>
      </c>
      <c r="E316" s="20">
        <v>0.04</v>
      </c>
      <c r="F316" s="26">
        <v>2356.35</v>
      </c>
      <c r="Q316" s="20">
        <v>31.6</v>
      </c>
      <c r="R316" s="20">
        <v>79.489999999999995</v>
      </c>
      <c r="S316" s="20">
        <v>80</v>
      </c>
      <c r="T316" s="26">
        <v>0.51</v>
      </c>
      <c r="U316" s="26">
        <v>0.74</v>
      </c>
      <c r="V316" s="20">
        <v>3025.46</v>
      </c>
    </row>
    <row r="317" spans="1:22" ht="16.8" x14ac:dyDescent="0.3">
      <c r="A317" s="20">
        <v>31.6</v>
      </c>
      <c r="B317" s="20">
        <v>80</v>
      </c>
      <c r="C317" s="20">
        <v>80.2</v>
      </c>
      <c r="D317" s="20">
        <v>-0.2</v>
      </c>
      <c r="E317" s="20">
        <v>-0.02</v>
      </c>
      <c r="F317" s="26">
        <v>2309.46</v>
      </c>
      <c r="Q317" s="20">
        <v>31.7</v>
      </c>
      <c r="R317" s="20">
        <v>80.209999999999994</v>
      </c>
      <c r="S317" s="26">
        <v>80</v>
      </c>
      <c r="T317" s="26">
        <v>-0.21</v>
      </c>
      <c r="U317" s="26">
        <v>-0.72</v>
      </c>
      <c r="V317" s="26">
        <v>1577.85</v>
      </c>
    </row>
    <row r="318" spans="1:22" ht="16.8" x14ac:dyDescent="0.3">
      <c r="A318" s="20">
        <v>31.7</v>
      </c>
      <c r="B318" s="20">
        <v>80</v>
      </c>
      <c r="C318" s="26">
        <v>80.14</v>
      </c>
      <c r="D318" s="20">
        <v>-0.14000000000000001</v>
      </c>
      <c r="E318" s="20">
        <v>0.06</v>
      </c>
      <c r="F318" s="26">
        <v>2397.58</v>
      </c>
      <c r="Q318" s="20">
        <v>31.8</v>
      </c>
      <c r="R318" s="20">
        <v>79.52</v>
      </c>
      <c r="S318" s="26">
        <v>80</v>
      </c>
      <c r="T318" s="26">
        <v>0.48</v>
      </c>
      <c r="U318" s="26">
        <v>0.69</v>
      </c>
      <c r="V318" s="20">
        <v>2978.27</v>
      </c>
    </row>
    <row r="319" spans="1:22" ht="16.8" x14ac:dyDescent="0.3">
      <c r="A319" s="20">
        <v>31.8</v>
      </c>
      <c r="B319" s="20">
        <v>80</v>
      </c>
      <c r="C319" s="26">
        <v>80.11</v>
      </c>
      <c r="D319" s="20">
        <v>-0.11</v>
      </c>
      <c r="E319" s="20">
        <v>0.02</v>
      </c>
      <c r="F319" s="26">
        <v>2422.6799999999998</v>
      </c>
      <c r="Q319" s="20">
        <v>31.9</v>
      </c>
      <c r="R319" s="20">
        <v>80.27</v>
      </c>
      <c r="S319" s="26">
        <v>80</v>
      </c>
      <c r="T319" s="26">
        <v>-0.27</v>
      </c>
      <c r="U319" s="26">
        <v>-0.75</v>
      </c>
      <c r="V319" s="26">
        <v>1539.46</v>
      </c>
    </row>
    <row r="320" spans="1:22" ht="16.8" x14ac:dyDescent="0.3">
      <c r="A320" s="20">
        <v>31.9</v>
      </c>
      <c r="B320" s="20">
        <v>80</v>
      </c>
      <c r="C320" s="20">
        <v>80.09</v>
      </c>
      <c r="D320" s="20">
        <v>-0.09</v>
      </c>
      <c r="E320" s="20">
        <v>0.02</v>
      </c>
      <c r="F320" s="20">
        <v>2448.1999999999998</v>
      </c>
      <c r="Q320" s="20">
        <v>32</v>
      </c>
      <c r="R320" s="20">
        <v>79.53</v>
      </c>
      <c r="S320" s="26">
        <v>80</v>
      </c>
      <c r="T320" s="26">
        <v>0.47</v>
      </c>
      <c r="U320" s="26">
        <v>0.74</v>
      </c>
      <c r="V320" s="20">
        <v>3021.28</v>
      </c>
    </row>
    <row r="321" spans="1:22" ht="16.8" x14ac:dyDescent="0.3">
      <c r="A321" s="20">
        <v>32</v>
      </c>
      <c r="B321" s="20">
        <v>80</v>
      </c>
      <c r="C321" s="26">
        <v>80.14</v>
      </c>
      <c r="D321" s="20">
        <v>-0.14000000000000001</v>
      </c>
      <c r="E321" s="20">
        <v>-0.05</v>
      </c>
      <c r="F321" s="26">
        <v>2343.92</v>
      </c>
      <c r="Q321" s="20">
        <v>32.1</v>
      </c>
      <c r="R321" s="20">
        <v>80.319999999999993</v>
      </c>
      <c r="S321" s="26">
        <v>80</v>
      </c>
      <c r="T321" s="26">
        <v>-0.32</v>
      </c>
      <c r="U321" s="26">
        <v>-0.79</v>
      </c>
      <c r="V321" s="20">
        <v>1494.99</v>
      </c>
    </row>
    <row r="322" spans="1:22" ht="16.8" x14ac:dyDescent="0.3">
      <c r="A322" s="20">
        <v>32.1</v>
      </c>
      <c r="B322" s="20">
        <v>80</v>
      </c>
      <c r="C322" s="20">
        <v>80.13</v>
      </c>
      <c r="D322" s="20">
        <v>-0.13</v>
      </c>
      <c r="E322" s="20">
        <v>0.01</v>
      </c>
      <c r="F322" s="26">
        <v>2405.91</v>
      </c>
      <c r="Q322" s="20">
        <v>32.200000000000003</v>
      </c>
      <c r="R322" s="20">
        <v>79.53</v>
      </c>
      <c r="S322" s="26">
        <v>80</v>
      </c>
      <c r="T322" s="26">
        <v>0.47</v>
      </c>
      <c r="U322" s="26">
        <v>0.79</v>
      </c>
      <c r="V322" s="26">
        <v>3065.59</v>
      </c>
    </row>
    <row r="323" spans="1:22" ht="16.8" x14ac:dyDescent="0.3">
      <c r="A323" s="20">
        <v>32.200000000000003</v>
      </c>
      <c r="B323" s="20">
        <v>80</v>
      </c>
      <c r="C323" s="26">
        <v>80.13</v>
      </c>
      <c r="D323" s="20">
        <v>-0.13</v>
      </c>
      <c r="E323" s="20">
        <v>0</v>
      </c>
      <c r="F323" s="20">
        <v>2410.08</v>
      </c>
      <c r="Q323" s="20">
        <v>32.299999999999997</v>
      </c>
      <c r="R323" s="20">
        <v>80.290000000000006</v>
      </c>
      <c r="S323" s="26">
        <v>80</v>
      </c>
      <c r="T323" s="26">
        <v>-0.28999999999999998</v>
      </c>
      <c r="U323" s="26">
        <v>-0.77</v>
      </c>
      <c r="V323" s="20">
        <v>1521.68</v>
      </c>
    </row>
    <row r="324" spans="1:22" ht="16.8" x14ac:dyDescent="0.3">
      <c r="A324" s="20">
        <v>32.299999999999997</v>
      </c>
      <c r="B324" s="20">
        <v>80</v>
      </c>
      <c r="C324" s="26">
        <v>80.069999999999993</v>
      </c>
      <c r="D324" s="20">
        <v>-7.0000000000000007E-2</v>
      </c>
      <c r="E324" s="20">
        <v>0.06</v>
      </c>
      <c r="F324" s="26">
        <v>2473.7399999999998</v>
      </c>
      <c r="Q324" s="20">
        <v>32.4</v>
      </c>
      <c r="R324" s="20">
        <v>79.52</v>
      </c>
      <c r="S324" s="26">
        <v>80</v>
      </c>
      <c r="T324" s="26">
        <v>0.48</v>
      </c>
      <c r="U324" s="26">
        <v>0.77</v>
      </c>
      <c r="V324" s="26">
        <v>3053</v>
      </c>
    </row>
    <row r="325" spans="1:22" ht="16.8" x14ac:dyDescent="0.3">
      <c r="A325" s="20">
        <v>32.4</v>
      </c>
      <c r="B325" s="20">
        <v>80</v>
      </c>
      <c r="C325" s="20">
        <v>80.03</v>
      </c>
      <c r="D325" s="20">
        <v>-0.03</v>
      </c>
      <c r="E325" s="20">
        <v>0.03</v>
      </c>
      <c r="F325" s="20">
        <v>2510.29</v>
      </c>
      <c r="Q325" s="20">
        <v>32.5</v>
      </c>
      <c r="R325" s="20">
        <v>80.319999999999993</v>
      </c>
      <c r="S325" s="20">
        <v>80</v>
      </c>
      <c r="T325" s="26">
        <v>-0.32</v>
      </c>
      <c r="U325" s="26">
        <v>-0.8</v>
      </c>
      <c r="V325" s="20">
        <v>1488.76</v>
      </c>
    </row>
    <row r="326" spans="1:22" ht="16.8" x14ac:dyDescent="0.3">
      <c r="A326" s="20">
        <v>32.5</v>
      </c>
      <c r="B326" s="20">
        <v>80</v>
      </c>
      <c r="C326" s="26">
        <v>80.069999999999993</v>
      </c>
      <c r="D326" s="20">
        <v>-7.0000000000000007E-2</v>
      </c>
      <c r="E326" s="20">
        <v>-0.04</v>
      </c>
      <c r="F326" s="26">
        <v>2426.46</v>
      </c>
      <c r="Q326" s="20">
        <v>32.6</v>
      </c>
      <c r="R326" s="20">
        <v>79.540000000000006</v>
      </c>
      <c r="S326" s="26">
        <v>80</v>
      </c>
      <c r="T326" s="26">
        <v>0.46</v>
      </c>
      <c r="U326" s="26">
        <v>0.77</v>
      </c>
      <c r="V326" s="26">
        <v>3049.2</v>
      </c>
    </row>
    <row r="327" spans="1:22" ht="16.8" x14ac:dyDescent="0.3">
      <c r="A327" s="20">
        <v>32.6</v>
      </c>
      <c r="B327" s="20">
        <v>80</v>
      </c>
      <c r="C327" s="26">
        <v>80</v>
      </c>
      <c r="D327" s="20">
        <v>0</v>
      </c>
      <c r="E327" s="20">
        <v>7.0000000000000007E-2</v>
      </c>
      <c r="F327" s="26">
        <v>2548.1999999999998</v>
      </c>
      <c r="Q327" s="20">
        <v>32.700000000000003</v>
      </c>
      <c r="R327" s="20">
        <v>80.290000000000006</v>
      </c>
      <c r="S327" s="26">
        <v>80</v>
      </c>
      <c r="T327" s="26">
        <v>-0.28999999999999998</v>
      </c>
      <c r="U327" s="26">
        <v>-0.75</v>
      </c>
      <c r="V327" s="20">
        <v>1537.31</v>
      </c>
    </row>
    <row r="328" spans="1:22" ht="16.8" x14ac:dyDescent="0.3">
      <c r="A328" s="20">
        <v>32.700000000000003</v>
      </c>
      <c r="B328" s="20">
        <v>80</v>
      </c>
      <c r="C328" s="20">
        <v>80.069999999999993</v>
      </c>
      <c r="D328" s="20">
        <v>-7.0000000000000007E-2</v>
      </c>
      <c r="E328" s="20">
        <v>-7.0000000000000007E-2</v>
      </c>
      <c r="F328" s="26">
        <v>2424.9699999999998</v>
      </c>
      <c r="Q328" s="20">
        <v>32.799999999999997</v>
      </c>
      <c r="R328" s="20">
        <v>79.569999999999993</v>
      </c>
      <c r="S328" s="26">
        <v>80</v>
      </c>
      <c r="T328" s="26">
        <v>0.43</v>
      </c>
      <c r="U328" s="26">
        <v>0.72</v>
      </c>
      <c r="V328" s="26">
        <v>2992.88</v>
      </c>
    </row>
    <row r="329" spans="1:22" ht="16.8" x14ac:dyDescent="0.3">
      <c r="A329" s="20">
        <v>32.799999999999997</v>
      </c>
      <c r="B329" s="20">
        <v>80</v>
      </c>
      <c r="C329" s="26">
        <v>80.03</v>
      </c>
      <c r="D329" s="20">
        <v>-0.03</v>
      </c>
      <c r="E329" s="20">
        <v>0.04</v>
      </c>
      <c r="F329" s="26">
        <v>2514.77</v>
      </c>
      <c r="Q329" s="20">
        <v>32.9</v>
      </c>
      <c r="R329" s="20">
        <v>80.290000000000006</v>
      </c>
      <c r="S329" s="26">
        <v>80</v>
      </c>
      <c r="T329" s="26">
        <v>-0.28999999999999998</v>
      </c>
      <c r="U329" s="26">
        <v>-0.72</v>
      </c>
      <c r="V329" s="20">
        <v>1566.93</v>
      </c>
    </row>
    <row r="330" spans="1:22" ht="16.8" x14ac:dyDescent="0.3">
      <c r="A330" s="20">
        <v>32.9</v>
      </c>
      <c r="B330" s="20">
        <v>80</v>
      </c>
      <c r="C330" s="26">
        <v>80.03</v>
      </c>
      <c r="D330" s="20">
        <v>-0.03</v>
      </c>
      <c r="E330" s="20">
        <v>0</v>
      </c>
      <c r="F330" s="26">
        <v>2519.63</v>
      </c>
      <c r="Q330" s="20">
        <v>33</v>
      </c>
      <c r="R330" s="20">
        <v>79.53</v>
      </c>
      <c r="S330" s="26">
        <v>80</v>
      </c>
      <c r="T330" s="26">
        <v>0.47</v>
      </c>
      <c r="U330" s="26">
        <v>0.77</v>
      </c>
      <c r="V330" s="26">
        <v>3045.7</v>
      </c>
    </row>
    <row r="331" spans="1:22" ht="16.8" x14ac:dyDescent="0.3">
      <c r="A331" s="20">
        <v>33</v>
      </c>
      <c r="B331" s="20">
        <v>80</v>
      </c>
      <c r="C331" s="20">
        <v>80.08</v>
      </c>
      <c r="D331" s="20">
        <v>-0.08</v>
      </c>
      <c r="E331" s="20">
        <v>-0.06</v>
      </c>
      <c r="F331" s="26">
        <v>2413.5100000000002</v>
      </c>
      <c r="Q331" s="20">
        <v>33.1</v>
      </c>
      <c r="R331" s="20">
        <v>80.319999999999993</v>
      </c>
      <c r="S331" s="26">
        <v>80</v>
      </c>
      <c r="T331" s="26">
        <v>-0.32</v>
      </c>
      <c r="U331" s="26">
        <v>-0.8</v>
      </c>
      <c r="V331" s="20">
        <v>1488.76</v>
      </c>
    </row>
    <row r="332" spans="1:22" ht="16.8" x14ac:dyDescent="0.3">
      <c r="A332" s="20">
        <v>33.1</v>
      </c>
      <c r="B332" s="20">
        <v>80</v>
      </c>
      <c r="C332" s="26">
        <v>80.09</v>
      </c>
      <c r="D332" s="20">
        <v>-0.09</v>
      </c>
      <c r="E332" s="20">
        <v>-0.01</v>
      </c>
      <c r="F332" s="26">
        <v>2432.11</v>
      </c>
      <c r="Q332" s="20">
        <v>33.200000000000003</v>
      </c>
      <c r="R332" s="20">
        <v>79.489999999999995</v>
      </c>
      <c r="S332" s="26">
        <v>80</v>
      </c>
      <c r="T332" s="26">
        <v>0.51</v>
      </c>
      <c r="U332" s="26">
        <v>0.84</v>
      </c>
      <c r="V332" s="26">
        <v>3119.05</v>
      </c>
    </row>
    <row r="333" spans="1:22" ht="16.8" x14ac:dyDescent="0.3">
      <c r="A333" s="20">
        <v>33.200000000000003</v>
      </c>
      <c r="B333" s="20">
        <v>80</v>
      </c>
      <c r="C333" s="20">
        <v>80.06</v>
      </c>
      <c r="D333" s="20">
        <v>-0.06</v>
      </c>
      <c r="E333" s="20">
        <v>0.03</v>
      </c>
      <c r="F333" s="26">
        <v>2478.7600000000002</v>
      </c>
      <c r="Q333" s="20">
        <v>33.299999999999997</v>
      </c>
      <c r="R333" s="20">
        <v>80.33</v>
      </c>
      <c r="S333" s="26">
        <v>80</v>
      </c>
      <c r="T333" s="20">
        <v>-0.33</v>
      </c>
      <c r="U333" s="26">
        <v>-0.85</v>
      </c>
      <c r="V333" s="20">
        <v>1444.1</v>
      </c>
    </row>
    <row r="334" spans="1:22" ht="16.8" x14ac:dyDescent="0.3">
      <c r="A334" s="20">
        <v>33.299999999999997</v>
      </c>
      <c r="B334" s="20">
        <v>80</v>
      </c>
      <c r="C334" s="26">
        <v>80.11</v>
      </c>
      <c r="D334" s="20">
        <v>-0.11</v>
      </c>
      <c r="E334" s="20">
        <v>-0.05</v>
      </c>
      <c r="F334" s="20">
        <v>2372.33</v>
      </c>
      <c r="Q334" s="20">
        <v>33.4</v>
      </c>
      <c r="R334" s="20">
        <v>79.489999999999995</v>
      </c>
      <c r="S334" s="26">
        <v>80</v>
      </c>
      <c r="T334" s="26">
        <v>0.51</v>
      </c>
      <c r="U334" s="26">
        <v>0.84</v>
      </c>
      <c r="V334" s="26">
        <v>3118.18</v>
      </c>
    </row>
    <row r="335" spans="1:22" ht="16.8" x14ac:dyDescent="0.3">
      <c r="A335" s="20">
        <v>33.4</v>
      </c>
      <c r="B335" s="20">
        <v>80</v>
      </c>
      <c r="C335" s="26">
        <v>80.069999999999993</v>
      </c>
      <c r="D335" s="20">
        <v>-7.0000000000000007E-2</v>
      </c>
      <c r="E335" s="20">
        <v>0.04</v>
      </c>
      <c r="F335" s="26">
        <v>2469.87</v>
      </c>
      <c r="Q335" s="20">
        <v>33.5</v>
      </c>
      <c r="R335" s="20">
        <v>80.3</v>
      </c>
      <c r="S335" s="26">
        <v>80</v>
      </c>
      <c r="T335" s="26">
        <v>-0.3</v>
      </c>
      <c r="U335" s="26">
        <v>-0.81</v>
      </c>
      <c r="V335" s="20">
        <v>1486.88</v>
      </c>
    </row>
    <row r="336" spans="1:22" ht="16.8" x14ac:dyDescent="0.3">
      <c r="A336" s="20">
        <v>33.5</v>
      </c>
      <c r="B336" s="20">
        <v>80</v>
      </c>
      <c r="C336" s="20">
        <v>80.099999999999994</v>
      </c>
      <c r="D336" s="20">
        <v>-0.1</v>
      </c>
      <c r="E336" s="20">
        <v>-0.03</v>
      </c>
      <c r="F336" s="26">
        <v>2404.1</v>
      </c>
      <c r="Q336" s="20">
        <v>33.6</v>
      </c>
      <c r="R336" s="20">
        <v>79.53</v>
      </c>
      <c r="S336" s="26">
        <v>80</v>
      </c>
      <c r="T336" s="26">
        <v>0.47</v>
      </c>
      <c r="U336" s="26">
        <v>0.77</v>
      </c>
      <c r="V336" s="20">
        <v>3054.67</v>
      </c>
    </row>
    <row r="337" spans="1:22" ht="16.8" x14ac:dyDescent="0.3">
      <c r="A337" s="20">
        <v>33.6</v>
      </c>
      <c r="B337" s="20">
        <v>80</v>
      </c>
      <c r="C337" s="26">
        <v>80.19</v>
      </c>
      <c r="D337" s="20">
        <v>-0.19</v>
      </c>
      <c r="E337" s="20">
        <v>-0.08</v>
      </c>
      <c r="F337" s="26">
        <v>2270.19</v>
      </c>
      <c r="Q337" s="20">
        <v>33.700000000000003</v>
      </c>
      <c r="R337" s="20">
        <v>80.239999999999995</v>
      </c>
      <c r="S337" s="26">
        <v>80</v>
      </c>
      <c r="T337" s="26">
        <v>-0.24</v>
      </c>
      <c r="U337" s="26">
        <v>-0.72</v>
      </c>
      <c r="V337" s="26">
        <v>1577.79</v>
      </c>
    </row>
    <row r="338" spans="1:22" ht="16.8" x14ac:dyDescent="0.3">
      <c r="A338" s="20">
        <v>33.700000000000003</v>
      </c>
      <c r="B338" s="20">
        <v>80</v>
      </c>
      <c r="C338" s="26">
        <v>80.13</v>
      </c>
      <c r="D338" s="20">
        <v>-0.13</v>
      </c>
      <c r="E338" s="20">
        <v>0.06</v>
      </c>
      <c r="F338" s="26">
        <v>2410.08</v>
      </c>
      <c r="Q338" s="20">
        <v>33.799999999999997</v>
      </c>
      <c r="R338" s="20">
        <v>79.55</v>
      </c>
      <c r="S338" s="26">
        <v>80</v>
      </c>
      <c r="T338" s="26">
        <v>0.45</v>
      </c>
      <c r="U338" s="26">
        <v>0.69</v>
      </c>
      <c r="V338" s="20">
        <v>2978.08</v>
      </c>
    </row>
    <row r="339" spans="1:22" ht="16.8" x14ac:dyDescent="0.3">
      <c r="A339" s="20">
        <v>33.799999999999997</v>
      </c>
      <c r="B339" s="20">
        <v>80</v>
      </c>
      <c r="C339" s="20">
        <v>80.17</v>
      </c>
      <c r="D339" s="20">
        <v>-0.17</v>
      </c>
      <c r="E339" s="20">
        <v>-0.05</v>
      </c>
      <c r="F339" s="26">
        <v>2315.5300000000002</v>
      </c>
      <c r="Q339" s="20">
        <v>33.9</v>
      </c>
      <c r="R339" s="20">
        <v>80.27</v>
      </c>
      <c r="S339" s="26">
        <v>80</v>
      </c>
      <c r="T339" s="26">
        <v>-0.27</v>
      </c>
      <c r="U339" s="26">
        <v>-0.72</v>
      </c>
      <c r="V339" s="26">
        <v>1574.12</v>
      </c>
    </row>
    <row r="340" spans="1:22" ht="16.8" x14ac:dyDescent="0.3">
      <c r="A340" s="20">
        <v>33.9</v>
      </c>
      <c r="B340" s="20">
        <v>80</v>
      </c>
      <c r="C340" s="26">
        <v>80.209999999999994</v>
      </c>
      <c r="D340" s="20">
        <v>-0.21</v>
      </c>
      <c r="E340" s="20">
        <v>-0.03</v>
      </c>
      <c r="F340" s="26">
        <v>2297.9899999999998</v>
      </c>
      <c r="Q340" s="20">
        <v>34</v>
      </c>
      <c r="R340" s="20">
        <v>79.55</v>
      </c>
      <c r="S340" s="26">
        <v>80</v>
      </c>
      <c r="T340" s="26">
        <v>0.45</v>
      </c>
      <c r="U340" s="26">
        <v>0.72</v>
      </c>
      <c r="V340" s="20">
        <v>3000.54</v>
      </c>
    </row>
    <row r="341" spans="1:22" ht="16.8" x14ac:dyDescent="0.3">
      <c r="A341" s="20">
        <v>34</v>
      </c>
      <c r="B341" s="20">
        <v>80</v>
      </c>
      <c r="C341" s="20">
        <v>80.209999999999994</v>
      </c>
      <c r="D341" s="20">
        <v>-0.21</v>
      </c>
      <c r="E341" s="20">
        <v>0</v>
      </c>
      <c r="F341" s="26">
        <v>2327.59</v>
      </c>
      <c r="Q341" s="20">
        <v>34.1</v>
      </c>
      <c r="R341" s="20">
        <v>80.3</v>
      </c>
      <c r="S341" s="26">
        <v>80</v>
      </c>
      <c r="T341" s="26">
        <v>-0.3</v>
      </c>
      <c r="U341" s="26">
        <v>-0.75</v>
      </c>
      <c r="V341" s="26">
        <v>1539.74</v>
      </c>
    </row>
    <row r="342" spans="1:22" ht="16.8" x14ac:dyDescent="0.3">
      <c r="A342" s="20">
        <v>34.1</v>
      </c>
      <c r="B342" s="20">
        <v>80</v>
      </c>
      <c r="C342" s="26">
        <v>80.22</v>
      </c>
      <c r="D342" s="20">
        <v>-0.22</v>
      </c>
      <c r="E342" s="20">
        <v>-0.01</v>
      </c>
      <c r="F342" s="26">
        <v>2311.94</v>
      </c>
      <c r="Q342" s="20">
        <v>34.200000000000003</v>
      </c>
      <c r="R342" s="20">
        <v>79.59</v>
      </c>
      <c r="S342" s="26">
        <v>80</v>
      </c>
      <c r="T342" s="26">
        <v>0.41</v>
      </c>
      <c r="U342" s="26">
        <v>0.71</v>
      </c>
      <c r="V342" s="20">
        <v>2986.54</v>
      </c>
    </row>
    <row r="343" spans="1:22" ht="16.8" x14ac:dyDescent="0.3">
      <c r="A343" s="20">
        <v>34.200000000000003</v>
      </c>
      <c r="B343" s="20">
        <v>80</v>
      </c>
      <c r="C343" s="26">
        <v>80.209999999999994</v>
      </c>
      <c r="D343" s="20">
        <v>-0.21</v>
      </c>
      <c r="E343" s="20">
        <v>0</v>
      </c>
      <c r="F343" s="26">
        <v>2323.44</v>
      </c>
      <c r="Q343" s="20">
        <v>34.299999999999997</v>
      </c>
      <c r="R343" s="20">
        <v>80.31</v>
      </c>
      <c r="S343" s="26">
        <v>80</v>
      </c>
      <c r="T343" s="26">
        <v>-0.31</v>
      </c>
      <c r="U343" s="20">
        <v>-0.72</v>
      </c>
      <c r="V343" s="20">
        <v>1567.85</v>
      </c>
    </row>
    <row r="344" spans="1:22" ht="16.8" x14ac:dyDescent="0.3">
      <c r="A344" s="20">
        <v>34.299999999999997</v>
      </c>
      <c r="B344" s="20">
        <v>80</v>
      </c>
      <c r="C344" s="20">
        <v>80.22</v>
      </c>
      <c r="D344" s="20">
        <v>-0.22</v>
      </c>
      <c r="E344" s="20">
        <v>0</v>
      </c>
      <c r="F344" s="26">
        <v>2315.63</v>
      </c>
      <c r="Q344" s="20">
        <v>34.4</v>
      </c>
      <c r="R344" s="20">
        <v>79.59</v>
      </c>
      <c r="S344" s="26">
        <v>80</v>
      </c>
      <c r="T344" s="26">
        <v>0.41</v>
      </c>
      <c r="U344" s="26">
        <v>0.72</v>
      </c>
      <c r="V344" s="26">
        <v>2994.16</v>
      </c>
    </row>
    <row r="345" spans="1:22" ht="16.8" x14ac:dyDescent="0.3">
      <c r="A345" s="20">
        <v>34.4</v>
      </c>
      <c r="B345" s="20">
        <v>80</v>
      </c>
      <c r="C345" s="26">
        <v>80.209999999999994</v>
      </c>
      <c r="D345" s="20">
        <v>-0.21</v>
      </c>
      <c r="E345" s="20">
        <v>0</v>
      </c>
      <c r="F345" s="20">
        <v>2323.44</v>
      </c>
      <c r="Q345" s="20">
        <v>34.5</v>
      </c>
      <c r="R345" s="20">
        <v>80.34</v>
      </c>
      <c r="S345" s="26">
        <v>80</v>
      </c>
      <c r="T345" s="26">
        <v>-0.34</v>
      </c>
      <c r="U345" s="26">
        <v>-0.75</v>
      </c>
      <c r="V345" s="20">
        <v>1533.22</v>
      </c>
    </row>
    <row r="346" spans="1:22" ht="16.8" x14ac:dyDescent="0.3">
      <c r="A346" s="20">
        <v>34.5</v>
      </c>
      <c r="B346" s="20">
        <v>80</v>
      </c>
      <c r="C346" s="26">
        <v>80.22</v>
      </c>
      <c r="D346" s="20">
        <v>-0.22</v>
      </c>
      <c r="E346" s="20">
        <v>-0.01</v>
      </c>
      <c r="F346" s="26">
        <v>2300.09</v>
      </c>
      <c r="Q346" s="20">
        <v>34.6</v>
      </c>
      <c r="R346" s="20">
        <v>79.61</v>
      </c>
      <c r="S346" s="26">
        <v>80</v>
      </c>
      <c r="T346" s="26">
        <v>0.39</v>
      </c>
      <c r="U346" s="26">
        <v>0.73</v>
      </c>
      <c r="V346" s="26">
        <v>3006.11</v>
      </c>
    </row>
    <row r="347" spans="1:22" ht="16.8" x14ac:dyDescent="0.3">
      <c r="A347" s="20">
        <v>34.6</v>
      </c>
      <c r="B347" s="20">
        <v>80</v>
      </c>
      <c r="C347" s="20">
        <v>80.239999999999995</v>
      </c>
      <c r="D347" s="20">
        <v>-0.24</v>
      </c>
      <c r="E347" s="20">
        <v>-0.01</v>
      </c>
      <c r="F347" s="20">
        <v>2287.64</v>
      </c>
      <c r="Q347" s="20">
        <v>34.700000000000003</v>
      </c>
      <c r="R347" s="20">
        <v>80.37</v>
      </c>
      <c r="S347" s="26">
        <v>80</v>
      </c>
      <c r="T347" s="26">
        <v>-0.37</v>
      </c>
      <c r="U347" s="26">
        <v>-0.77</v>
      </c>
      <c r="V347" s="20">
        <v>1513.04</v>
      </c>
    </row>
    <row r="348" spans="1:22" ht="16.8" x14ac:dyDescent="0.3">
      <c r="A348" s="20">
        <v>34.700000000000003</v>
      </c>
      <c r="B348" s="20">
        <v>80</v>
      </c>
      <c r="C348" s="26">
        <v>80.22</v>
      </c>
      <c r="D348" s="20">
        <v>-0.22</v>
      </c>
      <c r="E348" s="20">
        <v>0.02</v>
      </c>
      <c r="F348" s="26">
        <v>2315.1799999999998</v>
      </c>
      <c r="Q348" s="20">
        <v>34.799999999999997</v>
      </c>
      <c r="R348" s="20">
        <v>79.64</v>
      </c>
      <c r="S348" s="26">
        <v>80</v>
      </c>
      <c r="T348" s="26">
        <v>0.36</v>
      </c>
      <c r="U348" s="26">
        <v>0.73</v>
      </c>
      <c r="V348" s="26">
        <v>3000.45</v>
      </c>
    </row>
    <row r="349" spans="1:22" ht="16.8" x14ac:dyDescent="0.3">
      <c r="A349" s="20">
        <v>34.799999999999997</v>
      </c>
      <c r="B349" s="20">
        <v>80</v>
      </c>
      <c r="C349" s="20">
        <v>80.209999999999994</v>
      </c>
      <c r="D349" s="20">
        <v>-0.21</v>
      </c>
      <c r="E349" s="20">
        <v>0.01</v>
      </c>
      <c r="F349" s="26">
        <v>2327.59</v>
      </c>
      <c r="Q349" s="20">
        <v>34.9</v>
      </c>
      <c r="R349" s="20">
        <v>80.36</v>
      </c>
      <c r="S349" s="26">
        <v>80</v>
      </c>
      <c r="T349" s="26">
        <v>-0.36</v>
      </c>
      <c r="U349" s="26">
        <v>-0.73</v>
      </c>
      <c r="V349" s="20">
        <v>1550.95</v>
      </c>
    </row>
    <row r="350" spans="1:22" ht="16.8" x14ac:dyDescent="0.3">
      <c r="A350" s="20">
        <v>34.9</v>
      </c>
      <c r="B350" s="20">
        <v>80</v>
      </c>
      <c r="C350" s="26">
        <v>80.25</v>
      </c>
      <c r="D350" s="20">
        <v>-0.25</v>
      </c>
      <c r="E350" s="20">
        <v>-0.04</v>
      </c>
      <c r="F350" s="20">
        <v>2241.8200000000002</v>
      </c>
      <c r="Q350" s="20">
        <v>35</v>
      </c>
      <c r="R350" s="20">
        <v>79.62</v>
      </c>
      <c r="S350" s="26">
        <v>80</v>
      </c>
      <c r="T350" s="26">
        <v>0.38</v>
      </c>
      <c r="U350" s="26">
        <v>0.74</v>
      </c>
      <c r="V350" s="26">
        <v>3010.6</v>
      </c>
    </row>
    <row r="351" spans="1:22" ht="16.8" x14ac:dyDescent="0.3">
      <c r="A351" s="20">
        <v>35</v>
      </c>
      <c r="B351" s="20">
        <v>80</v>
      </c>
      <c r="C351" s="26">
        <v>80.23</v>
      </c>
      <c r="D351" s="20">
        <v>-0.23</v>
      </c>
      <c r="E351" s="20">
        <v>0.02</v>
      </c>
      <c r="F351" s="26">
        <v>2302.79</v>
      </c>
      <c r="Q351" s="20">
        <v>35.1</v>
      </c>
      <c r="R351" s="20">
        <v>80.42</v>
      </c>
      <c r="S351" s="26">
        <v>80</v>
      </c>
      <c r="T351" s="20">
        <v>-0.42</v>
      </c>
      <c r="U351" s="20">
        <v>-0.8</v>
      </c>
      <c r="V351" s="20">
        <v>1475.24</v>
      </c>
    </row>
    <row r="352" spans="1:22" ht="16.8" x14ac:dyDescent="0.3">
      <c r="A352" s="20">
        <v>35.1</v>
      </c>
      <c r="B352" s="20">
        <v>80</v>
      </c>
      <c r="C352" s="20">
        <v>80.19</v>
      </c>
      <c r="D352" s="20">
        <v>-0.19</v>
      </c>
      <c r="E352" s="20">
        <v>0.04</v>
      </c>
      <c r="F352" s="20">
        <v>2339.9</v>
      </c>
      <c r="Q352" s="20">
        <v>35.200000000000003</v>
      </c>
      <c r="R352" s="20">
        <v>79.61</v>
      </c>
      <c r="S352" s="26">
        <v>80</v>
      </c>
      <c r="T352" s="26">
        <v>0.39</v>
      </c>
      <c r="U352" s="26">
        <v>0.81</v>
      </c>
      <c r="V352" s="26">
        <v>3079.05</v>
      </c>
    </row>
    <row r="353" spans="1:22" ht="16.8" x14ac:dyDescent="0.3">
      <c r="A353" s="20">
        <v>35.200000000000003</v>
      </c>
      <c r="B353" s="20">
        <v>80</v>
      </c>
      <c r="C353" s="26">
        <v>80.180000000000007</v>
      </c>
      <c r="D353" s="20">
        <v>-0.18</v>
      </c>
      <c r="E353" s="20">
        <v>0.01</v>
      </c>
      <c r="F353" s="26">
        <v>2352.2399999999998</v>
      </c>
      <c r="Q353" s="20">
        <v>35.299999999999997</v>
      </c>
      <c r="R353" s="20">
        <v>80.400000000000006</v>
      </c>
      <c r="S353" s="26">
        <v>80</v>
      </c>
      <c r="T353" s="20">
        <v>-0.4</v>
      </c>
      <c r="U353" s="26">
        <v>-0.8</v>
      </c>
      <c r="V353" s="20">
        <v>1478.03</v>
      </c>
    </row>
    <row r="354" spans="1:22" ht="16.8" x14ac:dyDescent="0.3">
      <c r="A354" s="20">
        <v>35.299999999999997</v>
      </c>
      <c r="B354" s="20">
        <v>80</v>
      </c>
      <c r="C354" s="20">
        <v>80.19</v>
      </c>
      <c r="D354" s="20">
        <v>-0.19</v>
      </c>
      <c r="E354" s="20">
        <v>0</v>
      </c>
      <c r="F354" s="26">
        <v>2344.38</v>
      </c>
      <c r="Q354" s="20">
        <v>35.4</v>
      </c>
      <c r="R354" s="20">
        <v>79.66</v>
      </c>
      <c r="S354" s="26">
        <v>80</v>
      </c>
      <c r="T354" s="26">
        <v>0.34</v>
      </c>
      <c r="U354" s="26">
        <v>0.74</v>
      </c>
      <c r="V354" s="26">
        <v>3003.26</v>
      </c>
    </row>
    <row r="355" spans="1:22" ht="16.8" x14ac:dyDescent="0.3">
      <c r="A355" s="20">
        <v>35.4</v>
      </c>
      <c r="B355" s="20">
        <v>80</v>
      </c>
      <c r="C355" s="26">
        <v>80.14</v>
      </c>
      <c r="D355" s="20">
        <v>-0.14000000000000001</v>
      </c>
      <c r="E355" s="20">
        <v>0.04</v>
      </c>
      <c r="F355" s="26">
        <v>2393.41</v>
      </c>
      <c r="Q355" s="20">
        <v>35.5</v>
      </c>
      <c r="R355" s="20">
        <v>80.42</v>
      </c>
      <c r="S355" s="26">
        <v>80</v>
      </c>
      <c r="T355" s="26">
        <v>-0.42</v>
      </c>
      <c r="U355" s="26">
        <v>-0.76</v>
      </c>
      <c r="V355" s="20">
        <v>1511.45</v>
      </c>
    </row>
    <row r="356" spans="1:22" ht="16.8" x14ac:dyDescent="0.3">
      <c r="A356" s="20">
        <v>35.5</v>
      </c>
      <c r="B356" s="20">
        <v>80</v>
      </c>
      <c r="C356" s="26">
        <v>80.209999999999994</v>
      </c>
      <c r="D356" s="20">
        <v>-0.21</v>
      </c>
      <c r="E356" s="20">
        <v>-0.06</v>
      </c>
      <c r="F356" s="26">
        <v>2268.61</v>
      </c>
      <c r="Q356" s="20">
        <v>35.6</v>
      </c>
      <c r="R356" s="20">
        <v>79.66</v>
      </c>
      <c r="S356" s="26">
        <v>80</v>
      </c>
      <c r="T356" s="26">
        <v>0.34</v>
      </c>
      <c r="U356" s="20">
        <v>0.76</v>
      </c>
      <c r="V356" s="26">
        <v>3017.6</v>
      </c>
    </row>
    <row r="357" spans="1:22" ht="16.8" x14ac:dyDescent="0.3">
      <c r="A357" s="20">
        <v>35.6</v>
      </c>
      <c r="B357" s="20">
        <v>80</v>
      </c>
      <c r="C357" s="20">
        <v>80.17</v>
      </c>
      <c r="D357" s="20">
        <v>-0.17</v>
      </c>
      <c r="E357" s="20">
        <v>0.04</v>
      </c>
      <c r="F357" s="26">
        <v>2364.54</v>
      </c>
      <c r="Q357" s="20">
        <v>35.700000000000003</v>
      </c>
      <c r="R357" s="20">
        <v>80.459999999999994</v>
      </c>
      <c r="S357" s="26">
        <v>80</v>
      </c>
      <c r="T357" s="26">
        <v>-0.46</v>
      </c>
      <c r="U357" s="26">
        <v>-0.8</v>
      </c>
      <c r="V357" s="20">
        <v>1467.53</v>
      </c>
    </row>
    <row r="358" spans="1:22" ht="16.8" x14ac:dyDescent="0.3">
      <c r="A358" s="20">
        <v>35.700000000000003</v>
      </c>
      <c r="B358" s="20">
        <v>80</v>
      </c>
      <c r="C358" s="26">
        <v>80.16</v>
      </c>
      <c r="D358" s="20">
        <v>-0.16</v>
      </c>
      <c r="E358" s="20">
        <v>0.01</v>
      </c>
      <c r="F358" s="20">
        <v>2372.7800000000002</v>
      </c>
      <c r="Q358" s="20">
        <v>35.799999999999997</v>
      </c>
      <c r="R358" s="20">
        <v>79.69</v>
      </c>
      <c r="S358" s="26">
        <v>80</v>
      </c>
      <c r="T358" s="26">
        <v>0.31</v>
      </c>
      <c r="U358" s="20">
        <v>0.77</v>
      </c>
      <c r="V358" s="20">
        <v>3027.51</v>
      </c>
    </row>
    <row r="359" spans="1:22" ht="16.8" x14ac:dyDescent="0.3">
      <c r="A359" s="20">
        <v>35.799999999999997</v>
      </c>
      <c r="B359" s="20">
        <v>80</v>
      </c>
      <c r="C359" s="26">
        <v>80.16</v>
      </c>
      <c r="D359" s="20">
        <v>-0.16</v>
      </c>
      <c r="E359" s="20">
        <v>0</v>
      </c>
      <c r="F359" s="26">
        <v>2376.91</v>
      </c>
      <c r="Q359" s="20">
        <v>35.9</v>
      </c>
      <c r="R359" s="20">
        <v>80.41</v>
      </c>
      <c r="S359" s="26">
        <v>80</v>
      </c>
      <c r="T359" s="26">
        <v>-0.41</v>
      </c>
      <c r="U359" s="26">
        <v>-0.73</v>
      </c>
      <c r="V359" s="26">
        <v>1541.37</v>
      </c>
    </row>
    <row r="360" spans="1:22" ht="16.8" x14ac:dyDescent="0.3">
      <c r="A360" s="20">
        <v>35.9</v>
      </c>
      <c r="B360" s="20">
        <v>80</v>
      </c>
      <c r="C360" s="20">
        <v>80.099999999999994</v>
      </c>
      <c r="D360" s="20">
        <v>-0.1</v>
      </c>
      <c r="E360" s="20">
        <v>0.06</v>
      </c>
      <c r="F360" s="26">
        <v>2439.61</v>
      </c>
      <c r="Q360" s="20">
        <v>36</v>
      </c>
      <c r="R360" s="20">
        <v>79.66</v>
      </c>
      <c r="S360" s="26">
        <v>80</v>
      </c>
      <c r="T360" s="26">
        <v>0.34</v>
      </c>
      <c r="U360" s="26">
        <v>0.75</v>
      </c>
      <c r="V360" s="20">
        <v>3009.61</v>
      </c>
    </row>
    <row r="361" spans="1:22" ht="16.8" x14ac:dyDescent="0.3">
      <c r="A361" s="20">
        <v>36</v>
      </c>
      <c r="B361" s="20">
        <v>80</v>
      </c>
      <c r="C361" s="26">
        <v>80.150000000000006</v>
      </c>
      <c r="D361" s="20">
        <v>-0.15</v>
      </c>
      <c r="E361" s="20">
        <v>-0.06</v>
      </c>
      <c r="F361" s="20">
        <v>2328.12</v>
      </c>
      <c r="Q361" s="20">
        <v>36.1</v>
      </c>
      <c r="R361" s="20">
        <v>80.400000000000006</v>
      </c>
      <c r="S361" s="26">
        <v>80</v>
      </c>
      <c r="T361" s="26">
        <v>-0.4</v>
      </c>
      <c r="U361" s="26">
        <v>-0.74</v>
      </c>
      <c r="V361" s="26">
        <v>1527.98</v>
      </c>
    </row>
    <row r="362" spans="1:22" ht="16.8" x14ac:dyDescent="0.3">
      <c r="A362" s="20">
        <v>36.1</v>
      </c>
      <c r="B362" s="20">
        <v>80</v>
      </c>
      <c r="C362" s="20">
        <v>80.11</v>
      </c>
      <c r="D362" s="20">
        <v>-0.11</v>
      </c>
      <c r="E362" s="20">
        <v>0.05</v>
      </c>
      <c r="F362" s="26">
        <v>2431.14</v>
      </c>
      <c r="Q362" s="20">
        <v>36.200000000000003</v>
      </c>
      <c r="R362" s="20">
        <v>79.69</v>
      </c>
      <c r="S362" s="26">
        <v>80</v>
      </c>
      <c r="T362" s="26">
        <v>0.31</v>
      </c>
      <c r="U362" s="26">
        <v>0.72</v>
      </c>
      <c r="V362" s="20">
        <v>2975.89</v>
      </c>
    </row>
    <row r="363" spans="1:22" ht="16.8" x14ac:dyDescent="0.3">
      <c r="A363" s="20">
        <v>36.200000000000003</v>
      </c>
      <c r="B363" s="20">
        <v>80</v>
      </c>
      <c r="C363" s="26">
        <v>80.13</v>
      </c>
      <c r="D363" s="20">
        <v>-0.13</v>
      </c>
      <c r="E363" s="20">
        <v>-0.02</v>
      </c>
      <c r="F363" s="20">
        <v>2382.85</v>
      </c>
      <c r="Q363" s="20">
        <v>36.299999999999997</v>
      </c>
      <c r="R363" s="20">
        <v>80.400000000000006</v>
      </c>
      <c r="S363" s="26">
        <v>80</v>
      </c>
      <c r="T363" s="26">
        <v>-0.4</v>
      </c>
      <c r="U363" s="26">
        <v>-0.72</v>
      </c>
      <c r="V363" s="26">
        <v>1549.6</v>
      </c>
    </row>
    <row r="364" spans="1:22" ht="16.8" x14ac:dyDescent="0.3">
      <c r="A364" s="20">
        <v>36.299999999999997</v>
      </c>
      <c r="B364" s="20">
        <v>80</v>
      </c>
      <c r="C364" s="26">
        <v>80.11</v>
      </c>
      <c r="D364" s="20">
        <v>-0.11</v>
      </c>
      <c r="E364" s="20">
        <v>0.02</v>
      </c>
      <c r="F364" s="26">
        <v>2422.6799999999998</v>
      </c>
      <c r="Q364" s="20">
        <v>36.4</v>
      </c>
      <c r="R364" s="20">
        <v>79.67</v>
      </c>
      <c r="S364" s="26">
        <v>80</v>
      </c>
      <c r="T364" s="26">
        <v>0.33</v>
      </c>
      <c r="U364" s="26">
        <v>0.73</v>
      </c>
      <c r="V364" s="20">
        <v>2993.08</v>
      </c>
    </row>
    <row r="365" spans="1:22" ht="16.8" x14ac:dyDescent="0.3">
      <c r="A365" s="20">
        <v>36.4</v>
      </c>
      <c r="B365" s="20">
        <v>80</v>
      </c>
      <c r="C365" s="20">
        <v>80.13</v>
      </c>
      <c r="D365" s="20">
        <v>-0.13</v>
      </c>
      <c r="E365" s="20">
        <v>-0.01</v>
      </c>
      <c r="F365" s="26">
        <v>2398.5500000000002</v>
      </c>
      <c r="Q365" s="20">
        <v>36.5</v>
      </c>
      <c r="R365" s="20">
        <v>80.41</v>
      </c>
      <c r="S365" s="26">
        <v>80</v>
      </c>
      <c r="T365" s="26">
        <v>-0.41</v>
      </c>
      <c r="U365" s="26">
        <v>-0.74</v>
      </c>
      <c r="V365" s="20">
        <v>1526.02</v>
      </c>
    </row>
    <row r="366" spans="1:22" ht="16.8" x14ac:dyDescent="0.3">
      <c r="A366" s="20">
        <v>36.5</v>
      </c>
      <c r="B366" s="20">
        <v>80</v>
      </c>
      <c r="C366" s="26">
        <v>80.05</v>
      </c>
      <c r="D366" s="20">
        <v>-0.05</v>
      </c>
      <c r="E366" s="20">
        <v>0.08</v>
      </c>
      <c r="F366" s="26">
        <v>2491</v>
      </c>
      <c r="Q366" s="20">
        <v>36.6</v>
      </c>
      <c r="R366" s="20">
        <v>79.62</v>
      </c>
      <c r="S366" s="26">
        <v>80</v>
      </c>
      <c r="T366" s="26">
        <v>0.38</v>
      </c>
      <c r="U366" s="26">
        <v>0.79</v>
      </c>
      <c r="V366" s="26">
        <v>3052.54</v>
      </c>
    </row>
    <row r="367" spans="1:22" ht="16.8" x14ac:dyDescent="0.3">
      <c r="A367" s="20">
        <v>36.6</v>
      </c>
      <c r="B367" s="20">
        <v>80</v>
      </c>
      <c r="C367" s="26">
        <v>80.13</v>
      </c>
      <c r="D367" s="20">
        <v>-0.13</v>
      </c>
      <c r="E367" s="20">
        <v>-0.08</v>
      </c>
      <c r="F367" s="26">
        <v>2345.9299999999998</v>
      </c>
      <c r="Q367" s="20">
        <v>36.700000000000003</v>
      </c>
      <c r="R367" s="20">
        <v>80.430000000000007</v>
      </c>
      <c r="S367" s="26">
        <v>80</v>
      </c>
      <c r="T367" s="26">
        <v>-0.43</v>
      </c>
      <c r="U367" s="26">
        <v>-0.81</v>
      </c>
      <c r="V367" s="20">
        <v>1464.63</v>
      </c>
    </row>
    <row r="368" spans="1:22" ht="16.8" x14ac:dyDescent="0.3">
      <c r="A368" s="20">
        <v>36.700000000000003</v>
      </c>
      <c r="B368" s="20">
        <v>80</v>
      </c>
      <c r="C368" s="20">
        <v>80.12</v>
      </c>
      <c r="D368" s="20">
        <v>-0.12</v>
      </c>
      <c r="E368" s="20">
        <v>0.01</v>
      </c>
      <c r="F368" s="26">
        <v>2418.4299999999998</v>
      </c>
      <c r="Q368" s="20">
        <v>36.799999999999997</v>
      </c>
      <c r="R368" s="20">
        <v>79.650000000000006</v>
      </c>
      <c r="S368" s="26">
        <v>80</v>
      </c>
      <c r="T368" s="26">
        <v>0.35</v>
      </c>
      <c r="U368" s="26">
        <v>0.77</v>
      </c>
      <c r="V368" s="26">
        <v>3032.03</v>
      </c>
    </row>
    <row r="369" spans="1:22" ht="16.8" x14ac:dyDescent="0.3">
      <c r="A369" s="20">
        <v>36.799999999999997</v>
      </c>
      <c r="B369" s="20">
        <v>80</v>
      </c>
      <c r="C369" s="26">
        <v>80.09</v>
      </c>
      <c r="D369" s="20">
        <v>-0.09</v>
      </c>
      <c r="E369" s="20">
        <v>0.02</v>
      </c>
      <c r="F369" s="26">
        <v>2443.88</v>
      </c>
      <c r="Q369" s="20">
        <v>36.9</v>
      </c>
      <c r="R369" s="20">
        <v>80.42</v>
      </c>
      <c r="S369" s="26">
        <v>80</v>
      </c>
      <c r="T369" s="26">
        <v>-0.42</v>
      </c>
      <c r="U369" s="26">
        <v>-0.77</v>
      </c>
      <c r="V369" s="20">
        <v>1502.32</v>
      </c>
    </row>
    <row r="370" spans="1:22" ht="16.8" x14ac:dyDescent="0.3">
      <c r="A370" s="20">
        <v>36.9</v>
      </c>
      <c r="B370" s="20">
        <v>80</v>
      </c>
      <c r="C370" s="20">
        <v>80.06</v>
      </c>
      <c r="D370" s="20">
        <v>-0.06</v>
      </c>
      <c r="E370" s="20">
        <v>0.04</v>
      </c>
      <c r="F370" s="26">
        <v>2483.1999999999998</v>
      </c>
      <c r="Q370" s="20">
        <v>37</v>
      </c>
      <c r="R370" s="20">
        <v>79.61</v>
      </c>
      <c r="S370" s="26">
        <v>80</v>
      </c>
      <c r="T370" s="26">
        <v>0.39</v>
      </c>
      <c r="U370" s="26">
        <v>0.81</v>
      </c>
      <c r="V370" s="26">
        <v>3076.92</v>
      </c>
    </row>
    <row r="371" spans="1:22" ht="16.8" x14ac:dyDescent="0.3">
      <c r="A371" s="20">
        <v>37</v>
      </c>
      <c r="B371" s="20">
        <v>80</v>
      </c>
      <c r="C371" s="26">
        <v>80.14</v>
      </c>
      <c r="D371" s="20">
        <v>-0.14000000000000001</v>
      </c>
      <c r="E371" s="20">
        <v>-0.08</v>
      </c>
      <c r="F371" s="26">
        <v>2327.83</v>
      </c>
      <c r="Q371" s="20">
        <v>37.1</v>
      </c>
      <c r="R371" s="20">
        <v>80.42</v>
      </c>
      <c r="S371" s="26">
        <v>80</v>
      </c>
      <c r="T371" s="20">
        <v>-0.42</v>
      </c>
      <c r="U371" s="26">
        <v>-0.81</v>
      </c>
      <c r="V371" s="20">
        <v>1458.42</v>
      </c>
    </row>
    <row r="372" spans="1:22" ht="16.8" x14ac:dyDescent="0.3">
      <c r="A372" s="20">
        <v>37.1</v>
      </c>
      <c r="B372" s="20">
        <v>80</v>
      </c>
      <c r="C372" s="26">
        <v>80.069999999999993</v>
      </c>
      <c r="D372" s="20">
        <v>-7.0000000000000007E-2</v>
      </c>
      <c r="E372" s="20">
        <v>7.0000000000000007E-2</v>
      </c>
      <c r="F372" s="26">
        <v>2473.2600000000002</v>
      </c>
      <c r="Q372" s="20">
        <v>37.200000000000003</v>
      </c>
      <c r="R372" s="20">
        <v>79.66</v>
      </c>
      <c r="S372" s="26">
        <v>80</v>
      </c>
      <c r="T372" s="26">
        <v>0.34</v>
      </c>
      <c r="U372" s="26">
        <v>0.76</v>
      </c>
      <c r="V372" s="26">
        <v>3015.68</v>
      </c>
    </row>
    <row r="373" spans="1:22" ht="16.8" x14ac:dyDescent="0.3">
      <c r="A373" s="20">
        <v>37.200000000000003</v>
      </c>
      <c r="B373" s="20">
        <v>80</v>
      </c>
      <c r="C373" s="20">
        <v>80.06</v>
      </c>
      <c r="D373" s="20">
        <v>-0.06</v>
      </c>
      <c r="E373" s="20">
        <v>0</v>
      </c>
      <c r="F373" s="26">
        <v>2478.7600000000002</v>
      </c>
      <c r="Q373" s="20">
        <v>37.299999999999997</v>
      </c>
      <c r="R373" s="20">
        <v>80.430000000000007</v>
      </c>
      <c r="S373" s="26">
        <v>80</v>
      </c>
      <c r="T373" s="20">
        <v>-0.43</v>
      </c>
      <c r="U373" s="26">
        <v>-0.77</v>
      </c>
      <c r="V373" s="20">
        <v>1500.54</v>
      </c>
    </row>
    <row r="374" spans="1:22" ht="16.8" x14ac:dyDescent="0.3">
      <c r="A374" s="20">
        <v>37.299999999999997</v>
      </c>
      <c r="B374" s="20">
        <v>80</v>
      </c>
      <c r="C374" s="26">
        <v>80.06</v>
      </c>
      <c r="D374" s="20">
        <v>-0.06</v>
      </c>
      <c r="E374" s="20">
        <v>0</v>
      </c>
      <c r="F374" s="26">
        <v>2478.7600000000002</v>
      </c>
      <c r="Q374" s="20">
        <v>37.4</v>
      </c>
      <c r="R374" s="20">
        <v>79.7</v>
      </c>
      <c r="S374" s="26">
        <v>80</v>
      </c>
      <c r="T374" s="26">
        <v>0.3</v>
      </c>
      <c r="U374" s="26">
        <v>0.73</v>
      </c>
      <c r="V374" s="26">
        <v>2987.76</v>
      </c>
    </row>
    <row r="375" spans="1:22" ht="16.8" x14ac:dyDescent="0.3">
      <c r="A375" s="20">
        <v>37.4</v>
      </c>
      <c r="B375" s="20">
        <v>80</v>
      </c>
      <c r="C375" s="26">
        <v>80.12</v>
      </c>
      <c r="D375" s="20">
        <v>-0.12</v>
      </c>
      <c r="E375" s="20">
        <v>-0.06</v>
      </c>
      <c r="F375" s="26">
        <v>2356.54</v>
      </c>
      <c r="Q375" s="20">
        <v>37.5</v>
      </c>
      <c r="R375" s="20">
        <v>80.37</v>
      </c>
      <c r="S375" s="26">
        <v>80</v>
      </c>
      <c r="T375" s="26">
        <v>-0.37</v>
      </c>
      <c r="U375" s="26">
        <v>-0.68</v>
      </c>
      <c r="V375" s="20">
        <v>1590.5</v>
      </c>
    </row>
    <row r="376" spans="1:22" ht="16.8" x14ac:dyDescent="0.3">
      <c r="A376" s="20">
        <v>37.5</v>
      </c>
      <c r="B376" s="20">
        <v>80</v>
      </c>
      <c r="C376" s="20">
        <v>80.069999999999993</v>
      </c>
      <c r="D376" s="20">
        <v>-7.0000000000000007E-2</v>
      </c>
      <c r="E376" s="20">
        <v>0.06</v>
      </c>
      <c r="F376" s="20">
        <v>2473.89</v>
      </c>
      <c r="Q376" s="20">
        <v>37.6</v>
      </c>
      <c r="R376" s="20">
        <v>79.7</v>
      </c>
      <c r="S376" s="20">
        <v>80</v>
      </c>
      <c r="T376" s="26">
        <v>0.3</v>
      </c>
      <c r="U376" s="26">
        <v>0.67</v>
      </c>
      <c r="V376" s="20">
        <v>2927.71</v>
      </c>
    </row>
    <row r="377" spans="1:22" ht="16.8" x14ac:dyDescent="0.3">
      <c r="A377" s="20">
        <v>37.6</v>
      </c>
      <c r="B377" s="20">
        <v>80</v>
      </c>
      <c r="C377" s="26">
        <v>80.069999999999993</v>
      </c>
      <c r="D377" s="20">
        <v>-7.0000000000000007E-2</v>
      </c>
      <c r="E377" s="20">
        <v>0</v>
      </c>
      <c r="F377" s="26">
        <v>2465.87</v>
      </c>
      <c r="Q377" s="20">
        <v>37.700000000000003</v>
      </c>
      <c r="R377" s="20">
        <v>79.78</v>
      </c>
      <c r="S377" s="26">
        <v>80</v>
      </c>
      <c r="T377" s="26">
        <v>0.22</v>
      </c>
      <c r="U377" s="26">
        <v>-0.08</v>
      </c>
      <c r="V377" s="26">
        <v>2235.2600000000002</v>
      </c>
    </row>
    <row r="378" spans="1:22" ht="16.8" x14ac:dyDescent="0.3">
      <c r="A378" s="20">
        <v>37.700000000000003</v>
      </c>
      <c r="B378" s="20">
        <v>80</v>
      </c>
      <c r="C378" s="20">
        <v>80.069999999999993</v>
      </c>
      <c r="D378" s="20">
        <v>-7.0000000000000007E-2</v>
      </c>
      <c r="E378" s="20">
        <v>0</v>
      </c>
      <c r="F378" s="20">
        <v>2474.3200000000002</v>
      </c>
      <c r="Q378" s="20">
        <v>37.799999999999997</v>
      </c>
      <c r="R378" s="20">
        <v>79.78</v>
      </c>
      <c r="S378" s="20">
        <v>80</v>
      </c>
      <c r="T378" s="26">
        <v>0.22</v>
      </c>
      <c r="U378" s="20">
        <v>0.01</v>
      </c>
      <c r="V378" s="20">
        <v>2317.69</v>
      </c>
    </row>
    <row r="379" spans="1:22" ht="16.8" x14ac:dyDescent="0.3">
      <c r="A379" s="20">
        <v>37.799999999999997</v>
      </c>
      <c r="B379" s="20">
        <v>80</v>
      </c>
      <c r="C379" s="26">
        <v>80.150000000000006</v>
      </c>
      <c r="D379" s="20">
        <v>-0.15</v>
      </c>
      <c r="E379" s="20">
        <v>-0.08</v>
      </c>
      <c r="F379" s="26">
        <v>2315.81</v>
      </c>
      <c r="Q379" s="20">
        <v>37.9</v>
      </c>
      <c r="R379" s="20">
        <v>79.739999999999995</v>
      </c>
      <c r="S379" s="26">
        <v>80</v>
      </c>
      <c r="T379" s="26">
        <v>0.26</v>
      </c>
      <c r="U379" s="26">
        <v>0.04</v>
      </c>
      <c r="V379" s="26">
        <v>2354.7600000000002</v>
      </c>
    </row>
    <row r="380" spans="1:22" ht="16.8" x14ac:dyDescent="0.3">
      <c r="A380" s="20">
        <v>37.9</v>
      </c>
      <c r="B380" s="20">
        <v>80</v>
      </c>
      <c r="C380" s="26">
        <v>80.11</v>
      </c>
      <c r="D380" s="20">
        <v>-0.11</v>
      </c>
      <c r="E380" s="20">
        <v>0.03</v>
      </c>
      <c r="F380" s="26">
        <v>2422.6799999999998</v>
      </c>
      <c r="Q380" s="20">
        <v>38</v>
      </c>
      <c r="R380" s="20">
        <v>79.75</v>
      </c>
      <c r="S380" s="26">
        <v>80</v>
      </c>
      <c r="T380" s="20">
        <v>0.25</v>
      </c>
      <c r="U380" s="26">
        <v>-0.02</v>
      </c>
      <c r="V380" s="20">
        <v>2301.61</v>
      </c>
    </row>
    <row r="381" spans="1:22" ht="16.8" x14ac:dyDescent="0.3">
      <c r="A381" s="20">
        <v>38</v>
      </c>
      <c r="B381" s="20">
        <v>80</v>
      </c>
      <c r="C381" s="20">
        <v>80.13</v>
      </c>
      <c r="D381" s="20">
        <v>-0.13</v>
      </c>
      <c r="E381" s="20">
        <v>-0.02</v>
      </c>
      <c r="F381" s="26">
        <v>2382.58</v>
      </c>
      <c r="Q381" s="20">
        <v>38.1</v>
      </c>
      <c r="R381" s="20">
        <v>79.739999999999995</v>
      </c>
      <c r="S381" s="26">
        <v>80</v>
      </c>
      <c r="T381" s="26">
        <v>0.26</v>
      </c>
      <c r="U381" s="26">
        <v>0.02</v>
      </c>
      <c r="V381" s="26">
        <v>2334.44</v>
      </c>
    </row>
    <row r="382" spans="1:22" ht="16.8" x14ac:dyDescent="0.3">
      <c r="A382" s="20">
        <v>38.1</v>
      </c>
      <c r="B382" s="20">
        <v>80</v>
      </c>
      <c r="C382" s="26">
        <v>80.17</v>
      </c>
      <c r="D382" s="20">
        <v>-0.17</v>
      </c>
      <c r="E382" s="20">
        <v>-0.04</v>
      </c>
      <c r="F382" s="26">
        <v>2330.77</v>
      </c>
      <c r="Q382" s="20">
        <v>38.200000000000003</v>
      </c>
      <c r="R382" s="20">
        <v>79.739999999999995</v>
      </c>
      <c r="S382" s="26">
        <v>80</v>
      </c>
      <c r="T382" s="26">
        <v>0.26</v>
      </c>
      <c r="U382" s="26">
        <v>-0.01</v>
      </c>
      <c r="V382" s="20">
        <v>2311.9299999999998</v>
      </c>
    </row>
    <row r="383" spans="1:22" ht="16.8" x14ac:dyDescent="0.3">
      <c r="A383" s="20">
        <v>38.200000000000003</v>
      </c>
      <c r="B383" s="20">
        <v>80</v>
      </c>
      <c r="C383" s="26">
        <v>80.22</v>
      </c>
      <c r="D383" s="20">
        <v>-0.22</v>
      </c>
      <c r="E383" s="20">
        <v>-0.05</v>
      </c>
      <c r="F383" s="26">
        <v>2271.0300000000002</v>
      </c>
      <c r="Q383" s="20">
        <v>38.299999999999997</v>
      </c>
      <c r="R383" s="20">
        <v>79.78</v>
      </c>
      <c r="S383" s="26">
        <v>80</v>
      </c>
      <c r="T383" s="26">
        <v>0.22</v>
      </c>
      <c r="U383" s="26">
        <v>-0.04</v>
      </c>
      <c r="V383" s="26">
        <v>2276.34</v>
      </c>
    </row>
    <row r="384" spans="1:22" ht="16.8" x14ac:dyDescent="0.3">
      <c r="A384" s="20">
        <v>38.299999999999997</v>
      </c>
      <c r="B384" s="20">
        <v>80</v>
      </c>
      <c r="C384" s="20">
        <v>80.27</v>
      </c>
      <c r="D384" s="20">
        <v>-0.27</v>
      </c>
      <c r="E384" s="20">
        <v>-0.05</v>
      </c>
      <c r="F384" s="26">
        <v>2213.5700000000002</v>
      </c>
      <c r="Q384" s="20">
        <v>38.4</v>
      </c>
      <c r="R384" s="20">
        <v>79.81</v>
      </c>
      <c r="S384" s="26">
        <v>80</v>
      </c>
      <c r="T384" s="26">
        <v>0.19</v>
      </c>
      <c r="U384" s="26">
        <v>-0.02</v>
      </c>
      <c r="V384" s="20">
        <v>2287.3200000000002</v>
      </c>
    </row>
    <row r="385" spans="1:22" ht="16.8" x14ac:dyDescent="0.3">
      <c r="A385" s="20">
        <v>38.4</v>
      </c>
      <c r="B385" s="20">
        <v>80</v>
      </c>
      <c r="C385" s="26">
        <v>80.25</v>
      </c>
      <c r="D385" s="20">
        <v>-0.25</v>
      </c>
      <c r="E385" s="20">
        <v>0.02</v>
      </c>
      <c r="F385" s="26">
        <v>2286.12</v>
      </c>
      <c r="Q385" s="20">
        <v>38.5</v>
      </c>
      <c r="R385" s="20">
        <v>79.83</v>
      </c>
      <c r="S385" s="26">
        <v>80</v>
      </c>
      <c r="T385" s="26">
        <v>0.17</v>
      </c>
      <c r="U385" s="26">
        <v>-0.02</v>
      </c>
      <c r="V385" s="26">
        <v>2283.61</v>
      </c>
    </row>
    <row r="386" spans="1:22" ht="16.8" x14ac:dyDescent="0.3">
      <c r="A386" s="20">
        <v>38.5</v>
      </c>
      <c r="B386" s="20">
        <v>80</v>
      </c>
      <c r="C386" s="20">
        <v>80.319999999999993</v>
      </c>
      <c r="D386" s="20">
        <v>-0.32</v>
      </c>
      <c r="E386" s="20">
        <v>-7.0000000000000007E-2</v>
      </c>
      <c r="F386" s="26">
        <v>2151.56</v>
      </c>
      <c r="Q386" s="20">
        <v>38.6</v>
      </c>
      <c r="R386" s="20">
        <v>79.84</v>
      </c>
      <c r="S386" s="26">
        <v>80</v>
      </c>
      <c r="T386" s="26">
        <v>0.16</v>
      </c>
      <c r="U386" s="26">
        <v>-0.01</v>
      </c>
      <c r="V386" s="20">
        <v>2297.3000000000002</v>
      </c>
    </row>
    <row r="387" spans="1:22" ht="16.8" x14ac:dyDescent="0.3">
      <c r="A387" s="20">
        <v>38.6</v>
      </c>
      <c r="B387" s="20">
        <v>80</v>
      </c>
      <c r="C387" s="26">
        <v>80.290000000000006</v>
      </c>
      <c r="D387" s="20">
        <v>-0.28999999999999998</v>
      </c>
      <c r="E387" s="20">
        <v>0.02</v>
      </c>
      <c r="F387" s="26">
        <v>2239.23</v>
      </c>
      <c r="Q387" s="20">
        <v>38.700000000000003</v>
      </c>
      <c r="R387" s="20">
        <v>79.900000000000006</v>
      </c>
      <c r="S387" s="26">
        <v>80</v>
      </c>
      <c r="T387" s="26">
        <v>0.1</v>
      </c>
      <c r="U387" s="26">
        <v>-0.06</v>
      </c>
      <c r="V387" s="26">
        <v>2235.1999999999998</v>
      </c>
    </row>
    <row r="388" spans="1:22" ht="16.8" x14ac:dyDescent="0.3">
      <c r="A388" s="20">
        <v>38.700000000000003</v>
      </c>
      <c r="B388" s="20">
        <v>80</v>
      </c>
      <c r="C388" s="26">
        <v>80.31</v>
      </c>
      <c r="D388" s="20">
        <v>-0.31</v>
      </c>
      <c r="E388" s="20">
        <v>-0.02</v>
      </c>
      <c r="F388" s="26">
        <v>2207.2199999999998</v>
      </c>
      <c r="Q388" s="20">
        <v>38.799999999999997</v>
      </c>
      <c r="R388" s="20">
        <v>79.84</v>
      </c>
      <c r="S388" s="26">
        <v>80</v>
      </c>
      <c r="T388" s="26">
        <v>0.16</v>
      </c>
      <c r="U388" s="26">
        <v>0.06</v>
      </c>
      <c r="V388" s="20">
        <v>2363.8000000000002</v>
      </c>
    </row>
    <row r="389" spans="1:22" ht="16.8" x14ac:dyDescent="0.3">
      <c r="A389" s="20">
        <v>38.799999999999997</v>
      </c>
      <c r="B389" s="20">
        <v>80</v>
      </c>
      <c r="C389" s="20">
        <v>80.33</v>
      </c>
      <c r="D389" s="20">
        <v>-0.33</v>
      </c>
      <c r="E389" s="20">
        <v>-0.02</v>
      </c>
      <c r="F389" s="26">
        <v>2172.96</v>
      </c>
      <c r="Q389" s="20">
        <v>38.9</v>
      </c>
      <c r="R389" s="20">
        <v>79.91</v>
      </c>
      <c r="S389" s="26">
        <v>80</v>
      </c>
      <c r="T389" s="26">
        <v>0.09</v>
      </c>
      <c r="U389" s="26">
        <v>-7.0000000000000007E-2</v>
      </c>
      <c r="V389" s="26">
        <v>2227.2600000000002</v>
      </c>
    </row>
    <row r="390" spans="1:22" ht="16.8" x14ac:dyDescent="0.3">
      <c r="A390" s="20">
        <v>38.9</v>
      </c>
      <c r="B390" s="20">
        <v>80</v>
      </c>
      <c r="C390" s="26">
        <v>80.31</v>
      </c>
      <c r="D390" s="20">
        <v>-0.31</v>
      </c>
      <c r="E390" s="20">
        <v>0.02</v>
      </c>
      <c r="F390" s="26">
        <v>2221.69</v>
      </c>
      <c r="Q390" s="20">
        <v>39</v>
      </c>
      <c r="R390" s="20">
        <v>79.89</v>
      </c>
      <c r="S390" s="26">
        <v>80</v>
      </c>
      <c r="T390" s="26">
        <v>0.11</v>
      </c>
      <c r="U390" s="26">
        <v>0.02</v>
      </c>
      <c r="V390" s="20">
        <v>2319.44</v>
      </c>
    </row>
    <row r="391" spans="1:22" ht="16.8" x14ac:dyDescent="0.3">
      <c r="A391" s="20">
        <v>39</v>
      </c>
      <c r="B391" s="20">
        <v>80</v>
      </c>
      <c r="C391" s="26">
        <v>80.36</v>
      </c>
      <c r="D391" s="20">
        <v>-0.36</v>
      </c>
      <c r="E391" s="20">
        <v>-0.05</v>
      </c>
      <c r="F391" s="20">
        <v>2123.35</v>
      </c>
      <c r="Q391" s="20">
        <v>39.1</v>
      </c>
      <c r="R391" s="20">
        <v>79.86</v>
      </c>
      <c r="S391" s="26">
        <v>80</v>
      </c>
      <c r="T391" s="26">
        <v>0.14000000000000001</v>
      </c>
      <c r="U391" s="26">
        <v>0.03</v>
      </c>
      <c r="V391" s="26">
        <v>2332.84</v>
      </c>
    </row>
    <row r="392" spans="1:22" ht="16.8" x14ac:dyDescent="0.3">
      <c r="A392" s="20">
        <v>39.1</v>
      </c>
      <c r="B392" s="20">
        <v>80</v>
      </c>
      <c r="C392" s="20">
        <v>80.290000000000006</v>
      </c>
      <c r="D392" s="20">
        <v>-0.28999999999999998</v>
      </c>
      <c r="E392" s="20">
        <v>7.0000000000000007E-2</v>
      </c>
      <c r="F392" s="26">
        <v>2243.5500000000002</v>
      </c>
      <c r="Q392" s="20">
        <v>39.200000000000003</v>
      </c>
      <c r="R392" s="20">
        <v>79.86</v>
      </c>
      <c r="S392" s="26">
        <v>80</v>
      </c>
      <c r="T392" s="26">
        <v>0.14000000000000001</v>
      </c>
      <c r="U392" s="26">
        <v>-0.01</v>
      </c>
      <c r="V392" s="20">
        <v>2295.34</v>
      </c>
    </row>
    <row r="393" spans="1:22" ht="16.8" x14ac:dyDescent="0.3">
      <c r="A393" s="20">
        <v>39.200000000000003</v>
      </c>
      <c r="B393" s="20">
        <v>80</v>
      </c>
      <c r="C393" s="26">
        <v>80.3</v>
      </c>
      <c r="D393" s="20">
        <v>-0.3</v>
      </c>
      <c r="E393" s="20">
        <v>-0.02</v>
      </c>
      <c r="F393" s="26">
        <v>2211.65</v>
      </c>
      <c r="Q393" s="20">
        <v>39.299999999999997</v>
      </c>
      <c r="R393" s="20">
        <v>79.95</v>
      </c>
      <c r="S393" s="26">
        <v>80</v>
      </c>
      <c r="T393" s="20">
        <v>0.05</v>
      </c>
      <c r="U393" s="20">
        <v>-0.08</v>
      </c>
      <c r="V393" s="20">
        <v>2215.6999999999998</v>
      </c>
    </row>
    <row r="394" spans="1:22" ht="16.8" x14ac:dyDescent="0.3">
      <c r="A394" s="20">
        <v>39.299999999999997</v>
      </c>
      <c r="B394" s="20">
        <v>80</v>
      </c>
      <c r="C394" s="26">
        <v>80.239999999999995</v>
      </c>
      <c r="D394" s="20">
        <v>-0.24</v>
      </c>
      <c r="E394" s="20">
        <v>7.0000000000000007E-2</v>
      </c>
      <c r="F394" s="20">
        <v>2298.62</v>
      </c>
      <c r="Q394" s="20">
        <v>39.4</v>
      </c>
      <c r="R394" s="20">
        <v>79.94</v>
      </c>
      <c r="S394" s="26">
        <v>80</v>
      </c>
      <c r="T394" s="26">
        <v>0.06</v>
      </c>
      <c r="U394" s="26">
        <v>0.01</v>
      </c>
      <c r="V394" s="26">
        <v>2297.62</v>
      </c>
    </row>
    <row r="395" spans="1:22" ht="16.8" x14ac:dyDescent="0.3">
      <c r="A395" s="20">
        <v>39.4</v>
      </c>
      <c r="B395" s="20">
        <v>80</v>
      </c>
      <c r="C395" s="20">
        <v>80.27</v>
      </c>
      <c r="D395" s="20">
        <v>-0.27</v>
      </c>
      <c r="E395" s="20">
        <v>-0.03</v>
      </c>
      <c r="F395" s="26">
        <v>2235.92</v>
      </c>
      <c r="Q395" s="20">
        <v>39.5</v>
      </c>
      <c r="R395" s="20">
        <v>79.930000000000007</v>
      </c>
      <c r="S395" s="26">
        <v>80</v>
      </c>
      <c r="T395" s="26">
        <v>7.0000000000000007E-2</v>
      </c>
      <c r="U395" s="20">
        <v>0.01</v>
      </c>
      <c r="V395" s="20">
        <v>2299.25</v>
      </c>
    </row>
    <row r="396" spans="1:22" ht="16.8" x14ac:dyDescent="0.3">
      <c r="A396" s="20">
        <v>39.5</v>
      </c>
      <c r="B396" s="20">
        <v>80</v>
      </c>
      <c r="C396" s="26">
        <v>80.17</v>
      </c>
      <c r="D396" s="20">
        <v>-0.17</v>
      </c>
      <c r="E396" s="20">
        <v>0.09</v>
      </c>
      <c r="F396" s="26">
        <v>2360.4499999999998</v>
      </c>
      <c r="Q396" s="20">
        <v>39.6</v>
      </c>
      <c r="R396" s="20">
        <v>79.959999999999994</v>
      </c>
      <c r="S396" s="26">
        <v>80</v>
      </c>
      <c r="T396" s="26">
        <v>0.04</v>
      </c>
      <c r="U396" s="26">
        <v>-0.03</v>
      </c>
      <c r="V396" s="26">
        <v>2257.2399999999998</v>
      </c>
    </row>
    <row r="397" spans="1:22" ht="16.8" x14ac:dyDescent="0.3">
      <c r="A397" s="20">
        <v>39.6</v>
      </c>
      <c r="B397" s="20">
        <v>80</v>
      </c>
      <c r="C397" s="26">
        <v>80.209999999999994</v>
      </c>
      <c r="D397" s="20">
        <v>-0.21</v>
      </c>
      <c r="E397" s="20">
        <v>-0.04</v>
      </c>
      <c r="F397" s="26">
        <v>2290.21</v>
      </c>
      <c r="Q397" s="20">
        <v>39.700000000000003</v>
      </c>
      <c r="R397" s="20">
        <v>79.98</v>
      </c>
      <c r="S397" s="26">
        <v>80</v>
      </c>
      <c r="T397" s="26">
        <v>0.02</v>
      </c>
      <c r="U397" s="26">
        <v>-0.02</v>
      </c>
      <c r="V397" s="20">
        <v>2269.0700000000002</v>
      </c>
    </row>
    <row r="398" spans="1:22" ht="16.8" x14ac:dyDescent="0.3">
      <c r="A398" s="20">
        <v>39.700000000000003</v>
      </c>
      <c r="B398" s="20">
        <v>80</v>
      </c>
      <c r="C398" s="20">
        <v>80.19</v>
      </c>
      <c r="D398" s="20">
        <v>-0.19</v>
      </c>
      <c r="E398" s="20">
        <v>0.02</v>
      </c>
      <c r="F398" s="26">
        <v>2339.9</v>
      </c>
      <c r="Q398" s="20">
        <v>39.799999999999997</v>
      </c>
      <c r="R398" s="20">
        <v>79.959999999999994</v>
      </c>
      <c r="S398" s="26">
        <v>80</v>
      </c>
      <c r="T398" s="20">
        <v>0.04</v>
      </c>
      <c r="U398" s="26">
        <v>0.02</v>
      </c>
      <c r="V398" s="26">
        <v>2301.2399999999998</v>
      </c>
    </row>
    <row r="399" spans="1:22" ht="16.8" x14ac:dyDescent="0.3">
      <c r="A399" s="20">
        <v>39.799999999999997</v>
      </c>
      <c r="B399" s="20">
        <v>80</v>
      </c>
      <c r="C399" s="26">
        <v>80.150000000000006</v>
      </c>
      <c r="D399" s="20">
        <v>-0.15</v>
      </c>
      <c r="E399" s="20">
        <v>0.05</v>
      </c>
      <c r="F399" s="26">
        <v>2389.27</v>
      </c>
      <c r="Q399" s="20">
        <v>39.9</v>
      </c>
      <c r="R399" s="20">
        <v>80.040000000000006</v>
      </c>
      <c r="S399" s="26">
        <v>80</v>
      </c>
      <c r="T399" s="26">
        <v>-0.04</v>
      </c>
      <c r="U399" s="26">
        <v>-0.08</v>
      </c>
      <c r="V399" s="20">
        <v>2199.38</v>
      </c>
    </row>
    <row r="400" spans="1:22" ht="16.8" x14ac:dyDescent="0.3">
      <c r="A400" s="20">
        <v>39.9</v>
      </c>
      <c r="B400" s="20">
        <v>80</v>
      </c>
      <c r="C400" s="26">
        <v>80.09</v>
      </c>
      <c r="D400" s="20">
        <v>-0.09</v>
      </c>
      <c r="E400" s="20">
        <v>0.06</v>
      </c>
      <c r="F400" s="26">
        <v>2448.19</v>
      </c>
      <c r="Q400" s="20">
        <v>40</v>
      </c>
      <c r="R400" s="20">
        <v>80.010000000000005</v>
      </c>
      <c r="S400" s="26">
        <v>80</v>
      </c>
      <c r="T400" s="20">
        <v>-0.01</v>
      </c>
      <c r="U400" s="26">
        <v>0.03</v>
      </c>
      <c r="V400" s="20">
        <v>2307.1999999999998</v>
      </c>
    </row>
    <row r="401" spans="1:22" ht="16.8" x14ac:dyDescent="0.3">
      <c r="A401" s="20">
        <v>40</v>
      </c>
      <c r="B401" s="20">
        <v>80</v>
      </c>
      <c r="C401" s="20">
        <v>80.069999999999993</v>
      </c>
      <c r="D401" s="20">
        <v>-7.0000000000000007E-2</v>
      </c>
      <c r="E401" s="20">
        <v>0.02</v>
      </c>
      <c r="F401" s="20">
        <v>2474.3200000000002</v>
      </c>
      <c r="Q401" s="20">
        <v>40.1</v>
      </c>
      <c r="R401" s="20">
        <v>80.03</v>
      </c>
      <c r="S401" s="26">
        <v>80</v>
      </c>
      <c r="T401" s="26">
        <v>-0.03</v>
      </c>
      <c r="U401" s="26">
        <v>-0.02</v>
      </c>
      <c r="V401" s="26">
        <v>2260.5100000000002</v>
      </c>
    </row>
    <row r="402" spans="1:22" ht="16.8" x14ac:dyDescent="0.3">
      <c r="A402" s="20">
        <v>40.1</v>
      </c>
      <c r="B402" s="20">
        <v>80</v>
      </c>
      <c r="C402" s="26">
        <v>80.08</v>
      </c>
      <c r="D402" s="20">
        <v>-0.08</v>
      </c>
      <c r="E402" s="20">
        <v>-0.02</v>
      </c>
      <c r="F402" s="26">
        <v>2440.98</v>
      </c>
      <c r="Q402" s="20">
        <v>40.200000000000003</v>
      </c>
      <c r="R402" s="20">
        <v>80.03</v>
      </c>
      <c r="S402" s="26">
        <v>80</v>
      </c>
      <c r="T402" s="26">
        <v>-0.03</v>
      </c>
      <c r="U402" s="26">
        <v>0</v>
      </c>
      <c r="V402" s="20">
        <v>2275.0300000000002</v>
      </c>
    </row>
    <row r="403" spans="1:22" ht="16.8" x14ac:dyDescent="0.3">
      <c r="A403" s="20">
        <v>40.200000000000003</v>
      </c>
      <c r="B403" s="20">
        <v>80</v>
      </c>
      <c r="C403" s="20">
        <v>80.09</v>
      </c>
      <c r="D403" s="20">
        <v>-0.09</v>
      </c>
      <c r="E403" s="20">
        <v>-0.01</v>
      </c>
      <c r="F403" s="26">
        <v>2440.31</v>
      </c>
      <c r="Q403" s="20">
        <v>40.299999999999997</v>
      </c>
      <c r="R403" s="20">
        <v>80.02</v>
      </c>
      <c r="S403" s="26">
        <v>80</v>
      </c>
      <c r="T403" s="26">
        <v>-0.02</v>
      </c>
      <c r="U403" s="26">
        <v>0.01</v>
      </c>
      <c r="V403" s="26">
        <v>2283.6799999999998</v>
      </c>
    </row>
    <row r="404" spans="1:22" ht="16.8" x14ac:dyDescent="0.3">
      <c r="A404" s="20">
        <v>40.299999999999997</v>
      </c>
      <c r="B404" s="20">
        <v>80</v>
      </c>
      <c r="C404" s="26">
        <v>80.040000000000006</v>
      </c>
      <c r="D404" s="20">
        <v>-0.04</v>
      </c>
      <c r="E404" s="20">
        <v>0.05</v>
      </c>
      <c r="F404" s="26">
        <v>2505.41</v>
      </c>
      <c r="Q404" s="20">
        <v>40.4</v>
      </c>
      <c r="R404" s="20">
        <v>80.03</v>
      </c>
      <c r="S404" s="26">
        <v>80</v>
      </c>
      <c r="T404" s="26">
        <v>-0.03</v>
      </c>
      <c r="U404" s="26">
        <v>-0.02</v>
      </c>
      <c r="V404" s="20">
        <v>2258.86</v>
      </c>
    </row>
    <row r="405" spans="1:22" ht="16.8" x14ac:dyDescent="0.3">
      <c r="A405" s="20">
        <v>40.4</v>
      </c>
      <c r="B405" s="20">
        <v>80</v>
      </c>
      <c r="C405" s="26">
        <v>80.05</v>
      </c>
      <c r="D405" s="20">
        <v>-0.05</v>
      </c>
      <c r="E405" s="20">
        <v>-0.01</v>
      </c>
      <c r="F405" s="26">
        <v>2479.92</v>
      </c>
      <c r="Q405" s="20">
        <v>40.5</v>
      </c>
      <c r="R405" s="20">
        <v>80.05</v>
      </c>
      <c r="S405" s="26">
        <v>80</v>
      </c>
      <c r="T405" s="26">
        <v>-0.05</v>
      </c>
      <c r="U405" s="26">
        <v>-0.02</v>
      </c>
      <c r="V405" s="26">
        <v>2255.89</v>
      </c>
    </row>
    <row r="406" spans="1:22" ht="16.8" x14ac:dyDescent="0.3">
      <c r="A406" s="20">
        <v>40.5</v>
      </c>
      <c r="B406" s="20">
        <v>80</v>
      </c>
      <c r="C406" s="20">
        <v>80.069999999999993</v>
      </c>
      <c r="D406" s="20">
        <v>-7.0000000000000007E-2</v>
      </c>
      <c r="E406" s="20">
        <v>-0.02</v>
      </c>
      <c r="F406" s="26">
        <v>2441.5300000000002</v>
      </c>
      <c r="Q406" s="20">
        <v>40.6</v>
      </c>
      <c r="R406" s="20">
        <v>80.010000000000005</v>
      </c>
      <c r="S406" s="26">
        <v>80</v>
      </c>
      <c r="T406" s="26">
        <v>-0.01</v>
      </c>
      <c r="U406" s="26">
        <v>0.04</v>
      </c>
      <c r="V406" s="20">
        <v>2314</v>
      </c>
    </row>
    <row r="407" spans="1:22" ht="16.8" x14ac:dyDescent="0.3">
      <c r="A407" s="20">
        <v>40.6</v>
      </c>
      <c r="B407" s="20">
        <v>80</v>
      </c>
      <c r="C407" s="26">
        <v>80.069999999999993</v>
      </c>
      <c r="D407" s="20">
        <v>-7.0000000000000007E-2</v>
      </c>
      <c r="E407" s="20">
        <v>0.01</v>
      </c>
      <c r="F407" s="20">
        <v>2474.3200000000002</v>
      </c>
      <c r="Q407" s="20">
        <v>40.700000000000003</v>
      </c>
      <c r="R407" s="20">
        <v>80.069999999999993</v>
      </c>
      <c r="S407" s="26">
        <v>80</v>
      </c>
      <c r="T407" s="26">
        <v>-7.0000000000000007E-2</v>
      </c>
      <c r="U407" s="26">
        <v>-0.06</v>
      </c>
      <c r="V407" s="26">
        <v>2207.61</v>
      </c>
    </row>
    <row r="408" spans="1:22" ht="16.8" x14ac:dyDescent="0.3">
      <c r="A408" s="20">
        <v>40.700000000000003</v>
      </c>
      <c r="B408" s="20">
        <v>80</v>
      </c>
      <c r="C408" s="26">
        <v>80.08</v>
      </c>
      <c r="D408" s="20">
        <v>-0.08</v>
      </c>
      <c r="E408" s="20">
        <v>-0.01</v>
      </c>
      <c r="F408" s="26">
        <v>2449.25</v>
      </c>
      <c r="Q408" s="20">
        <v>40.799999999999997</v>
      </c>
      <c r="R408" s="20">
        <v>80.06</v>
      </c>
      <c r="S408" s="26">
        <v>80</v>
      </c>
      <c r="T408" s="26">
        <v>-0.06</v>
      </c>
      <c r="U408" s="26">
        <v>0.02</v>
      </c>
      <c r="V408" s="20">
        <v>2283.2399999999998</v>
      </c>
    </row>
    <row r="409" spans="1:22" ht="16.8" x14ac:dyDescent="0.3">
      <c r="A409" s="20">
        <v>40.799999999999997</v>
      </c>
      <c r="B409" s="20">
        <v>80</v>
      </c>
      <c r="C409" s="20">
        <v>80.09</v>
      </c>
      <c r="D409" s="20">
        <v>-0.09</v>
      </c>
      <c r="E409" s="20">
        <v>-0.02</v>
      </c>
      <c r="F409" s="26">
        <v>2428.16</v>
      </c>
      <c r="Q409" s="20">
        <v>40.9</v>
      </c>
      <c r="R409" s="20">
        <v>80.11</v>
      </c>
      <c r="S409" s="26">
        <v>80</v>
      </c>
      <c r="T409" s="26">
        <v>-0.11</v>
      </c>
      <c r="U409" s="26">
        <v>-0.05</v>
      </c>
      <c r="V409" s="26">
        <v>2216.0500000000002</v>
      </c>
    </row>
    <row r="410" spans="1:22" ht="16.8" x14ac:dyDescent="0.3">
      <c r="A410" s="20">
        <v>40.9</v>
      </c>
      <c r="B410" s="20">
        <v>80</v>
      </c>
      <c r="C410" s="26">
        <v>80.06</v>
      </c>
      <c r="D410" s="20">
        <v>-0.06</v>
      </c>
      <c r="E410" s="20">
        <v>0.03</v>
      </c>
      <c r="F410" s="26">
        <v>2478.7600000000002</v>
      </c>
      <c r="Q410" s="20">
        <v>41</v>
      </c>
      <c r="R410" s="20">
        <v>80.08</v>
      </c>
      <c r="S410" s="26">
        <v>80</v>
      </c>
      <c r="T410" s="26">
        <v>-0.08</v>
      </c>
      <c r="U410" s="26">
        <v>0.02</v>
      </c>
      <c r="V410" s="20">
        <v>2285.73</v>
      </c>
    </row>
    <row r="411" spans="1:22" ht="16.8" x14ac:dyDescent="0.3">
      <c r="A411" s="20">
        <v>41</v>
      </c>
      <c r="B411" s="20">
        <v>80</v>
      </c>
      <c r="C411" s="20">
        <v>80.13</v>
      </c>
      <c r="D411" s="20">
        <v>-0.13</v>
      </c>
      <c r="E411" s="20">
        <v>-7.0000000000000007E-2</v>
      </c>
      <c r="F411" s="26">
        <v>2333.85</v>
      </c>
      <c r="Q411" s="20">
        <v>41.1</v>
      </c>
      <c r="R411" s="20">
        <v>80.08</v>
      </c>
      <c r="S411" s="26">
        <v>80</v>
      </c>
      <c r="T411" s="26">
        <v>-0.08</v>
      </c>
      <c r="U411" s="26">
        <v>0</v>
      </c>
      <c r="V411" s="26">
        <v>2263.5700000000002</v>
      </c>
    </row>
    <row r="412" spans="1:22" ht="16.8" x14ac:dyDescent="0.3">
      <c r="A412" s="20">
        <v>41.1</v>
      </c>
      <c r="B412" s="20">
        <v>80</v>
      </c>
      <c r="C412" s="26">
        <v>80.13</v>
      </c>
      <c r="D412" s="20">
        <v>-0.13</v>
      </c>
      <c r="E412" s="20">
        <v>0.01</v>
      </c>
      <c r="F412" s="20">
        <v>2410.08</v>
      </c>
      <c r="Q412" s="20">
        <v>41.2</v>
      </c>
      <c r="R412" s="20">
        <v>80.09</v>
      </c>
      <c r="S412" s="26">
        <v>80</v>
      </c>
      <c r="T412" s="26">
        <v>-0.09</v>
      </c>
      <c r="U412" s="26">
        <v>-0.01</v>
      </c>
      <c r="V412" s="20">
        <v>2254.58</v>
      </c>
    </row>
    <row r="413" spans="1:22" ht="16.8" x14ac:dyDescent="0.3">
      <c r="A413" s="20">
        <v>41.2</v>
      </c>
      <c r="B413" s="20">
        <v>80</v>
      </c>
      <c r="C413" s="26">
        <v>80.16</v>
      </c>
      <c r="D413" s="20">
        <v>-0.16</v>
      </c>
      <c r="E413" s="20">
        <v>-0.04</v>
      </c>
      <c r="F413" s="26">
        <v>2338.89</v>
      </c>
      <c r="Q413" s="20">
        <v>41.3</v>
      </c>
      <c r="R413" s="20">
        <v>80.09</v>
      </c>
      <c r="S413" s="26">
        <v>80</v>
      </c>
      <c r="T413" s="20">
        <v>-0.09</v>
      </c>
      <c r="U413" s="26">
        <v>0</v>
      </c>
      <c r="V413" s="26">
        <v>2261.61</v>
      </c>
    </row>
    <row r="414" spans="1:22" ht="16.8" x14ac:dyDescent="0.3">
      <c r="A414" s="20">
        <v>41.3</v>
      </c>
      <c r="B414" s="20">
        <v>80</v>
      </c>
      <c r="C414" s="20">
        <v>80.17</v>
      </c>
      <c r="D414" s="20">
        <v>-0.17</v>
      </c>
      <c r="E414" s="20">
        <v>-0.01</v>
      </c>
      <c r="F414" s="20">
        <v>2349.2399999999998</v>
      </c>
      <c r="Q414" s="20">
        <v>41.4</v>
      </c>
      <c r="R414" s="20">
        <v>80.09</v>
      </c>
      <c r="S414" s="26">
        <v>80</v>
      </c>
      <c r="T414" s="26">
        <v>-0.09</v>
      </c>
      <c r="U414" s="26">
        <v>0</v>
      </c>
      <c r="V414" s="20">
        <v>2261.33</v>
      </c>
    </row>
    <row r="415" spans="1:22" ht="16.8" x14ac:dyDescent="0.3">
      <c r="A415" s="20">
        <v>41.4</v>
      </c>
      <c r="B415" s="20">
        <v>80</v>
      </c>
      <c r="C415" s="26">
        <v>80.17</v>
      </c>
      <c r="D415" s="20">
        <v>-0.17</v>
      </c>
      <c r="E415" s="20">
        <v>0.01</v>
      </c>
      <c r="F415" s="26">
        <v>2368.64</v>
      </c>
      <c r="Q415" s="20">
        <v>41.5</v>
      </c>
      <c r="R415" s="20">
        <v>80.08</v>
      </c>
      <c r="S415" s="26">
        <v>80</v>
      </c>
      <c r="T415" s="20">
        <v>-0.08</v>
      </c>
      <c r="U415" s="26">
        <v>0.01</v>
      </c>
      <c r="V415" s="20">
        <v>2269.79</v>
      </c>
    </row>
    <row r="416" spans="1:22" ht="16.8" x14ac:dyDescent="0.3">
      <c r="A416" s="20">
        <v>41.5</v>
      </c>
      <c r="B416" s="20">
        <v>80</v>
      </c>
      <c r="C416" s="26">
        <v>80.19</v>
      </c>
      <c r="D416" s="20">
        <v>-0.19</v>
      </c>
      <c r="E416" s="20">
        <v>-0.02</v>
      </c>
      <c r="F416" s="26">
        <v>2329.46</v>
      </c>
      <c r="Q416" s="20">
        <v>41.6</v>
      </c>
      <c r="R416" s="20">
        <v>80.11</v>
      </c>
      <c r="S416" s="26">
        <v>80</v>
      </c>
      <c r="T416" s="26">
        <v>-0.11</v>
      </c>
      <c r="U416" s="26">
        <v>-0.02</v>
      </c>
      <c r="V416" s="26">
        <v>2236.02</v>
      </c>
    </row>
    <row r="417" spans="1:22" ht="16.8" x14ac:dyDescent="0.3">
      <c r="A417" s="20">
        <v>41.6</v>
      </c>
      <c r="B417" s="20">
        <v>80</v>
      </c>
      <c r="C417" s="20">
        <v>80.22</v>
      </c>
      <c r="D417" s="20">
        <v>-0.22</v>
      </c>
      <c r="E417" s="20">
        <v>-0.03</v>
      </c>
      <c r="F417" s="20">
        <v>2285.6999999999998</v>
      </c>
      <c r="Q417" s="20">
        <v>41.7</v>
      </c>
      <c r="R417" s="20">
        <v>80.14</v>
      </c>
      <c r="S417" s="26">
        <v>80</v>
      </c>
      <c r="T417" s="26">
        <v>-0.14000000000000001</v>
      </c>
      <c r="U417" s="26">
        <v>-0.03</v>
      </c>
      <c r="V417" s="20">
        <v>2222.65</v>
      </c>
    </row>
    <row r="418" spans="1:22" ht="16.8" x14ac:dyDescent="0.3">
      <c r="A418" s="20">
        <v>41.7</v>
      </c>
      <c r="B418" s="20">
        <v>80</v>
      </c>
      <c r="C418" s="26">
        <v>80.19</v>
      </c>
      <c r="D418" s="20">
        <v>-0.19</v>
      </c>
      <c r="E418" s="20">
        <v>0.02</v>
      </c>
      <c r="F418" s="26">
        <v>2339.9</v>
      </c>
      <c r="Q418" s="20">
        <v>41.8</v>
      </c>
      <c r="R418" s="20">
        <v>80.11</v>
      </c>
      <c r="S418" s="26">
        <v>80</v>
      </c>
      <c r="T418" s="20">
        <v>-0.11</v>
      </c>
      <c r="U418" s="26">
        <v>0.03</v>
      </c>
      <c r="V418" s="26">
        <v>2286.38</v>
      </c>
    </row>
    <row r="419" spans="1:22" ht="16.8" x14ac:dyDescent="0.3">
      <c r="A419" s="20">
        <v>41.8</v>
      </c>
      <c r="B419" s="20">
        <v>80</v>
      </c>
      <c r="C419" s="20">
        <v>80.27</v>
      </c>
      <c r="D419" s="20">
        <v>-0.27</v>
      </c>
      <c r="E419" s="20">
        <v>-7.0000000000000007E-2</v>
      </c>
      <c r="F419" s="26">
        <v>2199.81</v>
      </c>
      <c r="Q419" s="20">
        <v>41.9</v>
      </c>
      <c r="R419" s="20">
        <v>80.14</v>
      </c>
      <c r="S419" s="26">
        <v>80</v>
      </c>
      <c r="T419" s="26">
        <v>-0.14000000000000001</v>
      </c>
      <c r="U419" s="26">
        <v>-0.03</v>
      </c>
      <c r="V419" s="20">
        <v>2221.89</v>
      </c>
    </row>
    <row r="420" spans="1:22" ht="16.8" x14ac:dyDescent="0.3">
      <c r="A420" s="20">
        <v>41.9</v>
      </c>
      <c r="B420" s="20">
        <v>80</v>
      </c>
      <c r="C420" s="26">
        <v>80.25</v>
      </c>
      <c r="D420" s="20">
        <v>-0.25</v>
      </c>
      <c r="E420" s="20">
        <v>0.02</v>
      </c>
      <c r="F420" s="26">
        <v>2286.12</v>
      </c>
      <c r="Q420" s="20">
        <v>42</v>
      </c>
      <c r="R420" s="20">
        <v>80.11</v>
      </c>
      <c r="S420" s="26">
        <v>80</v>
      </c>
      <c r="T420" s="20">
        <v>-0.11</v>
      </c>
      <c r="U420" s="26">
        <v>0.03</v>
      </c>
      <c r="V420" s="26">
        <v>2285.62</v>
      </c>
    </row>
    <row r="421" spans="1:22" ht="16.8" x14ac:dyDescent="0.3">
      <c r="A421" s="20">
        <v>42</v>
      </c>
      <c r="B421" s="20">
        <v>80</v>
      </c>
      <c r="C421" s="26">
        <v>80.290000000000006</v>
      </c>
      <c r="D421" s="20">
        <v>-0.28999999999999998</v>
      </c>
      <c r="E421" s="20">
        <v>-0.04</v>
      </c>
      <c r="F421" s="26">
        <v>2199.42</v>
      </c>
      <c r="Q421" s="20">
        <v>42.1</v>
      </c>
      <c r="R421" s="20">
        <v>80.12</v>
      </c>
      <c r="S421" s="26">
        <v>80</v>
      </c>
      <c r="T421" s="26">
        <v>-0.12</v>
      </c>
      <c r="U421" s="26">
        <v>-0.02</v>
      </c>
      <c r="V421" s="20">
        <v>2238.61</v>
      </c>
    </row>
    <row r="422" spans="1:22" ht="16.8" x14ac:dyDescent="0.3">
      <c r="A422" s="20">
        <v>42.1</v>
      </c>
      <c r="B422" s="20">
        <v>80</v>
      </c>
      <c r="C422" s="20">
        <v>80.28</v>
      </c>
      <c r="D422" s="20">
        <v>-0.28000000000000003</v>
      </c>
      <c r="E422" s="20">
        <v>0.02</v>
      </c>
      <c r="F422" s="26">
        <v>2256.52</v>
      </c>
      <c r="Q422" s="20">
        <v>42.2</v>
      </c>
      <c r="R422" s="20">
        <v>80.11</v>
      </c>
      <c r="S422" s="26">
        <v>80</v>
      </c>
      <c r="T422" s="26">
        <v>-0.11</v>
      </c>
      <c r="U422" s="26">
        <v>0.02</v>
      </c>
      <c r="V422" s="26">
        <v>2270.3000000000002</v>
      </c>
    </row>
    <row r="423" spans="1:22" ht="16.8" x14ac:dyDescent="0.3">
      <c r="A423" s="20">
        <v>42.2</v>
      </c>
      <c r="B423" s="20">
        <v>80</v>
      </c>
      <c r="C423" s="26">
        <v>80.319999999999993</v>
      </c>
      <c r="D423" s="20">
        <v>-0.32</v>
      </c>
      <c r="E423" s="20">
        <v>-0.04</v>
      </c>
      <c r="F423" s="26">
        <v>2176.67</v>
      </c>
      <c r="Q423" s="20">
        <v>42.3</v>
      </c>
      <c r="R423" s="20">
        <v>80.14</v>
      </c>
      <c r="S423" s="26">
        <v>80</v>
      </c>
      <c r="T423" s="26">
        <v>-0.14000000000000001</v>
      </c>
      <c r="U423" s="26">
        <v>-0.03</v>
      </c>
      <c r="V423" s="20">
        <v>2220.42</v>
      </c>
    </row>
    <row r="424" spans="1:22" ht="16.8" x14ac:dyDescent="0.3">
      <c r="A424" s="20">
        <v>42.3</v>
      </c>
      <c r="B424" s="20">
        <v>80</v>
      </c>
      <c r="C424" s="20">
        <v>80.28</v>
      </c>
      <c r="D424" s="20">
        <v>-0.28000000000000003</v>
      </c>
      <c r="E424" s="20">
        <v>0.03</v>
      </c>
      <c r="F424" s="26">
        <v>2247.92</v>
      </c>
      <c r="Q424" s="20">
        <v>42.4</v>
      </c>
      <c r="R424" s="20">
        <v>80.069999999999993</v>
      </c>
      <c r="S424" s="26">
        <v>80</v>
      </c>
      <c r="T424" s="26">
        <v>-7.0000000000000007E-2</v>
      </c>
      <c r="U424" s="26">
        <v>0.06</v>
      </c>
      <c r="V424" s="20">
        <v>2319.09</v>
      </c>
    </row>
    <row r="425" spans="1:22" ht="16.8" x14ac:dyDescent="0.3">
      <c r="A425" s="20">
        <v>42.4</v>
      </c>
      <c r="B425" s="20">
        <v>80</v>
      </c>
      <c r="C425" s="26">
        <v>80.31</v>
      </c>
      <c r="D425" s="20">
        <v>-0.31</v>
      </c>
      <c r="E425" s="20">
        <v>-0.03</v>
      </c>
      <c r="F425" s="20">
        <v>2191.86</v>
      </c>
      <c r="Q425" s="20">
        <v>42.5</v>
      </c>
      <c r="R425" s="20">
        <v>80.099999999999994</v>
      </c>
      <c r="S425" s="26">
        <v>80</v>
      </c>
      <c r="T425" s="26">
        <v>-0.1</v>
      </c>
      <c r="U425" s="26">
        <v>-0.02</v>
      </c>
      <c r="V425" s="26">
        <v>2234.2399999999998</v>
      </c>
    </row>
    <row r="426" spans="1:22" ht="16.8" x14ac:dyDescent="0.3">
      <c r="A426" s="20">
        <v>42.5</v>
      </c>
      <c r="B426" s="20">
        <v>80</v>
      </c>
      <c r="C426" s="26">
        <v>80.290000000000006</v>
      </c>
      <c r="D426" s="20">
        <v>-0.28999999999999998</v>
      </c>
      <c r="E426" s="20">
        <v>0.02</v>
      </c>
      <c r="F426" s="26">
        <v>2239.23</v>
      </c>
      <c r="Q426" s="20">
        <v>42.6</v>
      </c>
      <c r="R426" s="20">
        <v>80.09</v>
      </c>
      <c r="S426" s="26">
        <v>80</v>
      </c>
      <c r="T426" s="26">
        <v>-0.09</v>
      </c>
      <c r="U426" s="26">
        <v>0.01</v>
      </c>
      <c r="V426" s="20">
        <v>2264.5700000000002</v>
      </c>
    </row>
    <row r="427" spans="1:22" ht="16.8" x14ac:dyDescent="0.3">
      <c r="A427" s="20">
        <v>42.6</v>
      </c>
      <c r="B427" s="20">
        <v>80</v>
      </c>
      <c r="C427" s="20">
        <v>80.33</v>
      </c>
      <c r="D427" s="20">
        <v>-0.33</v>
      </c>
      <c r="E427" s="20">
        <v>-0.04</v>
      </c>
      <c r="F427" s="26">
        <v>2166.77</v>
      </c>
      <c r="Q427" s="20">
        <v>42.7</v>
      </c>
      <c r="R427" s="20">
        <v>80.11</v>
      </c>
      <c r="S427" s="26">
        <v>80</v>
      </c>
      <c r="T427" s="20">
        <v>-0.11</v>
      </c>
      <c r="U427" s="20">
        <v>-0.02</v>
      </c>
      <c r="V427" s="26">
        <v>2230.8000000000002</v>
      </c>
    </row>
    <row r="428" spans="1:22" ht="16.8" x14ac:dyDescent="0.3">
      <c r="A428" s="20">
        <v>42.7</v>
      </c>
      <c r="B428" s="20">
        <v>80</v>
      </c>
      <c r="C428" s="26">
        <v>80.28</v>
      </c>
      <c r="D428" s="20">
        <v>-0.28000000000000003</v>
      </c>
      <c r="E428" s="20">
        <v>0.04</v>
      </c>
      <c r="F428" s="20">
        <v>2247.92</v>
      </c>
      <c r="Q428" s="20">
        <v>42.8</v>
      </c>
      <c r="R428" s="20">
        <v>80.099999999999994</v>
      </c>
      <c r="S428" s="26">
        <v>80</v>
      </c>
      <c r="T428" s="26">
        <v>-0.1</v>
      </c>
      <c r="U428" s="26">
        <v>0.02</v>
      </c>
      <c r="V428" s="20">
        <v>2269.81</v>
      </c>
    </row>
    <row r="429" spans="1:22" ht="16.8" x14ac:dyDescent="0.3">
      <c r="A429" s="20">
        <v>42.8</v>
      </c>
      <c r="B429" s="20">
        <v>80</v>
      </c>
      <c r="C429" s="26">
        <v>80.23</v>
      </c>
      <c r="D429" s="20">
        <v>-0.23</v>
      </c>
      <c r="E429" s="20">
        <v>0.05</v>
      </c>
      <c r="F429" s="26">
        <v>2302.79</v>
      </c>
      <c r="Q429" s="20">
        <v>42.9</v>
      </c>
      <c r="R429" s="20">
        <v>80.11</v>
      </c>
      <c r="S429" s="26">
        <v>80</v>
      </c>
      <c r="T429" s="26">
        <v>-0.11</v>
      </c>
      <c r="U429" s="20">
        <v>-0.02</v>
      </c>
      <c r="V429" s="26">
        <v>2237.44</v>
      </c>
    </row>
    <row r="430" spans="1:22" ht="16.8" x14ac:dyDescent="0.3">
      <c r="A430" s="20">
        <v>42.9</v>
      </c>
      <c r="B430" s="20">
        <v>80</v>
      </c>
      <c r="C430" s="20">
        <v>80.28</v>
      </c>
      <c r="D430" s="20">
        <v>-0.28000000000000003</v>
      </c>
      <c r="E430" s="20">
        <v>-0.04</v>
      </c>
      <c r="F430" s="20">
        <v>2216.63</v>
      </c>
      <c r="Q430" s="20">
        <v>43</v>
      </c>
      <c r="R430" s="20">
        <v>80.069999999999993</v>
      </c>
      <c r="S430" s="26">
        <v>80</v>
      </c>
      <c r="T430" s="26">
        <v>-7.0000000000000007E-2</v>
      </c>
      <c r="U430" s="26">
        <v>0.04</v>
      </c>
      <c r="V430" s="20">
        <v>2295.36</v>
      </c>
    </row>
    <row r="431" spans="1:22" ht="16.8" x14ac:dyDescent="0.3">
      <c r="A431" s="20">
        <v>43</v>
      </c>
      <c r="B431" s="20">
        <v>80</v>
      </c>
      <c r="C431" s="26">
        <v>80.260000000000005</v>
      </c>
      <c r="D431" s="20">
        <v>-0.26</v>
      </c>
      <c r="E431" s="20">
        <v>0.01</v>
      </c>
      <c r="F431" s="26">
        <v>2269.25</v>
      </c>
      <c r="Q431" s="20">
        <v>43.1</v>
      </c>
      <c r="R431" s="20">
        <v>80.13</v>
      </c>
      <c r="S431" s="26">
        <v>80</v>
      </c>
      <c r="T431" s="26">
        <v>-0.13</v>
      </c>
      <c r="U431" s="26">
        <v>-0.06</v>
      </c>
      <c r="V431" s="26">
        <v>2197.46</v>
      </c>
    </row>
    <row r="432" spans="1:22" ht="16.8" x14ac:dyDescent="0.3">
      <c r="A432" s="20">
        <v>43.1</v>
      </c>
      <c r="B432" s="20">
        <v>80</v>
      </c>
      <c r="C432" s="20">
        <v>80.239999999999995</v>
      </c>
      <c r="D432" s="20">
        <v>-0.24</v>
      </c>
      <c r="E432" s="20">
        <v>0.02</v>
      </c>
      <c r="F432" s="20">
        <v>2294.4299999999998</v>
      </c>
      <c r="Q432" s="20">
        <v>43.2</v>
      </c>
      <c r="R432" s="20">
        <v>80.08</v>
      </c>
      <c r="S432" s="26">
        <v>80</v>
      </c>
      <c r="T432" s="26">
        <v>-0.08</v>
      </c>
      <c r="U432" s="26">
        <v>0.05</v>
      </c>
      <c r="V432" s="20">
        <v>2300.6</v>
      </c>
    </row>
    <row r="433" spans="1:22" ht="16.8" x14ac:dyDescent="0.3">
      <c r="A433" s="20">
        <v>43.2</v>
      </c>
      <c r="B433" s="20">
        <v>80</v>
      </c>
      <c r="C433" s="26">
        <v>80.16</v>
      </c>
      <c r="D433" s="20">
        <v>-0.16</v>
      </c>
      <c r="E433" s="20">
        <v>0.08</v>
      </c>
      <c r="F433" s="26">
        <v>2376.91</v>
      </c>
      <c r="Q433" s="20">
        <v>43.3</v>
      </c>
      <c r="R433" s="20">
        <v>80.12</v>
      </c>
      <c r="S433" s="26">
        <v>80</v>
      </c>
      <c r="T433" s="26">
        <v>-0.12</v>
      </c>
      <c r="U433" s="26">
        <v>-0.04</v>
      </c>
      <c r="V433" s="26">
        <v>2212.86</v>
      </c>
    </row>
    <row r="434" spans="1:22" ht="16.8" x14ac:dyDescent="0.3">
      <c r="A434" s="20">
        <v>43.3</v>
      </c>
      <c r="B434" s="20">
        <v>80</v>
      </c>
      <c r="C434" s="26">
        <v>80.19</v>
      </c>
      <c r="D434" s="20">
        <v>-0.19</v>
      </c>
      <c r="E434" s="20">
        <v>-0.03</v>
      </c>
      <c r="F434" s="26">
        <v>2321.9899999999998</v>
      </c>
      <c r="Q434" s="20">
        <v>43.4</v>
      </c>
      <c r="R434" s="20">
        <v>80.069999999999993</v>
      </c>
      <c r="S434" s="26">
        <v>80</v>
      </c>
      <c r="T434" s="26">
        <v>-7.0000000000000007E-2</v>
      </c>
      <c r="U434" s="26">
        <v>0.06</v>
      </c>
      <c r="V434" s="20">
        <v>2310.12</v>
      </c>
    </row>
    <row r="435" spans="1:22" ht="16.8" x14ac:dyDescent="0.3">
      <c r="A435" s="20">
        <v>43.4</v>
      </c>
      <c r="B435" s="20">
        <v>80</v>
      </c>
      <c r="C435" s="20">
        <v>80.19</v>
      </c>
      <c r="D435" s="20">
        <v>-0.19</v>
      </c>
      <c r="E435" s="20">
        <v>0</v>
      </c>
      <c r="F435" s="20">
        <v>2348.12</v>
      </c>
      <c r="Q435" s="20">
        <v>43.5</v>
      </c>
      <c r="R435" s="20">
        <v>80.150000000000006</v>
      </c>
      <c r="S435" s="26">
        <v>80</v>
      </c>
      <c r="T435" s="26">
        <v>-0.15</v>
      </c>
      <c r="U435" s="26">
        <v>-0.09</v>
      </c>
      <c r="V435" s="26">
        <v>2162.7199999999998</v>
      </c>
    </row>
    <row r="436" spans="1:22" ht="16.8" x14ac:dyDescent="0.3">
      <c r="A436" s="20">
        <v>43.5</v>
      </c>
      <c r="B436" s="20">
        <v>80</v>
      </c>
      <c r="C436" s="26">
        <v>80.2</v>
      </c>
      <c r="D436" s="20">
        <v>-0.2</v>
      </c>
      <c r="E436" s="20">
        <v>-0.02</v>
      </c>
      <c r="F436" s="26">
        <v>2316.9</v>
      </c>
      <c r="Q436" s="20">
        <v>43.6</v>
      </c>
      <c r="R436" s="20">
        <v>80.14</v>
      </c>
      <c r="S436" s="26">
        <v>80</v>
      </c>
      <c r="T436" s="26">
        <v>-0.14000000000000001</v>
      </c>
      <c r="U436" s="20">
        <v>0.02</v>
      </c>
      <c r="V436" s="20">
        <v>2260.02</v>
      </c>
    </row>
    <row r="437" spans="1:22" ht="16.8" x14ac:dyDescent="0.3">
      <c r="A437" s="20">
        <v>43.6</v>
      </c>
      <c r="B437" s="20">
        <v>80</v>
      </c>
      <c r="C437" s="20">
        <v>80.17</v>
      </c>
      <c r="D437" s="20">
        <v>-0.17</v>
      </c>
      <c r="E437" s="20">
        <v>0.03</v>
      </c>
      <c r="F437" s="26">
        <v>2364.54</v>
      </c>
      <c r="Q437" s="20">
        <v>43.7</v>
      </c>
      <c r="R437" s="20">
        <v>80.16</v>
      </c>
      <c r="S437" s="26">
        <v>80</v>
      </c>
      <c r="T437" s="26">
        <v>-0.16</v>
      </c>
      <c r="U437" s="26">
        <v>-0.02</v>
      </c>
      <c r="V437" s="20">
        <v>2218.8000000000002</v>
      </c>
    </row>
    <row r="438" spans="1:22" ht="16.8" x14ac:dyDescent="0.3">
      <c r="A438" s="20">
        <v>43.7</v>
      </c>
      <c r="B438" s="20">
        <v>80</v>
      </c>
      <c r="C438" s="26">
        <v>80.150000000000006</v>
      </c>
      <c r="D438" s="20">
        <v>-0.15</v>
      </c>
      <c r="E438" s="20">
        <v>0.02</v>
      </c>
      <c r="F438" s="26">
        <v>2385.16</v>
      </c>
      <c r="Q438" s="20">
        <v>43.8</v>
      </c>
      <c r="R438" s="20">
        <v>80.11</v>
      </c>
      <c r="S438" s="26">
        <v>80</v>
      </c>
      <c r="T438" s="20">
        <v>-0.11</v>
      </c>
      <c r="U438" s="20">
        <v>0.06</v>
      </c>
      <c r="V438" s="26">
        <v>2301.34</v>
      </c>
    </row>
    <row r="439" spans="1:22" ht="16.8" x14ac:dyDescent="0.3">
      <c r="A439" s="20">
        <v>43.8</v>
      </c>
      <c r="B439" s="20">
        <v>80</v>
      </c>
      <c r="C439" s="26">
        <v>80.16</v>
      </c>
      <c r="D439" s="20">
        <v>-0.16</v>
      </c>
      <c r="E439" s="20">
        <v>-0.01</v>
      </c>
      <c r="F439" s="26">
        <v>2369.37</v>
      </c>
      <c r="Q439" s="20">
        <v>43.9</v>
      </c>
      <c r="R439" s="20">
        <v>80.12</v>
      </c>
      <c r="S439" s="26">
        <v>80</v>
      </c>
      <c r="T439" s="26">
        <v>-0.12</v>
      </c>
      <c r="U439" s="26">
        <v>-0.02</v>
      </c>
      <c r="V439" s="20">
        <v>2232.4299999999998</v>
      </c>
    </row>
    <row r="440" spans="1:22" ht="16.8" x14ac:dyDescent="0.3">
      <c r="A440" s="20">
        <v>43.9</v>
      </c>
      <c r="B440" s="20">
        <v>80</v>
      </c>
      <c r="C440" s="20">
        <v>80.11</v>
      </c>
      <c r="D440" s="20">
        <v>-0.11</v>
      </c>
      <c r="E440" s="20">
        <v>0.04</v>
      </c>
      <c r="F440" s="26">
        <v>2422.6799999999998</v>
      </c>
      <c r="Q440" s="20">
        <v>44</v>
      </c>
      <c r="R440" s="20">
        <v>80.14</v>
      </c>
      <c r="S440" s="26">
        <v>80</v>
      </c>
      <c r="T440" s="26">
        <v>-0.14000000000000001</v>
      </c>
      <c r="U440" s="26">
        <v>-0.02</v>
      </c>
      <c r="V440" s="26">
        <v>2229.6999999999998</v>
      </c>
    </row>
    <row r="441" spans="1:22" ht="16.8" x14ac:dyDescent="0.3">
      <c r="A441" s="20">
        <v>44</v>
      </c>
      <c r="B441" s="20">
        <v>80</v>
      </c>
      <c r="C441" s="26">
        <v>80.17</v>
      </c>
      <c r="D441" s="20">
        <v>-0.17</v>
      </c>
      <c r="E441" s="20">
        <v>-0.06</v>
      </c>
      <c r="F441" s="26">
        <v>2304.36</v>
      </c>
      <c r="Q441" s="20">
        <v>44.1</v>
      </c>
      <c r="R441" s="20">
        <v>80.150000000000006</v>
      </c>
      <c r="S441" s="26">
        <v>80</v>
      </c>
      <c r="T441" s="26">
        <v>-0.15</v>
      </c>
      <c r="U441" s="26">
        <v>-0.01</v>
      </c>
      <c r="V441" s="20">
        <v>2234.62</v>
      </c>
    </row>
    <row r="442" spans="1:22" ht="16.8" x14ac:dyDescent="0.3">
      <c r="A442" s="20">
        <v>44.1</v>
      </c>
      <c r="B442" s="20">
        <v>80</v>
      </c>
      <c r="C442" s="20">
        <v>80.150000000000006</v>
      </c>
      <c r="D442" s="20">
        <v>-0.15</v>
      </c>
      <c r="E442" s="20">
        <v>0.03</v>
      </c>
      <c r="F442" s="26">
        <v>2389.27</v>
      </c>
      <c r="Q442" s="20">
        <v>44.2</v>
      </c>
      <c r="R442" s="20">
        <v>80.13</v>
      </c>
      <c r="S442" s="26">
        <v>80</v>
      </c>
      <c r="T442" s="26">
        <v>-0.13</v>
      </c>
      <c r="U442" s="26">
        <v>0.02</v>
      </c>
      <c r="V442" s="26">
        <v>2258.9299999999998</v>
      </c>
    </row>
    <row r="443" spans="1:22" ht="16.8" x14ac:dyDescent="0.3">
      <c r="A443" s="20">
        <v>44.2</v>
      </c>
      <c r="B443" s="20">
        <v>80</v>
      </c>
      <c r="C443" s="26">
        <v>80.2</v>
      </c>
      <c r="D443" s="20">
        <v>-0.2</v>
      </c>
      <c r="E443" s="20">
        <v>-0.05</v>
      </c>
      <c r="F443" s="26">
        <v>2287.64</v>
      </c>
      <c r="Q443" s="20">
        <v>44.3</v>
      </c>
      <c r="R443" s="20">
        <v>80.05</v>
      </c>
      <c r="S443" s="26">
        <v>80</v>
      </c>
      <c r="T443" s="26">
        <v>-0.05</v>
      </c>
      <c r="U443" s="26">
        <v>0.08</v>
      </c>
      <c r="V443" s="20">
        <v>2331.29</v>
      </c>
    </row>
    <row r="444" spans="1:22" ht="16.8" x14ac:dyDescent="0.3">
      <c r="A444" s="20">
        <v>44.3</v>
      </c>
      <c r="B444" s="20">
        <v>80</v>
      </c>
      <c r="C444" s="26">
        <v>80.12</v>
      </c>
      <c r="D444" s="20">
        <v>-0.12</v>
      </c>
      <c r="E444" s="20">
        <v>0.08</v>
      </c>
      <c r="F444" s="26">
        <v>2417.91</v>
      </c>
      <c r="Q444" s="20">
        <v>44.4</v>
      </c>
      <c r="R444" s="20">
        <v>80.150000000000006</v>
      </c>
      <c r="S444" s="26">
        <v>80</v>
      </c>
      <c r="T444" s="26">
        <v>-0.15</v>
      </c>
      <c r="U444" s="26">
        <v>-0.1</v>
      </c>
      <c r="V444" s="26">
        <v>2153.29</v>
      </c>
    </row>
    <row r="445" spans="1:22" ht="16.8" x14ac:dyDescent="0.3">
      <c r="A445" s="20">
        <v>44.4</v>
      </c>
      <c r="B445" s="20">
        <v>80</v>
      </c>
      <c r="C445" s="20">
        <v>80.09</v>
      </c>
      <c r="D445" s="20">
        <v>-0.09</v>
      </c>
      <c r="E445" s="20">
        <v>0.03</v>
      </c>
      <c r="F445" s="26">
        <v>2448.1999999999998</v>
      </c>
      <c r="Q445" s="20">
        <v>44.5</v>
      </c>
      <c r="R445" s="20">
        <v>80.13</v>
      </c>
      <c r="S445" s="20">
        <v>80</v>
      </c>
      <c r="T445" s="26">
        <v>-0.13</v>
      </c>
      <c r="U445" s="26">
        <v>0.02</v>
      </c>
      <c r="V445" s="20">
        <v>2257.92</v>
      </c>
    </row>
    <row r="446" spans="1:22" ht="16.8" x14ac:dyDescent="0.3">
      <c r="A446" s="20">
        <v>44.5</v>
      </c>
      <c r="B446" s="20">
        <v>80</v>
      </c>
      <c r="C446" s="26">
        <v>80.099999999999994</v>
      </c>
      <c r="D446" s="20">
        <v>-0.1</v>
      </c>
      <c r="E446" s="20">
        <v>-0.01</v>
      </c>
      <c r="F446" s="20">
        <v>2431.7800000000002</v>
      </c>
      <c r="Q446" s="20">
        <v>44.6</v>
      </c>
      <c r="R446" s="20">
        <v>80.19</v>
      </c>
      <c r="S446" s="26">
        <v>80</v>
      </c>
      <c r="T446" s="26">
        <v>-0.19</v>
      </c>
      <c r="U446" s="26">
        <v>-0.06</v>
      </c>
      <c r="V446" s="20">
        <v>2181.77</v>
      </c>
    </row>
    <row r="447" spans="1:22" ht="16.8" x14ac:dyDescent="0.3">
      <c r="A447" s="20">
        <v>44.6</v>
      </c>
      <c r="B447" s="20">
        <v>80</v>
      </c>
      <c r="C447" s="20">
        <v>80.14</v>
      </c>
      <c r="D447" s="20">
        <v>-0.14000000000000001</v>
      </c>
      <c r="E447" s="20">
        <v>-0.04</v>
      </c>
      <c r="F447" s="26">
        <v>2351.5300000000002</v>
      </c>
      <c r="Q447" s="20">
        <v>44.7</v>
      </c>
      <c r="R447" s="20">
        <v>80.150000000000006</v>
      </c>
      <c r="S447" s="26">
        <v>80</v>
      </c>
      <c r="T447" s="26">
        <v>-0.15</v>
      </c>
      <c r="U447" s="26">
        <v>0.03</v>
      </c>
      <c r="V447" s="26">
        <v>2267.2399999999998</v>
      </c>
    </row>
    <row r="448" spans="1:22" ht="16.8" x14ac:dyDescent="0.3">
      <c r="A448" s="20">
        <v>44.7</v>
      </c>
      <c r="B448" s="20">
        <v>80</v>
      </c>
      <c r="C448" s="26">
        <v>80.09</v>
      </c>
      <c r="D448" s="20">
        <v>-0.09</v>
      </c>
      <c r="E448" s="20">
        <v>0.05</v>
      </c>
      <c r="F448" s="26">
        <v>2448.1999999999998</v>
      </c>
      <c r="Q448" s="20">
        <v>44.8</v>
      </c>
      <c r="R448" s="20">
        <v>80.150000000000006</v>
      </c>
      <c r="S448" s="26">
        <v>80</v>
      </c>
      <c r="T448" s="26">
        <v>-0.15</v>
      </c>
      <c r="U448" s="26">
        <v>0</v>
      </c>
      <c r="V448" s="20">
        <v>2237.56</v>
      </c>
    </row>
    <row r="449" spans="1:22" ht="16.8" x14ac:dyDescent="0.3">
      <c r="A449" s="20">
        <v>44.8</v>
      </c>
      <c r="B449" s="20">
        <v>80</v>
      </c>
      <c r="C449" s="26">
        <v>80.150000000000006</v>
      </c>
      <c r="D449" s="20">
        <v>-0.15</v>
      </c>
      <c r="E449" s="20">
        <v>-0.06</v>
      </c>
      <c r="F449" s="26">
        <v>2336.12</v>
      </c>
      <c r="Q449" s="20">
        <v>44.9</v>
      </c>
      <c r="R449" s="20">
        <v>80.150000000000006</v>
      </c>
      <c r="S449" s="26">
        <v>80</v>
      </c>
      <c r="T449" s="26">
        <v>-0.15</v>
      </c>
      <c r="U449" s="26">
        <v>0.01</v>
      </c>
      <c r="V449" s="26">
        <v>2245.81</v>
      </c>
    </row>
    <row r="450" spans="1:22" ht="16.8" x14ac:dyDescent="0.3">
      <c r="A450" s="20">
        <v>44.9</v>
      </c>
      <c r="B450" s="20">
        <v>80</v>
      </c>
      <c r="C450" s="20">
        <v>80.16</v>
      </c>
      <c r="D450" s="20">
        <v>-0.16</v>
      </c>
      <c r="E450" s="20">
        <v>-0.02</v>
      </c>
      <c r="F450" s="26">
        <v>2357.71</v>
      </c>
      <c r="Q450" s="20">
        <v>45</v>
      </c>
      <c r="R450" s="20">
        <v>80.180000000000007</v>
      </c>
      <c r="S450" s="26">
        <v>80</v>
      </c>
      <c r="T450" s="26">
        <v>-0.18</v>
      </c>
      <c r="U450" s="26">
        <v>-0.03</v>
      </c>
      <c r="V450" s="20">
        <v>2203.11</v>
      </c>
    </row>
    <row r="451" spans="1:22" ht="16.8" x14ac:dyDescent="0.3">
      <c r="A451" s="20">
        <v>45</v>
      </c>
      <c r="B451" s="20">
        <v>80</v>
      </c>
      <c r="C451" s="26">
        <v>80.09</v>
      </c>
      <c r="D451" s="20">
        <v>-0.09</v>
      </c>
      <c r="E451" s="20">
        <v>0.08</v>
      </c>
      <c r="F451" s="20">
        <v>2451.39</v>
      </c>
      <c r="Q451" s="20">
        <v>45.1</v>
      </c>
      <c r="R451" s="20">
        <v>80.14</v>
      </c>
      <c r="S451" s="26">
        <v>80</v>
      </c>
      <c r="T451" s="26">
        <v>-0.14000000000000001</v>
      </c>
      <c r="U451" s="26">
        <v>0.04</v>
      </c>
      <c r="V451" s="26">
        <v>2275.44</v>
      </c>
    </row>
    <row r="452" spans="1:22" ht="16.8" x14ac:dyDescent="0.3">
      <c r="A452" s="20">
        <v>45.1</v>
      </c>
      <c r="B452" s="20">
        <v>80</v>
      </c>
      <c r="C452" s="20">
        <v>80.150000000000006</v>
      </c>
      <c r="D452" s="20">
        <v>-0.15</v>
      </c>
      <c r="E452" s="20">
        <v>-0.06</v>
      </c>
      <c r="F452" s="26">
        <v>2332.37</v>
      </c>
      <c r="Q452" s="20">
        <v>45.2</v>
      </c>
      <c r="R452" s="20">
        <v>80.150000000000006</v>
      </c>
      <c r="S452" s="26">
        <v>80</v>
      </c>
      <c r="T452" s="26">
        <v>-0.15</v>
      </c>
      <c r="U452" s="26">
        <v>-0.01</v>
      </c>
      <c r="V452" s="20">
        <v>2229.77</v>
      </c>
    </row>
    <row r="453" spans="1:22" ht="16.8" x14ac:dyDescent="0.3">
      <c r="A453" s="20">
        <v>45.2</v>
      </c>
      <c r="B453" s="20">
        <v>80</v>
      </c>
      <c r="C453" s="26">
        <v>80.13</v>
      </c>
      <c r="D453" s="20">
        <v>-0.13</v>
      </c>
      <c r="E453" s="20">
        <v>0.02</v>
      </c>
      <c r="F453" s="26">
        <v>2410.08</v>
      </c>
      <c r="Q453" s="20">
        <v>45.3</v>
      </c>
      <c r="R453" s="20">
        <v>80.239999999999995</v>
      </c>
      <c r="S453" s="26">
        <v>80</v>
      </c>
      <c r="T453" s="26">
        <v>-0.24</v>
      </c>
      <c r="U453" s="26">
        <v>-0.09</v>
      </c>
      <c r="V453" s="26">
        <v>2140.5300000000002</v>
      </c>
    </row>
    <row r="454" spans="1:22" ht="16.8" x14ac:dyDescent="0.3">
      <c r="A454" s="20">
        <v>45.3</v>
      </c>
      <c r="B454" s="20">
        <v>80</v>
      </c>
      <c r="C454" s="26">
        <v>80.180000000000007</v>
      </c>
      <c r="D454" s="20">
        <v>-0.18</v>
      </c>
      <c r="E454" s="20">
        <v>-0.06</v>
      </c>
      <c r="F454" s="26">
        <v>2300.0500000000002</v>
      </c>
      <c r="Q454" s="20">
        <v>45.4</v>
      </c>
      <c r="R454" s="20">
        <v>80.209999999999994</v>
      </c>
      <c r="S454" s="26">
        <v>80</v>
      </c>
      <c r="T454" s="26">
        <v>-0.21</v>
      </c>
      <c r="U454" s="26">
        <v>0.02</v>
      </c>
      <c r="V454" s="20">
        <v>2246.31</v>
      </c>
    </row>
    <row r="455" spans="1:22" ht="16.8" x14ac:dyDescent="0.3">
      <c r="A455" s="20">
        <v>45.4</v>
      </c>
      <c r="B455" s="20">
        <v>80</v>
      </c>
      <c r="C455" s="20">
        <v>80.2</v>
      </c>
      <c r="D455" s="20">
        <v>-0.2</v>
      </c>
      <c r="E455" s="20">
        <v>-0.02</v>
      </c>
      <c r="F455" s="26">
        <v>2313.17</v>
      </c>
      <c r="Q455" s="20">
        <v>45.5</v>
      </c>
      <c r="R455" s="20">
        <v>80.180000000000007</v>
      </c>
      <c r="S455" s="26">
        <v>80</v>
      </c>
      <c r="T455" s="26">
        <v>-0.18</v>
      </c>
      <c r="U455" s="26">
        <v>0.03</v>
      </c>
      <c r="V455" s="20">
        <v>2258.71</v>
      </c>
    </row>
    <row r="456" spans="1:22" ht="16.8" x14ac:dyDescent="0.3">
      <c r="A456" s="20">
        <v>45.5</v>
      </c>
      <c r="B456" s="20">
        <v>80</v>
      </c>
      <c r="C456" s="26">
        <v>80.209999999999994</v>
      </c>
      <c r="D456" s="20">
        <v>-0.21</v>
      </c>
      <c r="E456" s="20">
        <v>0</v>
      </c>
      <c r="F456" s="26">
        <v>2323.89</v>
      </c>
      <c r="Q456" s="20">
        <v>45.6</v>
      </c>
      <c r="R456" s="20">
        <v>80.16</v>
      </c>
      <c r="S456" s="26">
        <v>80</v>
      </c>
      <c r="T456" s="26">
        <v>-0.16</v>
      </c>
      <c r="U456" s="26">
        <v>0.02</v>
      </c>
      <c r="V456" s="26">
        <v>2246.42</v>
      </c>
    </row>
    <row r="457" spans="1:22" ht="16.8" x14ac:dyDescent="0.3">
      <c r="A457" s="20">
        <v>45.6</v>
      </c>
      <c r="B457" s="20">
        <v>80</v>
      </c>
      <c r="C457" s="20">
        <v>80.150000000000006</v>
      </c>
      <c r="D457" s="20">
        <v>-0.15</v>
      </c>
      <c r="E457" s="20">
        <v>0.06</v>
      </c>
      <c r="F457" s="20">
        <v>2389.27</v>
      </c>
      <c r="Q457" s="20">
        <v>45.7</v>
      </c>
      <c r="R457" s="20">
        <v>80.13</v>
      </c>
      <c r="S457" s="26">
        <v>80</v>
      </c>
      <c r="T457" s="26">
        <v>-0.13</v>
      </c>
      <c r="U457" s="26">
        <v>0.03</v>
      </c>
      <c r="V457" s="20">
        <v>2266.2399999999998</v>
      </c>
    </row>
    <row r="458" spans="1:22" ht="16.8" x14ac:dyDescent="0.3">
      <c r="A458" s="20">
        <v>45.7</v>
      </c>
      <c r="B458" s="20">
        <v>80</v>
      </c>
      <c r="C458" s="26">
        <v>80.19</v>
      </c>
      <c r="D458" s="20">
        <v>-0.19</v>
      </c>
      <c r="E458" s="20">
        <v>-0.04</v>
      </c>
      <c r="F458" s="26">
        <v>2310.89</v>
      </c>
      <c r="Q458" s="20">
        <v>45.8</v>
      </c>
      <c r="R458" s="20">
        <v>80.180000000000007</v>
      </c>
      <c r="S458" s="26">
        <v>80</v>
      </c>
      <c r="T458" s="26">
        <v>-0.18</v>
      </c>
      <c r="U458" s="26">
        <v>-0.05</v>
      </c>
      <c r="V458" s="26">
        <v>2184.23</v>
      </c>
    </row>
    <row r="459" spans="1:22" ht="16.8" x14ac:dyDescent="0.3">
      <c r="A459" s="20">
        <v>45.8</v>
      </c>
      <c r="B459" s="20">
        <v>80</v>
      </c>
      <c r="C459" s="26">
        <v>80.2</v>
      </c>
      <c r="D459" s="20">
        <v>-0.2</v>
      </c>
      <c r="E459" s="20">
        <v>-0.01</v>
      </c>
      <c r="F459" s="26">
        <v>2324.71</v>
      </c>
      <c r="Q459" s="20">
        <v>45.9</v>
      </c>
      <c r="R459" s="20">
        <v>80.150000000000006</v>
      </c>
      <c r="S459" s="20">
        <v>80</v>
      </c>
      <c r="T459" s="26">
        <v>-0.15</v>
      </c>
      <c r="U459" s="26">
        <v>0.03</v>
      </c>
      <c r="V459" s="20">
        <v>2262.42</v>
      </c>
    </row>
    <row r="460" spans="1:22" ht="16.8" x14ac:dyDescent="0.3">
      <c r="A460" s="20">
        <v>45.9</v>
      </c>
      <c r="B460" s="20">
        <v>80</v>
      </c>
      <c r="C460" s="20">
        <v>80.23</v>
      </c>
      <c r="D460" s="20">
        <v>-0.23</v>
      </c>
      <c r="E460" s="20">
        <v>-0.03</v>
      </c>
      <c r="F460" s="26">
        <v>2281.1799999999998</v>
      </c>
      <c r="Q460" s="20">
        <v>46</v>
      </c>
      <c r="R460" s="20">
        <v>80.23</v>
      </c>
      <c r="S460" s="26">
        <v>80</v>
      </c>
      <c r="T460" s="26">
        <v>-0.23</v>
      </c>
      <c r="U460" s="26">
        <v>-0.08</v>
      </c>
      <c r="V460" s="26">
        <v>2145.41</v>
      </c>
    </row>
    <row r="461" spans="1:22" ht="16.8" x14ac:dyDescent="0.3">
      <c r="A461" s="20">
        <v>46</v>
      </c>
      <c r="B461" s="20">
        <v>80</v>
      </c>
      <c r="C461" s="26">
        <v>80.17</v>
      </c>
      <c r="D461" s="20">
        <v>-0.17</v>
      </c>
      <c r="E461" s="20">
        <v>0.06</v>
      </c>
      <c r="F461" s="26">
        <v>2364.54</v>
      </c>
      <c r="Q461" s="20">
        <v>46.1</v>
      </c>
      <c r="R461" s="20">
        <v>80.14</v>
      </c>
      <c r="S461" s="26">
        <v>80</v>
      </c>
      <c r="T461" s="26">
        <v>-0.14000000000000001</v>
      </c>
      <c r="U461" s="26">
        <v>0.09</v>
      </c>
      <c r="V461" s="20">
        <v>2313.81</v>
      </c>
    </row>
    <row r="462" spans="1:22" ht="16.8" x14ac:dyDescent="0.3">
      <c r="A462" s="20">
        <v>46.1</v>
      </c>
      <c r="B462" s="20">
        <v>80</v>
      </c>
      <c r="C462" s="20">
        <v>80.17</v>
      </c>
      <c r="D462" s="20">
        <v>-0.17</v>
      </c>
      <c r="E462" s="20">
        <v>0</v>
      </c>
      <c r="F462" s="20">
        <v>2364.54</v>
      </c>
      <c r="Q462" s="20">
        <v>46.2</v>
      </c>
      <c r="R462" s="20">
        <v>80.2</v>
      </c>
      <c r="S462" s="26">
        <v>80</v>
      </c>
      <c r="T462" s="26">
        <v>-0.2</v>
      </c>
      <c r="U462" s="26">
        <v>-0.06</v>
      </c>
      <c r="V462" s="26">
        <v>2163.19</v>
      </c>
    </row>
    <row r="463" spans="1:22" ht="16.8" x14ac:dyDescent="0.3">
      <c r="A463" s="20">
        <v>46.2</v>
      </c>
      <c r="B463" s="20">
        <v>80</v>
      </c>
      <c r="C463" s="26">
        <v>80.22</v>
      </c>
      <c r="D463" s="20">
        <v>-0.22</v>
      </c>
      <c r="E463" s="20">
        <v>-0.05</v>
      </c>
      <c r="F463" s="26">
        <v>2263.33</v>
      </c>
      <c r="Q463" s="20">
        <v>46.3</v>
      </c>
      <c r="R463" s="20">
        <v>80.180000000000007</v>
      </c>
      <c r="S463" s="26">
        <v>80</v>
      </c>
      <c r="T463" s="26">
        <v>-0.18</v>
      </c>
      <c r="U463" s="26">
        <v>0.02</v>
      </c>
      <c r="V463" s="20">
        <v>2247.16</v>
      </c>
    </row>
    <row r="464" spans="1:22" ht="16.8" x14ac:dyDescent="0.3">
      <c r="A464" s="20">
        <v>46.3</v>
      </c>
      <c r="B464" s="20">
        <v>80</v>
      </c>
      <c r="C464" s="26">
        <v>80.17</v>
      </c>
      <c r="D464" s="20">
        <v>-0.17</v>
      </c>
      <c r="E464" s="20">
        <v>0.06</v>
      </c>
      <c r="F464" s="20">
        <v>2368.64</v>
      </c>
      <c r="Q464" s="20">
        <v>46.4</v>
      </c>
      <c r="R464" s="20">
        <v>80.19</v>
      </c>
      <c r="S464" s="26">
        <v>80</v>
      </c>
      <c r="T464" s="26">
        <v>-0.19</v>
      </c>
      <c r="U464" s="26">
        <v>-0.01</v>
      </c>
      <c r="V464" s="20">
        <v>2215.98</v>
      </c>
    </row>
    <row r="465" spans="1:22" ht="16.8" x14ac:dyDescent="0.3">
      <c r="A465" s="20">
        <v>46.4</v>
      </c>
      <c r="B465" s="20">
        <v>80</v>
      </c>
      <c r="C465" s="20">
        <v>80.209999999999994</v>
      </c>
      <c r="D465" s="20">
        <v>-0.21</v>
      </c>
      <c r="E465" s="20">
        <v>-0.04</v>
      </c>
      <c r="F465" s="26">
        <v>2290.65</v>
      </c>
      <c r="Q465" s="20">
        <v>46.5</v>
      </c>
      <c r="R465" s="20">
        <v>80.290000000000006</v>
      </c>
      <c r="S465" s="26">
        <v>80</v>
      </c>
      <c r="T465" s="26">
        <v>-0.28999999999999998</v>
      </c>
      <c r="U465" s="26">
        <v>-0.1</v>
      </c>
      <c r="V465" s="26">
        <v>2109.13</v>
      </c>
    </row>
    <row r="466" spans="1:22" ht="16.8" x14ac:dyDescent="0.3">
      <c r="A466" s="20">
        <v>46.5</v>
      </c>
      <c r="B466" s="20">
        <v>80</v>
      </c>
      <c r="C466" s="26">
        <v>80.19</v>
      </c>
      <c r="D466" s="20">
        <v>-0.19</v>
      </c>
      <c r="E466" s="20">
        <v>0.01</v>
      </c>
      <c r="F466" s="26">
        <v>2339.9</v>
      </c>
      <c r="Q466" s="20">
        <v>46.6</v>
      </c>
      <c r="R466" s="20">
        <v>80.150000000000006</v>
      </c>
      <c r="S466" s="26">
        <v>80</v>
      </c>
      <c r="T466" s="26">
        <v>-0.15</v>
      </c>
      <c r="U466" s="26">
        <v>0.14000000000000001</v>
      </c>
      <c r="V466" s="20">
        <v>2351.65</v>
      </c>
    </row>
    <row r="467" spans="1:22" ht="16.8" x14ac:dyDescent="0.3">
      <c r="A467" s="20">
        <v>46.6</v>
      </c>
      <c r="B467" s="20">
        <v>80</v>
      </c>
      <c r="C467" s="20">
        <v>80.180000000000007</v>
      </c>
      <c r="D467" s="20">
        <v>-0.18</v>
      </c>
      <c r="E467" s="20">
        <v>0.01</v>
      </c>
      <c r="F467" s="20">
        <v>2352.2399999999998</v>
      </c>
      <c r="Q467" s="20">
        <v>46.7</v>
      </c>
      <c r="R467" s="20">
        <v>80.13</v>
      </c>
      <c r="S467" s="26">
        <v>80</v>
      </c>
      <c r="T467" s="26">
        <v>-0.13</v>
      </c>
      <c r="U467" s="26">
        <v>0.02</v>
      </c>
      <c r="V467" s="26">
        <v>2253.25</v>
      </c>
    </row>
    <row r="468" spans="1:22" ht="16.8" x14ac:dyDescent="0.3">
      <c r="A468" s="20">
        <v>46.7</v>
      </c>
      <c r="B468" s="20">
        <v>80</v>
      </c>
      <c r="C468" s="26">
        <v>80.180000000000007</v>
      </c>
      <c r="D468" s="20">
        <v>-0.18</v>
      </c>
      <c r="E468" s="20">
        <v>0</v>
      </c>
      <c r="F468" s="26">
        <v>2352.2399999999998</v>
      </c>
      <c r="Q468" s="20">
        <v>46.8</v>
      </c>
      <c r="R468" s="20">
        <v>80.19</v>
      </c>
      <c r="S468" s="26">
        <v>80</v>
      </c>
      <c r="T468" s="26">
        <v>-0.19</v>
      </c>
      <c r="U468" s="26">
        <v>-0.06</v>
      </c>
      <c r="V468" s="20">
        <v>2169.81</v>
      </c>
    </row>
    <row r="469" spans="1:22" ht="16.8" x14ac:dyDescent="0.3">
      <c r="A469" s="20">
        <v>46.8</v>
      </c>
      <c r="B469" s="20">
        <v>80</v>
      </c>
      <c r="C469" s="26">
        <v>80.16</v>
      </c>
      <c r="D469" s="20">
        <v>-0.16</v>
      </c>
      <c r="E469" s="20">
        <v>0.02</v>
      </c>
      <c r="F469" s="26">
        <v>2372.7800000000002</v>
      </c>
      <c r="Q469" s="20">
        <v>46.9</v>
      </c>
      <c r="R469" s="20">
        <v>80.16</v>
      </c>
      <c r="S469" s="26">
        <v>80</v>
      </c>
      <c r="T469" s="26">
        <v>-0.16</v>
      </c>
      <c r="U469" s="26">
        <v>0.02</v>
      </c>
      <c r="V469" s="26">
        <v>2246.54</v>
      </c>
    </row>
    <row r="470" spans="1:22" ht="16.8" x14ac:dyDescent="0.3">
      <c r="A470" s="20">
        <v>46.9</v>
      </c>
      <c r="B470" s="20">
        <v>80</v>
      </c>
      <c r="C470" s="20">
        <v>80.12</v>
      </c>
      <c r="D470" s="20">
        <v>-0.12</v>
      </c>
      <c r="E470" s="20">
        <v>0.04</v>
      </c>
      <c r="F470" s="26">
        <v>2414.2600000000002</v>
      </c>
      <c r="Q470" s="20">
        <v>47</v>
      </c>
      <c r="R470" s="20">
        <v>80.19</v>
      </c>
      <c r="S470" s="26">
        <v>80</v>
      </c>
      <c r="T470" s="26">
        <v>-0.19</v>
      </c>
      <c r="U470" s="26">
        <v>-0.02</v>
      </c>
      <c r="V470" s="20">
        <v>2197.92</v>
      </c>
    </row>
    <row r="471" spans="1:22" ht="16.8" x14ac:dyDescent="0.3">
      <c r="A471" s="20">
        <v>47</v>
      </c>
      <c r="B471" s="20">
        <v>80</v>
      </c>
      <c r="C471" s="26">
        <v>80.19</v>
      </c>
      <c r="D471" s="20">
        <v>-0.19</v>
      </c>
      <c r="E471" s="20">
        <v>-0.06</v>
      </c>
      <c r="F471" s="26">
        <v>2288.66</v>
      </c>
      <c r="Q471" s="20">
        <v>47.1</v>
      </c>
      <c r="R471" s="20">
        <v>80.150000000000006</v>
      </c>
      <c r="S471" s="26">
        <v>80</v>
      </c>
      <c r="T471" s="26">
        <v>-0.15</v>
      </c>
      <c r="U471" s="26">
        <v>0.03</v>
      </c>
      <c r="V471" s="26">
        <v>2254.19</v>
      </c>
    </row>
    <row r="472" spans="1:22" ht="16.8" x14ac:dyDescent="0.3">
      <c r="A472" s="20">
        <v>47.1</v>
      </c>
      <c r="B472" s="20">
        <v>80</v>
      </c>
      <c r="C472" s="26">
        <v>80.13</v>
      </c>
      <c r="D472" s="20">
        <v>-0.13</v>
      </c>
      <c r="E472" s="20">
        <v>0.06</v>
      </c>
      <c r="F472" s="26">
        <v>2405.91</v>
      </c>
      <c r="Q472" s="20">
        <v>47.2</v>
      </c>
      <c r="R472" s="20">
        <v>80.180000000000007</v>
      </c>
      <c r="S472" s="26">
        <v>80</v>
      </c>
      <c r="T472" s="26">
        <v>-0.18</v>
      </c>
      <c r="U472" s="26">
        <v>-0.02</v>
      </c>
      <c r="V472" s="20">
        <v>2198.3000000000002</v>
      </c>
    </row>
    <row r="473" spans="1:22" ht="16.8" x14ac:dyDescent="0.3">
      <c r="A473" s="20">
        <v>47.2</v>
      </c>
      <c r="B473" s="20">
        <v>80</v>
      </c>
      <c r="C473" s="20">
        <v>80.150000000000006</v>
      </c>
      <c r="D473" s="20">
        <v>-0.15</v>
      </c>
      <c r="E473" s="20">
        <v>-0.02</v>
      </c>
      <c r="F473" s="20">
        <v>2366.1799999999998</v>
      </c>
      <c r="Q473" s="20">
        <v>47.3</v>
      </c>
      <c r="R473" s="20">
        <v>80.11</v>
      </c>
      <c r="S473" s="26">
        <v>80</v>
      </c>
      <c r="T473" s="26">
        <v>-0.11</v>
      </c>
      <c r="U473" s="26">
        <v>0.06</v>
      </c>
      <c r="V473" s="26">
        <v>2289.54</v>
      </c>
    </row>
    <row r="474" spans="1:22" ht="16.8" x14ac:dyDescent="0.3">
      <c r="A474" s="20">
        <v>47.3</v>
      </c>
      <c r="B474" s="20">
        <v>80</v>
      </c>
      <c r="C474" s="26">
        <v>80.11</v>
      </c>
      <c r="D474" s="20">
        <v>-0.11</v>
      </c>
      <c r="E474" s="20">
        <v>0.04</v>
      </c>
      <c r="F474" s="26">
        <v>2431.14</v>
      </c>
      <c r="Q474" s="20">
        <v>47.4</v>
      </c>
      <c r="R474" s="20">
        <v>80.14</v>
      </c>
      <c r="S474" s="26">
        <v>80</v>
      </c>
      <c r="T474" s="26">
        <v>-0.14000000000000001</v>
      </c>
      <c r="U474" s="26">
        <v>-0.02</v>
      </c>
      <c r="V474" s="20">
        <v>2204.5500000000002</v>
      </c>
    </row>
    <row r="475" spans="1:22" ht="16.8" x14ac:dyDescent="0.3">
      <c r="A475" s="20">
        <v>47.4</v>
      </c>
      <c r="B475" s="20">
        <v>80</v>
      </c>
      <c r="C475" s="20">
        <v>80.13</v>
      </c>
      <c r="D475" s="20">
        <v>-0.13</v>
      </c>
      <c r="E475" s="20">
        <v>-0.02</v>
      </c>
      <c r="F475" s="20">
        <v>2382.85</v>
      </c>
      <c r="Q475" s="20">
        <v>47.5</v>
      </c>
      <c r="R475" s="20">
        <v>80.13</v>
      </c>
      <c r="S475" s="26">
        <v>80</v>
      </c>
      <c r="T475" s="26">
        <v>-0.13</v>
      </c>
      <c r="U475" s="26">
        <v>0.01</v>
      </c>
      <c r="V475" s="20">
        <v>2234.77</v>
      </c>
    </row>
    <row r="476" spans="1:22" ht="16.8" x14ac:dyDescent="0.3">
      <c r="A476" s="20">
        <v>47.5</v>
      </c>
      <c r="B476" s="20">
        <v>80</v>
      </c>
      <c r="C476" s="26">
        <v>80.13</v>
      </c>
      <c r="D476" s="20">
        <v>-0.13</v>
      </c>
      <c r="E476" s="20">
        <v>0</v>
      </c>
      <c r="F476" s="26">
        <v>2405.91</v>
      </c>
      <c r="Q476" s="20">
        <v>47.6</v>
      </c>
      <c r="R476" s="20">
        <v>80.150000000000006</v>
      </c>
      <c r="S476" s="26">
        <v>80</v>
      </c>
      <c r="T476" s="26">
        <v>-0.15</v>
      </c>
      <c r="U476" s="26">
        <v>-0.02</v>
      </c>
      <c r="V476" s="26">
        <v>2200.86</v>
      </c>
    </row>
    <row r="477" spans="1:22" ht="16.8" x14ac:dyDescent="0.3">
      <c r="A477" s="20">
        <v>47.6</v>
      </c>
      <c r="B477" s="20">
        <v>80</v>
      </c>
      <c r="C477" s="26">
        <v>80.17</v>
      </c>
      <c r="D477" s="20">
        <v>-0.17</v>
      </c>
      <c r="E477" s="20">
        <v>-0.04</v>
      </c>
      <c r="F477" s="26">
        <v>2334.8200000000002</v>
      </c>
      <c r="Q477" s="20">
        <v>47.7</v>
      </c>
      <c r="R477" s="20">
        <v>80.069999999999993</v>
      </c>
      <c r="S477" s="20">
        <v>80</v>
      </c>
      <c r="T477" s="26">
        <v>-7.0000000000000007E-2</v>
      </c>
      <c r="U477" s="26">
        <v>0.08</v>
      </c>
      <c r="V477" s="20">
        <v>2309.64</v>
      </c>
    </row>
    <row r="478" spans="1:22" ht="16.8" x14ac:dyDescent="0.3">
      <c r="A478" s="20">
        <v>47.7</v>
      </c>
      <c r="B478" s="20">
        <v>80</v>
      </c>
      <c r="C478" s="20">
        <v>80.099999999999994</v>
      </c>
      <c r="D478" s="20">
        <v>-0.1</v>
      </c>
      <c r="E478" s="20">
        <v>7.0000000000000007E-2</v>
      </c>
      <c r="F478" s="20">
        <v>2439.2199999999998</v>
      </c>
      <c r="Q478" s="20">
        <v>47.8</v>
      </c>
      <c r="R478" s="20">
        <v>80.12</v>
      </c>
      <c r="S478" s="26">
        <v>80</v>
      </c>
      <c r="T478" s="26">
        <v>-0.12</v>
      </c>
      <c r="U478" s="26">
        <v>-0.05</v>
      </c>
      <c r="V478" s="26">
        <v>2183.9899999999998</v>
      </c>
    </row>
    <row r="479" spans="1:22" ht="16.8" x14ac:dyDescent="0.3">
      <c r="A479" s="20">
        <v>47.8</v>
      </c>
      <c r="B479" s="20">
        <v>80</v>
      </c>
      <c r="C479" s="26">
        <v>80.2</v>
      </c>
      <c r="D479" s="20">
        <v>-0.2</v>
      </c>
      <c r="E479" s="20">
        <v>-0.1</v>
      </c>
      <c r="F479" s="26">
        <v>2236.0500000000002</v>
      </c>
      <c r="Q479" s="20">
        <v>47.9</v>
      </c>
      <c r="R479" s="20">
        <v>80.069999999999993</v>
      </c>
      <c r="S479" s="26">
        <v>80</v>
      </c>
      <c r="T479" s="26">
        <v>-7.0000000000000007E-2</v>
      </c>
      <c r="U479" s="26">
        <v>0.05</v>
      </c>
      <c r="V479" s="20">
        <v>2279.8200000000002</v>
      </c>
    </row>
    <row r="480" spans="1:22" ht="16.8" x14ac:dyDescent="0.3">
      <c r="A480" s="20">
        <v>47.9</v>
      </c>
      <c r="B480" s="20">
        <v>80</v>
      </c>
      <c r="C480" s="26">
        <v>80.150000000000006</v>
      </c>
      <c r="D480" s="20">
        <v>-0.15</v>
      </c>
      <c r="E480" s="20">
        <v>0.05</v>
      </c>
      <c r="F480" s="26">
        <v>2381.04</v>
      </c>
      <c r="Q480" s="20">
        <v>48</v>
      </c>
      <c r="R480" s="20">
        <v>80.13</v>
      </c>
      <c r="S480" s="26">
        <v>80</v>
      </c>
      <c r="T480" s="26">
        <v>-0.13</v>
      </c>
      <c r="U480" s="26">
        <v>-0.06</v>
      </c>
      <c r="V480" s="26">
        <v>2174.63</v>
      </c>
    </row>
    <row r="481" spans="1:22" ht="16.8" x14ac:dyDescent="0.3">
      <c r="A481" s="20">
        <v>48</v>
      </c>
      <c r="B481" s="20">
        <v>80</v>
      </c>
      <c r="C481" s="20">
        <v>80.19</v>
      </c>
      <c r="D481" s="20">
        <v>-0.19</v>
      </c>
      <c r="E481" s="20">
        <v>-0.03</v>
      </c>
      <c r="F481" s="26">
        <v>2318.29</v>
      </c>
      <c r="Q481" s="20">
        <v>48.1</v>
      </c>
      <c r="R481" s="20">
        <v>80.040000000000006</v>
      </c>
      <c r="S481" s="26">
        <v>80</v>
      </c>
      <c r="T481" s="26">
        <v>-0.04</v>
      </c>
      <c r="U481" s="26">
        <v>0.09</v>
      </c>
      <c r="V481" s="20">
        <v>2321.44</v>
      </c>
    </row>
    <row r="482" spans="1:22" ht="16.8" x14ac:dyDescent="0.3">
      <c r="A482" s="20">
        <v>48.1</v>
      </c>
      <c r="B482" s="20">
        <v>80</v>
      </c>
      <c r="C482" s="26">
        <v>80.150000000000006</v>
      </c>
      <c r="D482" s="20">
        <v>-0.15</v>
      </c>
      <c r="E482" s="20">
        <v>0.03</v>
      </c>
      <c r="F482" s="26">
        <v>2381.04</v>
      </c>
      <c r="Q482" s="20">
        <v>48.2</v>
      </c>
      <c r="R482" s="20">
        <v>80.099999999999994</v>
      </c>
      <c r="S482" s="26">
        <v>80</v>
      </c>
      <c r="T482" s="26">
        <v>-0.1</v>
      </c>
      <c r="U482" s="26">
        <v>-0.06</v>
      </c>
      <c r="V482" s="26">
        <v>2179.85</v>
      </c>
    </row>
    <row r="483" spans="1:22" ht="16.8" x14ac:dyDescent="0.3">
      <c r="A483" s="20">
        <v>48.2</v>
      </c>
      <c r="B483" s="20">
        <v>80</v>
      </c>
      <c r="C483" s="20">
        <v>80.13</v>
      </c>
      <c r="D483" s="20">
        <v>-0.13</v>
      </c>
      <c r="E483" s="20">
        <v>0.03</v>
      </c>
      <c r="F483" s="26">
        <v>2410.08</v>
      </c>
      <c r="Q483" s="20">
        <v>48.3</v>
      </c>
      <c r="R483" s="20">
        <v>80.03</v>
      </c>
      <c r="S483" s="26">
        <v>80</v>
      </c>
      <c r="T483" s="26">
        <v>-0.03</v>
      </c>
      <c r="U483" s="26">
        <v>7.0000000000000007E-2</v>
      </c>
      <c r="V483" s="20">
        <v>2309.2600000000002</v>
      </c>
    </row>
    <row r="484" spans="1:22" ht="16.8" x14ac:dyDescent="0.3">
      <c r="A484" s="20">
        <v>48.3</v>
      </c>
      <c r="B484" s="20">
        <v>80</v>
      </c>
      <c r="C484" s="26">
        <v>80.11</v>
      </c>
      <c r="D484" s="20">
        <v>-0.11</v>
      </c>
      <c r="E484" s="20">
        <v>0.01</v>
      </c>
      <c r="F484" s="26">
        <v>2422.6799999999998</v>
      </c>
      <c r="Q484" s="20">
        <v>48.4</v>
      </c>
      <c r="R484" s="20">
        <v>80.11</v>
      </c>
      <c r="S484" s="26">
        <v>80</v>
      </c>
      <c r="T484" s="26">
        <v>-0.11</v>
      </c>
      <c r="U484" s="26">
        <v>-0.09</v>
      </c>
      <c r="V484" s="20">
        <v>2147.4</v>
      </c>
    </row>
    <row r="485" spans="1:22" ht="16.8" x14ac:dyDescent="0.3">
      <c r="A485" s="20">
        <v>48.4</v>
      </c>
      <c r="B485" s="20">
        <v>80</v>
      </c>
      <c r="C485" s="20">
        <v>80.180000000000007</v>
      </c>
      <c r="D485" s="20">
        <v>-0.18</v>
      </c>
      <c r="E485" s="20">
        <v>-0.06</v>
      </c>
      <c r="F485" s="26">
        <v>2296.6799999999998</v>
      </c>
      <c r="Q485" s="20">
        <v>48.5</v>
      </c>
      <c r="R485" s="20">
        <v>80.069999999999993</v>
      </c>
      <c r="S485" s="26">
        <v>80</v>
      </c>
      <c r="T485" s="20">
        <v>-7.0000000000000007E-2</v>
      </c>
      <c r="U485" s="26">
        <v>0.05</v>
      </c>
      <c r="V485" s="26">
        <v>2279.7600000000002</v>
      </c>
    </row>
    <row r="486" spans="1:22" ht="16.8" x14ac:dyDescent="0.3">
      <c r="A486" s="20">
        <v>48.5</v>
      </c>
      <c r="B486" s="20">
        <v>80</v>
      </c>
      <c r="C486" s="26">
        <v>80.150000000000006</v>
      </c>
      <c r="D486" s="20">
        <v>-0.15</v>
      </c>
      <c r="E486" s="20">
        <v>0.03</v>
      </c>
      <c r="F486" s="26">
        <v>2389.27</v>
      </c>
      <c r="Q486" s="20">
        <v>48.6</v>
      </c>
      <c r="R486" s="20">
        <v>80.06</v>
      </c>
      <c r="S486" s="26">
        <v>80</v>
      </c>
      <c r="T486" s="26">
        <v>-0.06</v>
      </c>
      <c r="U486" s="26">
        <v>0.01</v>
      </c>
      <c r="V486" s="20">
        <v>2244.48</v>
      </c>
    </row>
    <row r="487" spans="1:22" ht="16.8" x14ac:dyDescent="0.3">
      <c r="A487" s="20">
        <v>48.6</v>
      </c>
      <c r="B487" s="20">
        <v>80</v>
      </c>
      <c r="C487" s="26">
        <v>80.13</v>
      </c>
      <c r="D487" s="20">
        <v>-0.13</v>
      </c>
      <c r="E487" s="20">
        <v>0.01</v>
      </c>
      <c r="F487" s="26">
        <v>2401.75</v>
      </c>
      <c r="Q487" s="20">
        <v>48.7</v>
      </c>
      <c r="R487" s="20">
        <v>80.11</v>
      </c>
      <c r="S487" s="26">
        <v>80</v>
      </c>
      <c r="T487" s="26">
        <v>-0.11</v>
      </c>
      <c r="U487" s="26">
        <v>-0.05</v>
      </c>
      <c r="V487" s="26">
        <v>2184.59</v>
      </c>
    </row>
    <row r="488" spans="1:22" ht="16.8" x14ac:dyDescent="0.3">
      <c r="A488" s="20">
        <v>48.7</v>
      </c>
      <c r="B488" s="20">
        <v>80</v>
      </c>
      <c r="C488" s="20">
        <v>80.12</v>
      </c>
      <c r="D488" s="20">
        <v>-0.12</v>
      </c>
      <c r="E488" s="20">
        <v>0.01</v>
      </c>
      <c r="F488" s="26">
        <v>2414.2600000000002</v>
      </c>
      <c r="Q488" s="20">
        <v>48.8</v>
      </c>
      <c r="R488" s="20">
        <v>80.09</v>
      </c>
      <c r="S488" s="26">
        <v>80</v>
      </c>
      <c r="T488" s="26">
        <v>-0.09</v>
      </c>
      <c r="U488" s="26">
        <v>0.02</v>
      </c>
      <c r="V488" s="20">
        <v>2245.54</v>
      </c>
    </row>
    <row r="489" spans="1:22" ht="16.8" x14ac:dyDescent="0.3">
      <c r="A489" s="20">
        <v>48.8</v>
      </c>
      <c r="B489" s="20">
        <v>80</v>
      </c>
      <c r="C489" s="26">
        <v>80.150000000000006</v>
      </c>
      <c r="D489" s="20">
        <v>-0.15</v>
      </c>
      <c r="E489" s="20">
        <v>-0.03</v>
      </c>
      <c r="F489" s="20">
        <v>2350.7399999999998</v>
      </c>
      <c r="Q489" s="20">
        <v>48.9</v>
      </c>
      <c r="R489" s="20">
        <v>80.09</v>
      </c>
      <c r="S489" s="26">
        <v>80</v>
      </c>
      <c r="T489" s="26">
        <v>-0.09</v>
      </c>
      <c r="U489" s="26">
        <v>0</v>
      </c>
      <c r="V489" s="26">
        <v>2230.66</v>
      </c>
    </row>
    <row r="490" spans="1:22" ht="16.8" x14ac:dyDescent="0.3">
      <c r="A490" s="20">
        <v>48.9</v>
      </c>
      <c r="B490" s="20">
        <v>80</v>
      </c>
      <c r="C490" s="20">
        <v>80.150000000000006</v>
      </c>
      <c r="D490" s="20">
        <v>-0.15</v>
      </c>
      <c r="E490" s="20">
        <v>0</v>
      </c>
      <c r="F490" s="26">
        <v>2385.16</v>
      </c>
      <c r="Q490" s="20">
        <v>49</v>
      </c>
      <c r="R490" s="20">
        <v>80.05</v>
      </c>
      <c r="S490" s="20">
        <v>80</v>
      </c>
      <c r="T490" s="26">
        <v>-0.05</v>
      </c>
      <c r="U490" s="26">
        <v>0.04</v>
      </c>
      <c r="V490" s="20">
        <v>2274.0500000000002</v>
      </c>
    </row>
    <row r="491" spans="1:22" ht="16.8" x14ac:dyDescent="0.3">
      <c r="A491" s="20">
        <v>49</v>
      </c>
      <c r="B491" s="20">
        <v>80</v>
      </c>
      <c r="C491" s="26">
        <v>80.13</v>
      </c>
      <c r="D491" s="20">
        <v>-0.13</v>
      </c>
      <c r="E491" s="20">
        <v>0.02</v>
      </c>
      <c r="F491" s="26">
        <v>2401.75</v>
      </c>
      <c r="Q491" s="20">
        <v>49.1</v>
      </c>
      <c r="R491" s="20">
        <v>80.069999999999993</v>
      </c>
      <c r="S491" s="26">
        <v>80</v>
      </c>
      <c r="T491" s="26">
        <v>-7.0000000000000007E-2</v>
      </c>
      <c r="U491" s="26">
        <v>-0.02</v>
      </c>
      <c r="V491" s="26">
        <v>2219.9299999999998</v>
      </c>
    </row>
    <row r="492" spans="1:22" ht="16.8" x14ac:dyDescent="0.3">
      <c r="A492" s="20">
        <v>49.1</v>
      </c>
      <c r="B492" s="20">
        <v>80</v>
      </c>
      <c r="C492" s="26">
        <v>80.12</v>
      </c>
      <c r="D492" s="20">
        <v>-0.12</v>
      </c>
      <c r="E492" s="20">
        <v>0.01</v>
      </c>
      <c r="F492" s="26">
        <v>2414.2600000000002</v>
      </c>
      <c r="Q492" s="20">
        <v>49.2</v>
      </c>
      <c r="R492" s="20">
        <v>80.08</v>
      </c>
      <c r="S492" s="26">
        <v>80</v>
      </c>
      <c r="T492" s="26">
        <v>-0.08</v>
      </c>
      <c r="U492" s="26">
        <v>-0.02</v>
      </c>
      <c r="V492" s="20">
        <v>2216.86</v>
      </c>
    </row>
    <row r="493" spans="1:22" ht="16.8" x14ac:dyDescent="0.3">
      <c r="A493" s="20">
        <v>49.2</v>
      </c>
      <c r="B493" s="20">
        <v>80</v>
      </c>
      <c r="C493" s="20">
        <v>80.17</v>
      </c>
      <c r="D493" s="20">
        <v>-0.17</v>
      </c>
      <c r="E493" s="20">
        <v>-0.05</v>
      </c>
      <c r="F493" s="26">
        <v>2311.77</v>
      </c>
      <c r="Q493" s="20">
        <v>49.3</v>
      </c>
      <c r="R493" s="20">
        <v>80.03</v>
      </c>
      <c r="S493" s="26">
        <v>80</v>
      </c>
      <c r="T493" s="26">
        <v>-0.03</v>
      </c>
      <c r="U493" s="26">
        <v>0.05</v>
      </c>
      <c r="V493" s="26">
        <v>2283.6</v>
      </c>
    </row>
    <row r="494" spans="1:22" ht="16.8" x14ac:dyDescent="0.3">
      <c r="A494" s="20">
        <v>49.3</v>
      </c>
      <c r="B494" s="20">
        <v>80</v>
      </c>
      <c r="C494" s="26">
        <v>80.150000000000006</v>
      </c>
      <c r="D494" s="20">
        <v>-0.15</v>
      </c>
      <c r="E494" s="20">
        <v>0.02</v>
      </c>
      <c r="F494" s="20">
        <v>2385.16</v>
      </c>
      <c r="Q494" s="20">
        <v>49.4</v>
      </c>
      <c r="R494" s="20">
        <v>80.150000000000006</v>
      </c>
      <c r="S494" s="26">
        <v>80</v>
      </c>
      <c r="T494" s="26">
        <v>-0.15</v>
      </c>
      <c r="U494" s="26">
        <v>-0.11</v>
      </c>
      <c r="V494" s="20">
        <v>2117.41</v>
      </c>
    </row>
    <row r="495" spans="1:22" ht="16.8" x14ac:dyDescent="0.3">
      <c r="A495" s="20">
        <v>49.4</v>
      </c>
      <c r="B495" s="20">
        <v>80</v>
      </c>
      <c r="C495" s="20">
        <v>80.13</v>
      </c>
      <c r="D495" s="20">
        <v>-0.13</v>
      </c>
      <c r="E495" s="20">
        <v>0.02</v>
      </c>
      <c r="F495" s="26">
        <v>2405.91</v>
      </c>
      <c r="Q495" s="20">
        <v>49.5</v>
      </c>
      <c r="R495" s="20">
        <v>80.069999999999993</v>
      </c>
      <c r="S495" s="26">
        <v>80</v>
      </c>
      <c r="T495" s="26">
        <v>-7.0000000000000007E-2</v>
      </c>
      <c r="U495" s="26">
        <v>0.08</v>
      </c>
      <c r="V495" s="26">
        <v>2306.52</v>
      </c>
    </row>
    <row r="496" spans="1:22" ht="16.8" x14ac:dyDescent="0.3">
      <c r="A496" s="20">
        <v>49.5</v>
      </c>
      <c r="B496" s="20">
        <v>80</v>
      </c>
      <c r="C496" s="26">
        <v>80.150000000000006</v>
      </c>
      <c r="D496" s="20">
        <v>-0.15</v>
      </c>
      <c r="E496" s="20">
        <v>-0.02</v>
      </c>
      <c r="F496" s="26">
        <v>2366.1799999999998</v>
      </c>
      <c r="Q496" s="20">
        <v>49.6</v>
      </c>
      <c r="R496" s="20">
        <v>80.09</v>
      </c>
      <c r="S496" s="26">
        <v>80</v>
      </c>
      <c r="T496" s="26">
        <v>-0.09</v>
      </c>
      <c r="U496" s="26">
        <v>-0.02</v>
      </c>
      <c r="V496" s="20">
        <v>2207.1</v>
      </c>
    </row>
    <row r="497" spans="1:22" ht="16.8" x14ac:dyDescent="0.3">
      <c r="A497" s="20">
        <v>49.6</v>
      </c>
      <c r="B497" s="20">
        <v>80</v>
      </c>
      <c r="C497" s="26">
        <v>80.150000000000006</v>
      </c>
      <c r="D497" s="20">
        <v>-0.15</v>
      </c>
      <c r="E497" s="20">
        <v>0</v>
      </c>
      <c r="F497" s="26">
        <v>2377.25</v>
      </c>
      <c r="Q497" s="20">
        <v>49.7</v>
      </c>
      <c r="R497" s="20">
        <v>80.069999999999993</v>
      </c>
      <c r="S497" s="26">
        <v>80</v>
      </c>
      <c r="T497" s="26">
        <v>-7.0000000000000007E-2</v>
      </c>
      <c r="U497" s="26">
        <v>0.02</v>
      </c>
      <c r="V497" s="26">
        <v>2246.1999999999998</v>
      </c>
    </row>
    <row r="498" spans="1:22" ht="16.8" x14ac:dyDescent="0.3">
      <c r="A498" s="20">
        <v>49.7</v>
      </c>
      <c r="B498" s="20">
        <v>80</v>
      </c>
      <c r="C498" s="20">
        <v>80.19</v>
      </c>
      <c r="D498" s="20">
        <v>-0.19</v>
      </c>
      <c r="E498" s="20">
        <v>-0.04</v>
      </c>
      <c r="F498" s="26">
        <v>2302.79</v>
      </c>
      <c r="Q498" s="20">
        <v>49.8</v>
      </c>
      <c r="R498" s="20">
        <v>80.06</v>
      </c>
      <c r="S498" s="26">
        <v>80</v>
      </c>
      <c r="T498" s="26">
        <v>-0.06</v>
      </c>
      <c r="U498" s="26">
        <v>0.02</v>
      </c>
      <c r="V498" s="20">
        <v>2248.83</v>
      </c>
    </row>
    <row r="499" spans="1:22" ht="16.8" x14ac:dyDescent="0.3">
      <c r="A499" s="20">
        <v>49.8</v>
      </c>
      <c r="B499" s="20">
        <v>80</v>
      </c>
      <c r="C499" s="26">
        <v>80.150000000000006</v>
      </c>
      <c r="D499" s="20">
        <v>-0.15</v>
      </c>
      <c r="E499" s="20">
        <v>0.04</v>
      </c>
      <c r="F499" s="26">
        <v>2385.16</v>
      </c>
      <c r="Q499" s="20">
        <v>49.9</v>
      </c>
      <c r="R499" s="20">
        <v>79.989999999999995</v>
      </c>
      <c r="S499" s="26">
        <v>80</v>
      </c>
      <c r="T499" s="26">
        <v>0.01</v>
      </c>
      <c r="U499" s="26">
        <v>0.06</v>
      </c>
      <c r="V499" s="26">
        <v>2303.94</v>
      </c>
    </row>
    <row r="500" spans="1:22" ht="16.8" x14ac:dyDescent="0.3">
      <c r="A500" s="20">
        <v>49.9</v>
      </c>
      <c r="B500" s="20">
        <v>80</v>
      </c>
      <c r="C500" s="26">
        <v>80.19</v>
      </c>
      <c r="D500" s="20">
        <v>-0.19</v>
      </c>
      <c r="E500" s="20">
        <v>-0.04</v>
      </c>
      <c r="F500" s="26">
        <v>2306.8200000000002</v>
      </c>
      <c r="Q500" s="20">
        <v>50</v>
      </c>
      <c r="R500" s="20">
        <v>80.09</v>
      </c>
      <c r="S500" s="26">
        <v>80</v>
      </c>
      <c r="T500" s="26">
        <v>-0.09</v>
      </c>
      <c r="U500" s="26">
        <v>-0.1</v>
      </c>
      <c r="V500" s="20">
        <v>2140.7199999999998</v>
      </c>
    </row>
    <row r="501" spans="1:22" ht="16.8" x14ac:dyDescent="0.3">
      <c r="A501" s="20">
        <v>50</v>
      </c>
      <c r="B501" s="20">
        <v>80</v>
      </c>
      <c r="C501" s="20">
        <v>80.13</v>
      </c>
      <c r="D501" s="20">
        <v>-0.13</v>
      </c>
      <c r="E501" s="20">
        <v>0.06</v>
      </c>
      <c r="F501" s="26">
        <v>2405.91</v>
      </c>
      <c r="Q501" s="20">
        <v>50.1</v>
      </c>
      <c r="R501" s="20">
        <v>80.010000000000005</v>
      </c>
      <c r="S501" s="26">
        <v>80</v>
      </c>
      <c r="T501" s="26">
        <v>-0.01</v>
      </c>
      <c r="U501" s="26">
        <v>0.08</v>
      </c>
      <c r="V501" s="26">
        <v>2315.4</v>
      </c>
    </row>
    <row r="502" spans="1:22" ht="16.8" x14ac:dyDescent="0.3">
      <c r="A502" s="20">
        <v>50.1</v>
      </c>
      <c r="B502" s="20">
        <v>80</v>
      </c>
      <c r="C502" s="26">
        <v>80.180000000000007</v>
      </c>
      <c r="D502" s="20">
        <v>-0.18</v>
      </c>
      <c r="E502" s="20">
        <v>-0.05</v>
      </c>
      <c r="F502" s="26">
        <v>2311.5100000000002</v>
      </c>
      <c r="Q502" s="20">
        <v>50.2</v>
      </c>
      <c r="R502" s="20">
        <v>79.989999999999995</v>
      </c>
      <c r="S502" s="26">
        <v>80</v>
      </c>
      <c r="T502" s="26">
        <v>0.01</v>
      </c>
      <c r="U502" s="26">
        <v>0.02</v>
      </c>
      <c r="V502" s="20">
        <v>2259.85</v>
      </c>
    </row>
    <row r="503" spans="1:22" ht="16.8" x14ac:dyDescent="0.3">
      <c r="A503" s="20">
        <v>50.2</v>
      </c>
      <c r="B503" s="20">
        <v>80</v>
      </c>
      <c r="C503" s="20">
        <v>80.19</v>
      </c>
      <c r="D503" s="20">
        <v>-0.19</v>
      </c>
      <c r="E503" s="20">
        <v>-0.02</v>
      </c>
      <c r="F503" s="20">
        <v>2325.04</v>
      </c>
      <c r="Q503" s="20">
        <v>50.3</v>
      </c>
      <c r="R503" s="20">
        <v>80.11</v>
      </c>
      <c r="S503" s="26">
        <v>80</v>
      </c>
      <c r="T503" s="26">
        <v>-0.11</v>
      </c>
      <c r="U503" s="26">
        <v>-0.11</v>
      </c>
      <c r="V503" s="26">
        <v>2122.9699999999998</v>
      </c>
    </row>
    <row r="504" spans="1:22" ht="16.8" x14ac:dyDescent="0.3">
      <c r="A504" s="20">
        <v>50.3</v>
      </c>
      <c r="B504" s="20">
        <v>80</v>
      </c>
      <c r="C504" s="26">
        <v>80.209999999999994</v>
      </c>
      <c r="D504" s="20">
        <v>-0.21</v>
      </c>
      <c r="E504" s="20">
        <v>-0.02</v>
      </c>
      <c r="F504" s="26">
        <v>2308.66</v>
      </c>
      <c r="Q504" s="20">
        <v>50.4</v>
      </c>
      <c r="R504" s="20">
        <v>80.03</v>
      </c>
      <c r="S504" s="20">
        <v>80</v>
      </c>
      <c r="T504" s="26">
        <v>-0.03</v>
      </c>
      <c r="U504" s="26">
        <v>0.08</v>
      </c>
      <c r="V504" s="20">
        <v>2312.19</v>
      </c>
    </row>
    <row r="505" spans="1:22" ht="16.8" x14ac:dyDescent="0.3">
      <c r="A505" s="20">
        <v>50.4</v>
      </c>
      <c r="B505" s="20">
        <v>80</v>
      </c>
      <c r="C505" s="20">
        <v>80.2</v>
      </c>
      <c r="D505" s="20">
        <v>-0.2</v>
      </c>
      <c r="E505" s="20">
        <v>0.01</v>
      </c>
      <c r="F505" s="20">
        <v>2331.6999999999998</v>
      </c>
      <c r="Q505" s="20">
        <v>50.5</v>
      </c>
      <c r="R505" s="20">
        <v>80.09</v>
      </c>
      <c r="S505" s="26">
        <v>80</v>
      </c>
      <c r="T505" s="26">
        <v>-0.09</v>
      </c>
      <c r="U505" s="26">
        <v>-0.06</v>
      </c>
      <c r="V505" s="26">
        <v>2169.2399999999998</v>
      </c>
    </row>
    <row r="506" spans="1:22" ht="16.8" x14ac:dyDescent="0.3">
      <c r="A506" s="20">
        <v>50.5</v>
      </c>
      <c r="B506" s="20">
        <v>80</v>
      </c>
      <c r="C506" s="26">
        <v>80.150000000000006</v>
      </c>
      <c r="D506" s="20">
        <v>-0.15</v>
      </c>
      <c r="E506" s="20">
        <v>0.05</v>
      </c>
      <c r="F506" s="26">
        <v>2385.16</v>
      </c>
      <c r="Q506" s="20">
        <v>50.6</v>
      </c>
      <c r="R506" s="20">
        <v>80.069999999999993</v>
      </c>
      <c r="S506" s="20">
        <v>80</v>
      </c>
      <c r="T506" s="26">
        <v>-7.0000000000000007E-2</v>
      </c>
      <c r="U506" s="26">
        <v>0.02</v>
      </c>
      <c r="V506" s="20">
        <v>2244.83</v>
      </c>
    </row>
    <row r="507" spans="1:22" ht="16.8" x14ac:dyDescent="0.3">
      <c r="A507" s="20">
        <v>50.6</v>
      </c>
      <c r="B507" s="20">
        <v>80</v>
      </c>
      <c r="C507" s="26">
        <v>80.19</v>
      </c>
      <c r="D507" s="20">
        <v>-0.19</v>
      </c>
      <c r="E507" s="20">
        <v>-0.04</v>
      </c>
      <c r="F507" s="26">
        <v>2299.0700000000002</v>
      </c>
      <c r="Q507" s="20">
        <v>50.7</v>
      </c>
      <c r="R507" s="20">
        <v>80</v>
      </c>
      <c r="S507" s="26">
        <v>80</v>
      </c>
      <c r="T507" s="26">
        <v>0</v>
      </c>
      <c r="U507" s="26">
        <v>7.0000000000000007E-2</v>
      </c>
      <c r="V507" s="26">
        <v>2308.62</v>
      </c>
    </row>
    <row r="508" spans="1:22" ht="16.8" x14ac:dyDescent="0.3">
      <c r="A508" s="20">
        <v>50.7</v>
      </c>
      <c r="B508" s="20">
        <v>80</v>
      </c>
      <c r="C508" s="20">
        <v>80.22</v>
      </c>
      <c r="D508" s="20">
        <v>-0.22</v>
      </c>
      <c r="E508" s="20">
        <v>-0.02</v>
      </c>
      <c r="F508" s="26">
        <v>2300.86</v>
      </c>
      <c r="Q508" s="20">
        <v>50.8</v>
      </c>
      <c r="R508" s="20">
        <v>80.16</v>
      </c>
      <c r="S508" s="26">
        <v>80</v>
      </c>
      <c r="T508" s="26">
        <v>-0.16</v>
      </c>
      <c r="U508" s="26">
        <v>-0.16</v>
      </c>
      <c r="V508" s="20">
        <v>2068.19</v>
      </c>
    </row>
    <row r="509" spans="1:22" ht="16.8" x14ac:dyDescent="0.3">
      <c r="A509" s="20">
        <v>50.8</v>
      </c>
      <c r="B509" s="20">
        <v>80</v>
      </c>
      <c r="C509" s="26">
        <v>80.17</v>
      </c>
      <c r="D509" s="20">
        <v>-0.17</v>
      </c>
      <c r="E509" s="20">
        <v>0.04</v>
      </c>
      <c r="F509" s="26">
        <v>2364.54</v>
      </c>
      <c r="Q509" s="20">
        <v>50.9</v>
      </c>
      <c r="R509" s="20">
        <v>80.069999999999993</v>
      </c>
      <c r="S509" s="26">
        <v>80</v>
      </c>
      <c r="T509" s="26">
        <v>-7.0000000000000007E-2</v>
      </c>
      <c r="U509" s="26">
        <v>0.09</v>
      </c>
      <c r="V509" s="20">
        <v>2309.8000000000002</v>
      </c>
    </row>
    <row r="510" spans="1:22" ht="16.8" x14ac:dyDescent="0.3">
      <c r="A510" s="20">
        <v>50.9</v>
      </c>
      <c r="B510" s="20">
        <v>80</v>
      </c>
      <c r="C510" s="26">
        <v>80.16</v>
      </c>
      <c r="D510" s="20">
        <v>-0.16</v>
      </c>
      <c r="E510" s="20">
        <v>0.01</v>
      </c>
      <c r="F510" s="26">
        <v>2376.91</v>
      </c>
      <c r="Q510" s="20">
        <v>51</v>
      </c>
      <c r="R510" s="20">
        <v>80.06</v>
      </c>
      <c r="S510" s="26">
        <v>80</v>
      </c>
      <c r="T510" s="26">
        <v>-0.06</v>
      </c>
      <c r="U510" s="26">
        <v>0.02</v>
      </c>
      <c r="V510" s="26">
        <v>2246.73</v>
      </c>
    </row>
    <row r="511" spans="1:22" ht="16.8" x14ac:dyDescent="0.3">
      <c r="A511" s="20">
        <v>51</v>
      </c>
      <c r="B511" s="20">
        <v>80</v>
      </c>
      <c r="C511" s="20">
        <v>80.150000000000006</v>
      </c>
      <c r="D511" s="20">
        <v>-0.15</v>
      </c>
      <c r="E511" s="20">
        <v>0.01</v>
      </c>
      <c r="F511" s="26">
        <v>2385.16</v>
      </c>
      <c r="Q511" s="20">
        <v>51.1</v>
      </c>
      <c r="R511" s="20">
        <v>80.11</v>
      </c>
      <c r="S511" s="26">
        <v>80</v>
      </c>
      <c r="T511" s="26">
        <v>-0.11</v>
      </c>
      <c r="U511" s="26">
        <v>-0.05</v>
      </c>
      <c r="V511" s="20">
        <v>2179.54</v>
      </c>
    </row>
    <row r="512" spans="1:22" ht="16.8" x14ac:dyDescent="0.3">
      <c r="A512" s="20">
        <v>51.1</v>
      </c>
      <c r="B512" s="20">
        <v>80</v>
      </c>
      <c r="C512" s="26">
        <v>80.12</v>
      </c>
      <c r="D512" s="20">
        <v>-0.12</v>
      </c>
      <c r="E512" s="20">
        <v>0.03</v>
      </c>
      <c r="F512" s="26">
        <v>2418.4299999999998</v>
      </c>
      <c r="Q512" s="20">
        <v>51.2</v>
      </c>
      <c r="R512" s="20">
        <v>80.06</v>
      </c>
      <c r="S512" s="26">
        <v>80</v>
      </c>
      <c r="T512" s="26">
        <v>-0.06</v>
      </c>
      <c r="U512" s="26">
        <v>0.05</v>
      </c>
      <c r="V512" s="26">
        <v>2275.42</v>
      </c>
    </row>
    <row r="513" spans="1:22" ht="16.8" x14ac:dyDescent="0.3">
      <c r="A513" s="20">
        <v>51.2</v>
      </c>
      <c r="B513" s="20">
        <v>80</v>
      </c>
      <c r="C513" s="20">
        <v>80.09</v>
      </c>
      <c r="D513" s="20">
        <v>-0.09</v>
      </c>
      <c r="E513" s="20">
        <v>0.02</v>
      </c>
      <c r="F513" s="26">
        <v>2443.88</v>
      </c>
      <c r="Q513" s="20">
        <v>51.3</v>
      </c>
      <c r="R513" s="20">
        <v>80.040000000000006</v>
      </c>
      <c r="S513" s="26">
        <v>80</v>
      </c>
      <c r="T513" s="26">
        <v>-0.04</v>
      </c>
      <c r="U513" s="26">
        <v>0.02</v>
      </c>
      <c r="V513" s="20">
        <v>2248.91</v>
      </c>
    </row>
    <row r="514" spans="1:22" ht="16.8" x14ac:dyDescent="0.3">
      <c r="A514" s="20">
        <v>51.3</v>
      </c>
      <c r="B514" s="20">
        <v>80</v>
      </c>
      <c r="C514" s="26">
        <v>80.17</v>
      </c>
      <c r="D514" s="20">
        <v>-0.17</v>
      </c>
      <c r="E514" s="20">
        <v>-0.08</v>
      </c>
      <c r="F514" s="26">
        <v>2285.77</v>
      </c>
      <c r="Q514" s="20">
        <v>51.4</v>
      </c>
      <c r="R514" s="20">
        <v>80.010000000000005</v>
      </c>
      <c r="S514" s="26">
        <v>80</v>
      </c>
      <c r="T514" s="26">
        <v>-0.01</v>
      </c>
      <c r="U514" s="26">
        <v>0.03</v>
      </c>
      <c r="V514" s="26">
        <v>2269.11</v>
      </c>
    </row>
    <row r="515" spans="1:22" ht="16.8" x14ac:dyDescent="0.3">
      <c r="A515" s="20">
        <v>51.4</v>
      </c>
      <c r="B515" s="20">
        <v>80</v>
      </c>
      <c r="C515" s="26">
        <v>80.16</v>
      </c>
      <c r="D515" s="20">
        <v>-0.16</v>
      </c>
      <c r="E515" s="20">
        <v>0.02</v>
      </c>
      <c r="F515" s="26">
        <v>2376.91</v>
      </c>
      <c r="Q515" s="20">
        <v>51.5</v>
      </c>
      <c r="R515" s="20">
        <v>80.11</v>
      </c>
      <c r="S515" s="26">
        <v>80</v>
      </c>
      <c r="T515" s="26">
        <v>-0.11</v>
      </c>
      <c r="U515" s="26">
        <v>-0.1</v>
      </c>
      <c r="V515" s="20">
        <v>2135.08</v>
      </c>
    </row>
    <row r="516" spans="1:22" ht="16.8" x14ac:dyDescent="0.3">
      <c r="A516" s="20">
        <v>51.5</v>
      </c>
      <c r="B516" s="20">
        <v>80</v>
      </c>
      <c r="C516" s="20">
        <v>80.16</v>
      </c>
      <c r="D516" s="20">
        <v>-0.16</v>
      </c>
      <c r="E516" s="20">
        <v>0</v>
      </c>
      <c r="F516" s="20">
        <v>2376.91</v>
      </c>
      <c r="Q516" s="20">
        <v>51.6</v>
      </c>
      <c r="R516" s="20">
        <v>80.099999999999994</v>
      </c>
      <c r="S516" s="26">
        <v>80</v>
      </c>
      <c r="T516" s="26">
        <v>-0.1</v>
      </c>
      <c r="U516" s="26">
        <v>0.01</v>
      </c>
      <c r="V516" s="20">
        <v>2231.08</v>
      </c>
    </row>
    <row r="517" spans="1:22" ht="16.8" x14ac:dyDescent="0.3">
      <c r="A517" s="20">
        <v>51.6</v>
      </c>
      <c r="B517" s="20">
        <v>80</v>
      </c>
      <c r="C517" s="26">
        <v>80.11</v>
      </c>
      <c r="D517" s="20">
        <v>-0.11</v>
      </c>
      <c r="E517" s="20">
        <v>0.04</v>
      </c>
      <c r="F517" s="26">
        <v>2422.6799999999998</v>
      </c>
      <c r="Q517" s="20">
        <v>51.7</v>
      </c>
      <c r="R517" s="20">
        <v>80.069999999999993</v>
      </c>
      <c r="S517" s="26">
        <v>80</v>
      </c>
      <c r="T517" s="26">
        <v>-7.0000000000000007E-2</v>
      </c>
      <c r="U517" s="20">
        <v>0.03</v>
      </c>
      <c r="V517" s="26">
        <v>2258.42</v>
      </c>
    </row>
    <row r="518" spans="1:22" ht="16.8" x14ac:dyDescent="0.3">
      <c r="A518" s="20">
        <v>51.7</v>
      </c>
      <c r="B518" s="20">
        <v>80</v>
      </c>
      <c r="C518" s="26">
        <v>80.180000000000007</v>
      </c>
      <c r="D518" s="20">
        <v>-0.18</v>
      </c>
      <c r="E518" s="20">
        <v>-0.06</v>
      </c>
      <c r="F518" s="26">
        <v>2296.6799999999998</v>
      </c>
      <c r="Q518" s="20">
        <v>51.8</v>
      </c>
      <c r="R518" s="20">
        <v>80.12</v>
      </c>
      <c r="S518" s="26">
        <v>80</v>
      </c>
      <c r="T518" s="26">
        <v>-0.12</v>
      </c>
      <c r="U518" s="26">
        <v>-0.06</v>
      </c>
      <c r="V518" s="20">
        <v>2167.87</v>
      </c>
    </row>
    <row r="519" spans="1:22" ht="16.8" x14ac:dyDescent="0.3">
      <c r="A519" s="20">
        <v>51.8</v>
      </c>
      <c r="B519" s="20">
        <v>80</v>
      </c>
      <c r="C519" s="20">
        <v>80.11</v>
      </c>
      <c r="D519" s="20">
        <v>-0.11</v>
      </c>
      <c r="E519" s="20">
        <v>0.06</v>
      </c>
      <c r="F519" s="26">
        <v>2422.6799999999998</v>
      </c>
      <c r="Q519" s="20">
        <v>51.9</v>
      </c>
      <c r="R519" s="20">
        <v>80.150000000000006</v>
      </c>
      <c r="S519" s="26">
        <v>80</v>
      </c>
      <c r="T519" s="26">
        <v>-0.15</v>
      </c>
      <c r="U519" s="26">
        <v>-0.03</v>
      </c>
      <c r="V519" s="26">
        <v>2183.64</v>
      </c>
    </row>
    <row r="520" spans="1:22" ht="16.8" x14ac:dyDescent="0.3">
      <c r="A520" s="20">
        <v>51.9</v>
      </c>
      <c r="B520" s="20">
        <v>80</v>
      </c>
      <c r="C520" s="26">
        <v>80.13</v>
      </c>
      <c r="D520" s="20">
        <v>-0.13</v>
      </c>
      <c r="E520" s="20">
        <v>-0.02</v>
      </c>
      <c r="F520" s="26">
        <v>2390.56</v>
      </c>
      <c r="Q520" s="20">
        <v>52</v>
      </c>
      <c r="R520" s="20">
        <v>80.28</v>
      </c>
      <c r="S520" s="26">
        <v>80</v>
      </c>
      <c r="T520" s="26">
        <v>-0.28000000000000003</v>
      </c>
      <c r="U520" s="26">
        <v>-0.12</v>
      </c>
      <c r="V520" s="20">
        <v>2081.35</v>
      </c>
    </row>
    <row r="521" spans="1:22" ht="16.8" x14ac:dyDescent="0.3">
      <c r="A521" s="20">
        <v>52</v>
      </c>
      <c r="B521" s="20">
        <v>80</v>
      </c>
      <c r="C521" s="20">
        <v>80.11</v>
      </c>
      <c r="D521" s="20">
        <v>-0.11</v>
      </c>
      <c r="E521" s="20">
        <v>0.02</v>
      </c>
      <c r="F521" s="20">
        <v>2422.6799999999998</v>
      </c>
      <c r="Q521" s="20">
        <v>52.1</v>
      </c>
      <c r="R521" s="20">
        <v>80.349999999999994</v>
      </c>
      <c r="S521" s="26">
        <v>80</v>
      </c>
      <c r="T521" s="26">
        <v>-0.35</v>
      </c>
      <c r="U521" s="26">
        <v>-7.0000000000000007E-2</v>
      </c>
      <c r="V521" s="26">
        <v>2111.38</v>
      </c>
    </row>
    <row r="522" spans="1:22" ht="16.8" x14ac:dyDescent="0.3">
      <c r="A522" s="20">
        <v>52.1</v>
      </c>
      <c r="B522" s="20">
        <v>80</v>
      </c>
      <c r="C522" s="26">
        <v>80.069999999999993</v>
      </c>
      <c r="D522" s="20">
        <v>-7.0000000000000007E-2</v>
      </c>
      <c r="E522" s="20">
        <v>0.05</v>
      </c>
      <c r="F522" s="26">
        <v>2474.13</v>
      </c>
      <c r="Q522" s="20">
        <v>52.2</v>
      </c>
      <c r="R522" s="20">
        <v>80.45</v>
      </c>
      <c r="S522" s="20">
        <v>80</v>
      </c>
      <c r="T522" s="26">
        <v>-0.45</v>
      </c>
      <c r="U522" s="26">
        <v>-0.1</v>
      </c>
      <c r="V522" s="20">
        <v>2062.4499999999998</v>
      </c>
    </row>
    <row r="523" spans="1:22" ht="16.8" x14ac:dyDescent="0.3">
      <c r="A523" s="20">
        <v>52.2</v>
      </c>
      <c r="B523" s="20">
        <v>80</v>
      </c>
      <c r="C523" s="26">
        <v>80.11</v>
      </c>
      <c r="D523" s="20">
        <v>-0.11</v>
      </c>
      <c r="E523" s="20">
        <v>-0.04</v>
      </c>
      <c r="F523" s="26">
        <v>2384.16</v>
      </c>
      <c r="Q523" s="20">
        <v>52.3</v>
      </c>
      <c r="R523" s="20">
        <v>80.52</v>
      </c>
      <c r="S523" s="26">
        <v>80</v>
      </c>
      <c r="T523" s="26">
        <v>-0.52</v>
      </c>
      <c r="U523" s="26">
        <v>-0.06</v>
      </c>
      <c r="V523" s="26">
        <v>2086.08</v>
      </c>
    </row>
    <row r="524" spans="1:22" ht="16.8" x14ac:dyDescent="0.3">
      <c r="A524" s="20">
        <v>52.3</v>
      </c>
      <c r="B524" s="20">
        <v>80</v>
      </c>
      <c r="C524" s="20">
        <v>80.11</v>
      </c>
      <c r="D524" s="20">
        <v>-0.11</v>
      </c>
      <c r="E524" s="20">
        <v>0</v>
      </c>
      <c r="F524" s="26">
        <v>2426.89</v>
      </c>
      <c r="Q524" s="20">
        <v>52.4</v>
      </c>
      <c r="R524" s="20">
        <v>80.62</v>
      </c>
      <c r="S524" s="26">
        <v>80</v>
      </c>
      <c r="T524" s="26">
        <v>-0.62</v>
      </c>
      <c r="U524" s="26">
        <v>-0.1</v>
      </c>
      <c r="V524" s="20">
        <v>2029.31</v>
      </c>
    </row>
    <row r="525" spans="1:22" ht="16.8" x14ac:dyDescent="0.3">
      <c r="A525" s="20">
        <v>52.4</v>
      </c>
      <c r="B525" s="20">
        <v>80</v>
      </c>
      <c r="C525" s="26">
        <v>80.11</v>
      </c>
      <c r="D525" s="20">
        <v>-0.11</v>
      </c>
      <c r="E525" s="20">
        <v>0</v>
      </c>
      <c r="F525" s="26">
        <v>2418.81</v>
      </c>
      <c r="Q525" s="20">
        <v>52.5</v>
      </c>
      <c r="R525" s="20">
        <v>80.569999999999993</v>
      </c>
      <c r="S525" s="26">
        <v>80</v>
      </c>
      <c r="T525" s="26">
        <v>-0.56999999999999995</v>
      </c>
      <c r="U525" s="26">
        <v>0.05</v>
      </c>
      <c r="V525" s="26">
        <v>2174.7199999999998</v>
      </c>
    </row>
    <row r="526" spans="1:22" ht="16.8" x14ac:dyDescent="0.3">
      <c r="A526" s="20">
        <v>52.5</v>
      </c>
      <c r="B526" s="20">
        <v>80</v>
      </c>
      <c r="C526" s="20">
        <v>80.08</v>
      </c>
      <c r="D526" s="20">
        <v>-0.08</v>
      </c>
      <c r="E526" s="20">
        <v>0.03</v>
      </c>
      <c r="F526" s="20">
        <v>2456.85</v>
      </c>
      <c r="Q526" s="20">
        <v>52.6</v>
      </c>
      <c r="R526" s="20">
        <v>80.569999999999993</v>
      </c>
      <c r="S526" s="26">
        <v>80</v>
      </c>
      <c r="T526" s="26">
        <v>-0.56999999999999995</v>
      </c>
      <c r="U526" s="26">
        <v>0</v>
      </c>
      <c r="V526" s="20">
        <v>2129.13</v>
      </c>
    </row>
    <row r="527" spans="1:22" ht="16.8" x14ac:dyDescent="0.3">
      <c r="A527" s="20">
        <v>52.6</v>
      </c>
      <c r="B527" s="20">
        <v>80</v>
      </c>
      <c r="C527" s="26">
        <v>80.08</v>
      </c>
      <c r="D527" s="20">
        <v>-0.08</v>
      </c>
      <c r="E527" s="20">
        <v>0</v>
      </c>
      <c r="F527" s="26">
        <v>2456.85</v>
      </c>
      <c r="Q527" s="20">
        <v>52.7</v>
      </c>
      <c r="R527" s="20">
        <v>80.569999999999993</v>
      </c>
      <c r="S527" s="26">
        <v>80</v>
      </c>
      <c r="T527" s="26">
        <v>-0.56999999999999995</v>
      </c>
      <c r="U527" s="26">
        <v>0.01</v>
      </c>
      <c r="V527" s="26">
        <v>2136.1</v>
      </c>
    </row>
    <row r="528" spans="1:22" ht="16.8" x14ac:dyDescent="0.3">
      <c r="A528" s="20">
        <v>52.7</v>
      </c>
      <c r="B528" s="20">
        <v>80</v>
      </c>
      <c r="C528" s="26">
        <v>80.099999999999994</v>
      </c>
      <c r="D528" s="20">
        <v>-0.1</v>
      </c>
      <c r="E528" s="20">
        <v>-0.02</v>
      </c>
      <c r="F528" s="26">
        <v>2415.81</v>
      </c>
      <c r="Q528" s="20">
        <v>52.8</v>
      </c>
      <c r="R528" s="20">
        <v>80.59</v>
      </c>
      <c r="S528" s="26">
        <v>80</v>
      </c>
      <c r="T528" s="26">
        <v>-0.59</v>
      </c>
      <c r="U528" s="26">
        <v>-0.02</v>
      </c>
      <c r="V528" s="20">
        <v>2100.83</v>
      </c>
    </row>
    <row r="529" spans="1:22" ht="16.8" x14ac:dyDescent="0.3">
      <c r="A529" s="20">
        <v>52.8</v>
      </c>
      <c r="B529" s="20">
        <v>80</v>
      </c>
      <c r="C529" s="20">
        <v>80.12</v>
      </c>
      <c r="D529" s="20">
        <v>-0.12</v>
      </c>
      <c r="E529" s="20">
        <v>-0.02</v>
      </c>
      <c r="F529" s="26">
        <v>2402.96</v>
      </c>
      <c r="Q529" s="20">
        <v>52.9</v>
      </c>
      <c r="R529" s="20">
        <v>80.569999999999993</v>
      </c>
      <c r="S529" s="26">
        <v>80</v>
      </c>
      <c r="T529" s="26">
        <v>-0.56999999999999995</v>
      </c>
      <c r="U529" s="26">
        <v>0.02</v>
      </c>
      <c r="V529" s="20">
        <v>2138.37</v>
      </c>
    </row>
    <row r="530" spans="1:22" ht="16.8" x14ac:dyDescent="0.3">
      <c r="A530" s="20">
        <v>52.9</v>
      </c>
      <c r="B530" s="20">
        <v>80</v>
      </c>
      <c r="C530" s="26">
        <v>80.08</v>
      </c>
      <c r="D530" s="20">
        <v>-0.08</v>
      </c>
      <c r="E530" s="20">
        <v>0.04</v>
      </c>
      <c r="F530" s="26">
        <v>2461.17</v>
      </c>
      <c r="Q530" s="20">
        <v>53</v>
      </c>
      <c r="R530" s="20">
        <v>80.48</v>
      </c>
      <c r="S530" s="26">
        <v>80</v>
      </c>
      <c r="T530" s="26">
        <v>-0.48</v>
      </c>
      <c r="U530" s="26">
        <v>0.09</v>
      </c>
      <c r="V530" s="26">
        <v>2218.11</v>
      </c>
    </row>
    <row r="531" spans="1:22" ht="16.8" x14ac:dyDescent="0.3">
      <c r="A531" s="20">
        <v>53</v>
      </c>
      <c r="B531" s="20">
        <v>80</v>
      </c>
      <c r="C531" s="26">
        <v>80.06</v>
      </c>
      <c r="D531" s="20">
        <v>-0.06</v>
      </c>
      <c r="E531" s="20">
        <v>0.02</v>
      </c>
      <c r="F531" s="26">
        <v>2483.1999999999998</v>
      </c>
      <c r="Q531" s="20">
        <v>53.1</v>
      </c>
      <c r="R531" s="20">
        <v>80.569999999999993</v>
      </c>
      <c r="S531" s="26">
        <v>80</v>
      </c>
      <c r="T531" s="26">
        <v>-0.56999999999999995</v>
      </c>
      <c r="U531" s="26">
        <v>-0.09</v>
      </c>
      <c r="V531" s="20">
        <v>2040.17</v>
      </c>
    </row>
    <row r="532" spans="1:22" ht="16.8" x14ac:dyDescent="0.3">
      <c r="A532" s="20">
        <v>53.1</v>
      </c>
      <c r="B532" s="20">
        <v>80</v>
      </c>
      <c r="C532" s="20">
        <v>80.08</v>
      </c>
      <c r="D532" s="20">
        <v>-0.08</v>
      </c>
      <c r="E532" s="20">
        <v>-0.02</v>
      </c>
      <c r="F532" s="20">
        <v>2433.02</v>
      </c>
      <c r="Q532" s="20">
        <v>53.2</v>
      </c>
      <c r="R532" s="20">
        <v>80.459999999999994</v>
      </c>
      <c r="S532" s="26">
        <v>80</v>
      </c>
      <c r="T532" s="26">
        <v>-0.46</v>
      </c>
      <c r="U532" s="26">
        <v>0.11</v>
      </c>
      <c r="V532" s="26">
        <v>2241.02</v>
      </c>
    </row>
    <row r="533" spans="1:22" ht="16.8" x14ac:dyDescent="0.3">
      <c r="A533" s="20">
        <v>53.2</v>
      </c>
      <c r="B533" s="20">
        <v>80</v>
      </c>
      <c r="C533" s="26">
        <v>80.17</v>
      </c>
      <c r="D533" s="20">
        <v>-0.17</v>
      </c>
      <c r="E533" s="20">
        <v>-0.09</v>
      </c>
      <c r="F533" s="26">
        <v>2282.36</v>
      </c>
      <c r="Q533" s="20">
        <v>53.3</v>
      </c>
      <c r="R533" s="20">
        <v>80.48</v>
      </c>
      <c r="S533" s="26">
        <v>80</v>
      </c>
      <c r="T533" s="26">
        <v>-0.48</v>
      </c>
      <c r="U533" s="26">
        <v>-0.02</v>
      </c>
      <c r="V533" s="20">
        <v>2111.17</v>
      </c>
    </row>
    <row r="534" spans="1:22" ht="16.8" x14ac:dyDescent="0.3">
      <c r="A534" s="20">
        <v>53.3</v>
      </c>
      <c r="B534" s="20">
        <v>80</v>
      </c>
      <c r="C534" s="20">
        <v>80.2</v>
      </c>
      <c r="D534" s="20">
        <v>-0.2</v>
      </c>
      <c r="E534" s="20">
        <v>-0.03</v>
      </c>
      <c r="F534" s="20">
        <v>2309.81</v>
      </c>
      <c r="Q534" s="20">
        <v>53.4</v>
      </c>
      <c r="R534" s="20">
        <v>80.5</v>
      </c>
      <c r="S534" s="26">
        <v>80</v>
      </c>
      <c r="T534" s="20">
        <v>-0.5</v>
      </c>
      <c r="U534" s="26">
        <v>-0.02</v>
      </c>
      <c r="V534" s="26">
        <v>2114.08</v>
      </c>
    </row>
    <row r="535" spans="1:22" ht="16.8" x14ac:dyDescent="0.3">
      <c r="A535" s="20">
        <v>53.4</v>
      </c>
      <c r="B535" s="20">
        <v>80</v>
      </c>
      <c r="C535" s="26">
        <v>80.19</v>
      </c>
      <c r="D535" s="20">
        <v>-0.19</v>
      </c>
      <c r="E535" s="20">
        <v>0.01</v>
      </c>
      <c r="F535" s="26">
        <v>2348.12</v>
      </c>
      <c r="Q535" s="20">
        <v>53.5</v>
      </c>
      <c r="R535" s="20">
        <v>80.44</v>
      </c>
      <c r="S535" s="26">
        <v>80</v>
      </c>
      <c r="T535" s="26">
        <v>-0.44</v>
      </c>
      <c r="U535" s="26">
        <v>0.06</v>
      </c>
      <c r="V535" s="20">
        <v>2197.02</v>
      </c>
    </row>
    <row r="536" spans="1:22" ht="16.8" x14ac:dyDescent="0.3">
      <c r="A536" s="20">
        <v>53.5</v>
      </c>
      <c r="B536" s="20">
        <v>80</v>
      </c>
      <c r="C536" s="20">
        <v>80.11</v>
      </c>
      <c r="D536" s="20">
        <v>-0.11</v>
      </c>
      <c r="E536" s="20">
        <v>0.08</v>
      </c>
      <c r="F536" s="26">
        <v>2430.1799999999998</v>
      </c>
      <c r="Q536" s="20">
        <v>53.6</v>
      </c>
      <c r="R536" s="20">
        <v>80.39</v>
      </c>
      <c r="S536" s="26">
        <v>80</v>
      </c>
      <c r="T536" s="20">
        <v>-0.39</v>
      </c>
      <c r="U536" s="26">
        <v>0.05</v>
      </c>
      <c r="V536" s="26">
        <v>2189.67</v>
      </c>
    </row>
    <row r="537" spans="1:22" ht="16.8" x14ac:dyDescent="0.3">
      <c r="A537" s="20">
        <v>53.6</v>
      </c>
      <c r="B537" s="20">
        <v>80</v>
      </c>
      <c r="C537" s="26">
        <v>80.16</v>
      </c>
      <c r="D537" s="20">
        <v>-0.16</v>
      </c>
      <c r="E537" s="20">
        <v>-0.06</v>
      </c>
      <c r="F537" s="20">
        <v>2320.08</v>
      </c>
      <c r="Q537" s="20">
        <v>53.7</v>
      </c>
      <c r="R537" s="20">
        <v>80.45</v>
      </c>
      <c r="S537" s="26">
        <v>80</v>
      </c>
      <c r="T537" s="26">
        <v>-0.45</v>
      </c>
      <c r="U537" s="26">
        <v>-0.06</v>
      </c>
      <c r="V537" s="20">
        <v>2074.79</v>
      </c>
    </row>
    <row r="538" spans="1:22" ht="16.8" x14ac:dyDescent="0.3">
      <c r="A538" s="20">
        <v>53.7</v>
      </c>
      <c r="B538" s="20">
        <v>80</v>
      </c>
      <c r="C538" s="26">
        <v>80.180000000000007</v>
      </c>
      <c r="D538" s="20">
        <v>-0.18</v>
      </c>
      <c r="E538" s="20">
        <v>-0.02</v>
      </c>
      <c r="F538" s="26">
        <v>2341.39</v>
      </c>
      <c r="Q538" s="20">
        <v>53.8</v>
      </c>
      <c r="R538" s="20">
        <v>80.41</v>
      </c>
      <c r="S538" s="26">
        <v>80</v>
      </c>
      <c r="T538" s="26">
        <v>-0.41</v>
      </c>
      <c r="U538" s="26">
        <v>0.04</v>
      </c>
      <c r="V538" s="20">
        <v>2175.4499999999998</v>
      </c>
    </row>
    <row r="539" spans="1:22" ht="16.8" x14ac:dyDescent="0.3">
      <c r="A539" s="20">
        <v>53.8</v>
      </c>
      <c r="B539" s="20">
        <v>80</v>
      </c>
      <c r="C539" s="20">
        <v>80.19</v>
      </c>
      <c r="D539" s="20">
        <v>-0.19</v>
      </c>
      <c r="E539" s="20">
        <v>-0.01</v>
      </c>
      <c r="F539" s="20">
        <v>2340.67</v>
      </c>
      <c r="Q539" s="20">
        <v>53.9</v>
      </c>
      <c r="R539" s="20">
        <v>80.400000000000006</v>
      </c>
      <c r="S539" s="26">
        <v>80</v>
      </c>
      <c r="T539" s="26">
        <v>-0.4</v>
      </c>
      <c r="U539" s="26">
        <v>0.01</v>
      </c>
      <c r="V539" s="26">
        <v>2146.42</v>
      </c>
    </row>
    <row r="540" spans="1:22" ht="16.8" x14ac:dyDescent="0.3">
      <c r="A540" s="20">
        <v>53.9</v>
      </c>
      <c r="B540" s="20">
        <v>80</v>
      </c>
      <c r="C540" s="26">
        <v>80.23</v>
      </c>
      <c r="D540" s="20">
        <v>-0.23</v>
      </c>
      <c r="E540" s="20">
        <v>-0.04</v>
      </c>
      <c r="F540" s="26">
        <v>2262.46</v>
      </c>
      <c r="Q540" s="20">
        <v>54</v>
      </c>
      <c r="R540" s="20">
        <v>80.400000000000006</v>
      </c>
      <c r="S540" s="26">
        <v>80</v>
      </c>
      <c r="T540" s="26">
        <v>-0.4</v>
      </c>
      <c r="U540" s="26">
        <v>0</v>
      </c>
      <c r="V540" s="20">
        <v>2137.86</v>
      </c>
    </row>
    <row r="541" spans="1:22" ht="16.8" x14ac:dyDescent="0.3">
      <c r="A541" s="20">
        <v>54</v>
      </c>
      <c r="B541" s="20">
        <v>80</v>
      </c>
      <c r="C541" s="26">
        <v>80.239999999999995</v>
      </c>
      <c r="D541" s="20">
        <v>-0.24</v>
      </c>
      <c r="E541" s="20">
        <v>-0.01</v>
      </c>
      <c r="F541" s="26">
        <v>2279.34</v>
      </c>
      <c r="Q541" s="20">
        <v>54.1</v>
      </c>
      <c r="R541" s="20">
        <v>80.349999999999994</v>
      </c>
      <c r="S541" s="26">
        <v>80</v>
      </c>
      <c r="T541" s="26">
        <v>-0.35</v>
      </c>
      <c r="U541" s="26">
        <v>0.06</v>
      </c>
      <c r="V541" s="26">
        <v>2197.7600000000002</v>
      </c>
    </row>
    <row r="542" spans="1:22" ht="16.8" x14ac:dyDescent="0.3">
      <c r="A542" s="20">
        <v>54.1</v>
      </c>
      <c r="B542" s="20">
        <v>80</v>
      </c>
      <c r="C542" s="20">
        <v>80.209999999999994</v>
      </c>
      <c r="D542" s="20">
        <v>-0.21</v>
      </c>
      <c r="E542" s="20">
        <v>0.03</v>
      </c>
      <c r="F542" s="26">
        <v>2323.44</v>
      </c>
      <c r="Q542" s="20">
        <v>54.2</v>
      </c>
      <c r="R542" s="20">
        <v>80.37</v>
      </c>
      <c r="S542" s="26">
        <v>80</v>
      </c>
      <c r="T542" s="26">
        <v>-0.37</v>
      </c>
      <c r="U542" s="26">
        <v>-0.02</v>
      </c>
      <c r="V542" s="20">
        <v>2119.35</v>
      </c>
    </row>
    <row r="543" spans="1:22" ht="16.8" x14ac:dyDescent="0.3">
      <c r="A543" s="20">
        <v>54.2</v>
      </c>
      <c r="B543" s="20">
        <v>80</v>
      </c>
      <c r="C543" s="26">
        <v>80.209999999999994</v>
      </c>
      <c r="D543" s="20">
        <v>-0.21</v>
      </c>
      <c r="E543" s="20">
        <v>0</v>
      </c>
      <c r="F543" s="26">
        <v>2323.44</v>
      </c>
      <c r="Q543" s="20">
        <v>54.3</v>
      </c>
      <c r="R543" s="20">
        <v>80.33</v>
      </c>
      <c r="S543" s="26">
        <v>80</v>
      </c>
      <c r="T543" s="26">
        <v>-0.33</v>
      </c>
      <c r="U543" s="26">
        <v>0.04</v>
      </c>
      <c r="V543" s="26">
        <v>2183.79</v>
      </c>
    </row>
    <row r="544" spans="1:22" ht="16.8" x14ac:dyDescent="0.3">
      <c r="A544" s="20">
        <v>54.3</v>
      </c>
      <c r="B544" s="20">
        <v>80</v>
      </c>
      <c r="C544" s="20">
        <v>80.2</v>
      </c>
      <c r="D544" s="20">
        <v>-0.2</v>
      </c>
      <c r="E544" s="20">
        <v>0.01</v>
      </c>
      <c r="F544" s="26">
        <v>2335.81</v>
      </c>
      <c r="Q544" s="20">
        <v>54.4</v>
      </c>
      <c r="R544" s="20">
        <v>80.36</v>
      </c>
      <c r="S544" s="20">
        <v>80</v>
      </c>
      <c r="T544" s="26">
        <v>-0.36</v>
      </c>
      <c r="U544" s="26">
        <v>-0.02</v>
      </c>
      <c r="V544" s="20">
        <v>2120.06</v>
      </c>
    </row>
    <row r="545" spans="1:22" ht="16.8" x14ac:dyDescent="0.3">
      <c r="A545" s="20">
        <v>54.4</v>
      </c>
      <c r="B545" s="20">
        <v>80</v>
      </c>
      <c r="C545" s="26">
        <v>80.180000000000007</v>
      </c>
      <c r="D545" s="20">
        <v>-0.18</v>
      </c>
      <c r="E545" s="20">
        <v>0.02</v>
      </c>
      <c r="F545" s="20">
        <v>2352.2399999999998</v>
      </c>
      <c r="Q545" s="20">
        <v>54.5</v>
      </c>
      <c r="R545" s="20">
        <v>80.319999999999993</v>
      </c>
      <c r="S545" s="26">
        <v>80</v>
      </c>
      <c r="T545" s="26">
        <v>-0.32</v>
      </c>
      <c r="U545" s="26">
        <v>0.03</v>
      </c>
      <c r="V545" s="26">
        <v>2175.79</v>
      </c>
    </row>
    <row r="546" spans="1:22" ht="16.8" x14ac:dyDescent="0.3">
      <c r="A546" s="20">
        <v>54.5</v>
      </c>
      <c r="B546" s="20">
        <v>80</v>
      </c>
      <c r="C546" s="26">
        <v>80.25</v>
      </c>
      <c r="D546" s="20">
        <v>-0.25</v>
      </c>
      <c r="E546" s="20">
        <v>-0.06</v>
      </c>
      <c r="F546" s="26">
        <v>2227.86</v>
      </c>
      <c r="Q546" s="20">
        <v>54.6</v>
      </c>
      <c r="R546" s="20">
        <v>80.34</v>
      </c>
      <c r="S546" s="20">
        <v>80</v>
      </c>
      <c r="T546" s="26">
        <v>-0.34</v>
      </c>
      <c r="U546" s="26">
        <v>-0.02</v>
      </c>
      <c r="V546" s="20">
        <v>2128.11</v>
      </c>
    </row>
    <row r="547" spans="1:22" ht="16.8" x14ac:dyDescent="0.3">
      <c r="A547" s="20">
        <v>54.6</v>
      </c>
      <c r="B547" s="20">
        <v>80</v>
      </c>
      <c r="C547" s="20">
        <v>80.23</v>
      </c>
      <c r="D547" s="20">
        <v>-0.23</v>
      </c>
      <c r="E547" s="20">
        <v>0.02</v>
      </c>
      <c r="F547" s="20">
        <v>2302.79</v>
      </c>
      <c r="Q547" s="20">
        <v>54.7</v>
      </c>
      <c r="R547" s="20">
        <v>80.3</v>
      </c>
      <c r="S547" s="26">
        <v>80</v>
      </c>
      <c r="T547" s="26">
        <v>-0.3</v>
      </c>
      <c r="U547" s="26">
        <v>0.04</v>
      </c>
      <c r="V547" s="26">
        <v>2185.34</v>
      </c>
    </row>
    <row r="548" spans="1:22" ht="16.8" x14ac:dyDescent="0.3">
      <c r="A548" s="20">
        <v>54.7</v>
      </c>
      <c r="B548" s="20">
        <v>80</v>
      </c>
      <c r="C548" s="26">
        <v>80.2</v>
      </c>
      <c r="D548" s="20">
        <v>-0.2</v>
      </c>
      <c r="E548" s="20">
        <v>0.03</v>
      </c>
      <c r="F548" s="26">
        <v>2335.81</v>
      </c>
      <c r="Q548" s="20">
        <v>54.8</v>
      </c>
      <c r="R548" s="20">
        <v>80.3</v>
      </c>
      <c r="S548" s="26">
        <v>80</v>
      </c>
      <c r="T548" s="26">
        <v>-0.3</v>
      </c>
      <c r="U548" s="26">
        <v>0</v>
      </c>
      <c r="V548" s="20">
        <v>2147.9</v>
      </c>
    </row>
    <row r="549" spans="1:22" ht="16.8" x14ac:dyDescent="0.3">
      <c r="A549" s="20">
        <v>54.8</v>
      </c>
      <c r="B549" s="20">
        <v>80</v>
      </c>
      <c r="C549" s="20">
        <v>80.19</v>
      </c>
      <c r="D549" s="20">
        <v>-0.19</v>
      </c>
      <c r="E549" s="20">
        <v>0.01</v>
      </c>
      <c r="F549" s="26">
        <v>2348.12</v>
      </c>
      <c r="Q549" s="20">
        <v>54.9</v>
      </c>
      <c r="R549" s="20">
        <v>80.290000000000006</v>
      </c>
      <c r="S549" s="26">
        <v>80</v>
      </c>
      <c r="T549" s="26">
        <v>-0.28999999999999998</v>
      </c>
      <c r="U549" s="20">
        <v>0.01</v>
      </c>
      <c r="V549" s="26">
        <v>2155.71</v>
      </c>
    </row>
    <row r="550" spans="1:22" ht="16.8" x14ac:dyDescent="0.3">
      <c r="A550" s="20">
        <v>54.9</v>
      </c>
      <c r="B550" s="20">
        <v>80</v>
      </c>
      <c r="C550" s="26">
        <v>80.19</v>
      </c>
      <c r="D550" s="20">
        <v>-0.19</v>
      </c>
      <c r="E550" s="20">
        <v>0</v>
      </c>
      <c r="F550" s="20">
        <v>2340.27</v>
      </c>
      <c r="Q550" s="20">
        <v>55</v>
      </c>
      <c r="R550" s="20">
        <v>80.28</v>
      </c>
      <c r="S550" s="26">
        <v>80</v>
      </c>
      <c r="T550" s="26">
        <v>-0.28000000000000003</v>
      </c>
      <c r="U550" s="26">
        <v>0.01</v>
      </c>
      <c r="V550" s="20">
        <v>2156.25</v>
      </c>
    </row>
    <row r="551" spans="1:22" ht="16.8" x14ac:dyDescent="0.3">
      <c r="A551" s="20">
        <v>55</v>
      </c>
      <c r="B551" s="20">
        <v>80</v>
      </c>
      <c r="C551" s="26">
        <v>80.239999999999995</v>
      </c>
      <c r="D551" s="20">
        <v>-0.24</v>
      </c>
      <c r="E551" s="20">
        <v>-0.04</v>
      </c>
      <c r="F551" s="26">
        <v>2258.35</v>
      </c>
      <c r="Q551" s="20">
        <v>55.1</v>
      </c>
      <c r="R551" s="20">
        <v>80.23</v>
      </c>
      <c r="S551" s="26">
        <v>80</v>
      </c>
      <c r="T551" s="26">
        <v>-0.23</v>
      </c>
      <c r="U551" s="26">
        <v>0.06</v>
      </c>
      <c r="V551" s="26">
        <v>2209.1999999999998</v>
      </c>
    </row>
    <row r="552" spans="1:22" ht="16.8" x14ac:dyDescent="0.3">
      <c r="A552" s="20">
        <v>55.1</v>
      </c>
      <c r="B552" s="20">
        <v>80</v>
      </c>
      <c r="C552" s="20">
        <v>80.239999999999995</v>
      </c>
      <c r="D552" s="20">
        <v>-0.24</v>
      </c>
      <c r="E552" s="20">
        <v>0</v>
      </c>
      <c r="F552" s="26">
        <v>2290.77</v>
      </c>
      <c r="Q552" s="20">
        <v>55.2</v>
      </c>
      <c r="R552" s="20">
        <v>80.27</v>
      </c>
      <c r="S552" s="26">
        <v>80</v>
      </c>
      <c r="T552" s="26">
        <v>-0.27</v>
      </c>
      <c r="U552" s="26">
        <v>-0.04</v>
      </c>
      <c r="V552" s="20">
        <v>2113.73</v>
      </c>
    </row>
    <row r="553" spans="1:22" ht="16.8" x14ac:dyDescent="0.3">
      <c r="A553" s="20">
        <v>55.2</v>
      </c>
      <c r="B553" s="20">
        <v>80</v>
      </c>
      <c r="C553" s="26">
        <v>80.19</v>
      </c>
      <c r="D553" s="20">
        <v>-0.19</v>
      </c>
      <c r="E553" s="20">
        <v>0.05</v>
      </c>
      <c r="F553" s="26">
        <v>2348.12</v>
      </c>
      <c r="Q553" s="20">
        <v>55.3</v>
      </c>
      <c r="R553" s="20">
        <v>80.239999999999995</v>
      </c>
      <c r="S553" s="26">
        <v>80</v>
      </c>
      <c r="T553" s="26">
        <v>-0.24</v>
      </c>
      <c r="U553" s="26">
        <v>0.03</v>
      </c>
      <c r="V553" s="26">
        <v>2184.33</v>
      </c>
    </row>
    <row r="554" spans="1:22" ht="16.8" x14ac:dyDescent="0.3">
      <c r="A554" s="20">
        <v>55.3</v>
      </c>
      <c r="B554" s="20">
        <v>80</v>
      </c>
      <c r="C554" s="26">
        <v>80.209999999999994</v>
      </c>
      <c r="D554" s="20">
        <v>-0.21</v>
      </c>
      <c r="E554" s="20">
        <v>-0.02</v>
      </c>
      <c r="F554" s="26">
        <v>2301.25</v>
      </c>
      <c r="Q554" s="20">
        <v>55.4</v>
      </c>
      <c r="R554" s="20">
        <v>80.16</v>
      </c>
      <c r="S554" s="26">
        <v>80</v>
      </c>
      <c r="T554" s="26">
        <v>-0.16</v>
      </c>
      <c r="U554" s="26">
        <v>7.0000000000000007E-2</v>
      </c>
      <c r="V554" s="20">
        <v>2233.0300000000002</v>
      </c>
    </row>
    <row r="555" spans="1:22" ht="16.8" x14ac:dyDescent="0.3">
      <c r="A555" s="20">
        <v>55.4</v>
      </c>
      <c r="B555" s="20">
        <v>80</v>
      </c>
      <c r="C555" s="20">
        <v>80.16</v>
      </c>
      <c r="D555" s="20">
        <v>-0.16</v>
      </c>
      <c r="E555" s="20">
        <v>0.05</v>
      </c>
      <c r="F555" s="26">
        <v>2372.7800000000002</v>
      </c>
      <c r="Q555" s="20">
        <v>55.5</v>
      </c>
      <c r="R555" s="20">
        <v>80.209999999999994</v>
      </c>
      <c r="S555" s="26">
        <v>80</v>
      </c>
      <c r="T555" s="26">
        <v>-0.21</v>
      </c>
      <c r="U555" s="26">
        <v>-0.05</v>
      </c>
      <c r="V555" s="26">
        <v>2114.39</v>
      </c>
    </row>
    <row r="556" spans="1:22" ht="16.8" x14ac:dyDescent="0.3">
      <c r="A556" s="20">
        <v>55.5</v>
      </c>
      <c r="B556" s="20">
        <v>80</v>
      </c>
      <c r="C556" s="26">
        <v>80.2</v>
      </c>
      <c r="D556" s="20">
        <v>-0.2</v>
      </c>
      <c r="E556" s="20">
        <v>-0.04</v>
      </c>
      <c r="F556" s="26">
        <v>2294.71</v>
      </c>
      <c r="Q556" s="20">
        <v>55.6</v>
      </c>
      <c r="R556" s="20">
        <v>80.150000000000006</v>
      </c>
      <c r="S556" s="26">
        <v>80</v>
      </c>
      <c r="T556" s="26">
        <v>-0.15</v>
      </c>
      <c r="U556" s="26">
        <v>0.06</v>
      </c>
      <c r="V556" s="20">
        <v>2227.44</v>
      </c>
    </row>
    <row r="557" spans="1:22" ht="16.8" x14ac:dyDescent="0.3">
      <c r="A557" s="20">
        <v>55.6</v>
      </c>
      <c r="B557" s="20">
        <v>80</v>
      </c>
      <c r="C557" s="20">
        <v>80.19</v>
      </c>
      <c r="D557" s="20">
        <v>-0.19</v>
      </c>
      <c r="E557" s="20">
        <v>0.01</v>
      </c>
      <c r="F557" s="26">
        <v>2343.9899999999998</v>
      </c>
      <c r="Q557" s="20">
        <v>55.7</v>
      </c>
      <c r="R557" s="20">
        <v>80.180000000000007</v>
      </c>
      <c r="S557" s="26">
        <v>80</v>
      </c>
      <c r="T557" s="26">
        <v>-0.18</v>
      </c>
      <c r="U557" s="26">
        <v>-0.03</v>
      </c>
      <c r="V557" s="26">
        <v>2133.63</v>
      </c>
    </row>
    <row r="558" spans="1:22" ht="16.8" x14ac:dyDescent="0.3">
      <c r="A558" s="20">
        <v>55.7</v>
      </c>
      <c r="B558" s="20">
        <v>80</v>
      </c>
      <c r="C558" s="26">
        <v>80.209999999999994</v>
      </c>
      <c r="D558" s="20">
        <v>-0.21</v>
      </c>
      <c r="E558" s="20">
        <v>-0.02</v>
      </c>
      <c r="F558" s="26">
        <v>2304.9499999999998</v>
      </c>
      <c r="Q558" s="20">
        <v>55.8</v>
      </c>
      <c r="R558" s="20">
        <v>80.14</v>
      </c>
      <c r="S558" s="26">
        <v>80</v>
      </c>
      <c r="T558" s="26">
        <v>-0.14000000000000001</v>
      </c>
      <c r="U558" s="26">
        <v>0.04</v>
      </c>
      <c r="V558" s="20">
        <v>2205.9499999999998</v>
      </c>
    </row>
    <row r="559" spans="1:22" ht="16.8" x14ac:dyDescent="0.3">
      <c r="A559" s="20">
        <v>55.8</v>
      </c>
      <c r="B559" s="20">
        <v>80</v>
      </c>
      <c r="C559" s="26">
        <v>80.13</v>
      </c>
      <c r="D559" s="20">
        <v>-0.13</v>
      </c>
      <c r="E559" s="20">
        <v>0.08</v>
      </c>
      <c r="F559" s="26">
        <v>2401.75</v>
      </c>
      <c r="Q559" s="20">
        <v>55.9</v>
      </c>
      <c r="R559" s="20">
        <v>80.19</v>
      </c>
      <c r="S559" s="26">
        <v>80</v>
      </c>
      <c r="T559" s="26">
        <v>-0.19</v>
      </c>
      <c r="U559" s="26">
        <v>-0.06</v>
      </c>
      <c r="V559" s="26">
        <v>2107.88</v>
      </c>
    </row>
    <row r="560" spans="1:22" ht="16.8" x14ac:dyDescent="0.3">
      <c r="A560" s="20">
        <v>55.9</v>
      </c>
      <c r="B560" s="20">
        <v>80</v>
      </c>
      <c r="C560" s="20">
        <v>80.16</v>
      </c>
      <c r="D560" s="20">
        <v>-0.16</v>
      </c>
      <c r="E560" s="20">
        <v>-0.03</v>
      </c>
      <c r="F560" s="26">
        <v>2346.36</v>
      </c>
      <c r="Q560" s="20">
        <v>56</v>
      </c>
      <c r="R560" s="20">
        <v>80.16</v>
      </c>
      <c r="S560" s="26">
        <v>80</v>
      </c>
      <c r="T560" s="26">
        <v>-0.16</v>
      </c>
      <c r="U560" s="26">
        <v>0.03</v>
      </c>
      <c r="V560" s="20">
        <v>2193.3200000000002</v>
      </c>
    </row>
    <row r="561" spans="1:22" ht="16.8" x14ac:dyDescent="0.3">
      <c r="A561" s="20">
        <v>56</v>
      </c>
      <c r="B561" s="20">
        <v>80</v>
      </c>
      <c r="C561" s="26">
        <v>80.16</v>
      </c>
      <c r="D561" s="20">
        <v>-0.16</v>
      </c>
      <c r="E561" s="20">
        <v>0</v>
      </c>
      <c r="F561" s="20">
        <v>2372.7800000000002</v>
      </c>
      <c r="Q561" s="20">
        <v>56.1</v>
      </c>
      <c r="R561" s="20">
        <v>80.16</v>
      </c>
      <c r="S561" s="26">
        <v>80</v>
      </c>
      <c r="T561" s="26">
        <v>-0.16</v>
      </c>
      <c r="U561" s="26">
        <v>0</v>
      </c>
      <c r="V561" s="20">
        <v>2163.61</v>
      </c>
    </row>
    <row r="562" spans="1:22" ht="16.8" x14ac:dyDescent="0.3">
      <c r="A562" s="20">
        <v>56.1</v>
      </c>
      <c r="B562" s="20">
        <v>80</v>
      </c>
      <c r="C562" s="26">
        <v>80.13</v>
      </c>
      <c r="D562" s="20">
        <v>-0.13</v>
      </c>
      <c r="E562" s="20">
        <v>0.03</v>
      </c>
      <c r="F562" s="26">
        <v>2405.91</v>
      </c>
      <c r="Q562" s="20">
        <v>56.2</v>
      </c>
      <c r="R562" s="20">
        <v>80.16</v>
      </c>
      <c r="S562" s="26">
        <v>80</v>
      </c>
      <c r="T562" s="26">
        <v>-0.16</v>
      </c>
      <c r="U562" s="26">
        <v>0</v>
      </c>
      <c r="V562" s="26">
        <v>2163.11</v>
      </c>
    </row>
    <row r="563" spans="1:22" ht="16.8" x14ac:dyDescent="0.3">
      <c r="A563" s="20">
        <v>56.2</v>
      </c>
      <c r="B563" s="20">
        <v>80</v>
      </c>
      <c r="C563" s="20">
        <v>80.150000000000006</v>
      </c>
      <c r="D563" s="20">
        <v>-0.15</v>
      </c>
      <c r="E563" s="20">
        <v>-0.02</v>
      </c>
      <c r="F563" s="20">
        <v>2374.0700000000002</v>
      </c>
      <c r="Q563" s="20">
        <v>56.3</v>
      </c>
      <c r="R563" s="20">
        <v>80.14</v>
      </c>
      <c r="S563" s="26">
        <v>80</v>
      </c>
      <c r="T563" s="26">
        <v>-0.14000000000000001</v>
      </c>
      <c r="U563" s="26">
        <v>0.02</v>
      </c>
      <c r="V563" s="20">
        <v>2188.8000000000002</v>
      </c>
    </row>
    <row r="564" spans="1:22" ht="16.8" x14ac:dyDescent="0.3">
      <c r="A564" s="20">
        <v>56.3</v>
      </c>
      <c r="B564" s="20">
        <v>80</v>
      </c>
      <c r="C564" s="26">
        <v>80.11</v>
      </c>
      <c r="D564" s="20">
        <v>-0.11</v>
      </c>
      <c r="E564" s="20">
        <v>0.03</v>
      </c>
      <c r="F564" s="26">
        <v>2422.6799999999998</v>
      </c>
      <c r="Q564" s="20">
        <v>56.4</v>
      </c>
      <c r="R564" s="20">
        <v>80.16</v>
      </c>
      <c r="S564" s="26">
        <v>80</v>
      </c>
      <c r="T564" s="26">
        <v>-0.16</v>
      </c>
      <c r="U564" s="26">
        <v>-0.02</v>
      </c>
      <c r="V564" s="26">
        <v>2140.2800000000002</v>
      </c>
    </row>
    <row r="565" spans="1:22" ht="16.8" x14ac:dyDescent="0.3">
      <c r="A565" s="20">
        <v>56.4</v>
      </c>
      <c r="B565" s="20">
        <v>80</v>
      </c>
      <c r="C565" s="20">
        <v>80.150000000000006</v>
      </c>
      <c r="D565" s="20">
        <v>-0.15</v>
      </c>
      <c r="E565" s="20">
        <v>-0.04</v>
      </c>
      <c r="F565" s="26">
        <v>2351.04</v>
      </c>
      <c r="Q565" s="20">
        <v>56.5</v>
      </c>
      <c r="R565" s="20">
        <v>80.17</v>
      </c>
      <c r="S565" s="26">
        <v>80</v>
      </c>
      <c r="T565" s="26">
        <v>-0.17</v>
      </c>
      <c r="U565" s="26">
        <v>-0.01</v>
      </c>
      <c r="V565" s="20">
        <v>2152.9299999999998</v>
      </c>
    </row>
    <row r="566" spans="1:22" ht="16.8" x14ac:dyDescent="0.3">
      <c r="A566" s="20">
        <v>56.5</v>
      </c>
      <c r="B566" s="20">
        <v>80</v>
      </c>
      <c r="C566" s="26">
        <v>80.09</v>
      </c>
      <c r="D566" s="20">
        <v>-0.09</v>
      </c>
      <c r="E566" s="20">
        <v>0.06</v>
      </c>
      <c r="F566" s="20">
        <v>2443.88</v>
      </c>
      <c r="Q566" s="20">
        <v>56.6</v>
      </c>
      <c r="R566" s="20">
        <v>80.12</v>
      </c>
      <c r="S566" s="26">
        <v>80</v>
      </c>
      <c r="T566" s="26">
        <v>-0.12</v>
      </c>
      <c r="U566" s="26">
        <v>0.05</v>
      </c>
      <c r="V566" s="26">
        <v>2212.13</v>
      </c>
    </row>
    <row r="567" spans="1:22" ht="16.8" x14ac:dyDescent="0.3">
      <c r="A567" s="20">
        <v>56.6</v>
      </c>
      <c r="B567" s="20">
        <v>80</v>
      </c>
      <c r="C567" s="26">
        <v>80.06</v>
      </c>
      <c r="D567" s="20">
        <v>-0.06</v>
      </c>
      <c r="E567" s="20">
        <v>0.03</v>
      </c>
      <c r="F567" s="26">
        <v>2478.7600000000002</v>
      </c>
      <c r="Q567" s="20">
        <v>56.7</v>
      </c>
      <c r="R567" s="20">
        <v>80.150000000000006</v>
      </c>
      <c r="S567" s="26">
        <v>80</v>
      </c>
      <c r="T567" s="26">
        <v>-0.15</v>
      </c>
      <c r="U567" s="26">
        <v>-0.02</v>
      </c>
      <c r="V567" s="20">
        <v>2141.7199999999998</v>
      </c>
    </row>
    <row r="568" spans="1:22" ht="16.8" x14ac:dyDescent="0.3">
      <c r="A568" s="20">
        <v>56.7</v>
      </c>
      <c r="B568" s="20">
        <v>80</v>
      </c>
      <c r="C568" s="20">
        <v>80.08</v>
      </c>
      <c r="D568" s="20">
        <v>-0.08</v>
      </c>
      <c r="E568" s="20">
        <v>-0.02</v>
      </c>
      <c r="F568" s="26">
        <v>2436.9899999999998</v>
      </c>
      <c r="Q568" s="20">
        <v>56.8</v>
      </c>
      <c r="R568" s="20">
        <v>80.13</v>
      </c>
      <c r="S568" s="26">
        <v>80</v>
      </c>
      <c r="T568" s="26">
        <v>-0.13</v>
      </c>
      <c r="U568" s="26">
        <v>0.02</v>
      </c>
      <c r="V568" s="20">
        <v>2180.64</v>
      </c>
    </row>
    <row r="569" spans="1:22" ht="16.8" x14ac:dyDescent="0.3">
      <c r="A569" s="20">
        <v>56.8</v>
      </c>
      <c r="B569" s="20">
        <v>80</v>
      </c>
      <c r="C569" s="26">
        <v>80.08</v>
      </c>
      <c r="D569" s="20">
        <v>-0.08</v>
      </c>
      <c r="E569" s="20">
        <v>0</v>
      </c>
      <c r="F569" s="26">
        <v>2461.17</v>
      </c>
      <c r="Q569" s="20">
        <v>56.9</v>
      </c>
      <c r="R569" s="20">
        <v>80.11</v>
      </c>
      <c r="S569" s="26">
        <v>80</v>
      </c>
      <c r="T569" s="26">
        <v>-0.11</v>
      </c>
      <c r="U569" s="26">
        <v>0.02</v>
      </c>
      <c r="V569" s="26">
        <v>2183.12</v>
      </c>
    </row>
    <row r="570" spans="1:22" ht="16.8" x14ac:dyDescent="0.3">
      <c r="A570" s="20">
        <v>56.9</v>
      </c>
      <c r="B570" s="20">
        <v>80</v>
      </c>
      <c r="C570" s="20">
        <v>80.12</v>
      </c>
      <c r="D570" s="20">
        <v>-0.12</v>
      </c>
      <c r="E570" s="20">
        <v>-0.04</v>
      </c>
      <c r="F570" s="26">
        <v>2379.8000000000002</v>
      </c>
      <c r="Q570" s="20">
        <v>57</v>
      </c>
      <c r="R570" s="20">
        <v>80.16</v>
      </c>
      <c r="S570" s="26">
        <v>80</v>
      </c>
      <c r="T570" s="26">
        <v>-0.16</v>
      </c>
      <c r="U570" s="26">
        <v>-0.05</v>
      </c>
      <c r="V570" s="20">
        <v>2115.7399999999998</v>
      </c>
    </row>
    <row r="571" spans="1:22" ht="16.8" x14ac:dyDescent="0.3">
      <c r="A571" s="20">
        <v>57</v>
      </c>
      <c r="B571" s="20">
        <v>80</v>
      </c>
      <c r="C571" s="26">
        <v>80.17</v>
      </c>
      <c r="D571" s="20">
        <v>-0.17</v>
      </c>
      <c r="E571" s="20">
        <v>-0.05</v>
      </c>
      <c r="F571" s="26">
        <v>2323.56</v>
      </c>
      <c r="Q571" s="20">
        <v>57.1</v>
      </c>
      <c r="R571" s="20">
        <v>80.069999999999993</v>
      </c>
      <c r="S571" s="26">
        <v>80</v>
      </c>
      <c r="T571" s="26">
        <v>-7.0000000000000007E-2</v>
      </c>
      <c r="U571" s="26">
        <v>0.1</v>
      </c>
      <c r="V571" s="26">
        <v>2263.87</v>
      </c>
    </row>
    <row r="572" spans="1:22" ht="16.8" x14ac:dyDescent="0.3">
      <c r="A572" s="20">
        <v>57.1</v>
      </c>
      <c r="B572" s="20">
        <v>80</v>
      </c>
      <c r="C572" s="26">
        <v>80.11</v>
      </c>
      <c r="D572" s="20">
        <v>-0.11</v>
      </c>
      <c r="E572" s="20">
        <v>0.05</v>
      </c>
      <c r="F572" s="20">
        <v>2422.6799999999998</v>
      </c>
      <c r="Q572" s="20">
        <v>57.2</v>
      </c>
      <c r="R572" s="20">
        <v>80.11</v>
      </c>
      <c r="S572" s="26">
        <v>80</v>
      </c>
      <c r="T572" s="26">
        <v>-0.11</v>
      </c>
      <c r="U572" s="26">
        <v>-0.04</v>
      </c>
      <c r="V572" s="20">
        <v>2132.38</v>
      </c>
    </row>
    <row r="573" spans="1:22" ht="16.8" x14ac:dyDescent="0.3">
      <c r="A573" s="20">
        <v>57.2</v>
      </c>
      <c r="B573" s="20">
        <v>80</v>
      </c>
      <c r="C573" s="26">
        <v>80.150000000000006</v>
      </c>
      <c r="D573" s="20">
        <v>-0.15</v>
      </c>
      <c r="E573" s="20">
        <v>-0.03</v>
      </c>
      <c r="F573" s="26">
        <v>2358.84</v>
      </c>
      <c r="Q573" s="20">
        <v>57.3</v>
      </c>
      <c r="R573" s="20">
        <v>80.040000000000006</v>
      </c>
      <c r="S573" s="26">
        <v>80</v>
      </c>
      <c r="T573" s="26">
        <v>-0.04</v>
      </c>
      <c r="U573" s="26">
        <v>0.06</v>
      </c>
      <c r="V573" s="26">
        <v>2238.4299999999998</v>
      </c>
    </row>
    <row r="574" spans="1:22" ht="16.8" x14ac:dyDescent="0.3">
      <c r="A574" s="20">
        <v>57.3</v>
      </c>
      <c r="B574" s="20">
        <v>80</v>
      </c>
      <c r="C574" s="20">
        <v>80.17</v>
      </c>
      <c r="D574" s="20">
        <v>-0.17</v>
      </c>
      <c r="E574" s="20">
        <v>-0.02</v>
      </c>
      <c r="F574" s="26">
        <v>2341.98</v>
      </c>
      <c r="Q574" s="20">
        <v>57.4</v>
      </c>
      <c r="R574" s="20">
        <v>80.09</v>
      </c>
      <c r="S574" s="26">
        <v>80</v>
      </c>
      <c r="T574" s="26">
        <v>-0.09</v>
      </c>
      <c r="U574" s="26">
        <v>-0.05</v>
      </c>
      <c r="V574" s="20">
        <v>2127.4899999999998</v>
      </c>
    </row>
    <row r="575" spans="1:22" ht="16.8" x14ac:dyDescent="0.3">
      <c r="A575" s="20">
        <v>57.4</v>
      </c>
      <c r="B575" s="20">
        <v>80</v>
      </c>
      <c r="C575" s="26">
        <v>80.11</v>
      </c>
      <c r="D575" s="20">
        <v>-0.11</v>
      </c>
      <c r="E575" s="20">
        <v>0.06</v>
      </c>
      <c r="F575" s="26">
        <v>2426.89</v>
      </c>
      <c r="Q575" s="20">
        <v>57.5</v>
      </c>
      <c r="R575" s="20">
        <v>80.06</v>
      </c>
      <c r="S575" s="26">
        <v>80</v>
      </c>
      <c r="T575" s="26">
        <v>-0.06</v>
      </c>
      <c r="U575" s="26">
        <v>0.03</v>
      </c>
      <c r="V575" s="26">
        <v>2205.9499999999998</v>
      </c>
    </row>
    <row r="576" spans="1:22" ht="16.8" x14ac:dyDescent="0.3">
      <c r="A576" s="20">
        <v>57.5</v>
      </c>
      <c r="B576" s="20">
        <v>80</v>
      </c>
      <c r="C576" s="26">
        <v>80.08</v>
      </c>
      <c r="D576" s="20">
        <v>-0.08</v>
      </c>
      <c r="E576" s="20">
        <v>0.03</v>
      </c>
      <c r="F576" s="26">
        <v>2461.17</v>
      </c>
      <c r="Q576" s="20">
        <v>57.6</v>
      </c>
      <c r="R576" s="20">
        <v>80.040000000000006</v>
      </c>
      <c r="S576" s="26">
        <v>80</v>
      </c>
      <c r="T576" s="26">
        <v>-0.04</v>
      </c>
      <c r="U576" s="26">
        <v>0.02</v>
      </c>
      <c r="V576" s="20">
        <v>2194.04</v>
      </c>
    </row>
    <row r="577" spans="1:22" ht="16.8" x14ac:dyDescent="0.3">
      <c r="A577" s="20">
        <v>57.6</v>
      </c>
      <c r="B577" s="20">
        <v>80</v>
      </c>
      <c r="C577" s="20">
        <v>80.13</v>
      </c>
      <c r="D577" s="20">
        <v>-0.13</v>
      </c>
      <c r="E577" s="20">
        <v>-0.06</v>
      </c>
      <c r="F577" s="20">
        <v>2348.2199999999998</v>
      </c>
      <c r="Q577" s="20">
        <v>57.7</v>
      </c>
      <c r="R577" s="20">
        <v>80.09</v>
      </c>
      <c r="S577" s="26">
        <v>80</v>
      </c>
      <c r="T577" s="26">
        <v>-0.09</v>
      </c>
      <c r="U577" s="26">
        <v>-0.05</v>
      </c>
      <c r="V577" s="26">
        <v>2126.9</v>
      </c>
    </row>
    <row r="578" spans="1:22" ht="16.8" x14ac:dyDescent="0.3">
      <c r="A578" s="20">
        <v>57.7</v>
      </c>
      <c r="B578" s="20">
        <v>80</v>
      </c>
      <c r="C578" s="26">
        <v>80.14</v>
      </c>
      <c r="D578" s="20">
        <v>-0.14000000000000001</v>
      </c>
      <c r="E578" s="20">
        <v>0</v>
      </c>
      <c r="F578" s="26">
        <v>2393.7600000000002</v>
      </c>
      <c r="Q578" s="20">
        <v>57.8</v>
      </c>
      <c r="R578" s="20">
        <v>80.099999999999994</v>
      </c>
      <c r="S578" s="20">
        <v>80</v>
      </c>
      <c r="T578" s="26">
        <v>-0.1</v>
      </c>
      <c r="U578" s="26">
        <v>-0.01</v>
      </c>
      <c r="V578" s="20">
        <v>2161.69</v>
      </c>
    </row>
    <row r="579" spans="1:22" ht="16.8" x14ac:dyDescent="0.3">
      <c r="A579" s="20">
        <v>57.8</v>
      </c>
      <c r="B579" s="20">
        <v>80</v>
      </c>
      <c r="C579" s="20">
        <v>80.150000000000006</v>
      </c>
      <c r="D579" s="20">
        <v>-0.15</v>
      </c>
      <c r="E579" s="20">
        <v>-0.02</v>
      </c>
      <c r="F579" s="26">
        <v>2365.91</v>
      </c>
      <c r="Q579" s="20">
        <v>57.9</v>
      </c>
      <c r="R579" s="20">
        <v>80.06</v>
      </c>
      <c r="S579" s="26">
        <v>80</v>
      </c>
      <c r="T579" s="26">
        <v>-0.06</v>
      </c>
      <c r="U579" s="26">
        <v>0.04</v>
      </c>
      <c r="V579" s="20">
        <v>2212.36</v>
      </c>
    </row>
    <row r="580" spans="1:22" ht="16.8" x14ac:dyDescent="0.3">
      <c r="A580" s="20">
        <v>57.9</v>
      </c>
      <c r="B580" s="20">
        <v>80</v>
      </c>
      <c r="C580" s="26">
        <v>80.17</v>
      </c>
      <c r="D580" s="20">
        <v>-0.17</v>
      </c>
      <c r="E580" s="20">
        <v>-0.01</v>
      </c>
      <c r="F580" s="26">
        <v>2357.39</v>
      </c>
      <c r="Q580" s="20">
        <v>58</v>
      </c>
      <c r="R580" s="20">
        <v>80.12</v>
      </c>
      <c r="S580" s="26">
        <v>80</v>
      </c>
      <c r="T580" s="26">
        <v>-0.12</v>
      </c>
      <c r="U580" s="26">
        <v>-0.06</v>
      </c>
      <c r="V580" s="26">
        <v>2105.8000000000002</v>
      </c>
    </row>
    <row r="581" spans="1:22" ht="16.8" x14ac:dyDescent="0.3">
      <c r="A581" s="20">
        <v>58</v>
      </c>
      <c r="B581" s="20">
        <v>80</v>
      </c>
      <c r="C581" s="26">
        <v>80.2</v>
      </c>
      <c r="D581" s="20">
        <v>-0.2</v>
      </c>
      <c r="E581" s="20">
        <v>-0.03</v>
      </c>
      <c r="F581" s="26">
        <v>2306.12</v>
      </c>
      <c r="Q581" s="20">
        <v>58.1</v>
      </c>
      <c r="R581" s="20">
        <v>80.06</v>
      </c>
      <c r="S581" s="26">
        <v>80</v>
      </c>
      <c r="T581" s="26">
        <v>-0.06</v>
      </c>
      <c r="U581" s="26">
        <v>0.06</v>
      </c>
      <c r="V581" s="20">
        <v>2233.6999999999998</v>
      </c>
    </row>
    <row r="582" spans="1:22" ht="16.8" x14ac:dyDescent="0.3">
      <c r="A582" s="20">
        <v>58.1</v>
      </c>
      <c r="B582" s="20">
        <v>80</v>
      </c>
      <c r="C582" s="20">
        <v>80.209999999999994</v>
      </c>
      <c r="D582" s="20">
        <v>-0.21</v>
      </c>
      <c r="E582" s="20">
        <v>-0.01</v>
      </c>
      <c r="F582" s="26">
        <v>2312.37</v>
      </c>
      <c r="Q582" s="20">
        <v>58.2</v>
      </c>
      <c r="R582" s="20">
        <v>80.13</v>
      </c>
      <c r="S582" s="26">
        <v>80</v>
      </c>
      <c r="T582" s="26">
        <v>-0.13</v>
      </c>
      <c r="U582" s="26">
        <v>-7.0000000000000007E-2</v>
      </c>
      <c r="V582" s="26">
        <v>2096.4899999999998</v>
      </c>
    </row>
    <row r="583" spans="1:22" ht="16.8" x14ac:dyDescent="0.3">
      <c r="A583" s="20">
        <v>58.2</v>
      </c>
      <c r="B583" s="20">
        <v>80</v>
      </c>
      <c r="C583" s="26">
        <v>80.22</v>
      </c>
      <c r="D583" s="20">
        <v>-0.22</v>
      </c>
      <c r="E583" s="20">
        <v>0</v>
      </c>
      <c r="F583" s="26">
        <v>2315.63</v>
      </c>
      <c r="Q583" s="20">
        <v>58.3</v>
      </c>
      <c r="R583" s="20">
        <v>80.03</v>
      </c>
      <c r="S583" s="26">
        <v>80</v>
      </c>
      <c r="T583" s="26">
        <v>-0.03</v>
      </c>
      <c r="U583" s="26">
        <v>0.1</v>
      </c>
      <c r="V583" s="20">
        <v>2275.36</v>
      </c>
    </row>
    <row r="584" spans="1:22" ht="16.8" x14ac:dyDescent="0.3">
      <c r="A584" s="20">
        <v>58.3</v>
      </c>
      <c r="B584" s="20">
        <v>80</v>
      </c>
      <c r="C584" s="26">
        <v>80.16</v>
      </c>
      <c r="D584" s="20">
        <v>-0.16</v>
      </c>
      <c r="E584" s="20">
        <v>0.05</v>
      </c>
      <c r="F584" s="26">
        <v>2372.7800000000002</v>
      </c>
      <c r="Q584" s="20">
        <v>58.4</v>
      </c>
      <c r="R584" s="20">
        <v>80.040000000000006</v>
      </c>
      <c r="S584" s="26">
        <v>80</v>
      </c>
      <c r="T584" s="26">
        <v>-0.04</v>
      </c>
      <c r="U584" s="26">
        <v>-0.02</v>
      </c>
      <c r="V584" s="26">
        <v>2162.9</v>
      </c>
    </row>
    <row r="585" spans="1:22" ht="16.8" x14ac:dyDescent="0.3">
      <c r="A585" s="20">
        <v>58.4</v>
      </c>
      <c r="B585" s="20">
        <v>80</v>
      </c>
      <c r="C585" s="20">
        <v>80.19</v>
      </c>
      <c r="D585" s="20">
        <v>-0.19</v>
      </c>
      <c r="E585" s="20">
        <v>-0.02</v>
      </c>
      <c r="F585" s="26">
        <v>2325.73</v>
      </c>
      <c r="Q585" s="20">
        <v>58.5</v>
      </c>
      <c r="R585" s="20">
        <v>80.03</v>
      </c>
      <c r="S585" s="26">
        <v>80</v>
      </c>
      <c r="T585" s="26">
        <v>-0.03</v>
      </c>
      <c r="U585" s="26">
        <v>0.01</v>
      </c>
      <c r="V585" s="20">
        <v>2186.11</v>
      </c>
    </row>
    <row r="586" spans="1:22" ht="16.8" x14ac:dyDescent="0.3">
      <c r="A586" s="20">
        <v>58.5</v>
      </c>
      <c r="B586" s="20">
        <v>80</v>
      </c>
      <c r="C586" s="26">
        <v>80.22</v>
      </c>
      <c r="D586" s="20">
        <v>-0.22</v>
      </c>
      <c r="E586" s="20">
        <v>-0.04</v>
      </c>
      <c r="F586" s="26">
        <v>2278.02</v>
      </c>
      <c r="Q586" s="20">
        <v>58.6</v>
      </c>
      <c r="R586" s="20">
        <v>80.069999999999993</v>
      </c>
      <c r="S586" s="26">
        <v>80</v>
      </c>
      <c r="T586" s="26">
        <v>-7.0000000000000007E-2</v>
      </c>
      <c r="U586" s="26">
        <v>-0.04</v>
      </c>
      <c r="V586" s="26">
        <v>2135.04</v>
      </c>
    </row>
    <row r="587" spans="1:22" ht="16.8" x14ac:dyDescent="0.3">
      <c r="A587" s="20">
        <v>58.6</v>
      </c>
      <c r="B587" s="20">
        <v>80</v>
      </c>
      <c r="C587" s="20">
        <v>80.23</v>
      </c>
      <c r="D587" s="20">
        <v>-0.23</v>
      </c>
      <c r="E587" s="20">
        <v>-0.01</v>
      </c>
      <c r="F587" s="26">
        <v>2295.44</v>
      </c>
      <c r="Q587" s="20">
        <v>58.7</v>
      </c>
      <c r="R587" s="20">
        <v>80.03</v>
      </c>
      <c r="S587" s="26">
        <v>80</v>
      </c>
      <c r="T587" s="26">
        <v>-0.03</v>
      </c>
      <c r="U587" s="26">
        <v>0.04</v>
      </c>
      <c r="V587" s="20">
        <v>2214.9699999999998</v>
      </c>
    </row>
    <row r="588" spans="1:22" ht="16.8" x14ac:dyDescent="0.3">
      <c r="A588" s="20">
        <v>58.7</v>
      </c>
      <c r="B588" s="20">
        <v>80</v>
      </c>
      <c r="C588" s="26">
        <v>80.22</v>
      </c>
      <c r="D588" s="20">
        <v>-0.22</v>
      </c>
      <c r="E588" s="20">
        <v>0.01</v>
      </c>
      <c r="F588" s="20">
        <v>2311.08</v>
      </c>
      <c r="Q588" s="20">
        <v>58.8</v>
      </c>
      <c r="R588" s="20">
        <v>80.03</v>
      </c>
      <c r="S588" s="26">
        <v>80</v>
      </c>
      <c r="T588" s="26">
        <v>-0.03</v>
      </c>
      <c r="U588" s="26">
        <v>0.01</v>
      </c>
      <c r="V588" s="20">
        <v>2187.1</v>
      </c>
    </row>
    <row r="589" spans="1:22" ht="16.8" x14ac:dyDescent="0.3">
      <c r="A589" s="20">
        <v>58.8</v>
      </c>
      <c r="B589" s="20">
        <v>80</v>
      </c>
      <c r="C589" s="26">
        <v>80.19</v>
      </c>
      <c r="D589" s="20">
        <v>-0.19</v>
      </c>
      <c r="E589" s="20">
        <v>0.03</v>
      </c>
      <c r="F589" s="26">
        <v>2343.9899999999998</v>
      </c>
      <c r="Q589" s="20">
        <v>58.9</v>
      </c>
      <c r="R589" s="20">
        <v>80</v>
      </c>
      <c r="S589" s="26">
        <v>80</v>
      </c>
      <c r="T589" s="26">
        <v>0</v>
      </c>
      <c r="U589" s="26">
        <v>0.02</v>
      </c>
      <c r="V589" s="26">
        <v>2205.94</v>
      </c>
    </row>
    <row r="590" spans="1:22" ht="16.8" x14ac:dyDescent="0.3">
      <c r="A590" s="20">
        <v>58.9</v>
      </c>
      <c r="B590" s="20">
        <v>80</v>
      </c>
      <c r="C590" s="20">
        <v>80.180000000000007</v>
      </c>
      <c r="D590" s="20">
        <v>-0.18</v>
      </c>
      <c r="E590" s="20">
        <v>0.01</v>
      </c>
      <c r="F590" s="26">
        <v>2352.2399999999998</v>
      </c>
      <c r="Q590" s="20">
        <v>59</v>
      </c>
      <c r="R590" s="20">
        <v>80.02</v>
      </c>
      <c r="S590" s="26">
        <v>80</v>
      </c>
      <c r="T590" s="26">
        <v>-0.02</v>
      </c>
      <c r="U590" s="26">
        <v>-0.02</v>
      </c>
      <c r="V590" s="20">
        <v>2166.54</v>
      </c>
    </row>
    <row r="591" spans="1:22" ht="16.8" x14ac:dyDescent="0.3">
      <c r="A591" s="20">
        <v>59</v>
      </c>
      <c r="B591" s="20">
        <v>80</v>
      </c>
      <c r="C591" s="26">
        <v>80.22</v>
      </c>
      <c r="D591" s="20">
        <v>-0.22</v>
      </c>
      <c r="E591" s="20">
        <v>-0.04</v>
      </c>
      <c r="F591" s="20">
        <v>2282.0500000000002</v>
      </c>
      <c r="Q591" s="20">
        <v>59.1</v>
      </c>
      <c r="R591" s="20">
        <v>80.02</v>
      </c>
      <c r="S591" s="26">
        <v>80</v>
      </c>
      <c r="T591" s="26">
        <v>-0.02</v>
      </c>
      <c r="U591" s="26">
        <v>0</v>
      </c>
      <c r="V591" s="26">
        <v>2181.1</v>
      </c>
    </row>
    <row r="592" spans="1:22" ht="16.8" x14ac:dyDescent="0.3">
      <c r="A592" s="20">
        <v>59.1</v>
      </c>
      <c r="B592" s="20">
        <v>80</v>
      </c>
      <c r="C592" s="20">
        <v>80.19</v>
      </c>
      <c r="D592" s="20">
        <v>-0.19</v>
      </c>
      <c r="E592" s="20">
        <v>0.03</v>
      </c>
      <c r="F592" s="26">
        <v>2348.12</v>
      </c>
      <c r="Q592" s="20">
        <v>59.2</v>
      </c>
      <c r="R592" s="20">
        <v>80.010000000000005</v>
      </c>
      <c r="S592" s="26">
        <v>80</v>
      </c>
      <c r="T592" s="26">
        <v>-0.01</v>
      </c>
      <c r="U592" s="26">
        <v>0.01</v>
      </c>
      <c r="V592" s="20">
        <v>2189.7800000000002</v>
      </c>
    </row>
    <row r="593" spans="1:22" ht="16.8" x14ac:dyDescent="0.3">
      <c r="A593" s="20">
        <v>59.2</v>
      </c>
      <c r="B593" s="20">
        <v>80</v>
      </c>
      <c r="C593" s="26">
        <v>80.239999999999995</v>
      </c>
      <c r="D593" s="20">
        <v>-0.24</v>
      </c>
      <c r="E593" s="20">
        <v>-0.06</v>
      </c>
      <c r="F593" s="20">
        <v>2239.16</v>
      </c>
      <c r="Q593" s="20">
        <v>59.3</v>
      </c>
      <c r="R593" s="20">
        <v>80.010000000000005</v>
      </c>
      <c r="S593" s="26">
        <v>80</v>
      </c>
      <c r="T593" s="26">
        <v>-0.01</v>
      </c>
      <c r="U593" s="26">
        <v>0</v>
      </c>
      <c r="V593" s="26">
        <v>2182.4499999999998</v>
      </c>
    </row>
    <row r="594" spans="1:22" ht="16.8" x14ac:dyDescent="0.3">
      <c r="A594" s="20">
        <v>59.3</v>
      </c>
      <c r="B594" s="20">
        <v>80</v>
      </c>
      <c r="C594" s="26">
        <v>80.239999999999995</v>
      </c>
      <c r="D594" s="20">
        <v>-0.24</v>
      </c>
      <c r="E594" s="20">
        <v>0.01</v>
      </c>
      <c r="F594" s="26">
        <v>2298.62</v>
      </c>
      <c r="Q594" s="20">
        <v>59.4</v>
      </c>
      <c r="R594" s="20">
        <v>79.98</v>
      </c>
      <c r="S594" s="26">
        <v>80</v>
      </c>
      <c r="T594" s="26">
        <v>0.02</v>
      </c>
      <c r="U594" s="26">
        <v>0.03</v>
      </c>
      <c r="V594" s="20">
        <v>2217.37</v>
      </c>
    </row>
    <row r="595" spans="1:22" ht="16.8" x14ac:dyDescent="0.3">
      <c r="A595" s="20">
        <v>59.4</v>
      </c>
      <c r="B595" s="20">
        <v>80</v>
      </c>
      <c r="C595" s="20">
        <v>80.2</v>
      </c>
      <c r="D595" s="20">
        <v>-0.2</v>
      </c>
      <c r="E595" s="20">
        <v>0.04</v>
      </c>
      <c r="F595" s="26">
        <v>2335.81</v>
      </c>
      <c r="Q595" s="20">
        <v>59.5</v>
      </c>
      <c r="R595" s="20">
        <v>79.97</v>
      </c>
      <c r="S595" s="26">
        <v>80</v>
      </c>
      <c r="T595" s="20">
        <v>0.03</v>
      </c>
      <c r="U595" s="26">
        <v>0.01</v>
      </c>
      <c r="V595" s="26">
        <v>2196.96</v>
      </c>
    </row>
    <row r="596" spans="1:22" ht="16.8" x14ac:dyDescent="0.3">
      <c r="A596" s="20">
        <v>59.5</v>
      </c>
      <c r="B596" s="20">
        <v>80</v>
      </c>
      <c r="C596" s="26">
        <v>80.23</v>
      </c>
      <c r="D596" s="20">
        <v>-0.23</v>
      </c>
      <c r="E596" s="20">
        <v>-0.03</v>
      </c>
      <c r="F596" s="26">
        <v>2273.42</v>
      </c>
      <c r="Q596" s="20">
        <v>59.6</v>
      </c>
      <c r="R596" s="20">
        <v>79.959999999999994</v>
      </c>
      <c r="S596" s="26">
        <v>80</v>
      </c>
      <c r="T596" s="26">
        <v>0.04</v>
      </c>
      <c r="U596" s="26">
        <v>0.01</v>
      </c>
      <c r="V596" s="20">
        <v>2198.5100000000002</v>
      </c>
    </row>
    <row r="597" spans="1:22" ht="16.8" x14ac:dyDescent="0.3">
      <c r="A597" s="20">
        <v>59.6</v>
      </c>
      <c r="B597" s="20">
        <v>80</v>
      </c>
      <c r="C597" s="26">
        <v>80.22</v>
      </c>
      <c r="D597" s="20">
        <v>-0.22</v>
      </c>
      <c r="E597" s="20">
        <v>0.01</v>
      </c>
      <c r="F597" s="26">
        <v>2315.1799999999998</v>
      </c>
      <c r="Q597" s="20">
        <v>59.7</v>
      </c>
      <c r="R597" s="20">
        <v>79.86</v>
      </c>
      <c r="S597" s="26">
        <v>80</v>
      </c>
      <c r="T597" s="26">
        <v>0.14000000000000001</v>
      </c>
      <c r="U597" s="26">
        <v>0.1</v>
      </c>
      <c r="V597" s="26">
        <v>2304.87</v>
      </c>
    </row>
    <row r="598" spans="1:22" ht="16.8" x14ac:dyDescent="0.3">
      <c r="A598" s="20">
        <v>59.7</v>
      </c>
      <c r="B598" s="20">
        <v>80</v>
      </c>
      <c r="C598" s="20">
        <v>80.25</v>
      </c>
      <c r="D598" s="20">
        <v>-0.25</v>
      </c>
      <c r="E598" s="20">
        <v>-0.03</v>
      </c>
      <c r="F598" s="26">
        <v>2260.52</v>
      </c>
      <c r="Q598" s="20">
        <v>59.8</v>
      </c>
      <c r="R598" s="20">
        <v>79.959999999999994</v>
      </c>
      <c r="S598" s="26">
        <v>80</v>
      </c>
      <c r="T598" s="26">
        <v>0.04</v>
      </c>
      <c r="U598" s="26">
        <v>-0.1</v>
      </c>
      <c r="V598" s="20">
        <v>2096.85</v>
      </c>
    </row>
    <row r="599" spans="1:22" ht="16.8" x14ac:dyDescent="0.3">
      <c r="A599" s="20">
        <v>59.8</v>
      </c>
      <c r="B599" s="20">
        <v>80</v>
      </c>
      <c r="C599" s="26">
        <v>80.17</v>
      </c>
      <c r="D599" s="20">
        <v>-0.17</v>
      </c>
      <c r="E599" s="20">
        <v>0.08</v>
      </c>
      <c r="F599" s="20">
        <v>2364.54</v>
      </c>
      <c r="Q599" s="20">
        <v>59.9</v>
      </c>
      <c r="R599" s="20">
        <v>79.89</v>
      </c>
      <c r="S599" s="26">
        <v>80</v>
      </c>
      <c r="T599" s="26">
        <v>0.11</v>
      </c>
      <c r="U599" s="26">
        <v>7.0000000000000007E-2</v>
      </c>
      <c r="V599" s="20">
        <v>2270.4899999999998</v>
      </c>
    </row>
    <row r="600" spans="1:22" ht="16.8" x14ac:dyDescent="0.3">
      <c r="A600" s="20">
        <v>59.9</v>
      </c>
      <c r="B600" s="20">
        <v>80</v>
      </c>
      <c r="C600" s="26">
        <v>80.16</v>
      </c>
      <c r="D600" s="20">
        <v>-0.16</v>
      </c>
      <c r="E600" s="20">
        <v>0.01</v>
      </c>
      <c r="F600" s="26">
        <v>2376.91</v>
      </c>
      <c r="Q600" s="20">
        <v>60</v>
      </c>
      <c r="R600" s="20">
        <v>79.959999999999994</v>
      </c>
      <c r="S600" s="26">
        <v>80</v>
      </c>
      <c r="T600" s="26">
        <v>0.04</v>
      </c>
      <c r="U600" s="20">
        <v>-7.0000000000000007E-2</v>
      </c>
      <c r="V600" s="26">
        <v>2126.5300000000002</v>
      </c>
    </row>
    <row r="601" spans="1:22" ht="16.8" x14ac:dyDescent="0.3">
      <c r="A601" s="20">
        <v>60</v>
      </c>
      <c r="B601" s="20">
        <v>80</v>
      </c>
      <c r="C601" s="20">
        <v>80.209999999999994</v>
      </c>
      <c r="D601" s="20">
        <v>-0.21</v>
      </c>
      <c r="E601" s="20">
        <v>-0.05</v>
      </c>
      <c r="F601" s="26">
        <v>2275.4699999999998</v>
      </c>
      <c r="Q601" s="24">
        <v>60.1</v>
      </c>
      <c r="R601" s="24">
        <v>79.95</v>
      </c>
      <c r="S601" s="25">
        <v>80</v>
      </c>
      <c r="T601" s="25">
        <v>0.05</v>
      </c>
      <c r="U601" s="25">
        <v>0.01</v>
      </c>
      <c r="V601" s="24">
        <v>2201.08</v>
      </c>
    </row>
    <row r="602" spans="1:22" ht="16.8" x14ac:dyDescent="0.3">
      <c r="A602" s="24">
        <v>60.1</v>
      </c>
      <c r="B602" s="24">
        <v>80</v>
      </c>
      <c r="C602" s="25">
        <v>80.23</v>
      </c>
      <c r="D602" s="24">
        <v>-0.23</v>
      </c>
      <c r="E602" s="24">
        <v>-0.02</v>
      </c>
      <c r="F602" s="25">
        <v>2284.4299999999998</v>
      </c>
      <c r="Q602" s="24">
        <v>60.1</v>
      </c>
      <c r="R602" s="24">
        <v>79.95</v>
      </c>
      <c r="S602" s="25">
        <v>80</v>
      </c>
      <c r="T602" s="25">
        <v>0.05</v>
      </c>
      <c r="U602" s="25">
        <v>0.01</v>
      </c>
      <c r="V602" s="24">
        <v>2201.08</v>
      </c>
    </row>
  </sheetData>
  <mergeCells count="22">
    <mergeCell ref="G34:I34"/>
    <mergeCell ref="X16:AA16"/>
    <mergeCell ref="Z17:AA17"/>
    <mergeCell ref="Z18:AA18"/>
    <mergeCell ref="X20:Z20"/>
    <mergeCell ref="X21:Z21"/>
    <mergeCell ref="G17:J17"/>
    <mergeCell ref="I18:J18"/>
    <mergeCell ref="I19:J19"/>
    <mergeCell ref="G21:I21"/>
    <mergeCell ref="G22:I22"/>
    <mergeCell ref="G27:H27"/>
    <mergeCell ref="X33:Z33"/>
    <mergeCell ref="G28:H28"/>
    <mergeCell ref="G30:H30"/>
    <mergeCell ref="G31:H31"/>
    <mergeCell ref="G33:I33"/>
    <mergeCell ref="X26:Y26"/>
    <mergeCell ref="X27:Y27"/>
    <mergeCell ref="X29:Y29"/>
    <mergeCell ref="X30:Y30"/>
    <mergeCell ref="X32:Z32"/>
  </mergeCells>
  <dataValidations count="6">
    <dataValidation allowBlank="1" showInputMessage="1" showErrorMessage="1" prompt="TBL_HST[CH6]" sqref="V80:V602 U79 V2:V78 F2:F602" xr:uid="{7B489B85-FA68-4C50-ACCD-E0E71D9D7320}"/>
    <dataValidation allowBlank="1" showInputMessage="1" showErrorMessage="1" prompt="TBL_HST[CH5]" sqref="V79 U2:U602 E2:E602" xr:uid="{DCBD408F-355E-478C-96DD-E94CADB0CAD1}"/>
    <dataValidation allowBlank="1" showInputMessage="1" showErrorMessage="1" prompt="TBL_HST[CH4]" sqref="T2:T602 D2:D411 D413:D602 F412" xr:uid="{B4200F2A-CA89-4E1D-BE24-0F867780F9A5}"/>
    <dataValidation allowBlank="1" showInputMessage="1" showErrorMessage="1" prompt="TBL_HST[CH3]" sqref="S2:S602 C2:C602" xr:uid="{106376C4-9E52-46FE-AE3A-2726ED7E0BAC}"/>
    <dataValidation allowBlank="1" showInputMessage="1" showErrorMessage="1" prompt="TBL_HST[CH2]" sqref="R2:R602 B2:B602" xr:uid="{F1A5FD1E-695C-4BBE-9B6B-2FA286FE9103}"/>
    <dataValidation allowBlank="1" showInputMessage="1" showErrorMessage="1" prompt="TBL_HST[CH1]" sqref="Q2:Q602 A2:A602" xr:uid="{355F255B-2AD0-4EFF-9EE4-2CD2B5EAC302}"/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1944-911D-4F2E-88DB-AB3D7ADF01C0}">
  <dimension ref="A1:BY48"/>
  <sheetViews>
    <sheetView topLeftCell="A12" zoomScale="78" zoomScaleNormal="110" workbookViewId="0">
      <selection activeCell="BJ17" sqref="BJ17"/>
    </sheetView>
  </sheetViews>
  <sheetFormatPr defaultRowHeight="14.4" x14ac:dyDescent="0.3"/>
  <sheetData>
    <row r="1" spans="1:77" ht="31.2" x14ac:dyDescent="0.3">
      <c r="A1" s="46" t="s">
        <v>62</v>
      </c>
      <c r="B1" s="61" t="s">
        <v>64</v>
      </c>
      <c r="C1" s="48" t="s">
        <v>65</v>
      </c>
      <c r="D1" s="48" t="s">
        <v>51</v>
      </c>
      <c r="E1" s="63" t="s">
        <v>68</v>
      </c>
      <c r="F1" s="63" t="s">
        <v>69</v>
      </c>
      <c r="G1" s="63" t="s">
        <v>70</v>
      </c>
      <c r="Q1" s="46" t="s">
        <v>62</v>
      </c>
      <c r="R1" s="48" t="s">
        <v>51</v>
      </c>
      <c r="AB1" s="46" t="s">
        <v>62</v>
      </c>
      <c r="AC1" s="63" t="s">
        <v>69</v>
      </c>
      <c r="AR1" s="46" t="s">
        <v>62</v>
      </c>
      <c r="AS1" s="61" t="s">
        <v>64</v>
      </c>
      <c r="AT1" s="48" t="s">
        <v>65</v>
      </c>
      <c r="AU1" s="48" t="s">
        <v>51</v>
      </c>
      <c r="AV1" s="63" t="s">
        <v>68</v>
      </c>
      <c r="AW1" s="63" t="s">
        <v>69</v>
      </c>
      <c r="AX1" s="63" t="s">
        <v>70</v>
      </c>
      <c r="BA1" s="46" t="s">
        <v>62</v>
      </c>
      <c r="BB1" s="61" t="s">
        <v>64</v>
      </c>
      <c r="BC1" s="48" t="s">
        <v>65</v>
      </c>
      <c r="BD1" s="48" t="s">
        <v>51</v>
      </c>
      <c r="BE1" s="63" t="s">
        <v>68</v>
      </c>
      <c r="BF1" s="63" t="s">
        <v>69</v>
      </c>
      <c r="BG1" s="63" t="s">
        <v>70</v>
      </c>
      <c r="BJ1" s="59" t="s">
        <v>62</v>
      </c>
      <c r="BK1" s="58" t="s">
        <v>69</v>
      </c>
      <c r="BL1" s="58"/>
      <c r="BW1" s="59" t="s">
        <v>62</v>
      </c>
      <c r="BX1" s="58" t="s">
        <v>70</v>
      </c>
      <c r="BY1" s="58"/>
    </row>
    <row r="2" spans="1:77" ht="31.8" thickBot="1" x14ac:dyDescent="0.35">
      <c r="A2" s="47" t="s">
        <v>63</v>
      </c>
      <c r="B2" s="62"/>
      <c r="C2" s="49" t="s">
        <v>66</v>
      </c>
      <c r="D2" s="50" t="s">
        <v>67</v>
      </c>
      <c r="E2" s="64"/>
      <c r="F2" s="64"/>
      <c r="G2" s="64"/>
      <c r="Q2" s="47" t="s">
        <v>63</v>
      </c>
      <c r="R2" s="50" t="s">
        <v>67</v>
      </c>
      <c r="AB2" s="47" t="s">
        <v>63</v>
      </c>
      <c r="AC2" s="64"/>
      <c r="AR2" s="47" t="s">
        <v>63</v>
      </c>
      <c r="AS2" s="62"/>
      <c r="AT2" s="49" t="s">
        <v>66</v>
      </c>
      <c r="AU2" s="50" t="s">
        <v>67</v>
      </c>
      <c r="AV2" s="64"/>
      <c r="AW2" s="64"/>
      <c r="AX2" s="64"/>
      <c r="BA2" s="47" t="s">
        <v>63</v>
      </c>
      <c r="BB2" s="62"/>
      <c r="BC2" s="49" t="s">
        <v>66</v>
      </c>
      <c r="BD2" s="50" t="s">
        <v>67</v>
      </c>
      <c r="BE2" s="64"/>
      <c r="BF2" s="64"/>
      <c r="BG2" s="64"/>
      <c r="BJ2" s="60"/>
      <c r="BK2" s="29" t="s">
        <v>71</v>
      </c>
      <c r="BL2" s="29" t="s">
        <v>74</v>
      </c>
      <c r="BW2" s="60"/>
      <c r="BX2" s="29" t="s">
        <v>71</v>
      </c>
      <c r="BY2" s="29" t="s">
        <v>74</v>
      </c>
    </row>
    <row r="3" spans="1:77" ht="16.2" thickBot="1" x14ac:dyDescent="0.35">
      <c r="A3" s="51">
        <v>50</v>
      </c>
      <c r="B3" s="52">
        <v>2.4</v>
      </c>
      <c r="C3" s="52">
        <v>3.54</v>
      </c>
      <c r="D3" s="52">
        <v>0.32</v>
      </c>
      <c r="E3" s="52">
        <v>79.39</v>
      </c>
      <c r="F3" s="52">
        <v>1221.5</v>
      </c>
      <c r="G3" s="52">
        <v>416.3</v>
      </c>
      <c r="Q3" s="51">
        <v>50</v>
      </c>
      <c r="R3" s="52">
        <v>0.32</v>
      </c>
      <c r="AB3" s="51">
        <v>50</v>
      </c>
      <c r="AC3" s="52">
        <v>1221.5</v>
      </c>
      <c r="AR3" s="51">
        <v>50</v>
      </c>
      <c r="AS3" s="52">
        <v>3.8</v>
      </c>
      <c r="AT3" s="52">
        <v>1.34</v>
      </c>
      <c r="AU3" s="52">
        <v>0.19</v>
      </c>
      <c r="AV3" s="52">
        <v>46.47</v>
      </c>
      <c r="AW3" s="52">
        <v>398.98</v>
      </c>
      <c r="AX3" s="52">
        <v>288</v>
      </c>
      <c r="BA3" s="51">
        <v>50</v>
      </c>
      <c r="BB3" s="52">
        <v>2.4</v>
      </c>
      <c r="BC3" s="52">
        <v>3.54</v>
      </c>
      <c r="BD3" s="52">
        <v>0.32</v>
      </c>
      <c r="BE3" s="52">
        <v>79.39</v>
      </c>
      <c r="BF3" s="52">
        <v>1221.5</v>
      </c>
      <c r="BG3" s="52">
        <v>416.3</v>
      </c>
      <c r="BJ3" s="51">
        <v>50</v>
      </c>
      <c r="BK3" s="52">
        <v>398.98</v>
      </c>
      <c r="BL3" s="52">
        <v>1221.5</v>
      </c>
      <c r="BW3" s="51">
        <v>50</v>
      </c>
      <c r="BX3" s="52">
        <v>288</v>
      </c>
      <c r="BY3" s="52">
        <v>416.3</v>
      </c>
    </row>
    <row r="4" spans="1:77" ht="16.2" thickBot="1" x14ac:dyDescent="0.35">
      <c r="A4" s="47">
        <v>53</v>
      </c>
      <c r="B4" s="50">
        <v>2.9</v>
      </c>
      <c r="C4" s="50">
        <v>3.22</v>
      </c>
      <c r="D4" s="50">
        <v>7.0000000000000007E-2</v>
      </c>
      <c r="E4" s="50">
        <v>84.54</v>
      </c>
      <c r="F4" s="50">
        <v>1469.06</v>
      </c>
      <c r="G4" s="50">
        <v>274.8</v>
      </c>
      <c r="Q4" s="47">
        <v>53</v>
      </c>
      <c r="R4" s="50">
        <v>7.0000000000000007E-2</v>
      </c>
      <c r="AB4" s="47">
        <v>53</v>
      </c>
      <c r="AC4" s="50">
        <v>1469.06</v>
      </c>
      <c r="AR4" s="47">
        <v>53</v>
      </c>
      <c r="AS4" s="50">
        <v>3.8</v>
      </c>
      <c r="AT4" s="50">
        <v>2.0699999999999998</v>
      </c>
      <c r="AU4" s="50">
        <v>0.18</v>
      </c>
      <c r="AV4" s="50">
        <v>58.1</v>
      </c>
      <c r="AW4" s="50">
        <v>596.19000000000005</v>
      </c>
      <c r="AX4" s="50">
        <v>353.87</v>
      </c>
      <c r="BA4" s="47">
        <v>53</v>
      </c>
      <c r="BB4" s="50">
        <v>2.9</v>
      </c>
      <c r="BC4" s="50">
        <v>3.22</v>
      </c>
      <c r="BD4" s="50">
        <v>7.0000000000000007E-2</v>
      </c>
      <c r="BE4" s="50">
        <v>84.54</v>
      </c>
      <c r="BF4" s="50">
        <v>1469.06</v>
      </c>
      <c r="BG4" s="50">
        <v>274.8</v>
      </c>
      <c r="BJ4" s="47">
        <v>53</v>
      </c>
      <c r="BK4" s="50">
        <v>596.19000000000005</v>
      </c>
      <c r="BL4" s="50">
        <v>1469.06</v>
      </c>
      <c r="BW4" s="47">
        <v>53</v>
      </c>
      <c r="BX4" s="50">
        <v>353.87</v>
      </c>
      <c r="BY4" s="50">
        <v>274.8</v>
      </c>
    </row>
    <row r="5" spans="1:77" ht="16.2" thickBot="1" x14ac:dyDescent="0.35">
      <c r="A5" s="51">
        <v>56</v>
      </c>
      <c r="B5" s="52">
        <v>3.3</v>
      </c>
      <c r="C5" s="52">
        <v>2.69</v>
      </c>
      <c r="D5" s="52">
        <v>0.3</v>
      </c>
      <c r="E5" s="52">
        <v>103.9</v>
      </c>
      <c r="F5" s="52">
        <v>1873.54</v>
      </c>
      <c r="G5" s="52">
        <v>523.57000000000005</v>
      </c>
      <c r="Q5" s="51">
        <v>56</v>
      </c>
      <c r="R5" s="52">
        <v>0.3</v>
      </c>
      <c r="AB5" s="51">
        <v>56</v>
      </c>
      <c r="AC5" s="52">
        <v>1873.54</v>
      </c>
      <c r="AR5" s="51">
        <v>56</v>
      </c>
      <c r="AS5" s="52">
        <v>3.9</v>
      </c>
      <c r="AT5" s="52">
        <v>2.0099999999999998</v>
      </c>
      <c r="AU5" s="52">
        <v>0.19</v>
      </c>
      <c r="AV5" s="52">
        <v>66.61</v>
      </c>
      <c r="AW5" s="52">
        <v>816.69</v>
      </c>
      <c r="AX5" s="52">
        <v>371.51</v>
      </c>
      <c r="BA5" s="51">
        <v>56</v>
      </c>
      <c r="BB5" s="52">
        <v>3.3</v>
      </c>
      <c r="BC5" s="52">
        <v>2.69</v>
      </c>
      <c r="BD5" s="52">
        <v>0.3</v>
      </c>
      <c r="BE5" s="52">
        <v>103.9</v>
      </c>
      <c r="BF5" s="52">
        <v>1873.54</v>
      </c>
      <c r="BG5" s="52">
        <v>523.57000000000005</v>
      </c>
      <c r="BJ5" s="51">
        <v>56</v>
      </c>
      <c r="BK5" s="52">
        <v>816.69</v>
      </c>
      <c r="BL5" s="52">
        <v>1873.54</v>
      </c>
      <c r="BW5" s="51">
        <v>56</v>
      </c>
      <c r="BX5" s="52">
        <v>371.51</v>
      </c>
      <c r="BY5" s="52">
        <v>523.57000000000005</v>
      </c>
    </row>
    <row r="6" spans="1:77" ht="16.2" thickBot="1" x14ac:dyDescent="0.35">
      <c r="A6" s="47">
        <v>59</v>
      </c>
      <c r="B6" s="50">
        <v>4</v>
      </c>
      <c r="C6" s="50">
        <v>2.5</v>
      </c>
      <c r="D6" s="50">
        <v>0.02</v>
      </c>
      <c r="E6" s="50">
        <v>111.98</v>
      </c>
      <c r="F6" s="50">
        <v>2266.4299999999998</v>
      </c>
      <c r="G6" s="50">
        <v>362.52</v>
      </c>
      <c r="Q6" s="47">
        <v>59</v>
      </c>
      <c r="R6" s="50">
        <v>0.02</v>
      </c>
      <c r="AB6" s="47">
        <v>59</v>
      </c>
      <c r="AC6" s="50">
        <v>2266.4299999999998</v>
      </c>
      <c r="AR6" s="47">
        <v>59</v>
      </c>
      <c r="AS6" s="50">
        <v>3.9</v>
      </c>
      <c r="AT6" s="50">
        <v>2.5</v>
      </c>
      <c r="AU6" s="50">
        <v>0.17</v>
      </c>
      <c r="AV6" s="50">
        <v>77.680000000000007</v>
      </c>
      <c r="AW6" s="50">
        <v>1072.98</v>
      </c>
      <c r="AX6" s="50">
        <v>414.75</v>
      </c>
      <c r="BA6" s="47">
        <v>59</v>
      </c>
      <c r="BB6" s="50">
        <v>4</v>
      </c>
      <c r="BC6" s="50">
        <v>2.5</v>
      </c>
      <c r="BD6" s="50">
        <v>0.02</v>
      </c>
      <c r="BE6" s="50">
        <v>111.98</v>
      </c>
      <c r="BF6" s="50">
        <v>2266.4299999999998</v>
      </c>
      <c r="BG6" s="50">
        <v>362.52</v>
      </c>
      <c r="BJ6" s="47">
        <v>59</v>
      </c>
      <c r="BK6" s="50">
        <v>1072.98</v>
      </c>
      <c r="BL6" s="50">
        <v>2266.4299999999998</v>
      </c>
      <c r="BW6" s="47">
        <v>59</v>
      </c>
      <c r="BX6" s="50">
        <v>414.75</v>
      </c>
      <c r="BY6" s="50">
        <v>362.52</v>
      </c>
    </row>
    <row r="7" spans="1:77" ht="16.2" thickBot="1" x14ac:dyDescent="0.35">
      <c r="A7" s="51">
        <v>62</v>
      </c>
      <c r="B7" s="52">
        <v>4.8</v>
      </c>
      <c r="C7" s="52">
        <v>2.5</v>
      </c>
      <c r="D7" s="52">
        <v>0.74</v>
      </c>
      <c r="E7" s="52">
        <v>149.33000000000001</v>
      </c>
      <c r="F7" s="52">
        <v>2860.06</v>
      </c>
      <c r="G7" s="52">
        <v>1135.58</v>
      </c>
      <c r="Q7" s="51">
        <v>62</v>
      </c>
      <c r="R7" s="52">
        <v>0.74</v>
      </c>
      <c r="AB7" s="51">
        <v>62</v>
      </c>
      <c r="AC7" s="52">
        <v>2860.06</v>
      </c>
      <c r="AR7" s="51">
        <v>62</v>
      </c>
      <c r="AS7" s="52">
        <v>4.5</v>
      </c>
      <c r="AT7" s="52">
        <v>1.91</v>
      </c>
      <c r="AU7" s="52">
        <v>0.16</v>
      </c>
      <c r="AV7" s="52">
        <v>94.41</v>
      </c>
      <c r="AW7" s="52">
        <v>1501.95</v>
      </c>
      <c r="AX7" s="52">
        <v>473.71</v>
      </c>
      <c r="BA7" s="51">
        <v>62</v>
      </c>
      <c r="BB7" s="52">
        <v>4.8</v>
      </c>
      <c r="BC7" s="52">
        <v>2.5</v>
      </c>
      <c r="BD7" s="52">
        <v>0.74</v>
      </c>
      <c r="BE7" s="52">
        <v>149.33000000000001</v>
      </c>
      <c r="BF7" s="52">
        <v>2860.06</v>
      </c>
      <c r="BG7" s="52">
        <v>1135.58</v>
      </c>
      <c r="BJ7" s="51">
        <v>62</v>
      </c>
      <c r="BK7" s="52">
        <v>1501.95</v>
      </c>
      <c r="BL7" s="52">
        <v>2860.06</v>
      </c>
      <c r="BW7" s="51">
        <v>62</v>
      </c>
      <c r="BX7" s="52">
        <v>473.71</v>
      </c>
      <c r="BY7" s="52">
        <v>1135.58</v>
      </c>
    </row>
    <row r="8" spans="1:77" ht="16.2" thickBot="1" x14ac:dyDescent="0.35">
      <c r="A8" s="47">
        <v>65</v>
      </c>
      <c r="B8" s="50">
        <v>5.2</v>
      </c>
      <c r="C8" s="50">
        <v>1.95</v>
      </c>
      <c r="D8" s="50">
        <v>0.47</v>
      </c>
      <c r="E8" s="50">
        <v>168.7</v>
      </c>
      <c r="F8" s="50">
        <v>3866.48</v>
      </c>
      <c r="G8" s="50">
        <v>961.04</v>
      </c>
      <c r="Q8" s="47">
        <v>65</v>
      </c>
      <c r="R8" s="50">
        <v>0.47</v>
      </c>
      <c r="AB8" s="47">
        <v>65</v>
      </c>
      <c r="AC8" s="50">
        <v>3866.48</v>
      </c>
      <c r="AR8" s="47">
        <v>65</v>
      </c>
      <c r="AS8" s="50">
        <v>5</v>
      </c>
      <c r="AT8" s="50">
        <v>1.55</v>
      </c>
      <c r="AU8" s="50">
        <v>0.19</v>
      </c>
      <c r="AV8" s="50">
        <v>110.82</v>
      </c>
      <c r="AW8" s="50">
        <v>1836.84</v>
      </c>
      <c r="AX8" s="50">
        <v>682.04</v>
      </c>
      <c r="BA8" s="47">
        <v>65</v>
      </c>
      <c r="BB8" s="50">
        <v>5.2</v>
      </c>
      <c r="BC8" s="50">
        <v>1.95</v>
      </c>
      <c r="BD8" s="50">
        <v>0.47</v>
      </c>
      <c r="BE8" s="50">
        <v>168.7</v>
      </c>
      <c r="BF8" s="50">
        <v>3866.48</v>
      </c>
      <c r="BG8" s="50">
        <v>961.04</v>
      </c>
      <c r="BJ8" s="47">
        <v>65</v>
      </c>
      <c r="BK8" s="50">
        <v>1836.84</v>
      </c>
      <c r="BL8" s="50">
        <v>3866.48</v>
      </c>
      <c r="BW8" s="47">
        <v>65</v>
      </c>
      <c r="BX8" s="50">
        <v>682.04</v>
      </c>
      <c r="BY8" s="50">
        <v>961.04</v>
      </c>
    </row>
    <row r="9" spans="1:77" ht="16.2" thickBot="1" x14ac:dyDescent="0.35">
      <c r="A9" s="51">
        <v>68</v>
      </c>
      <c r="B9" s="52">
        <v>6.3</v>
      </c>
      <c r="C9" s="52">
        <v>2</v>
      </c>
      <c r="D9" s="52">
        <v>0.3</v>
      </c>
      <c r="E9" s="52">
        <v>201.03</v>
      </c>
      <c r="F9" s="52">
        <v>4947.46</v>
      </c>
      <c r="G9" s="52">
        <v>1056.3699999999999</v>
      </c>
      <c r="Q9" s="51">
        <v>68</v>
      </c>
      <c r="R9" s="52">
        <v>0.3</v>
      </c>
      <c r="AB9" s="51">
        <v>68</v>
      </c>
      <c r="AC9" s="52">
        <v>4947.46</v>
      </c>
      <c r="AR9" s="51">
        <v>68</v>
      </c>
      <c r="AS9" s="52">
        <v>5.6</v>
      </c>
      <c r="AT9" s="52">
        <v>0.88</v>
      </c>
      <c r="AU9" s="52">
        <v>0.14000000000000001</v>
      </c>
      <c r="AV9" s="52">
        <v>124.23</v>
      </c>
      <c r="AW9" s="52">
        <v>2340.19</v>
      </c>
      <c r="AX9" s="52">
        <v>655.64</v>
      </c>
      <c r="BA9" s="51">
        <v>68</v>
      </c>
      <c r="BB9" s="52">
        <v>6.3</v>
      </c>
      <c r="BC9" s="52">
        <v>2</v>
      </c>
      <c r="BD9" s="52">
        <v>0.3</v>
      </c>
      <c r="BE9" s="52">
        <v>201.03</v>
      </c>
      <c r="BF9" s="52">
        <v>4947.46</v>
      </c>
      <c r="BG9" s="52">
        <v>1056.3699999999999</v>
      </c>
      <c r="BJ9" s="51">
        <v>68</v>
      </c>
      <c r="BK9" s="52">
        <v>2340.19</v>
      </c>
      <c r="BL9" s="52">
        <v>4947.46</v>
      </c>
      <c r="BW9" s="51">
        <v>68</v>
      </c>
      <c r="BX9" s="52">
        <v>655.64</v>
      </c>
      <c r="BY9" s="52">
        <v>1056.3699999999999</v>
      </c>
    </row>
    <row r="10" spans="1:77" ht="16.2" thickBot="1" x14ac:dyDescent="0.35">
      <c r="A10" s="47">
        <v>71</v>
      </c>
      <c r="B10" s="50">
        <v>8.3000000000000007</v>
      </c>
      <c r="C10" s="50">
        <v>1.61</v>
      </c>
      <c r="D10" s="50">
        <v>0.45</v>
      </c>
      <c r="E10" s="50">
        <v>266.18</v>
      </c>
      <c r="F10" s="50">
        <v>7213.68</v>
      </c>
      <c r="G10" s="50">
        <v>1551.47</v>
      </c>
      <c r="Q10" s="47">
        <v>71</v>
      </c>
      <c r="R10" s="50">
        <v>0.45</v>
      </c>
      <c r="AB10" s="47">
        <v>71</v>
      </c>
      <c r="AC10" s="50">
        <v>7213.68</v>
      </c>
      <c r="AR10" s="47">
        <v>71</v>
      </c>
      <c r="AS10" s="50">
        <v>6</v>
      </c>
      <c r="AT10" s="50">
        <v>0.8</v>
      </c>
      <c r="AU10" s="50">
        <v>0.14000000000000001</v>
      </c>
      <c r="AV10" s="50">
        <v>145.36000000000001</v>
      </c>
      <c r="AW10" s="50">
        <v>3080.41</v>
      </c>
      <c r="AX10" s="50">
        <v>787.7</v>
      </c>
      <c r="BA10" s="47">
        <v>71</v>
      </c>
      <c r="BB10" s="50">
        <v>8.3000000000000007</v>
      </c>
      <c r="BC10" s="50">
        <v>1.61</v>
      </c>
      <c r="BD10" s="50">
        <v>0.45</v>
      </c>
      <c r="BE10" s="50">
        <v>266.18</v>
      </c>
      <c r="BF10" s="50">
        <v>7213.68</v>
      </c>
      <c r="BG10" s="50">
        <v>1551.47</v>
      </c>
      <c r="BJ10" s="47">
        <v>71</v>
      </c>
      <c r="BK10" s="50">
        <v>3080.41</v>
      </c>
      <c r="BL10" s="50">
        <v>7213.68</v>
      </c>
      <c r="BW10" s="47">
        <v>71</v>
      </c>
      <c r="BX10" s="50">
        <v>787.7</v>
      </c>
      <c r="BY10" s="50">
        <v>1551.47</v>
      </c>
    </row>
    <row r="11" spans="1:77" ht="16.2" thickBot="1" x14ac:dyDescent="0.35">
      <c r="A11" s="51">
        <v>74</v>
      </c>
      <c r="B11" s="52">
        <v>11.6</v>
      </c>
      <c r="C11" s="52">
        <v>1.1000000000000001</v>
      </c>
      <c r="D11" s="52">
        <v>0.54</v>
      </c>
      <c r="E11" s="52">
        <v>327.10000000000002</v>
      </c>
      <c r="F11" s="52">
        <v>8941.69</v>
      </c>
      <c r="G11" s="52">
        <v>2187.3200000000002</v>
      </c>
      <c r="Q11" s="51">
        <v>74</v>
      </c>
      <c r="R11" s="52">
        <v>0.54</v>
      </c>
      <c r="AB11" s="51">
        <v>74</v>
      </c>
      <c r="AC11" s="52">
        <v>8941.69</v>
      </c>
      <c r="AR11" s="51">
        <v>74</v>
      </c>
      <c r="AS11" s="52">
        <v>6.9</v>
      </c>
      <c r="AT11" s="52">
        <v>0.3</v>
      </c>
      <c r="AU11" s="52">
        <v>0.11</v>
      </c>
      <c r="AV11" s="52">
        <v>174.78</v>
      </c>
      <c r="AW11" s="52">
        <v>4205.93</v>
      </c>
      <c r="AX11" s="52">
        <v>840.65</v>
      </c>
      <c r="BA11" s="51">
        <v>74</v>
      </c>
      <c r="BB11" s="52">
        <v>11.6</v>
      </c>
      <c r="BC11" s="52">
        <v>1.1000000000000001</v>
      </c>
      <c r="BD11" s="52">
        <v>0.54</v>
      </c>
      <c r="BE11" s="52">
        <v>327.10000000000002</v>
      </c>
      <c r="BF11" s="52">
        <v>8941.69</v>
      </c>
      <c r="BG11" s="52">
        <v>2187.3200000000002</v>
      </c>
      <c r="BJ11" s="51">
        <v>74</v>
      </c>
      <c r="BK11" s="52">
        <v>4205.93</v>
      </c>
      <c r="BL11" s="52">
        <v>8941.69</v>
      </c>
      <c r="BW11" s="51">
        <v>74</v>
      </c>
      <c r="BX11" s="52">
        <v>840.65</v>
      </c>
      <c r="BY11" s="52">
        <v>2187.3200000000002</v>
      </c>
    </row>
    <row r="12" spans="1:77" ht="16.2" thickBot="1" x14ac:dyDescent="0.35">
      <c r="A12" s="47">
        <v>77</v>
      </c>
      <c r="B12" s="50">
        <v>12</v>
      </c>
      <c r="C12" s="50">
        <v>0.97</v>
      </c>
      <c r="D12" s="50">
        <v>0.38</v>
      </c>
      <c r="E12" s="53">
        <v>350702</v>
      </c>
      <c r="F12" s="50">
        <v>10026</v>
      </c>
      <c r="G12" s="50">
        <v>2249</v>
      </c>
      <c r="Q12" s="47">
        <v>77</v>
      </c>
      <c r="R12" s="50">
        <v>0.38</v>
      </c>
      <c r="AB12" s="47">
        <v>77</v>
      </c>
      <c r="AC12" s="50">
        <v>10026</v>
      </c>
      <c r="AR12" s="47">
        <v>77</v>
      </c>
      <c r="AS12" s="50">
        <v>7.1</v>
      </c>
      <c r="AT12" s="50">
        <v>0.21</v>
      </c>
      <c r="AU12" s="50">
        <v>0.1</v>
      </c>
      <c r="AV12" s="50">
        <v>197.24</v>
      </c>
      <c r="AW12" s="50">
        <v>5276.55</v>
      </c>
      <c r="AX12" s="50">
        <v>924.52</v>
      </c>
      <c r="BA12" s="47">
        <v>77</v>
      </c>
      <c r="BB12" s="50">
        <v>12</v>
      </c>
      <c r="BC12" s="50">
        <v>0.97</v>
      </c>
      <c r="BD12" s="50">
        <v>0.38</v>
      </c>
      <c r="BE12" s="53">
        <v>350702</v>
      </c>
      <c r="BF12" s="50">
        <v>10026</v>
      </c>
      <c r="BG12" s="50">
        <v>2249</v>
      </c>
      <c r="BJ12" s="47">
        <v>77</v>
      </c>
      <c r="BK12" s="50">
        <v>5276.55</v>
      </c>
      <c r="BL12" s="50">
        <v>10026</v>
      </c>
      <c r="BW12" s="47">
        <v>77</v>
      </c>
      <c r="BX12" s="50">
        <v>924.52</v>
      </c>
      <c r="BY12" s="50">
        <v>2249</v>
      </c>
    </row>
    <row r="13" spans="1:77" ht="16.2" thickBot="1" x14ac:dyDescent="0.35">
      <c r="A13" s="51">
        <v>80</v>
      </c>
      <c r="B13" s="52">
        <v>15</v>
      </c>
      <c r="C13" s="52">
        <v>0.52</v>
      </c>
      <c r="D13" s="52">
        <v>0.2</v>
      </c>
      <c r="E13" s="52">
        <v>452.6</v>
      </c>
      <c r="F13" s="52">
        <v>14371</v>
      </c>
      <c r="G13" s="52">
        <v>3116.3</v>
      </c>
      <c r="Q13" s="51">
        <v>80</v>
      </c>
      <c r="R13" s="52">
        <v>0.2</v>
      </c>
      <c r="AB13" s="51">
        <v>80</v>
      </c>
      <c r="AC13" s="52">
        <v>14371</v>
      </c>
      <c r="AR13" s="51">
        <v>80</v>
      </c>
      <c r="AS13" s="52">
        <v>7.5</v>
      </c>
      <c r="AT13" s="52">
        <v>0.2</v>
      </c>
      <c r="AU13" s="52">
        <v>0.09</v>
      </c>
      <c r="AV13" s="52">
        <v>225.71</v>
      </c>
      <c r="AW13" s="52">
        <v>6521.31</v>
      </c>
      <c r="AX13" s="52">
        <v>1072.74</v>
      </c>
      <c r="BA13" s="51">
        <v>80</v>
      </c>
      <c r="BB13" s="52">
        <v>15</v>
      </c>
      <c r="BC13" s="52">
        <v>0.52</v>
      </c>
      <c r="BD13" s="52">
        <v>0.2</v>
      </c>
      <c r="BE13" s="52">
        <v>452.6</v>
      </c>
      <c r="BF13" s="52">
        <v>14371</v>
      </c>
      <c r="BG13" s="52">
        <v>3116.3</v>
      </c>
      <c r="BJ13" s="51">
        <v>80</v>
      </c>
      <c r="BK13" s="52">
        <v>6521.31</v>
      </c>
      <c r="BL13" s="52">
        <v>14371</v>
      </c>
      <c r="BW13" s="51">
        <v>80</v>
      </c>
      <c r="BX13" s="52">
        <v>1072.74</v>
      </c>
      <c r="BY13" s="52">
        <v>3116.3</v>
      </c>
    </row>
    <row r="15" spans="1:77" ht="15" thickBot="1" x14ac:dyDescent="0.35">
      <c r="AR15" s="54" t="s">
        <v>71</v>
      </c>
      <c r="AS15" s="54"/>
      <c r="AT15" s="54"/>
      <c r="AU15" s="54"/>
      <c r="AV15" s="54"/>
      <c r="AW15" s="54"/>
      <c r="AX15" s="54"/>
      <c r="BA15" s="54" t="s">
        <v>72</v>
      </c>
      <c r="BB15" s="54"/>
      <c r="BC15" s="54"/>
      <c r="BD15" s="54"/>
      <c r="BE15" s="54"/>
      <c r="BF15" s="54"/>
      <c r="BG15" s="54"/>
    </row>
    <row r="16" spans="1:77" ht="31.2" x14ac:dyDescent="0.3">
      <c r="A16" s="46" t="s">
        <v>62</v>
      </c>
      <c r="B16" s="48" t="s">
        <v>65</v>
      </c>
      <c r="Q16" s="46" t="s">
        <v>62</v>
      </c>
      <c r="R16" s="63" t="s">
        <v>68</v>
      </c>
      <c r="AB16" s="46" t="s">
        <v>62</v>
      </c>
      <c r="AC16" s="63" t="s">
        <v>70</v>
      </c>
      <c r="AR16" s="54"/>
      <c r="AS16" s="54"/>
      <c r="AT16" s="54"/>
      <c r="AU16" s="54"/>
      <c r="AV16" s="54"/>
      <c r="AW16" s="54"/>
      <c r="AX16" s="54"/>
      <c r="BA16" s="54"/>
      <c r="BB16" s="54"/>
      <c r="BC16" s="54"/>
      <c r="BD16" s="54"/>
      <c r="BE16" s="54"/>
      <c r="BF16" s="54"/>
      <c r="BG16" s="54"/>
    </row>
    <row r="17" spans="1:61" ht="31.8" thickBot="1" x14ac:dyDescent="0.35">
      <c r="A17" s="47" t="s">
        <v>63</v>
      </c>
      <c r="B17" s="49" t="s">
        <v>66</v>
      </c>
      <c r="Q17" s="47" t="s">
        <v>63</v>
      </c>
      <c r="R17" s="64"/>
      <c r="AB17" s="47" t="s">
        <v>63</v>
      </c>
      <c r="AC17" s="64"/>
    </row>
    <row r="18" spans="1:61" ht="16.2" thickBot="1" x14ac:dyDescent="0.35">
      <c r="A18" s="51">
        <v>50</v>
      </c>
      <c r="B18" s="52">
        <v>3.54</v>
      </c>
      <c r="Q18" s="51">
        <v>50</v>
      </c>
      <c r="R18" s="52">
        <v>79.39</v>
      </c>
      <c r="AB18" s="51">
        <v>50</v>
      </c>
      <c r="AC18" s="52">
        <v>416.3</v>
      </c>
    </row>
    <row r="19" spans="1:61" ht="16.2" thickBot="1" x14ac:dyDescent="0.35">
      <c r="A19" s="47">
        <v>53</v>
      </c>
      <c r="B19" s="50">
        <v>3.22</v>
      </c>
      <c r="Q19" s="47">
        <v>53</v>
      </c>
      <c r="R19" s="50">
        <v>84.54</v>
      </c>
      <c r="AB19" s="47">
        <v>53</v>
      </c>
      <c r="AC19" s="50">
        <v>274.8</v>
      </c>
    </row>
    <row r="20" spans="1:61" ht="16.2" thickBot="1" x14ac:dyDescent="0.35">
      <c r="A20" s="51">
        <v>56</v>
      </c>
      <c r="B20" s="52">
        <v>2.69</v>
      </c>
      <c r="Q20" s="51">
        <v>56</v>
      </c>
      <c r="R20" s="52">
        <v>103.9</v>
      </c>
      <c r="AB20" s="51">
        <v>56</v>
      </c>
      <c r="AC20" s="52">
        <v>523.57000000000005</v>
      </c>
      <c r="AR20" s="59" t="s">
        <v>62</v>
      </c>
      <c r="AS20" s="58" t="s">
        <v>73</v>
      </c>
      <c r="AT20" s="58"/>
      <c r="BG20" s="59" t="s">
        <v>62</v>
      </c>
      <c r="BH20" s="58" t="s">
        <v>75</v>
      </c>
      <c r="BI20" s="58"/>
    </row>
    <row r="21" spans="1:61" ht="16.2" thickBot="1" x14ac:dyDescent="0.35">
      <c r="A21" s="47">
        <v>59</v>
      </c>
      <c r="B21" s="50">
        <v>2.5</v>
      </c>
      <c r="Q21" s="47">
        <v>59</v>
      </c>
      <c r="R21" s="50">
        <v>111.98</v>
      </c>
      <c r="AB21" s="47">
        <v>59</v>
      </c>
      <c r="AC21" s="50">
        <v>362.52</v>
      </c>
      <c r="AR21" s="60"/>
      <c r="AS21" s="29" t="s">
        <v>71</v>
      </c>
      <c r="AT21" s="29" t="s">
        <v>74</v>
      </c>
      <c r="BG21" s="60"/>
      <c r="BH21" s="29" t="s">
        <v>71</v>
      </c>
      <c r="BI21" s="29" t="s">
        <v>74</v>
      </c>
    </row>
    <row r="22" spans="1:61" ht="16.2" thickBot="1" x14ac:dyDescent="0.35">
      <c r="A22" s="51">
        <v>62</v>
      </c>
      <c r="B22" s="52">
        <v>2.5</v>
      </c>
      <c r="Q22" s="51">
        <v>62</v>
      </c>
      <c r="R22" s="52">
        <v>149.33000000000001</v>
      </c>
      <c r="AB22" s="51">
        <v>62</v>
      </c>
      <c r="AC22" s="52">
        <v>1135.58</v>
      </c>
      <c r="AR22" s="51">
        <v>50</v>
      </c>
      <c r="AS22" s="52">
        <v>3.8</v>
      </c>
      <c r="AT22" s="52">
        <v>2.4</v>
      </c>
      <c r="BG22" s="51">
        <v>50</v>
      </c>
      <c r="BH22" s="52">
        <v>1.34</v>
      </c>
      <c r="BI22" s="52">
        <v>3.54</v>
      </c>
    </row>
    <row r="23" spans="1:61" ht="16.2" thickBot="1" x14ac:dyDescent="0.35">
      <c r="A23" s="47">
        <v>65</v>
      </c>
      <c r="B23" s="50">
        <v>1.95</v>
      </c>
      <c r="Q23" s="47">
        <v>65</v>
      </c>
      <c r="R23" s="50">
        <v>168.7</v>
      </c>
      <c r="AB23" s="47">
        <v>65</v>
      </c>
      <c r="AC23" s="50">
        <v>961.04</v>
      </c>
      <c r="AR23" s="47">
        <v>53</v>
      </c>
      <c r="AS23" s="50">
        <v>3.8</v>
      </c>
      <c r="AT23" s="50">
        <v>2.9</v>
      </c>
      <c r="BG23" s="47">
        <v>53</v>
      </c>
      <c r="BH23" s="50">
        <v>2.0699999999999998</v>
      </c>
      <c r="BI23" s="50">
        <v>3.22</v>
      </c>
    </row>
    <row r="24" spans="1:61" ht="16.2" thickBot="1" x14ac:dyDescent="0.35">
      <c r="A24" s="51">
        <v>68</v>
      </c>
      <c r="B24" s="52">
        <v>2</v>
      </c>
      <c r="Q24" s="51">
        <v>68</v>
      </c>
      <c r="R24" s="52">
        <v>201.03</v>
      </c>
      <c r="AB24" s="51">
        <v>68</v>
      </c>
      <c r="AC24" s="52">
        <v>1056.3699999999999</v>
      </c>
      <c r="AR24" s="51">
        <v>56</v>
      </c>
      <c r="AS24" s="52">
        <v>3.9</v>
      </c>
      <c r="AT24" s="52">
        <v>3.3</v>
      </c>
      <c r="BG24" s="51">
        <v>56</v>
      </c>
      <c r="BH24" s="52">
        <v>2.0099999999999998</v>
      </c>
      <c r="BI24" s="52">
        <v>2.69</v>
      </c>
    </row>
    <row r="25" spans="1:61" ht="16.2" thickBot="1" x14ac:dyDescent="0.35">
      <c r="A25" s="47">
        <v>71</v>
      </c>
      <c r="B25" s="50">
        <v>1.61</v>
      </c>
      <c r="Q25" s="47">
        <v>71</v>
      </c>
      <c r="R25" s="50">
        <v>266.18</v>
      </c>
      <c r="AB25" s="47">
        <v>71</v>
      </c>
      <c r="AC25" s="50">
        <v>1551.47</v>
      </c>
      <c r="AR25" s="47">
        <v>59</v>
      </c>
      <c r="AS25" s="50">
        <v>3.9</v>
      </c>
      <c r="AT25" s="50">
        <v>4</v>
      </c>
      <c r="BG25" s="47">
        <v>59</v>
      </c>
      <c r="BH25" s="50">
        <v>2.5</v>
      </c>
      <c r="BI25" s="50">
        <v>2.5</v>
      </c>
    </row>
    <row r="26" spans="1:61" ht="16.2" thickBot="1" x14ac:dyDescent="0.35">
      <c r="A26" s="51">
        <v>74</v>
      </c>
      <c r="B26" s="52">
        <v>1.1000000000000001</v>
      </c>
      <c r="Q26" s="51">
        <v>74</v>
      </c>
      <c r="R26" s="52">
        <v>327.10000000000002</v>
      </c>
      <c r="AB26" s="51">
        <v>74</v>
      </c>
      <c r="AC26" s="52">
        <v>2187.3200000000002</v>
      </c>
      <c r="AR26" s="51">
        <v>62</v>
      </c>
      <c r="AS26" s="52">
        <v>4.5</v>
      </c>
      <c r="AT26" s="52">
        <v>4.8</v>
      </c>
      <c r="BG26" s="51">
        <v>62</v>
      </c>
      <c r="BH26" s="52">
        <v>1.91</v>
      </c>
      <c r="BI26" s="52">
        <v>2.5</v>
      </c>
    </row>
    <row r="27" spans="1:61" ht="16.2" thickBot="1" x14ac:dyDescent="0.35">
      <c r="A27" s="47">
        <v>77</v>
      </c>
      <c r="B27" s="50">
        <v>0.97</v>
      </c>
      <c r="Q27" s="47">
        <v>77</v>
      </c>
      <c r="R27" s="53">
        <v>350.02</v>
      </c>
      <c r="AB27" s="47">
        <v>77</v>
      </c>
      <c r="AC27" s="50">
        <v>2249</v>
      </c>
      <c r="AR27" s="47">
        <v>65</v>
      </c>
      <c r="AS27" s="50">
        <v>5</v>
      </c>
      <c r="AT27" s="50">
        <v>5.2</v>
      </c>
      <c r="BG27" s="47">
        <v>65</v>
      </c>
      <c r="BH27" s="50">
        <v>1.55</v>
      </c>
      <c r="BI27" s="50">
        <v>1.95</v>
      </c>
    </row>
    <row r="28" spans="1:61" ht="16.2" thickBot="1" x14ac:dyDescent="0.35">
      <c r="A28" s="51">
        <v>80</v>
      </c>
      <c r="B28" s="52">
        <v>0.52</v>
      </c>
      <c r="Q28" s="51">
        <v>80</v>
      </c>
      <c r="R28" s="52">
        <v>452.6</v>
      </c>
      <c r="AB28" s="51">
        <v>80</v>
      </c>
      <c r="AC28" s="52">
        <v>3116.3</v>
      </c>
      <c r="AR28" s="51">
        <v>68</v>
      </c>
      <c r="AS28" s="52">
        <v>5.6</v>
      </c>
      <c r="AT28" s="52">
        <v>6.3</v>
      </c>
      <c r="BG28" s="51">
        <v>68</v>
      </c>
      <c r="BH28" s="52">
        <v>0.88</v>
      </c>
      <c r="BI28" s="52">
        <v>2</v>
      </c>
    </row>
    <row r="29" spans="1:61" ht="16.2" thickBot="1" x14ac:dyDescent="0.35">
      <c r="AR29" s="47">
        <v>71</v>
      </c>
      <c r="AS29" s="50">
        <v>6</v>
      </c>
      <c r="AT29" s="50">
        <v>8.3000000000000007</v>
      </c>
      <c r="BG29" s="47">
        <v>71</v>
      </c>
      <c r="BH29" s="50">
        <v>0.8</v>
      </c>
      <c r="BI29" s="50">
        <v>1.61</v>
      </c>
    </row>
    <row r="30" spans="1:61" ht="16.2" thickBot="1" x14ac:dyDescent="0.35">
      <c r="AR30" s="51">
        <v>74</v>
      </c>
      <c r="AS30" s="52">
        <v>6.9</v>
      </c>
      <c r="AT30" s="52">
        <v>11.6</v>
      </c>
      <c r="BG30" s="51">
        <v>74</v>
      </c>
      <c r="BH30" s="52">
        <v>0.3</v>
      </c>
      <c r="BI30" s="52">
        <v>1.1000000000000001</v>
      </c>
    </row>
    <row r="31" spans="1:61" ht="16.2" thickBot="1" x14ac:dyDescent="0.35">
      <c r="AR31" s="47">
        <v>77</v>
      </c>
      <c r="AS31" s="50">
        <v>7.1</v>
      </c>
      <c r="AT31" s="50">
        <v>12</v>
      </c>
      <c r="BG31" s="47">
        <v>77</v>
      </c>
      <c r="BH31" s="50">
        <v>0.21</v>
      </c>
      <c r="BI31" s="50">
        <v>0.97</v>
      </c>
    </row>
    <row r="32" spans="1:61" ht="16.2" thickBot="1" x14ac:dyDescent="0.35">
      <c r="AR32" s="51">
        <v>80</v>
      </c>
      <c r="AS32" s="52">
        <v>7.5</v>
      </c>
      <c r="AT32" s="52">
        <v>15</v>
      </c>
      <c r="BG32" s="51">
        <v>80</v>
      </c>
      <c r="BH32" s="52">
        <v>0.2</v>
      </c>
      <c r="BI32" s="52">
        <v>0.52</v>
      </c>
    </row>
    <row r="35" spans="44:61" ht="15" thickBot="1" x14ac:dyDescent="0.35"/>
    <row r="36" spans="44:61" x14ac:dyDescent="0.3">
      <c r="AR36" s="59" t="s">
        <v>62</v>
      </c>
      <c r="AS36" s="58" t="s">
        <v>51</v>
      </c>
      <c r="AT36" s="58"/>
      <c r="BG36" s="59" t="s">
        <v>62</v>
      </c>
      <c r="BH36" s="58" t="s">
        <v>68</v>
      </c>
      <c r="BI36" s="58"/>
    </row>
    <row r="37" spans="44:61" ht="15" thickBot="1" x14ac:dyDescent="0.35">
      <c r="AR37" s="60"/>
      <c r="AS37" s="29" t="s">
        <v>71</v>
      </c>
      <c r="AT37" s="29" t="s">
        <v>74</v>
      </c>
      <c r="BG37" s="60"/>
      <c r="BH37" s="29" t="s">
        <v>71</v>
      </c>
      <c r="BI37" s="29" t="s">
        <v>74</v>
      </c>
    </row>
    <row r="38" spans="44:61" ht="16.2" thickBot="1" x14ac:dyDescent="0.35">
      <c r="AR38" s="51">
        <v>50</v>
      </c>
      <c r="AS38" s="52">
        <v>0.19</v>
      </c>
      <c r="AT38" s="52">
        <v>0.32</v>
      </c>
      <c r="BG38" s="51">
        <v>50</v>
      </c>
      <c r="BH38" s="52">
        <v>46.47</v>
      </c>
      <c r="BI38" s="52">
        <v>79.39</v>
      </c>
    </row>
    <row r="39" spans="44:61" ht="16.2" thickBot="1" x14ac:dyDescent="0.35">
      <c r="AR39" s="47">
        <v>53</v>
      </c>
      <c r="AS39" s="50">
        <v>0.18</v>
      </c>
      <c r="AT39" s="50">
        <v>7.0000000000000007E-2</v>
      </c>
      <c r="BG39" s="47">
        <v>53</v>
      </c>
      <c r="BH39" s="50">
        <v>58.1</v>
      </c>
      <c r="BI39" s="50">
        <v>84.54</v>
      </c>
    </row>
    <row r="40" spans="44:61" ht="16.2" thickBot="1" x14ac:dyDescent="0.35">
      <c r="AR40" s="51">
        <v>56</v>
      </c>
      <c r="AS40" s="52">
        <v>0.19</v>
      </c>
      <c r="AT40" s="52">
        <v>0.3</v>
      </c>
      <c r="BG40" s="51">
        <v>56</v>
      </c>
      <c r="BH40" s="52">
        <v>66.61</v>
      </c>
      <c r="BI40" s="52">
        <v>103.9</v>
      </c>
    </row>
    <row r="41" spans="44:61" ht="16.2" thickBot="1" x14ac:dyDescent="0.35">
      <c r="AR41" s="47">
        <v>59</v>
      </c>
      <c r="AS41" s="50">
        <v>0.17</v>
      </c>
      <c r="AT41" s="50">
        <v>0.02</v>
      </c>
      <c r="BG41" s="47">
        <v>59</v>
      </c>
      <c r="BH41" s="50">
        <v>77.680000000000007</v>
      </c>
      <c r="BI41" s="50">
        <v>111.98</v>
      </c>
    </row>
    <row r="42" spans="44:61" ht="16.2" thickBot="1" x14ac:dyDescent="0.35">
      <c r="AR42" s="51">
        <v>62</v>
      </c>
      <c r="AS42" s="52">
        <v>0.16</v>
      </c>
      <c r="AT42" s="52">
        <v>0.74</v>
      </c>
      <c r="BG42" s="51">
        <v>62</v>
      </c>
      <c r="BH42" s="52">
        <v>94.41</v>
      </c>
      <c r="BI42" s="52">
        <v>149.33000000000001</v>
      </c>
    </row>
    <row r="43" spans="44:61" ht="16.2" thickBot="1" x14ac:dyDescent="0.35">
      <c r="AR43" s="47">
        <v>65</v>
      </c>
      <c r="AS43" s="50">
        <v>0.19</v>
      </c>
      <c r="AT43" s="50">
        <v>0.47</v>
      </c>
      <c r="BG43" s="47">
        <v>65</v>
      </c>
      <c r="BH43" s="50">
        <v>110.82</v>
      </c>
      <c r="BI43" s="50">
        <v>168.7</v>
      </c>
    </row>
    <row r="44" spans="44:61" ht="16.2" thickBot="1" x14ac:dyDescent="0.35">
      <c r="AR44" s="51">
        <v>68</v>
      </c>
      <c r="AS44" s="52">
        <v>0.14000000000000001</v>
      </c>
      <c r="AT44" s="52">
        <v>0.3</v>
      </c>
      <c r="BG44" s="51">
        <v>68</v>
      </c>
      <c r="BH44" s="52">
        <v>124.23</v>
      </c>
      <c r="BI44" s="52">
        <v>201.03</v>
      </c>
    </row>
    <row r="45" spans="44:61" ht="16.2" thickBot="1" x14ac:dyDescent="0.35">
      <c r="AR45" s="47">
        <v>71</v>
      </c>
      <c r="AS45" s="50">
        <v>0.14000000000000001</v>
      </c>
      <c r="AT45" s="50">
        <v>0.45</v>
      </c>
      <c r="BG45" s="47">
        <v>71</v>
      </c>
      <c r="BH45" s="50">
        <v>145.36000000000001</v>
      </c>
      <c r="BI45" s="50">
        <v>266.18</v>
      </c>
    </row>
    <row r="46" spans="44:61" ht="16.2" thickBot="1" x14ac:dyDescent="0.35">
      <c r="AR46" s="51">
        <v>74</v>
      </c>
      <c r="AS46" s="52">
        <v>0.11</v>
      </c>
      <c r="AT46" s="52">
        <v>0.54</v>
      </c>
      <c r="BG46" s="51">
        <v>74</v>
      </c>
      <c r="BH46" s="52">
        <v>174.78</v>
      </c>
      <c r="BI46" s="52">
        <v>327.10000000000002</v>
      </c>
    </row>
    <row r="47" spans="44:61" ht="16.2" thickBot="1" x14ac:dyDescent="0.35">
      <c r="AR47" s="47">
        <v>77</v>
      </c>
      <c r="AS47" s="50">
        <v>0.1</v>
      </c>
      <c r="AT47" s="50">
        <v>0.38</v>
      </c>
      <c r="BG47" s="47">
        <v>77</v>
      </c>
      <c r="BH47" s="50">
        <v>197.24</v>
      </c>
      <c r="BI47" s="53">
        <v>375</v>
      </c>
    </row>
    <row r="48" spans="44:61" ht="16.2" thickBot="1" x14ac:dyDescent="0.35">
      <c r="AR48" s="51">
        <v>80</v>
      </c>
      <c r="AS48" s="52">
        <v>0.09</v>
      </c>
      <c r="AT48" s="52">
        <v>0.2</v>
      </c>
      <c r="BG48" s="51">
        <v>80</v>
      </c>
      <c r="BH48" s="52">
        <v>225.71</v>
      </c>
      <c r="BI48" s="52">
        <v>452.6</v>
      </c>
    </row>
  </sheetData>
  <mergeCells count="29">
    <mergeCell ref="B1:B2"/>
    <mergeCell ref="E1:E2"/>
    <mergeCell ref="F1:F2"/>
    <mergeCell ref="G1:G2"/>
    <mergeCell ref="R16:R17"/>
    <mergeCell ref="AC1:AC2"/>
    <mergeCell ref="AC16:AC17"/>
    <mergeCell ref="AS1:AS2"/>
    <mergeCell ref="AV1:AV2"/>
    <mergeCell ref="AW1:AW2"/>
    <mergeCell ref="AR20:AR21"/>
    <mergeCell ref="BG20:BG21"/>
    <mergeCell ref="BH20:BI20"/>
    <mergeCell ref="AR36:AR37"/>
    <mergeCell ref="AS36:AT36"/>
    <mergeCell ref="BG36:BG37"/>
    <mergeCell ref="BH36:BI36"/>
    <mergeCell ref="BJ1:BJ2"/>
    <mergeCell ref="BK1:BL1"/>
    <mergeCell ref="BW1:BW2"/>
    <mergeCell ref="BX1:BY1"/>
    <mergeCell ref="AS20:AT20"/>
    <mergeCell ref="BB1:BB2"/>
    <mergeCell ref="BE1:BE2"/>
    <mergeCell ref="BF1:BF2"/>
    <mergeCell ref="BG1:BG2"/>
    <mergeCell ref="AR15:AX16"/>
    <mergeCell ref="BA15:BG16"/>
    <mergeCell ref="AX1:AX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E5BF-DC2C-4D89-B233-A15CC92CF0AA}">
  <dimension ref="A1:K609"/>
  <sheetViews>
    <sheetView topLeftCell="A594" zoomScale="126" workbookViewId="0">
      <selection activeCell="B9" sqref="B9:G609"/>
    </sheetView>
  </sheetViews>
  <sheetFormatPr defaultRowHeight="14.4" x14ac:dyDescent="0.3"/>
  <cols>
    <col min="1" max="1" width="14.77734375" style="1" customWidth="1"/>
    <col min="2" max="11" width="10.77734375" style="1" customWidth="1"/>
    <col min="12" max="12" width="16.77734375" style="1" customWidth="1"/>
    <col min="13" max="16384" width="8.88671875" style="1"/>
  </cols>
  <sheetData>
    <row r="1" spans="1:11" ht="29.4" x14ac:dyDescent="0.65">
      <c r="A1" s="65" t="s">
        <v>57</v>
      </c>
      <c r="B1" s="65"/>
      <c r="C1" s="65"/>
      <c r="D1" s="65"/>
      <c r="E1" s="65"/>
      <c r="F1" s="65"/>
      <c r="G1" s="65"/>
      <c r="H1" s="65"/>
      <c r="I1" s="65"/>
      <c r="J1" s="65"/>
    </row>
    <row r="2" spans="1:11" ht="16.8" x14ac:dyDescent="0.3">
      <c r="A2" s="66" t="s">
        <v>32</v>
      </c>
      <c r="B2" s="66"/>
      <c r="C2" s="66"/>
      <c r="D2" s="66"/>
      <c r="E2" s="66"/>
      <c r="F2" s="66"/>
      <c r="G2" s="66"/>
      <c r="H2" s="66"/>
      <c r="I2" s="66"/>
      <c r="J2" s="66"/>
    </row>
    <row r="3" spans="1:11" ht="33.450000000000003" customHeight="1" x14ac:dyDescent="0.45">
      <c r="A3" s="67" t="s">
        <v>33</v>
      </c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ht="15" x14ac:dyDescent="0.3">
      <c r="A4" s="16" t="s">
        <v>34</v>
      </c>
      <c r="B4" s="16" t="s">
        <v>11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K4" s="16" t="s">
        <v>21</v>
      </c>
    </row>
    <row r="5" spans="1:11" ht="19.5" customHeight="1" x14ac:dyDescent="0.3">
      <c r="A5" s="18">
        <v>46045.610183263889</v>
      </c>
      <c r="B5" s="17">
        <v>60.1</v>
      </c>
      <c r="C5" s="17">
        <v>80</v>
      </c>
      <c r="D5" s="28">
        <v>80.23</v>
      </c>
      <c r="E5" s="17">
        <v>-0.23</v>
      </c>
      <c r="F5" s="17">
        <v>-0.02</v>
      </c>
      <c r="G5" s="28">
        <v>2284.4299999999998</v>
      </c>
      <c r="H5" s="17"/>
      <c r="I5" s="17"/>
      <c r="J5" s="17"/>
      <c r="K5" s="17"/>
    </row>
    <row r="6" spans="1:11" ht="33.450000000000003" customHeight="1" x14ac:dyDescent="0.45">
      <c r="A6" s="68" t="s">
        <v>35</v>
      </c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15" x14ac:dyDescent="0.3">
      <c r="A7" s="16" t="s">
        <v>34</v>
      </c>
      <c r="B7" s="16" t="s">
        <v>11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</row>
    <row r="8" spans="1:11" ht="19.5" customHeight="1" x14ac:dyDescent="0.3">
      <c r="A8" s="21">
        <v>46045.606226944445</v>
      </c>
      <c r="B8" s="19">
        <v>60.1</v>
      </c>
      <c r="C8" s="19">
        <v>77</v>
      </c>
      <c r="D8" s="27">
        <v>77.349999999999994</v>
      </c>
      <c r="E8" s="19">
        <v>-0.35</v>
      </c>
      <c r="F8" s="19">
        <v>-0.06</v>
      </c>
      <c r="G8" s="27">
        <v>2114.79</v>
      </c>
      <c r="H8" s="19"/>
      <c r="I8" s="19"/>
      <c r="J8" s="19"/>
      <c r="K8" s="19"/>
    </row>
    <row r="9" spans="1:11" ht="19.5" customHeight="1" x14ac:dyDescent="0.3">
      <c r="A9" s="22">
        <v>46045.609489895833</v>
      </c>
      <c r="B9" s="20">
        <v>0.1</v>
      </c>
      <c r="C9" s="20">
        <v>80</v>
      </c>
      <c r="D9" s="20">
        <v>28.43</v>
      </c>
      <c r="E9" s="20">
        <v>50</v>
      </c>
      <c r="F9" s="20">
        <v>6</v>
      </c>
      <c r="G9" s="26">
        <v>2048</v>
      </c>
      <c r="H9" s="20"/>
      <c r="I9" s="20"/>
      <c r="J9" s="20"/>
      <c r="K9" s="20"/>
    </row>
    <row r="10" spans="1:11" ht="19.5" customHeight="1" x14ac:dyDescent="0.3">
      <c r="A10" s="22">
        <v>46045.609490358795</v>
      </c>
      <c r="B10" s="20">
        <v>0.2</v>
      </c>
      <c r="C10" s="20">
        <v>80</v>
      </c>
      <c r="D10" s="26">
        <v>28.43</v>
      </c>
      <c r="E10" s="20">
        <v>50</v>
      </c>
      <c r="F10" s="20">
        <v>1.57</v>
      </c>
      <c r="G10" s="20">
        <v>2048</v>
      </c>
      <c r="H10" s="20"/>
      <c r="I10" s="20"/>
      <c r="J10" s="20"/>
      <c r="K10" s="20"/>
    </row>
    <row r="11" spans="1:11" ht="19.5" customHeight="1" x14ac:dyDescent="0.3">
      <c r="A11" s="22">
        <v>46045.609491076386</v>
      </c>
      <c r="B11" s="20">
        <v>0.3</v>
      </c>
      <c r="C11" s="20">
        <v>80</v>
      </c>
      <c r="D11" s="26">
        <v>28.59</v>
      </c>
      <c r="E11" s="20">
        <v>50</v>
      </c>
      <c r="F11" s="20">
        <v>1.41</v>
      </c>
      <c r="G11" s="26">
        <v>2048</v>
      </c>
      <c r="H11" s="20"/>
      <c r="I11" s="20"/>
      <c r="J11" s="20"/>
      <c r="K11" s="20"/>
    </row>
    <row r="12" spans="1:11" ht="19.5" customHeight="1" x14ac:dyDescent="0.3">
      <c r="A12" s="22">
        <v>46045.609492222226</v>
      </c>
      <c r="B12" s="20">
        <v>0.4</v>
      </c>
      <c r="C12" s="20">
        <v>80</v>
      </c>
      <c r="D12" s="20">
        <v>28.52</v>
      </c>
      <c r="E12" s="20">
        <v>50</v>
      </c>
      <c r="F12" s="20">
        <v>1.48</v>
      </c>
      <c r="G12" s="20">
        <v>2048</v>
      </c>
      <c r="H12" s="20"/>
      <c r="I12" s="20"/>
      <c r="J12" s="20"/>
      <c r="K12" s="20"/>
    </row>
    <row r="13" spans="1:11" ht="19.5" customHeight="1" x14ac:dyDescent="0.3">
      <c r="A13" s="22">
        <v>46045.609493391203</v>
      </c>
      <c r="B13" s="20">
        <v>0.5</v>
      </c>
      <c r="C13" s="20">
        <v>80</v>
      </c>
      <c r="D13" s="26">
        <v>28.53</v>
      </c>
      <c r="E13" s="20">
        <v>50</v>
      </c>
      <c r="F13" s="20">
        <v>1.47</v>
      </c>
      <c r="G13" s="26">
        <v>2048</v>
      </c>
      <c r="H13" s="20"/>
      <c r="I13" s="20"/>
      <c r="J13" s="20"/>
      <c r="K13" s="20"/>
    </row>
    <row r="14" spans="1:11" ht="19.5" customHeight="1" x14ac:dyDescent="0.3">
      <c r="A14" s="22">
        <v>46045.609494560187</v>
      </c>
      <c r="B14" s="20">
        <v>0.6</v>
      </c>
      <c r="C14" s="20">
        <v>80</v>
      </c>
      <c r="D14" s="20">
        <v>28.63</v>
      </c>
      <c r="E14" s="20">
        <v>50</v>
      </c>
      <c r="F14" s="20">
        <v>1.37</v>
      </c>
      <c r="G14" s="26">
        <v>2048</v>
      </c>
      <c r="H14" s="20"/>
      <c r="I14" s="20"/>
      <c r="J14" s="20"/>
      <c r="K14" s="20"/>
    </row>
    <row r="15" spans="1:11" ht="19.5" customHeight="1" x14ac:dyDescent="0.3">
      <c r="A15" s="22">
        <v>46045.609495694443</v>
      </c>
      <c r="B15" s="20">
        <v>0.7</v>
      </c>
      <c r="C15" s="20">
        <v>80</v>
      </c>
      <c r="D15" s="26">
        <v>28.71</v>
      </c>
      <c r="E15" s="20">
        <v>50</v>
      </c>
      <c r="F15" s="20">
        <v>1.29</v>
      </c>
      <c r="G15" s="26">
        <v>2048</v>
      </c>
      <c r="H15" s="20"/>
      <c r="I15" s="20"/>
      <c r="J15" s="20"/>
      <c r="K15" s="20"/>
    </row>
    <row r="16" spans="1:11" ht="19.5" customHeight="1" x14ac:dyDescent="0.3">
      <c r="A16" s="22">
        <v>46045.609496863428</v>
      </c>
      <c r="B16" s="20">
        <v>0.8</v>
      </c>
      <c r="C16" s="20">
        <v>80</v>
      </c>
      <c r="D16" s="26">
        <v>28.81</v>
      </c>
      <c r="E16" s="20">
        <v>50</v>
      </c>
      <c r="F16" s="20">
        <v>1.19</v>
      </c>
      <c r="G16" s="26">
        <v>2048</v>
      </c>
      <c r="H16" s="20"/>
      <c r="I16" s="20"/>
      <c r="J16" s="20"/>
      <c r="K16" s="20"/>
    </row>
    <row r="17" spans="1:11" ht="19.5" customHeight="1" x14ac:dyDescent="0.3">
      <c r="A17" s="22">
        <v>46045.60949800926</v>
      </c>
      <c r="B17" s="20">
        <v>0.9</v>
      </c>
      <c r="C17" s="20">
        <v>80</v>
      </c>
      <c r="D17" s="20">
        <v>29.01</v>
      </c>
      <c r="E17" s="20">
        <v>50</v>
      </c>
      <c r="F17" s="20">
        <v>0.99</v>
      </c>
      <c r="G17" s="26">
        <v>2048</v>
      </c>
      <c r="H17" s="20"/>
      <c r="I17" s="20"/>
      <c r="J17" s="20"/>
      <c r="K17" s="20"/>
    </row>
    <row r="18" spans="1:11" ht="19.5" customHeight="1" x14ac:dyDescent="0.3">
      <c r="A18" s="22">
        <v>46045.609499178237</v>
      </c>
      <c r="B18" s="20">
        <v>1</v>
      </c>
      <c r="C18" s="20">
        <v>80</v>
      </c>
      <c r="D18" s="26">
        <v>29.13</v>
      </c>
      <c r="E18" s="20">
        <v>50</v>
      </c>
      <c r="F18" s="20">
        <v>0.87</v>
      </c>
      <c r="G18" s="26">
        <v>2048</v>
      </c>
      <c r="H18" s="20"/>
      <c r="I18" s="20"/>
      <c r="J18" s="20"/>
      <c r="K18" s="20"/>
    </row>
    <row r="19" spans="1:11" ht="19.5" customHeight="1" x14ac:dyDescent="0.3">
      <c r="A19" s="22">
        <v>46045.609500324077</v>
      </c>
      <c r="B19" s="20">
        <v>1.1000000000000001</v>
      </c>
      <c r="C19" s="20">
        <v>80</v>
      </c>
      <c r="D19" s="26">
        <v>29.41</v>
      </c>
      <c r="E19" s="20">
        <v>50</v>
      </c>
      <c r="F19" s="20">
        <v>0.59</v>
      </c>
      <c r="G19" s="26">
        <v>2048</v>
      </c>
      <c r="H19" s="20"/>
      <c r="I19" s="20"/>
      <c r="J19" s="20"/>
      <c r="K19" s="20"/>
    </row>
    <row r="20" spans="1:11" ht="19.5" customHeight="1" x14ac:dyDescent="0.3">
      <c r="A20" s="22">
        <v>46045.609501481478</v>
      </c>
      <c r="B20" s="20">
        <v>1.2</v>
      </c>
      <c r="C20" s="20">
        <v>80</v>
      </c>
      <c r="D20" s="20">
        <v>29.64</v>
      </c>
      <c r="E20" s="20">
        <v>50</v>
      </c>
      <c r="F20" s="20">
        <v>0.36</v>
      </c>
      <c r="G20" s="26">
        <v>2048</v>
      </c>
      <c r="H20" s="20"/>
      <c r="I20" s="20"/>
      <c r="J20" s="20"/>
      <c r="K20" s="20"/>
    </row>
    <row r="21" spans="1:11" ht="19.5" customHeight="1" x14ac:dyDescent="0.3">
      <c r="A21" s="22">
        <v>46045.609502638887</v>
      </c>
      <c r="B21" s="20">
        <v>1.3</v>
      </c>
      <c r="C21" s="20">
        <v>80</v>
      </c>
      <c r="D21" s="26">
        <v>29.93</v>
      </c>
      <c r="E21" s="20">
        <v>50</v>
      </c>
      <c r="F21" s="20">
        <v>7.0000000000000007E-2</v>
      </c>
      <c r="G21" s="26">
        <v>2048</v>
      </c>
      <c r="H21" s="20"/>
      <c r="I21" s="20"/>
      <c r="J21" s="20"/>
      <c r="K21" s="20"/>
    </row>
    <row r="22" spans="1:11" ht="19.5" customHeight="1" x14ac:dyDescent="0.3">
      <c r="A22" s="22">
        <v>46045.609503819447</v>
      </c>
      <c r="B22" s="20">
        <v>1.4</v>
      </c>
      <c r="C22" s="20">
        <v>80</v>
      </c>
      <c r="D22" s="20">
        <v>30.22</v>
      </c>
      <c r="E22" s="20">
        <v>49.78</v>
      </c>
      <c r="F22" s="20">
        <v>-0.22</v>
      </c>
      <c r="G22" s="26">
        <v>3231.81</v>
      </c>
      <c r="H22" s="20"/>
      <c r="I22" s="20"/>
      <c r="J22" s="20"/>
      <c r="K22" s="20"/>
    </row>
    <row r="23" spans="1:11" ht="19.5" customHeight="1" x14ac:dyDescent="0.3">
      <c r="A23" s="22">
        <v>46045.609504976848</v>
      </c>
      <c r="B23" s="20">
        <v>1.5</v>
      </c>
      <c r="C23" s="20">
        <v>80</v>
      </c>
      <c r="D23" s="26">
        <v>30.5</v>
      </c>
      <c r="E23" s="20">
        <v>49.5</v>
      </c>
      <c r="F23" s="20">
        <v>-0.28999999999999998</v>
      </c>
      <c r="G23" s="26">
        <v>3134.05</v>
      </c>
      <c r="H23" s="20"/>
      <c r="I23" s="20"/>
      <c r="J23" s="20"/>
      <c r="K23" s="20"/>
    </row>
    <row r="24" spans="1:11" ht="19.5" customHeight="1" x14ac:dyDescent="0.3">
      <c r="A24" s="22">
        <v>46045.609506134257</v>
      </c>
      <c r="B24" s="20">
        <v>1.6</v>
      </c>
      <c r="C24" s="20">
        <v>80</v>
      </c>
      <c r="D24" s="26">
        <v>30.87</v>
      </c>
      <c r="E24" s="20">
        <v>49.13</v>
      </c>
      <c r="F24" s="20">
        <v>-0.37</v>
      </c>
      <c r="G24" s="26">
        <v>2967.33</v>
      </c>
      <c r="H24" s="20"/>
      <c r="I24" s="20"/>
      <c r="J24" s="20"/>
      <c r="K24" s="20"/>
    </row>
    <row r="25" spans="1:11" ht="19.5" customHeight="1" x14ac:dyDescent="0.3">
      <c r="A25" s="22">
        <v>46045.609507291665</v>
      </c>
      <c r="B25" s="20">
        <v>1.7</v>
      </c>
      <c r="C25" s="20">
        <v>80</v>
      </c>
      <c r="D25" s="20">
        <v>31.19</v>
      </c>
      <c r="E25" s="20">
        <v>48.81</v>
      </c>
      <c r="F25" s="20">
        <v>-0.31</v>
      </c>
      <c r="G25" s="20">
        <v>3086.61</v>
      </c>
      <c r="H25" s="20"/>
      <c r="I25" s="20"/>
      <c r="J25" s="20"/>
      <c r="K25" s="20"/>
    </row>
    <row r="26" spans="1:11" ht="19.5" customHeight="1" x14ac:dyDescent="0.3">
      <c r="A26" s="22">
        <v>46045.609508449073</v>
      </c>
      <c r="B26" s="20">
        <v>1.8</v>
      </c>
      <c r="C26" s="20">
        <v>80</v>
      </c>
      <c r="D26" s="26">
        <v>31.54</v>
      </c>
      <c r="E26" s="20">
        <v>48.46</v>
      </c>
      <c r="F26" s="20">
        <v>-0.35</v>
      </c>
      <c r="G26" s="26">
        <v>3004.19</v>
      </c>
      <c r="H26" s="20"/>
      <c r="I26" s="20"/>
      <c r="J26" s="20"/>
      <c r="K26" s="20"/>
    </row>
    <row r="27" spans="1:11" ht="19.5" customHeight="1" x14ac:dyDescent="0.3">
      <c r="A27" s="22">
        <v>46045.609509606482</v>
      </c>
      <c r="B27" s="20">
        <v>1.9</v>
      </c>
      <c r="C27" s="20">
        <v>80</v>
      </c>
      <c r="D27" s="26">
        <v>31.91</v>
      </c>
      <c r="E27" s="20">
        <v>48.09</v>
      </c>
      <c r="F27" s="20">
        <v>-0.37</v>
      </c>
      <c r="G27" s="20">
        <v>2967.3</v>
      </c>
      <c r="H27" s="20"/>
      <c r="I27" s="20"/>
      <c r="J27" s="20"/>
      <c r="K27" s="20"/>
    </row>
    <row r="28" spans="1:11" ht="19.5" customHeight="1" x14ac:dyDescent="0.3">
      <c r="A28" s="22">
        <v>46045.60951076389</v>
      </c>
      <c r="B28" s="20">
        <v>2</v>
      </c>
      <c r="C28" s="20">
        <v>80</v>
      </c>
      <c r="D28" s="20">
        <v>32.270000000000003</v>
      </c>
      <c r="E28" s="20">
        <v>47.73</v>
      </c>
      <c r="F28" s="20">
        <v>-0.36</v>
      </c>
      <c r="G28" s="26">
        <v>2995.23</v>
      </c>
      <c r="H28" s="20"/>
      <c r="I28" s="20"/>
      <c r="J28" s="20"/>
      <c r="K28" s="20"/>
    </row>
    <row r="29" spans="1:11" ht="19.5" customHeight="1" x14ac:dyDescent="0.3">
      <c r="A29" s="22">
        <v>46045.609511921299</v>
      </c>
      <c r="B29" s="20">
        <v>2.1</v>
      </c>
      <c r="C29" s="20">
        <v>80</v>
      </c>
      <c r="D29" s="26">
        <v>32.770000000000003</v>
      </c>
      <c r="E29" s="20">
        <v>47.23</v>
      </c>
      <c r="F29" s="20">
        <v>-0.5</v>
      </c>
      <c r="G29" s="26">
        <v>2551.64</v>
      </c>
      <c r="H29" s="20"/>
      <c r="I29" s="20"/>
      <c r="J29" s="20"/>
      <c r="K29" s="20"/>
    </row>
    <row r="30" spans="1:11" ht="19.5" customHeight="1" x14ac:dyDescent="0.3">
      <c r="A30" s="22">
        <v>46045.609513078707</v>
      </c>
      <c r="B30" s="20">
        <v>2.2000000000000002</v>
      </c>
      <c r="C30" s="20">
        <v>80</v>
      </c>
      <c r="D30" s="26">
        <v>33.159999999999997</v>
      </c>
      <c r="E30" s="20">
        <v>46.84</v>
      </c>
      <c r="F30" s="20">
        <v>-0.39</v>
      </c>
      <c r="G30" s="20">
        <v>2927.9</v>
      </c>
      <c r="H30" s="20"/>
      <c r="I30" s="20"/>
      <c r="J30" s="20"/>
      <c r="K30" s="20"/>
    </row>
    <row r="31" spans="1:11" ht="19.5" customHeight="1" x14ac:dyDescent="0.3">
      <c r="A31" s="22">
        <v>46045.609514224539</v>
      </c>
      <c r="B31" s="20">
        <v>2.2999999999999998</v>
      </c>
      <c r="C31" s="20">
        <v>80</v>
      </c>
      <c r="D31" s="20">
        <v>33.58</v>
      </c>
      <c r="E31" s="20">
        <v>46.42</v>
      </c>
      <c r="F31" s="20">
        <v>-0.42</v>
      </c>
      <c r="G31" s="26">
        <v>2828.41</v>
      </c>
      <c r="H31" s="20"/>
      <c r="I31" s="20"/>
      <c r="J31" s="20"/>
      <c r="K31" s="20"/>
    </row>
    <row r="32" spans="1:11" ht="19.5" customHeight="1" x14ac:dyDescent="0.3">
      <c r="A32" s="22">
        <v>46045.609515393517</v>
      </c>
      <c r="B32" s="20">
        <v>2.4</v>
      </c>
      <c r="C32" s="20">
        <v>80</v>
      </c>
      <c r="D32" s="26">
        <v>34.04</v>
      </c>
      <c r="E32" s="20">
        <v>45.96</v>
      </c>
      <c r="F32" s="20">
        <v>-0.46</v>
      </c>
      <c r="G32" s="20">
        <v>2696.21</v>
      </c>
      <c r="H32" s="20"/>
      <c r="I32" s="20"/>
      <c r="J32" s="20"/>
      <c r="K32" s="20"/>
    </row>
    <row r="33" spans="1:11" ht="19.5" customHeight="1" x14ac:dyDescent="0.3">
      <c r="A33" s="22">
        <v>46045.609516550925</v>
      </c>
      <c r="B33" s="20">
        <v>2.5</v>
      </c>
      <c r="C33" s="20">
        <v>80</v>
      </c>
      <c r="D33" s="20">
        <v>34.47</v>
      </c>
      <c r="E33" s="20">
        <v>45.53</v>
      </c>
      <c r="F33" s="20">
        <v>-0.43</v>
      </c>
      <c r="G33" s="26">
        <v>2803.98</v>
      </c>
      <c r="H33" s="20"/>
      <c r="I33" s="20"/>
      <c r="J33" s="20"/>
      <c r="K33" s="20"/>
    </row>
    <row r="34" spans="1:11" ht="19.5" customHeight="1" x14ac:dyDescent="0.3">
      <c r="A34" s="22">
        <v>46045.609517696757</v>
      </c>
      <c r="B34" s="20">
        <v>2.6</v>
      </c>
      <c r="C34" s="20">
        <v>80</v>
      </c>
      <c r="D34" s="26">
        <v>34.97</v>
      </c>
      <c r="E34" s="20">
        <v>45.03</v>
      </c>
      <c r="F34" s="20">
        <v>-0.5</v>
      </c>
      <c r="G34" s="26">
        <v>2569.11</v>
      </c>
      <c r="H34" s="20"/>
      <c r="I34" s="20"/>
      <c r="J34" s="20"/>
      <c r="K34" s="20"/>
    </row>
    <row r="35" spans="1:11" ht="19.5" customHeight="1" x14ac:dyDescent="0.3">
      <c r="A35" s="22">
        <v>46045.609518865742</v>
      </c>
      <c r="B35" s="20">
        <v>2.7</v>
      </c>
      <c r="C35" s="20">
        <v>80</v>
      </c>
      <c r="D35" s="26">
        <v>35.43</v>
      </c>
      <c r="E35" s="20">
        <v>44.57</v>
      </c>
      <c r="F35" s="20">
        <v>-0.46</v>
      </c>
      <c r="G35" s="26">
        <v>2710.63</v>
      </c>
      <c r="H35" s="20"/>
      <c r="I35" s="20"/>
      <c r="J35" s="20"/>
      <c r="K35" s="20"/>
    </row>
    <row r="36" spans="1:11" ht="19.5" customHeight="1" x14ac:dyDescent="0.3">
      <c r="A36" s="22">
        <v>46045.60952002315</v>
      </c>
      <c r="B36" s="20">
        <v>2.8</v>
      </c>
      <c r="C36" s="20">
        <v>80</v>
      </c>
      <c r="D36" s="20">
        <v>35.89</v>
      </c>
      <c r="E36" s="20">
        <v>44.11</v>
      </c>
      <c r="F36" s="20">
        <v>-0.46</v>
      </c>
      <c r="G36" s="26">
        <v>2710.62</v>
      </c>
      <c r="H36" s="20"/>
      <c r="I36" s="20"/>
      <c r="J36" s="20"/>
      <c r="K36" s="20"/>
    </row>
    <row r="37" spans="1:11" ht="19.5" customHeight="1" x14ac:dyDescent="0.3">
      <c r="A37" s="22">
        <v>46045.609521180559</v>
      </c>
      <c r="B37" s="20">
        <v>2.9</v>
      </c>
      <c r="C37" s="20">
        <v>80</v>
      </c>
      <c r="D37" s="26">
        <v>36.33</v>
      </c>
      <c r="E37" s="20">
        <v>43.67</v>
      </c>
      <c r="F37" s="20">
        <v>-0.44</v>
      </c>
      <c r="G37" s="26">
        <v>2765.53</v>
      </c>
      <c r="H37" s="20"/>
      <c r="I37" s="20"/>
      <c r="J37" s="20"/>
      <c r="K37" s="20"/>
    </row>
    <row r="38" spans="1:11" ht="19.5" customHeight="1" x14ac:dyDescent="0.3">
      <c r="A38" s="22">
        <v>46045.609522326391</v>
      </c>
      <c r="B38" s="20">
        <v>3</v>
      </c>
      <c r="C38" s="20">
        <v>80</v>
      </c>
      <c r="D38" s="26">
        <v>36.799999999999997</v>
      </c>
      <c r="E38" s="20">
        <v>43.2</v>
      </c>
      <c r="F38" s="20">
        <v>-0.47</v>
      </c>
      <c r="G38" s="26">
        <v>2666.45</v>
      </c>
      <c r="H38" s="20"/>
      <c r="I38" s="20"/>
      <c r="J38" s="20"/>
      <c r="K38" s="20"/>
    </row>
    <row r="39" spans="1:11" ht="19.5" customHeight="1" x14ac:dyDescent="0.3">
      <c r="A39" s="22">
        <v>46045.609523495368</v>
      </c>
      <c r="B39" s="20">
        <v>3.1</v>
      </c>
      <c r="C39" s="20">
        <v>80</v>
      </c>
      <c r="D39" s="20">
        <v>37.200000000000003</v>
      </c>
      <c r="E39" s="20">
        <v>42.8</v>
      </c>
      <c r="F39" s="20">
        <v>-0.4</v>
      </c>
      <c r="G39" s="26">
        <v>2896.49</v>
      </c>
      <c r="H39" s="20"/>
      <c r="I39" s="20"/>
      <c r="J39" s="20"/>
      <c r="K39" s="20"/>
    </row>
    <row r="40" spans="1:11" ht="19.5" customHeight="1" x14ac:dyDescent="0.3">
      <c r="A40" s="22">
        <v>46045.609524652777</v>
      </c>
      <c r="B40" s="20">
        <v>3.2</v>
      </c>
      <c r="C40" s="20">
        <v>80</v>
      </c>
      <c r="D40" s="26">
        <v>37.69</v>
      </c>
      <c r="E40" s="20">
        <v>42.31</v>
      </c>
      <c r="F40" s="20">
        <v>-0.48</v>
      </c>
      <c r="G40" s="26">
        <v>2619.38</v>
      </c>
      <c r="H40" s="20"/>
      <c r="I40" s="20"/>
      <c r="J40" s="20"/>
      <c r="K40" s="20"/>
    </row>
    <row r="41" spans="1:11" ht="19.5" customHeight="1" x14ac:dyDescent="0.3">
      <c r="A41" s="22">
        <v>46045.609525810185</v>
      </c>
      <c r="B41" s="20">
        <v>3.3</v>
      </c>
      <c r="C41" s="20">
        <v>80</v>
      </c>
      <c r="D41" s="26">
        <v>38.130000000000003</v>
      </c>
      <c r="E41" s="20">
        <v>41.87</v>
      </c>
      <c r="F41" s="20">
        <v>-0.45</v>
      </c>
      <c r="G41" s="20">
        <v>2752.19</v>
      </c>
      <c r="H41" s="20"/>
      <c r="I41" s="20"/>
      <c r="J41" s="20"/>
      <c r="K41" s="20"/>
    </row>
    <row r="42" spans="1:11" ht="19.5" customHeight="1" x14ac:dyDescent="0.3">
      <c r="A42" s="22">
        <v>46045.609526967593</v>
      </c>
      <c r="B42" s="20">
        <v>3.4</v>
      </c>
      <c r="C42" s="20">
        <v>80</v>
      </c>
      <c r="D42" s="20">
        <v>38.47</v>
      </c>
      <c r="E42" s="20">
        <v>41.53</v>
      </c>
      <c r="F42" s="20">
        <v>-0.33</v>
      </c>
      <c r="G42" s="26">
        <v>3047.05</v>
      </c>
      <c r="H42" s="20"/>
      <c r="I42" s="20"/>
      <c r="J42" s="20"/>
      <c r="K42" s="20"/>
    </row>
    <row r="43" spans="1:11" ht="19.5" customHeight="1" x14ac:dyDescent="0.3">
      <c r="A43" s="22">
        <v>46045.60952810185</v>
      </c>
      <c r="B43" s="20">
        <v>3.5</v>
      </c>
      <c r="C43" s="20">
        <v>80</v>
      </c>
      <c r="D43" s="26">
        <v>38.950000000000003</v>
      </c>
      <c r="E43" s="20">
        <v>41.05</v>
      </c>
      <c r="F43" s="20">
        <v>-0.48</v>
      </c>
      <c r="G43" s="26">
        <v>2619.35</v>
      </c>
      <c r="H43" s="20"/>
      <c r="I43" s="20"/>
      <c r="J43" s="20"/>
      <c r="K43" s="20"/>
    </row>
    <row r="44" spans="1:11" ht="19.5" customHeight="1" x14ac:dyDescent="0.3">
      <c r="A44" s="22">
        <v>46045.609529270834</v>
      </c>
      <c r="B44" s="20">
        <v>3.6</v>
      </c>
      <c r="C44" s="20">
        <v>80</v>
      </c>
      <c r="D44" s="26">
        <v>39.369999999999997</v>
      </c>
      <c r="E44" s="20">
        <v>40.630000000000003</v>
      </c>
      <c r="F44" s="20">
        <v>-0.42</v>
      </c>
      <c r="G44" s="26">
        <v>2828.38</v>
      </c>
      <c r="H44" s="20"/>
      <c r="I44" s="20"/>
      <c r="J44" s="20"/>
      <c r="K44" s="20"/>
    </row>
    <row r="45" spans="1:11" ht="19.5" customHeight="1" x14ac:dyDescent="0.3">
      <c r="A45" s="22">
        <v>46045.609530428243</v>
      </c>
      <c r="B45" s="20">
        <v>3.7</v>
      </c>
      <c r="C45" s="20">
        <v>80</v>
      </c>
      <c r="D45" s="20">
        <v>39.76</v>
      </c>
      <c r="E45" s="20">
        <v>40.24</v>
      </c>
      <c r="F45" s="20">
        <v>-0.39</v>
      </c>
      <c r="G45" s="26">
        <v>2917.62</v>
      </c>
      <c r="H45" s="20"/>
      <c r="I45" s="20"/>
      <c r="J45" s="20"/>
      <c r="K45" s="20"/>
    </row>
    <row r="46" spans="1:11" ht="19.5" customHeight="1" x14ac:dyDescent="0.3">
      <c r="A46" s="22">
        <v>46045.60953159722</v>
      </c>
      <c r="B46" s="20">
        <v>3.8</v>
      </c>
      <c r="C46" s="20">
        <v>80</v>
      </c>
      <c r="D46" s="26">
        <v>40.18</v>
      </c>
      <c r="E46" s="20">
        <v>39.82</v>
      </c>
      <c r="F46" s="20">
        <v>-0.41</v>
      </c>
      <c r="G46" s="20">
        <v>2863.36</v>
      </c>
      <c r="H46" s="20"/>
      <c r="I46" s="20"/>
      <c r="J46" s="20"/>
      <c r="K46" s="20"/>
    </row>
    <row r="47" spans="1:11" ht="19.5" customHeight="1" x14ac:dyDescent="0.3">
      <c r="A47" s="22">
        <v>46045.609532754628</v>
      </c>
      <c r="B47" s="20">
        <v>3.9</v>
      </c>
      <c r="C47" s="20">
        <v>80</v>
      </c>
      <c r="D47" s="26">
        <v>40.6</v>
      </c>
      <c r="E47" s="20">
        <v>39.4</v>
      </c>
      <c r="F47" s="20">
        <v>-0.43</v>
      </c>
      <c r="G47" s="26">
        <v>2816.26</v>
      </c>
      <c r="H47" s="20"/>
      <c r="I47" s="20"/>
      <c r="J47" s="20"/>
      <c r="K47" s="20"/>
    </row>
    <row r="48" spans="1:11" ht="19.5" customHeight="1" x14ac:dyDescent="0.3">
      <c r="A48" s="22">
        <v>46045.609533900461</v>
      </c>
      <c r="B48" s="20">
        <v>4</v>
      </c>
      <c r="C48" s="20">
        <v>80</v>
      </c>
      <c r="D48" s="20">
        <v>40.99</v>
      </c>
      <c r="E48" s="20">
        <v>39.01</v>
      </c>
      <c r="F48" s="20">
        <v>-0.39</v>
      </c>
      <c r="G48" s="26">
        <v>2927.92</v>
      </c>
      <c r="H48" s="20"/>
      <c r="I48" s="20"/>
      <c r="J48" s="20"/>
      <c r="K48" s="20"/>
    </row>
    <row r="49" spans="1:11" ht="19.5" customHeight="1" x14ac:dyDescent="0.3">
      <c r="A49" s="22">
        <v>46045.609535069445</v>
      </c>
      <c r="B49" s="20">
        <v>4.0999999999999996</v>
      </c>
      <c r="C49" s="20">
        <v>80</v>
      </c>
      <c r="D49" s="26">
        <v>41.36</v>
      </c>
      <c r="E49" s="20">
        <v>38.64</v>
      </c>
      <c r="F49" s="20">
        <v>-0.37</v>
      </c>
      <c r="G49" s="26">
        <v>2957.71</v>
      </c>
      <c r="H49" s="20"/>
      <c r="I49" s="20"/>
      <c r="J49" s="20"/>
      <c r="K49" s="20"/>
    </row>
    <row r="50" spans="1:11" ht="19.5" customHeight="1" x14ac:dyDescent="0.3">
      <c r="A50" s="22">
        <v>46045.609536238429</v>
      </c>
      <c r="B50" s="20">
        <v>4.2</v>
      </c>
      <c r="C50" s="20">
        <v>80</v>
      </c>
      <c r="D50" s="20">
        <v>41.8</v>
      </c>
      <c r="E50" s="20">
        <v>38.200000000000003</v>
      </c>
      <c r="F50" s="20">
        <v>-0.44</v>
      </c>
      <c r="G50" s="26">
        <v>2791.42</v>
      </c>
      <c r="H50" s="20"/>
      <c r="I50" s="20"/>
      <c r="J50" s="20"/>
      <c r="K50" s="20"/>
    </row>
    <row r="51" spans="1:11" ht="19.5" customHeight="1" x14ac:dyDescent="0.3">
      <c r="A51" s="22">
        <v>46045.609537384262</v>
      </c>
      <c r="B51" s="20">
        <v>4.3</v>
      </c>
      <c r="C51" s="20">
        <v>80</v>
      </c>
      <c r="D51" s="26">
        <v>42.23</v>
      </c>
      <c r="E51" s="20">
        <v>37.770000000000003</v>
      </c>
      <c r="F51" s="20">
        <v>-0.43</v>
      </c>
      <c r="G51" s="26">
        <v>2803.98</v>
      </c>
      <c r="H51" s="20"/>
      <c r="I51" s="20"/>
      <c r="J51" s="20"/>
      <c r="K51" s="20"/>
    </row>
    <row r="52" spans="1:11" ht="19.5" customHeight="1" x14ac:dyDescent="0.3">
      <c r="A52" s="22">
        <v>46045.60953854167</v>
      </c>
      <c r="B52" s="20">
        <v>4.4000000000000004</v>
      </c>
      <c r="C52" s="20">
        <v>80</v>
      </c>
      <c r="D52" s="26">
        <v>42.57</v>
      </c>
      <c r="E52" s="20">
        <v>37.43</v>
      </c>
      <c r="F52" s="20">
        <v>-0.34</v>
      </c>
      <c r="G52" s="26">
        <v>3030.32</v>
      </c>
      <c r="H52" s="20"/>
      <c r="I52" s="20"/>
      <c r="J52" s="20"/>
      <c r="K52" s="20"/>
    </row>
    <row r="53" spans="1:11" ht="19.5" customHeight="1" x14ac:dyDescent="0.3">
      <c r="A53" s="22">
        <v>46045.609539710647</v>
      </c>
      <c r="B53" s="20">
        <v>4.5</v>
      </c>
      <c r="C53" s="20">
        <v>80</v>
      </c>
      <c r="D53" s="20">
        <v>43.05</v>
      </c>
      <c r="E53" s="20">
        <v>36.950000000000003</v>
      </c>
      <c r="F53" s="20">
        <v>-0.48</v>
      </c>
      <c r="G53" s="26">
        <v>2651.08</v>
      </c>
      <c r="H53" s="20"/>
      <c r="I53" s="20"/>
      <c r="J53" s="20"/>
      <c r="K53" s="20"/>
    </row>
    <row r="54" spans="1:11" ht="19.5" customHeight="1" x14ac:dyDescent="0.3">
      <c r="A54" s="22">
        <v>46045.609540844911</v>
      </c>
      <c r="B54" s="20">
        <v>4.5999999999999996</v>
      </c>
      <c r="C54" s="20">
        <v>80</v>
      </c>
      <c r="D54" s="26">
        <v>43.45</v>
      </c>
      <c r="E54" s="20">
        <v>36.549999999999997</v>
      </c>
      <c r="F54" s="20">
        <v>-0.4</v>
      </c>
      <c r="G54" s="26">
        <v>2896.49</v>
      </c>
      <c r="H54" s="20"/>
      <c r="I54" s="20"/>
      <c r="J54" s="20"/>
      <c r="K54" s="20"/>
    </row>
    <row r="55" spans="1:11" ht="19.5" customHeight="1" x14ac:dyDescent="0.3">
      <c r="A55" s="22">
        <v>46045.609542013888</v>
      </c>
      <c r="B55" s="20">
        <v>4.7</v>
      </c>
      <c r="C55" s="20">
        <v>80</v>
      </c>
      <c r="D55" s="20">
        <v>43.78</v>
      </c>
      <c r="E55" s="20">
        <v>36.22</v>
      </c>
      <c r="F55" s="20">
        <v>-0.33</v>
      </c>
      <c r="G55" s="26">
        <v>3055.24</v>
      </c>
      <c r="H55" s="20"/>
      <c r="I55" s="20"/>
      <c r="J55" s="20"/>
      <c r="K55" s="20"/>
    </row>
    <row r="56" spans="1:11" ht="19.5" customHeight="1" x14ac:dyDescent="0.3">
      <c r="A56" s="22">
        <v>46045.609543182873</v>
      </c>
      <c r="B56" s="20">
        <v>4.8</v>
      </c>
      <c r="C56" s="20">
        <v>80</v>
      </c>
      <c r="D56" s="26">
        <v>44.22</v>
      </c>
      <c r="E56" s="20">
        <v>35.78</v>
      </c>
      <c r="F56" s="20">
        <v>-0.44</v>
      </c>
      <c r="G56" s="26">
        <v>2778.56</v>
      </c>
      <c r="H56" s="20"/>
      <c r="I56" s="20"/>
      <c r="J56" s="20"/>
      <c r="K56" s="20"/>
    </row>
    <row r="57" spans="1:11" ht="19.5" customHeight="1" x14ac:dyDescent="0.3">
      <c r="A57" s="22">
        <v>46045.609544317129</v>
      </c>
      <c r="B57" s="20">
        <v>4.9000000000000004</v>
      </c>
      <c r="C57" s="20">
        <v>80</v>
      </c>
      <c r="D57" s="26">
        <v>44.57</v>
      </c>
      <c r="E57" s="20">
        <v>35.43</v>
      </c>
      <c r="F57" s="20">
        <v>-0.35</v>
      </c>
      <c r="G57" s="20">
        <v>3004.18</v>
      </c>
      <c r="H57" s="20"/>
      <c r="I57" s="20"/>
      <c r="J57" s="20"/>
      <c r="K57" s="20"/>
    </row>
    <row r="58" spans="1:11" ht="19.5" customHeight="1" x14ac:dyDescent="0.3">
      <c r="A58" s="22">
        <v>46045.609545486113</v>
      </c>
      <c r="B58" s="20">
        <v>5</v>
      </c>
      <c r="C58" s="20">
        <v>80</v>
      </c>
      <c r="D58" s="20">
        <v>44.95</v>
      </c>
      <c r="E58" s="20">
        <v>35.049999999999997</v>
      </c>
      <c r="F58" s="20">
        <v>-0.38</v>
      </c>
      <c r="G58" s="26">
        <v>2938.01</v>
      </c>
      <c r="H58" s="20"/>
      <c r="I58" s="20"/>
      <c r="J58" s="20"/>
      <c r="K58" s="20"/>
    </row>
    <row r="59" spans="1:11" ht="19.5" customHeight="1" x14ac:dyDescent="0.3">
      <c r="A59" s="22">
        <v>46045.609546631946</v>
      </c>
      <c r="B59" s="20">
        <v>5.0999999999999996</v>
      </c>
      <c r="C59" s="20">
        <v>80</v>
      </c>
      <c r="D59" s="26">
        <v>45.39</v>
      </c>
      <c r="E59" s="20">
        <v>34.61</v>
      </c>
      <c r="F59" s="20">
        <v>-0.43</v>
      </c>
      <c r="G59" s="26">
        <v>2803.95</v>
      </c>
      <c r="H59" s="20"/>
      <c r="I59" s="20"/>
      <c r="J59" s="20"/>
      <c r="K59" s="20"/>
    </row>
    <row r="60" spans="1:11" ht="19.5" customHeight="1" x14ac:dyDescent="0.3">
      <c r="A60" s="22">
        <v>46045.609547824075</v>
      </c>
      <c r="B60" s="20">
        <v>5.2</v>
      </c>
      <c r="C60" s="20">
        <v>80</v>
      </c>
      <c r="D60" s="20">
        <v>45.78</v>
      </c>
      <c r="E60" s="20">
        <v>34.22</v>
      </c>
      <c r="F60" s="20">
        <v>-0.4</v>
      </c>
      <c r="G60" s="26">
        <v>2896.51</v>
      </c>
      <c r="H60" s="20"/>
      <c r="I60" s="20"/>
      <c r="J60" s="20"/>
      <c r="K60" s="20"/>
    </row>
    <row r="61" spans="1:11" ht="19.5" customHeight="1" x14ac:dyDescent="0.3">
      <c r="A61" s="22">
        <v>46045.609548946763</v>
      </c>
      <c r="B61" s="20">
        <v>5.3</v>
      </c>
      <c r="C61" s="20">
        <v>80</v>
      </c>
      <c r="D61" s="26">
        <v>46.12</v>
      </c>
      <c r="E61" s="20">
        <v>33.880000000000003</v>
      </c>
      <c r="F61" s="20">
        <v>-0.33</v>
      </c>
      <c r="G61" s="26">
        <v>3047.03</v>
      </c>
      <c r="H61" s="20"/>
      <c r="I61" s="20"/>
      <c r="J61" s="20"/>
      <c r="K61" s="20"/>
    </row>
    <row r="62" spans="1:11" ht="19.5" customHeight="1" x14ac:dyDescent="0.3">
      <c r="A62" s="22">
        <v>46045.60955011574</v>
      </c>
      <c r="B62" s="20">
        <v>5.4</v>
      </c>
      <c r="C62" s="20">
        <v>80</v>
      </c>
      <c r="D62" s="26">
        <v>46.53</v>
      </c>
      <c r="E62" s="20">
        <v>33.47</v>
      </c>
      <c r="F62" s="20">
        <v>-0.42</v>
      </c>
      <c r="G62" s="20">
        <v>2851.93</v>
      </c>
      <c r="H62" s="20"/>
      <c r="I62" s="20"/>
      <c r="J62" s="20"/>
      <c r="K62" s="20"/>
    </row>
    <row r="63" spans="1:11" ht="19.5" customHeight="1" x14ac:dyDescent="0.3">
      <c r="A63" s="22">
        <v>46045.609551284724</v>
      </c>
      <c r="B63" s="20">
        <v>5.5</v>
      </c>
      <c r="C63" s="20">
        <v>80</v>
      </c>
      <c r="D63" s="20">
        <v>46.88</v>
      </c>
      <c r="E63" s="20">
        <v>33.119999999999997</v>
      </c>
      <c r="F63" s="20">
        <v>-0.35</v>
      </c>
      <c r="G63" s="26">
        <v>3013.04</v>
      </c>
      <c r="H63" s="20"/>
      <c r="I63" s="20"/>
      <c r="J63" s="20"/>
      <c r="K63" s="20"/>
    </row>
    <row r="64" spans="1:11" ht="19.5" customHeight="1" x14ac:dyDescent="0.3">
      <c r="A64" s="22">
        <v>46045.60955241898</v>
      </c>
      <c r="B64" s="20">
        <v>5.6</v>
      </c>
      <c r="C64" s="20">
        <v>80</v>
      </c>
      <c r="D64" s="26">
        <v>47.25</v>
      </c>
      <c r="E64" s="20">
        <v>32.75</v>
      </c>
      <c r="F64" s="20">
        <v>-0.36</v>
      </c>
      <c r="G64" s="26">
        <v>2986.06</v>
      </c>
      <c r="H64" s="20"/>
      <c r="I64" s="20"/>
      <c r="J64" s="20"/>
      <c r="K64" s="20"/>
    </row>
    <row r="65" spans="1:11" ht="19.5" customHeight="1" x14ac:dyDescent="0.3">
      <c r="A65" s="22">
        <v>46045.609553587965</v>
      </c>
      <c r="B65" s="20">
        <v>5.7</v>
      </c>
      <c r="C65" s="20">
        <v>80</v>
      </c>
      <c r="D65" s="20">
        <v>47.68</v>
      </c>
      <c r="E65" s="20">
        <v>32.32</v>
      </c>
      <c r="F65" s="20">
        <v>-0.44</v>
      </c>
      <c r="G65" s="26">
        <v>2791.37</v>
      </c>
      <c r="H65" s="20"/>
      <c r="I65" s="20"/>
      <c r="J65" s="20"/>
      <c r="K65" s="20"/>
    </row>
    <row r="66" spans="1:11" ht="19.5" customHeight="1" x14ac:dyDescent="0.3">
      <c r="A66" s="22">
        <v>46045.609554745373</v>
      </c>
      <c r="B66" s="20">
        <v>5.8</v>
      </c>
      <c r="C66" s="20">
        <v>80</v>
      </c>
      <c r="D66" s="26">
        <v>48.06</v>
      </c>
      <c r="E66" s="20">
        <v>31.94</v>
      </c>
      <c r="F66" s="20">
        <v>-0.38</v>
      </c>
      <c r="G66" s="26">
        <v>2947.96</v>
      </c>
      <c r="H66" s="20"/>
      <c r="I66" s="20"/>
      <c r="J66" s="20"/>
      <c r="K66" s="20"/>
    </row>
    <row r="67" spans="1:11" ht="19.5" customHeight="1" x14ac:dyDescent="0.3">
      <c r="A67" s="22">
        <v>46045.609555891206</v>
      </c>
      <c r="B67" s="20">
        <v>5.9</v>
      </c>
      <c r="C67" s="20">
        <v>80</v>
      </c>
      <c r="D67" s="26">
        <v>48.4</v>
      </c>
      <c r="E67" s="20">
        <v>31.6</v>
      </c>
      <c r="F67" s="20">
        <v>-0.33</v>
      </c>
      <c r="G67" s="26">
        <v>3047.05</v>
      </c>
      <c r="H67" s="20"/>
      <c r="I67" s="20"/>
      <c r="J67" s="20"/>
      <c r="K67" s="20"/>
    </row>
    <row r="68" spans="1:11" ht="19.5" customHeight="1" x14ac:dyDescent="0.3">
      <c r="A68" s="22">
        <v>46045.609557060183</v>
      </c>
      <c r="B68" s="20">
        <v>6</v>
      </c>
      <c r="C68" s="20">
        <v>80</v>
      </c>
      <c r="D68" s="20">
        <v>48.76</v>
      </c>
      <c r="E68" s="20">
        <v>31.24</v>
      </c>
      <c r="F68" s="20">
        <v>-0.37</v>
      </c>
      <c r="G68" s="26">
        <v>2976.77</v>
      </c>
      <c r="H68" s="20"/>
      <c r="I68" s="20"/>
      <c r="J68" s="20"/>
      <c r="K68" s="20"/>
    </row>
    <row r="69" spans="1:11" ht="19.5" customHeight="1" x14ac:dyDescent="0.3">
      <c r="A69" s="22">
        <v>46045.609558217591</v>
      </c>
      <c r="B69" s="20">
        <v>6.1</v>
      </c>
      <c r="C69" s="20">
        <v>80</v>
      </c>
      <c r="D69" s="26">
        <v>49.18</v>
      </c>
      <c r="E69" s="20">
        <v>30.82</v>
      </c>
      <c r="F69" s="20">
        <v>-0.42</v>
      </c>
      <c r="G69" s="26">
        <v>2851.95</v>
      </c>
      <c r="H69" s="20"/>
      <c r="I69" s="20"/>
      <c r="J69" s="20"/>
      <c r="K69" s="20"/>
    </row>
    <row r="70" spans="1:11" ht="19.5" customHeight="1" x14ac:dyDescent="0.3">
      <c r="A70" s="22">
        <v>46045.609559363424</v>
      </c>
      <c r="B70" s="20">
        <v>6.2</v>
      </c>
      <c r="C70" s="20">
        <v>80</v>
      </c>
      <c r="D70" s="20">
        <v>49.5</v>
      </c>
      <c r="E70" s="20">
        <v>30.5</v>
      </c>
      <c r="F70" s="20">
        <v>-0.32</v>
      </c>
      <c r="G70" s="26">
        <v>3078.95</v>
      </c>
      <c r="H70" s="20"/>
      <c r="I70" s="20"/>
      <c r="J70" s="20"/>
      <c r="K70" s="20"/>
    </row>
    <row r="71" spans="1:11" ht="19.5" customHeight="1" x14ac:dyDescent="0.3">
      <c r="A71" s="22">
        <v>46045.609560543984</v>
      </c>
      <c r="B71" s="20">
        <v>6.3</v>
      </c>
      <c r="C71" s="20">
        <v>80</v>
      </c>
      <c r="D71" s="26">
        <v>49.88</v>
      </c>
      <c r="E71" s="20">
        <v>30.12</v>
      </c>
      <c r="F71" s="20">
        <v>-0.38</v>
      </c>
      <c r="G71" s="26">
        <v>2938.01</v>
      </c>
      <c r="H71" s="20"/>
      <c r="I71" s="20"/>
      <c r="J71" s="20"/>
      <c r="K71" s="20"/>
    </row>
    <row r="72" spans="1:11" ht="19.5" customHeight="1" x14ac:dyDescent="0.3">
      <c r="A72" s="22">
        <v>46045.60956167824</v>
      </c>
      <c r="B72" s="20">
        <v>6.4</v>
      </c>
      <c r="C72" s="20">
        <v>80</v>
      </c>
      <c r="D72" s="26">
        <v>50.27</v>
      </c>
      <c r="E72" s="20">
        <v>29.73</v>
      </c>
      <c r="F72" s="20">
        <v>-0.39</v>
      </c>
      <c r="G72" s="26">
        <v>2917.6</v>
      </c>
      <c r="H72" s="20"/>
      <c r="I72" s="20"/>
      <c r="J72" s="20"/>
      <c r="K72" s="20"/>
    </row>
    <row r="73" spans="1:11" ht="19.5" customHeight="1" x14ac:dyDescent="0.3">
      <c r="A73" s="22">
        <v>46045.609562847225</v>
      </c>
      <c r="B73" s="20">
        <v>6.5</v>
      </c>
      <c r="C73" s="20">
        <v>80</v>
      </c>
      <c r="D73" s="20">
        <v>50.62</v>
      </c>
      <c r="E73" s="20">
        <v>29.38</v>
      </c>
      <c r="F73" s="20">
        <v>-0.35</v>
      </c>
      <c r="G73" s="20">
        <v>3013.07</v>
      </c>
      <c r="H73" s="20"/>
      <c r="I73" s="20"/>
      <c r="J73" s="20"/>
      <c r="K73" s="20"/>
    </row>
    <row r="74" spans="1:11" ht="19.5" customHeight="1" x14ac:dyDescent="0.3">
      <c r="A74" s="22">
        <v>46045.609564004626</v>
      </c>
      <c r="B74" s="20">
        <v>6.6</v>
      </c>
      <c r="C74" s="20">
        <v>80</v>
      </c>
      <c r="D74" s="26">
        <v>50.92</v>
      </c>
      <c r="E74" s="20">
        <v>29.08</v>
      </c>
      <c r="F74" s="20">
        <v>-0.3</v>
      </c>
      <c r="G74" s="26">
        <v>3114.76</v>
      </c>
      <c r="H74" s="20"/>
      <c r="I74" s="20"/>
      <c r="J74" s="20"/>
      <c r="K74" s="20"/>
    </row>
    <row r="75" spans="1:11" ht="19.5" customHeight="1" x14ac:dyDescent="0.3">
      <c r="A75" s="22">
        <v>46045.609565150466</v>
      </c>
      <c r="B75" s="20">
        <v>6.7</v>
      </c>
      <c r="C75" s="20">
        <v>80</v>
      </c>
      <c r="D75" s="26">
        <v>51.34</v>
      </c>
      <c r="E75" s="20">
        <v>28.66</v>
      </c>
      <c r="F75" s="20">
        <v>-0.42</v>
      </c>
      <c r="G75" s="26">
        <v>2840.28</v>
      </c>
      <c r="H75" s="20"/>
      <c r="I75" s="20"/>
      <c r="J75" s="20"/>
      <c r="K75" s="20"/>
    </row>
    <row r="76" spans="1:11" ht="19.5" customHeight="1" x14ac:dyDescent="0.3">
      <c r="A76" s="22">
        <v>46045.609566331019</v>
      </c>
      <c r="B76" s="20">
        <v>6.8</v>
      </c>
      <c r="C76" s="20">
        <v>80</v>
      </c>
      <c r="D76" s="20">
        <v>51.66</v>
      </c>
      <c r="E76" s="20">
        <v>28.34</v>
      </c>
      <c r="F76" s="20">
        <v>-0.33</v>
      </c>
      <c r="G76" s="20">
        <v>3063.24</v>
      </c>
      <c r="H76" s="20"/>
      <c r="I76" s="20"/>
      <c r="J76" s="20"/>
      <c r="K76" s="20"/>
    </row>
    <row r="77" spans="1:11" ht="19.5" customHeight="1" x14ac:dyDescent="0.3">
      <c r="A77" s="22">
        <v>46045.609567476851</v>
      </c>
      <c r="B77" s="20">
        <v>6.9</v>
      </c>
      <c r="C77" s="20">
        <v>80</v>
      </c>
      <c r="D77" s="26">
        <v>51.99</v>
      </c>
      <c r="E77" s="20">
        <v>28.01</v>
      </c>
      <c r="F77" s="20">
        <v>-0.33</v>
      </c>
      <c r="G77" s="26">
        <v>3063.28</v>
      </c>
      <c r="H77" s="20"/>
      <c r="I77" s="20"/>
      <c r="J77" s="20"/>
      <c r="K77" s="20"/>
    </row>
    <row r="78" spans="1:11" ht="19.5" customHeight="1" x14ac:dyDescent="0.3">
      <c r="A78" s="22">
        <v>46045.609568622684</v>
      </c>
      <c r="B78" s="20">
        <v>7</v>
      </c>
      <c r="C78" s="20">
        <v>80</v>
      </c>
      <c r="D78" s="26">
        <v>52.4</v>
      </c>
      <c r="E78" s="20">
        <v>27.6</v>
      </c>
      <c r="F78" s="20">
        <v>-0.41</v>
      </c>
      <c r="G78" s="26">
        <v>2863.35</v>
      </c>
      <c r="H78" s="20"/>
      <c r="I78" s="20"/>
      <c r="J78" s="20"/>
      <c r="K78" s="20"/>
    </row>
    <row r="79" spans="1:11" ht="19.5" customHeight="1" x14ac:dyDescent="0.3">
      <c r="A79" s="22">
        <v>46045.609569791668</v>
      </c>
      <c r="B79" s="20">
        <v>7.1</v>
      </c>
      <c r="C79" s="20">
        <v>80</v>
      </c>
      <c r="D79" s="20">
        <v>52.73</v>
      </c>
      <c r="E79" s="20">
        <v>27.27</v>
      </c>
      <c r="F79" s="20">
        <v>-0.33</v>
      </c>
      <c r="G79" s="26">
        <v>3063.24</v>
      </c>
      <c r="H79" s="20"/>
      <c r="I79" s="20"/>
      <c r="J79" s="20"/>
      <c r="K79" s="20"/>
    </row>
    <row r="80" spans="1:11" ht="19.5" customHeight="1" x14ac:dyDescent="0.3">
      <c r="A80" s="22">
        <v>46045.609570949076</v>
      </c>
      <c r="B80" s="20">
        <v>7.2</v>
      </c>
      <c r="C80" s="20">
        <v>80</v>
      </c>
      <c r="D80" s="26">
        <v>53.15</v>
      </c>
      <c r="E80" s="20">
        <v>26.85</v>
      </c>
      <c r="F80" s="20">
        <v>-0.43</v>
      </c>
      <c r="G80" s="26">
        <v>2816.31</v>
      </c>
      <c r="H80" s="20"/>
      <c r="I80" s="20"/>
      <c r="J80" s="20"/>
      <c r="K80" s="20"/>
    </row>
    <row r="81" spans="1:11" ht="19.5" customHeight="1" x14ac:dyDescent="0.3">
      <c r="A81" s="22">
        <v>46045.609572106485</v>
      </c>
      <c r="B81" s="20">
        <v>7.3</v>
      </c>
      <c r="C81" s="20">
        <v>80</v>
      </c>
      <c r="D81" s="20">
        <v>53.44</v>
      </c>
      <c r="E81" s="20">
        <v>26.56</v>
      </c>
      <c r="F81" s="20">
        <v>-0.28999999999999998</v>
      </c>
      <c r="G81" s="26">
        <v>3134.06</v>
      </c>
      <c r="H81" s="20"/>
      <c r="I81" s="20"/>
      <c r="J81" s="20"/>
      <c r="K81" s="20"/>
    </row>
    <row r="82" spans="1:11" ht="19.5" customHeight="1" x14ac:dyDescent="0.3">
      <c r="A82" s="22">
        <v>46045.609573263886</v>
      </c>
      <c r="B82" s="20">
        <v>7.4</v>
      </c>
      <c r="C82" s="20">
        <v>80</v>
      </c>
      <c r="D82" s="26">
        <v>53.86</v>
      </c>
      <c r="E82" s="20">
        <v>26.14</v>
      </c>
      <c r="F82" s="20">
        <v>-0.42</v>
      </c>
      <c r="G82" s="26">
        <v>2840.22</v>
      </c>
      <c r="H82" s="20"/>
      <c r="I82" s="20"/>
      <c r="J82" s="20"/>
      <c r="K82" s="20"/>
    </row>
    <row r="83" spans="1:11" ht="19.5" customHeight="1" x14ac:dyDescent="0.3">
      <c r="A83" s="22">
        <v>46045.609574421294</v>
      </c>
      <c r="B83" s="20">
        <v>7.5</v>
      </c>
      <c r="C83" s="20">
        <v>80</v>
      </c>
      <c r="D83" s="26">
        <v>54.18</v>
      </c>
      <c r="E83" s="20">
        <v>25.82</v>
      </c>
      <c r="F83" s="20">
        <v>-0.32</v>
      </c>
      <c r="G83" s="26">
        <v>3071.2</v>
      </c>
      <c r="H83" s="20"/>
      <c r="I83" s="20"/>
      <c r="J83" s="20"/>
      <c r="K83" s="20"/>
    </row>
    <row r="84" spans="1:11" ht="19.5" customHeight="1" x14ac:dyDescent="0.3">
      <c r="A84" s="22">
        <v>46045.609575590279</v>
      </c>
      <c r="B84" s="20">
        <v>7.6</v>
      </c>
      <c r="C84" s="20">
        <v>80</v>
      </c>
      <c r="D84" s="20">
        <v>54.5</v>
      </c>
      <c r="E84" s="20">
        <v>25.5</v>
      </c>
      <c r="F84" s="20">
        <v>-0.31</v>
      </c>
      <c r="G84" s="26">
        <v>3086.66</v>
      </c>
      <c r="H84" s="20"/>
      <c r="I84" s="20"/>
      <c r="J84" s="20"/>
      <c r="K84" s="20"/>
    </row>
    <row r="85" spans="1:11" ht="19.5" customHeight="1" x14ac:dyDescent="0.3">
      <c r="A85" s="22">
        <v>46045.609576724535</v>
      </c>
      <c r="B85" s="20">
        <v>7.7</v>
      </c>
      <c r="C85" s="20">
        <v>80</v>
      </c>
      <c r="D85" s="26">
        <v>54.87</v>
      </c>
      <c r="E85" s="20">
        <v>25.13</v>
      </c>
      <c r="F85" s="20">
        <v>-0.38</v>
      </c>
      <c r="G85" s="26">
        <v>2947.94</v>
      </c>
      <c r="H85" s="20"/>
      <c r="I85" s="20"/>
      <c r="J85" s="20"/>
      <c r="K85" s="20"/>
    </row>
    <row r="86" spans="1:11" ht="19.5" customHeight="1" x14ac:dyDescent="0.3">
      <c r="A86" s="22">
        <v>46045.60957789352</v>
      </c>
      <c r="B86" s="20">
        <v>7.8</v>
      </c>
      <c r="C86" s="20">
        <v>80</v>
      </c>
      <c r="D86" s="20">
        <v>55.16</v>
      </c>
      <c r="E86" s="20">
        <v>24.84</v>
      </c>
      <c r="F86" s="20">
        <v>-0.28999999999999998</v>
      </c>
      <c r="G86" s="26">
        <v>3127.74</v>
      </c>
      <c r="H86" s="20"/>
      <c r="I86" s="20"/>
      <c r="J86" s="20"/>
      <c r="K86" s="20"/>
    </row>
    <row r="87" spans="1:11" ht="19.5" customHeight="1" x14ac:dyDescent="0.3">
      <c r="A87" s="22">
        <v>46045.609579050928</v>
      </c>
      <c r="B87" s="20">
        <v>7.9</v>
      </c>
      <c r="C87" s="20">
        <v>80</v>
      </c>
      <c r="D87" s="26">
        <v>55.5</v>
      </c>
      <c r="E87" s="20">
        <v>24.5</v>
      </c>
      <c r="F87" s="20">
        <v>-0.33</v>
      </c>
      <c r="G87" s="20">
        <v>3047.03</v>
      </c>
      <c r="H87" s="20"/>
      <c r="I87" s="20"/>
      <c r="J87" s="20"/>
      <c r="K87" s="20"/>
    </row>
    <row r="88" spans="1:11" ht="19.5" customHeight="1" x14ac:dyDescent="0.3">
      <c r="A88" s="22">
        <v>46045.60958019676</v>
      </c>
      <c r="B88" s="20">
        <v>8</v>
      </c>
      <c r="C88" s="20">
        <v>80</v>
      </c>
      <c r="D88" s="26">
        <v>55.89</v>
      </c>
      <c r="E88" s="20">
        <v>24.11</v>
      </c>
      <c r="F88" s="20">
        <v>-0.39</v>
      </c>
      <c r="G88" s="26">
        <v>2907.14</v>
      </c>
      <c r="H88" s="20"/>
      <c r="I88" s="20"/>
      <c r="J88" s="20"/>
      <c r="K88" s="20"/>
    </row>
    <row r="89" spans="1:11" ht="19.5" customHeight="1" x14ac:dyDescent="0.3">
      <c r="A89" s="22">
        <v>46045.609581365738</v>
      </c>
      <c r="B89" s="20">
        <v>8.1</v>
      </c>
      <c r="C89" s="20">
        <v>80</v>
      </c>
      <c r="D89" s="20">
        <v>56.21</v>
      </c>
      <c r="E89" s="20">
        <v>23.79</v>
      </c>
      <c r="F89" s="20">
        <v>-0.32</v>
      </c>
      <c r="G89" s="20">
        <v>3078.99</v>
      </c>
      <c r="H89" s="20"/>
      <c r="I89" s="20"/>
      <c r="J89" s="20"/>
      <c r="K89" s="20"/>
    </row>
    <row r="90" spans="1:11" ht="19.5" customHeight="1" x14ac:dyDescent="0.3">
      <c r="A90" s="22">
        <v>46045.609582523146</v>
      </c>
      <c r="B90" s="20">
        <v>8.1999999999999993</v>
      </c>
      <c r="C90" s="20">
        <v>80</v>
      </c>
      <c r="D90" s="26">
        <v>56.52</v>
      </c>
      <c r="E90" s="20">
        <v>23.48</v>
      </c>
      <c r="F90" s="20">
        <v>-0.31</v>
      </c>
      <c r="G90" s="26">
        <v>3094.22</v>
      </c>
      <c r="H90" s="20"/>
      <c r="I90" s="20"/>
      <c r="J90" s="20"/>
      <c r="K90" s="20"/>
    </row>
    <row r="91" spans="1:11" ht="19.5" customHeight="1" x14ac:dyDescent="0.3">
      <c r="A91" s="22">
        <v>46045.609583726851</v>
      </c>
      <c r="B91" s="20">
        <v>8.3000000000000007</v>
      </c>
      <c r="C91" s="20">
        <v>80</v>
      </c>
      <c r="D91" s="26">
        <v>56.88</v>
      </c>
      <c r="E91" s="20">
        <v>23.12</v>
      </c>
      <c r="F91" s="20">
        <v>-0.35</v>
      </c>
      <c r="G91" s="26">
        <v>3004.17</v>
      </c>
      <c r="H91" s="20"/>
      <c r="I91" s="20"/>
      <c r="J91" s="20"/>
      <c r="K91" s="20"/>
    </row>
    <row r="92" spans="1:11" ht="19.5" customHeight="1" x14ac:dyDescent="0.3">
      <c r="A92" s="22">
        <v>46045.609584837963</v>
      </c>
      <c r="B92" s="20">
        <v>8.4</v>
      </c>
      <c r="C92" s="20">
        <v>80</v>
      </c>
      <c r="D92" s="20">
        <v>57.16</v>
      </c>
      <c r="E92" s="20">
        <v>22.84</v>
      </c>
      <c r="F92" s="20">
        <v>-0.28999999999999998</v>
      </c>
      <c r="G92" s="20">
        <v>3134.06</v>
      </c>
      <c r="H92" s="20"/>
      <c r="I92" s="20"/>
      <c r="J92" s="20"/>
      <c r="K92" s="20"/>
    </row>
    <row r="93" spans="1:11" ht="19.5" customHeight="1" x14ac:dyDescent="0.3">
      <c r="A93" s="22">
        <v>46045.609585983795</v>
      </c>
      <c r="B93" s="20">
        <v>8.5</v>
      </c>
      <c r="C93" s="20">
        <v>80</v>
      </c>
      <c r="D93" s="26">
        <v>57.49</v>
      </c>
      <c r="E93" s="20">
        <v>22.51</v>
      </c>
      <c r="F93" s="20">
        <v>-0.33</v>
      </c>
      <c r="G93" s="26">
        <v>3063.28</v>
      </c>
      <c r="H93" s="20"/>
      <c r="I93" s="20"/>
      <c r="J93" s="20"/>
      <c r="K93" s="20"/>
    </row>
    <row r="94" spans="1:11" ht="19.5" customHeight="1" x14ac:dyDescent="0.3">
      <c r="A94" s="22">
        <v>46045.609587164348</v>
      </c>
      <c r="B94" s="20">
        <v>8.6</v>
      </c>
      <c r="C94" s="20">
        <v>80</v>
      </c>
      <c r="D94" s="20">
        <v>57.76</v>
      </c>
      <c r="E94" s="20">
        <v>22.24</v>
      </c>
      <c r="F94" s="20">
        <v>-0.27</v>
      </c>
      <c r="G94" s="26">
        <v>3164.26</v>
      </c>
      <c r="H94" s="20"/>
      <c r="I94" s="20"/>
      <c r="J94" s="20"/>
      <c r="K94" s="20"/>
    </row>
    <row r="95" spans="1:11" ht="19.5" customHeight="1" x14ac:dyDescent="0.3">
      <c r="A95" s="22">
        <v>46045.609588310188</v>
      </c>
      <c r="B95" s="20">
        <v>8.6999999999999993</v>
      </c>
      <c r="C95" s="20">
        <v>80</v>
      </c>
      <c r="D95" s="26">
        <v>58.11</v>
      </c>
      <c r="E95" s="20">
        <v>21.89</v>
      </c>
      <c r="F95" s="20">
        <v>-0.35</v>
      </c>
      <c r="G95" s="26">
        <v>3013.04</v>
      </c>
      <c r="H95" s="20"/>
      <c r="I95" s="20"/>
      <c r="J95" s="20"/>
      <c r="K95" s="20"/>
    </row>
    <row r="96" spans="1:11" ht="19.5" customHeight="1" x14ac:dyDescent="0.3">
      <c r="A96" s="22">
        <v>46045.609589467589</v>
      </c>
      <c r="B96" s="20">
        <v>8.8000000000000007</v>
      </c>
      <c r="C96" s="20">
        <v>80</v>
      </c>
      <c r="D96" s="26">
        <v>58.36</v>
      </c>
      <c r="E96" s="20">
        <v>21.64</v>
      </c>
      <c r="F96" s="20">
        <v>-0.25</v>
      </c>
      <c r="G96" s="26">
        <v>3186.95</v>
      </c>
      <c r="H96" s="20"/>
      <c r="I96" s="20"/>
      <c r="J96" s="20"/>
      <c r="K96" s="20"/>
    </row>
    <row r="97" spans="1:11" ht="19.5" customHeight="1" x14ac:dyDescent="0.3">
      <c r="A97" s="22">
        <v>46045.609590613429</v>
      </c>
      <c r="B97" s="20">
        <v>8.9</v>
      </c>
      <c r="C97" s="20">
        <v>80</v>
      </c>
      <c r="D97" s="20">
        <v>58.75</v>
      </c>
      <c r="E97" s="20">
        <v>21.25</v>
      </c>
      <c r="F97" s="20">
        <v>-0.4</v>
      </c>
      <c r="G97" s="26">
        <v>2896.49</v>
      </c>
      <c r="H97" s="20"/>
      <c r="I97" s="20"/>
      <c r="J97" s="20"/>
      <c r="K97" s="20"/>
    </row>
    <row r="98" spans="1:11" ht="19.5" customHeight="1" x14ac:dyDescent="0.3">
      <c r="A98" s="22">
        <v>46045.609591782406</v>
      </c>
      <c r="B98" s="20">
        <v>9</v>
      </c>
      <c r="C98" s="20">
        <v>80</v>
      </c>
      <c r="D98" s="26">
        <v>59.05</v>
      </c>
      <c r="E98" s="20">
        <v>20.95</v>
      </c>
      <c r="F98" s="20">
        <v>-0.28999999999999998</v>
      </c>
      <c r="G98" s="20">
        <v>3121.33</v>
      </c>
      <c r="H98" s="20"/>
      <c r="I98" s="20"/>
      <c r="J98" s="20"/>
      <c r="K98" s="20"/>
    </row>
    <row r="99" spans="1:11" ht="19.5" customHeight="1" x14ac:dyDescent="0.3">
      <c r="A99" s="22">
        <v>46045.609592939814</v>
      </c>
      <c r="B99" s="20">
        <v>9.1</v>
      </c>
      <c r="C99" s="20">
        <v>80</v>
      </c>
      <c r="D99" s="26">
        <v>59.38</v>
      </c>
      <c r="E99" s="20">
        <v>20.62</v>
      </c>
      <c r="F99" s="20">
        <v>-0.33</v>
      </c>
      <c r="G99" s="26">
        <v>3047.05</v>
      </c>
      <c r="H99" s="20"/>
      <c r="I99" s="20"/>
      <c r="J99" s="20"/>
      <c r="K99" s="20"/>
    </row>
    <row r="100" spans="1:11" ht="19.5" customHeight="1" x14ac:dyDescent="0.3">
      <c r="A100" s="22">
        <v>46045.609594097223</v>
      </c>
      <c r="B100" s="20">
        <v>9.1999999999999993</v>
      </c>
      <c r="C100" s="20">
        <v>80</v>
      </c>
      <c r="D100" s="20">
        <v>59.67</v>
      </c>
      <c r="E100" s="20">
        <v>20.329999999999998</v>
      </c>
      <c r="F100" s="20">
        <v>-0.28999999999999998</v>
      </c>
      <c r="G100" s="20">
        <v>3134.06</v>
      </c>
      <c r="H100" s="20"/>
      <c r="I100" s="20"/>
      <c r="J100" s="20"/>
      <c r="K100" s="20"/>
    </row>
    <row r="101" spans="1:11" ht="19.5" customHeight="1" x14ac:dyDescent="0.3">
      <c r="A101" s="22">
        <v>46045.609595254631</v>
      </c>
      <c r="B101" s="20">
        <v>9.3000000000000007</v>
      </c>
      <c r="C101" s="20">
        <v>80</v>
      </c>
      <c r="D101" s="26">
        <v>59.97</v>
      </c>
      <c r="E101" s="20">
        <v>20.03</v>
      </c>
      <c r="F101" s="20">
        <v>-0.3</v>
      </c>
      <c r="G101" s="26">
        <v>3108.18</v>
      </c>
      <c r="H101" s="20"/>
      <c r="I101" s="20"/>
      <c r="J101" s="20"/>
      <c r="K101" s="20"/>
    </row>
    <row r="102" spans="1:11" ht="19.5" customHeight="1" x14ac:dyDescent="0.3">
      <c r="A102" s="22">
        <v>46045.60959641204</v>
      </c>
      <c r="B102" s="20">
        <v>9.4</v>
      </c>
      <c r="C102" s="20">
        <v>80</v>
      </c>
      <c r="D102" s="20">
        <v>60.31</v>
      </c>
      <c r="E102" s="20">
        <v>19.690000000000001</v>
      </c>
      <c r="F102" s="20">
        <v>-0.33</v>
      </c>
      <c r="G102" s="26">
        <v>3047.08</v>
      </c>
      <c r="H102" s="20"/>
      <c r="I102" s="20"/>
      <c r="J102" s="20"/>
      <c r="K102" s="20"/>
    </row>
    <row r="103" spans="1:11" ht="19.5" customHeight="1" x14ac:dyDescent="0.3">
      <c r="A103" s="22">
        <v>46045.609597569448</v>
      </c>
      <c r="B103" s="20">
        <v>9.5</v>
      </c>
      <c r="C103" s="20">
        <v>80</v>
      </c>
      <c r="D103" s="26">
        <v>60.58</v>
      </c>
      <c r="E103" s="20">
        <v>19.420000000000002</v>
      </c>
      <c r="F103" s="20">
        <v>-0.28000000000000003</v>
      </c>
      <c r="G103" s="20">
        <v>3146.4</v>
      </c>
      <c r="H103" s="20"/>
      <c r="I103" s="20"/>
      <c r="J103" s="20"/>
      <c r="K103" s="20"/>
    </row>
    <row r="104" spans="1:11" ht="19.5" customHeight="1" x14ac:dyDescent="0.3">
      <c r="A104" s="22">
        <v>46045.60959871528</v>
      </c>
      <c r="B104" s="20">
        <v>9.6</v>
      </c>
      <c r="C104" s="20">
        <v>80</v>
      </c>
      <c r="D104" s="26">
        <v>60.87</v>
      </c>
      <c r="E104" s="20">
        <v>19.13</v>
      </c>
      <c r="F104" s="20">
        <v>-0.28999999999999998</v>
      </c>
      <c r="G104" s="26">
        <v>3134.03</v>
      </c>
      <c r="H104" s="20"/>
      <c r="I104" s="20"/>
      <c r="J104" s="20"/>
      <c r="K104" s="20"/>
    </row>
    <row r="105" spans="1:11" ht="19.5" customHeight="1" x14ac:dyDescent="0.3">
      <c r="A105" s="22">
        <v>46045.609599884257</v>
      </c>
      <c r="B105" s="20">
        <v>9.6999999999999993</v>
      </c>
      <c r="C105" s="20">
        <v>80</v>
      </c>
      <c r="D105" s="20">
        <v>61.21</v>
      </c>
      <c r="E105" s="20">
        <v>18.79</v>
      </c>
      <c r="F105" s="20">
        <v>-0.34</v>
      </c>
      <c r="G105" s="26">
        <v>3038.78</v>
      </c>
      <c r="H105" s="20"/>
      <c r="I105" s="20"/>
      <c r="J105" s="20"/>
      <c r="K105" s="20"/>
    </row>
    <row r="106" spans="1:11" ht="19.5" customHeight="1" x14ac:dyDescent="0.3">
      <c r="A106" s="22">
        <v>46045.609601041666</v>
      </c>
      <c r="B106" s="20">
        <v>9.8000000000000007</v>
      </c>
      <c r="C106" s="20">
        <v>80</v>
      </c>
      <c r="D106" s="26">
        <v>61.48</v>
      </c>
      <c r="E106" s="20">
        <v>18.52</v>
      </c>
      <c r="F106" s="20">
        <v>-0.27</v>
      </c>
      <c r="G106" s="26">
        <v>3158.39</v>
      </c>
      <c r="H106" s="20"/>
      <c r="I106" s="20"/>
      <c r="J106" s="20"/>
      <c r="K106" s="20"/>
    </row>
    <row r="107" spans="1:11" ht="19.5" customHeight="1" x14ac:dyDescent="0.3">
      <c r="A107" s="22">
        <v>46045.609602199074</v>
      </c>
      <c r="B107" s="20">
        <v>9.9</v>
      </c>
      <c r="C107" s="20">
        <v>80</v>
      </c>
      <c r="D107" s="20">
        <v>61.79</v>
      </c>
      <c r="E107" s="20">
        <v>18.21</v>
      </c>
      <c r="F107" s="20">
        <v>-0.31</v>
      </c>
      <c r="G107" s="26">
        <v>3094.22</v>
      </c>
      <c r="H107" s="20"/>
      <c r="I107" s="20"/>
      <c r="J107" s="20"/>
      <c r="K107" s="20"/>
    </row>
    <row r="108" spans="1:11" ht="19.5" customHeight="1" x14ac:dyDescent="0.3">
      <c r="A108" s="22">
        <v>46045.609603368059</v>
      </c>
      <c r="B108" s="20">
        <v>10</v>
      </c>
      <c r="C108" s="20">
        <v>80</v>
      </c>
      <c r="D108" s="26">
        <v>62.08</v>
      </c>
      <c r="E108" s="20">
        <v>17.920000000000002</v>
      </c>
      <c r="F108" s="20">
        <v>-0.28999999999999998</v>
      </c>
      <c r="G108" s="26">
        <v>3134.02</v>
      </c>
      <c r="H108" s="20"/>
      <c r="I108" s="20"/>
      <c r="J108" s="20"/>
      <c r="K108" s="20"/>
    </row>
    <row r="109" spans="1:11" ht="19.5" customHeight="1" x14ac:dyDescent="0.3">
      <c r="A109" s="22">
        <v>46045.60960452546</v>
      </c>
      <c r="B109" s="20">
        <v>10.1</v>
      </c>
      <c r="C109" s="20">
        <v>80</v>
      </c>
      <c r="D109" s="26">
        <v>62.38</v>
      </c>
      <c r="E109" s="20">
        <v>17.62</v>
      </c>
      <c r="F109" s="20">
        <v>-0.3</v>
      </c>
      <c r="G109" s="26">
        <v>3108.16</v>
      </c>
      <c r="H109" s="20"/>
      <c r="I109" s="20"/>
      <c r="J109" s="20"/>
      <c r="K109" s="20"/>
    </row>
    <row r="110" spans="1:11" ht="19.5" customHeight="1" x14ac:dyDescent="0.3">
      <c r="A110" s="22">
        <v>46045.6096056713</v>
      </c>
      <c r="B110" s="20">
        <v>10.199999999999999</v>
      </c>
      <c r="C110" s="20">
        <v>80</v>
      </c>
      <c r="D110" s="20">
        <v>62.59</v>
      </c>
      <c r="E110" s="20">
        <v>17.41</v>
      </c>
      <c r="F110" s="20">
        <v>-0.21</v>
      </c>
      <c r="G110" s="26">
        <v>3234.09</v>
      </c>
      <c r="H110" s="20"/>
      <c r="I110" s="20"/>
      <c r="J110" s="20"/>
      <c r="K110" s="20"/>
    </row>
    <row r="111" spans="1:11" ht="19.5" customHeight="1" x14ac:dyDescent="0.3">
      <c r="A111" s="22">
        <v>46045.609606840277</v>
      </c>
      <c r="B111" s="20">
        <v>10.3</v>
      </c>
      <c r="C111" s="20">
        <v>80</v>
      </c>
      <c r="D111" s="26">
        <v>62.93</v>
      </c>
      <c r="E111" s="20">
        <v>17.07</v>
      </c>
      <c r="F111" s="20">
        <v>-0.34</v>
      </c>
      <c r="G111" s="26">
        <v>3030.32</v>
      </c>
      <c r="H111" s="20"/>
      <c r="I111" s="20"/>
      <c r="J111" s="20"/>
      <c r="K111" s="20"/>
    </row>
    <row r="112" spans="1:11" ht="19.5" customHeight="1" x14ac:dyDescent="0.3">
      <c r="A112" s="22">
        <v>46045.609607997685</v>
      </c>
      <c r="B112" s="20">
        <v>10.4</v>
      </c>
      <c r="C112" s="20">
        <v>80</v>
      </c>
      <c r="D112" s="20">
        <v>63.22</v>
      </c>
      <c r="E112" s="20">
        <v>16.78</v>
      </c>
      <c r="F112" s="20">
        <v>-0.28999999999999998</v>
      </c>
      <c r="G112" s="26">
        <v>3127.74</v>
      </c>
      <c r="H112" s="20"/>
      <c r="I112" s="20"/>
      <c r="J112" s="20"/>
      <c r="K112" s="20"/>
    </row>
    <row r="113" spans="1:11" ht="19.5" customHeight="1" x14ac:dyDescent="0.3">
      <c r="A113" s="22">
        <v>46045.609609155093</v>
      </c>
      <c r="B113" s="20">
        <v>10.5</v>
      </c>
      <c r="C113" s="20">
        <v>80</v>
      </c>
      <c r="D113" s="26">
        <v>63.51</v>
      </c>
      <c r="E113" s="20">
        <v>16.489999999999998</v>
      </c>
      <c r="F113" s="20">
        <v>-0.28999999999999998</v>
      </c>
      <c r="G113" s="26">
        <v>3127.74</v>
      </c>
      <c r="H113" s="20"/>
      <c r="I113" s="20"/>
      <c r="J113" s="20"/>
      <c r="K113" s="20"/>
    </row>
    <row r="114" spans="1:11" ht="19.5" customHeight="1" x14ac:dyDescent="0.3">
      <c r="A114" s="22">
        <v>46045.609610300926</v>
      </c>
      <c r="B114" s="20">
        <v>10.6</v>
      </c>
      <c r="C114" s="20">
        <v>80</v>
      </c>
      <c r="D114" s="26">
        <v>63.78</v>
      </c>
      <c r="E114" s="20">
        <v>16.22</v>
      </c>
      <c r="F114" s="20">
        <v>-0.26</v>
      </c>
      <c r="G114" s="20">
        <v>3170.04</v>
      </c>
      <c r="H114" s="20"/>
      <c r="I114" s="20"/>
      <c r="J114" s="20"/>
      <c r="K114" s="20"/>
    </row>
    <row r="115" spans="1:11" ht="19.5" customHeight="1" x14ac:dyDescent="0.3">
      <c r="A115" s="22">
        <v>46045.609611504631</v>
      </c>
      <c r="B115" s="20">
        <v>10.7</v>
      </c>
      <c r="C115" s="20">
        <v>80</v>
      </c>
      <c r="D115" s="20">
        <v>64.010000000000005</v>
      </c>
      <c r="E115" s="20">
        <v>15.99</v>
      </c>
      <c r="F115" s="20">
        <v>-0.24</v>
      </c>
      <c r="G115" s="26">
        <v>3203.2</v>
      </c>
      <c r="H115" s="20"/>
      <c r="I115" s="20"/>
      <c r="J115" s="20"/>
      <c r="K115" s="20"/>
    </row>
    <row r="116" spans="1:11" ht="19.5" customHeight="1" x14ac:dyDescent="0.3">
      <c r="A116" s="22">
        <v>46045.609612627311</v>
      </c>
      <c r="B116" s="20">
        <v>10.8</v>
      </c>
      <c r="C116" s="20">
        <v>80</v>
      </c>
      <c r="D116" s="26">
        <v>64.27</v>
      </c>
      <c r="E116" s="20">
        <v>15.73</v>
      </c>
      <c r="F116" s="20">
        <v>-0.25</v>
      </c>
      <c r="G116" s="20">
        <v>3181.41</v>
      </c>
      <c r="H116" s="20"/>
      <c r="I116" s="20"/>
      <c r="J116" s="20"/>
      <c r="K116" s="20"/>
    </row>
    <row r="117" spans="1:11" ht="19.5" customHeight="1" x14ac:dyDescent="0.3">
      <c r="A117" s="22">
        <v>46045.609613773151</v>
      </c>
      <c r="B117" s="20">
        <v>10.9</v>
      </c>
      <c r="C117" s="20">
        <v>80</v>
      </c>
      <c r="D117" s="20">
        <v>64.569999999999993</v>
      </c>
      <c r="E117" s="20">
        <v>15.43</v>
      </c>
      <c r="F117" s="20">
        <v>-0.31</v>
      </c>
      <c r="G117" s="26">
        <v>3101.43</v>
      </c>
      <c r="H117" s="20"/>
      <c r="I117" s="20"/>
      <c r="J117" s="20"/>
      <c r="K117" s="20"/>
    </row>
    <row r="118" spans="1:11" ht="19.5" customHeight="1" x14ac:dyDescent="0.3">
      <c r="A118" s="22">
        <v>46045.609614942128</v>
      </c>
      <c r="B118" s="20">
        <v>11</v>
      </c>
      <c r="C118" s="20">
        <v>80</v>
      </c>
      <c r="D118" s="26">
        <v>64.84</v>
      </c>
      <c r="E118" s="20">
        <v>15.16</v>
      </c>
      <c r="F118" s="20">
        <v>-0.26</v>
      </c>
      <c r="G118" s="26">
        <v>3157.92</v>
      </c>
      <c r="H118" s="20"/>
      <c r="I118" s="20"/>
      <c r="J118" s="20"/>
      <c r="K118" s="20"/>
    </row>
    <row r="119" spans="1:11" ht="19.5" customHeight="1" x14ac:dyDescent="0.3">
      <c r="A119" s="22">
        <v>46045.609616087961</v>
      </c>
      <c r="B119" s="20">
        <v>11.1</v>
      </c>
      <c r="C119" s="20">
        <v>80</v>
      </c>
      <c r="D119" s="26">
        <v>65.14</v>
      </c>
      <c r="E119" s="20">
        <v>14.86</v>
      </c>
      <c r="F119" s="20">
        <v>-0.3</v>
      </c>
      <c r="G119" s="20">
        <v>3101.87</v>
      </c>
      <c r="H119" s="20"/>
      <c r="I119" s="20"/>
      <c r="J119" s="20"/>
      <c r="K119" s="20"/>
    </row>
    <row r="120" spans="1:11" ht="19.5" customHeight="1" x14ac:dyDescent="0.3">
      <c r="A120" s="22">
        <v>46045.609617245369</v>
      </c>
      <c r="B120" s="20">
        <v>11.2</v>
      </c>
      <c r="C120" s="20">
        <v>80</v>
      </c>
      <c r="D120" s="20">
        <v>65.430000000000007</v>
      </c>
      <c r="E120" s="20">
        <v>14.57</v>
      </c>
      <c r="F120" s="20">
        <v>-0.28999999999999998</v>
      </c>
      <c r="G120" s="26">
        <v>3103.6</v>
      </c>
      <c r="H120" s="20"/>
      <c r="I120" s="20"/>
      <c r="J120" s="20"/>
      <c r="K120" s="20"/>
    </row>
    <row r="121" spans="1:11" ht="19.5" customHeight="1" x14ac:dyDescent="0.3">
      <c r="A121" s="22">
        <v>46045.609618402777</v>
      </c>
      <c r="B121" s="20">
        <v>11.3</v>
      </c>
      <c r="C121" s="20">
        <v>80</v>
      </c>
      <c r="D121" s="26">
        <v>65.66</v>
      </c>
      <c r="E121" s="20">
        <v>14.34</v>
      </c>
      <c r="F121" s="20">
        <v>-0.23</v>
      </c>
      <c r="G121" s="20">
        <v>3142.03</v>
      </c>
      <c r="H121" s="20"/>
      <c r="I121" s="20"/>
      <c r="J121" s="20"/>
      <c r="K121" s="20"/>
    </row>
    <row r="122" spans="1:11" ht="19.5" customHeight="1" x14ac:dyDescent="0.3">
      <c r="A122" s="22">
        <v>46045.609619571762</v>
      </c>
      <c r="B122" s="20">
        <v>11.4</v>
      </c>
      <c r="C122" s="20">
        <v>80</v>
      </c>
      <c r="D122" s="26">
        <v>66</v>
      </c>
      <c r="E122" s="20">
        <v>14</v>
      </c>
      <c r="F122" s="20">
        <v>-0.34</v>
      </c>
      <c r="G122" s="26">
        <v>3030.31</v>
      </c>
      <c r="H122" s="20"/>
      <c r="I122" s="20"/>
      <c r="J122" s="20"/>
      <c r="K122" s="20"/>
    </row>
    <row r="123" spans="1:11" ht="19.5" customHeight="1" x14ac:dyDescent="0.3">
      <c r="A123" s="22">
        <v>46045.60962072917</v>
      </c>
      <c r="B123" s="20">
        <v>11.5</v>
      </c>
      <c r="C123" s="20">
        <v>80</v>
      </c>
      <c r="D123" s="20">
        <v>66.25</v>
      </c>
      <c r="E123" s="20">
        <v>13.75</v>
      </c>
      <c r="F123" s="20">
        <v>-0.24</v>
      </c>
      <c r="G123" s="26">
        <v>3094.56</v>
      </c>
      <c r="H123" s="20"/>
      <c r="I123" s="20"/>
      <c r="J123" s="20"/>
      <c r="K123" s="20"/>
    </row>
    <row r="124" spans="1:11" ht="19.5" customHeight="1" x14ac:dyDescent="0.3">
      <c r="A124" s="22">
        <v>46045.609621875003</v>
      </c>
      <c r="B124" s="20">
        <v>11.6</v>
      </c>
      <c r="C124" s="20">
        <v>80</v>
      </c>
      <c r="D124" s="26">
        <v>66.45</v>
      </c>
      <c r="E124" s="20">
        <v>13.55</v>
      </c>
      <c r="F124" s="20">
        <v>-0.21</v>
      </c>
      <c r="G124" s="26">
        <v>3069.5</v>
      </c>
      <c r="H124" s="20"/>
      <c r="I124" s="20"/>
      <c r="J124" s="20"/>
      <c r="K124" s="20"/>
    </row>
    <row r="125" spans="1:11" ht="19.5" customHeight="1" x14ac:dyDescent="0.3">
      <c r="A125" s="22">
        <v>46045.60962304398</v>
      </c>
      <c r="B125" s="20">
        <v>11.7</v>
      </c>
      <c r="C125" s="20">
        <v>80</v>
      </c>
      <c r="D125" s="20">
        <v>66.78</v>
      </c>
      <c r="E125" s="20">
        <v>13.22</v>
      </c>
      <c r="F125" s="20">
        <v>-0.33</v>
      </c>
      <c r="G125" s="26">
        <v>3063.22</v>
      </c>
      <c r="H125" s="20"/>
      <c r="I125" s="20"/>
      <c r="J125" s="20"/>
      <c r="K125" s="20"/>
    </row>
    <row r="126" spans="1:11" ht="19.5" customHeight="1" x14ac:dyDescent="0.3">
      <c r="A126" s="22">
        <v>46045.609624189812</v>
      </c>
      <c r="B126" s="20">
        <v>11.8</v>
      </c>
      <c r="C126" s="20">
        <v>80</v>
      </c>
      <c r="D126" s="26">
        <v>67.010000000000005</v>
      </c>
      <c r="E126" s="20">
        <v>12.99</v>
      </c>
      <c r="F126" s="20">
        <v>-0.23</v>
      </c>
      <c r="G126" s="26">
        <v>3032.77</v>
      </c>
      <c r="H126" s="20"/>
      <c r="I126" s="20"/>
      <c r="J126" s="20"/>
      <c r="K126" s="20"/>
    </row>
    <row r="127" spans="1:11" ht="19.5" customHeight="1" x14ac:dyDescent="0.3">
      <c r="A127" s="22">
        <v>46045.609625347221</v>
      </c>
      <c r="B127" s="20">
        <v>11.9</v>
      </c>
      <c r="C127" s="20">
        <v>80</v>
      </c>
      <c r="D127" s="26">
        <v>67.239999999999995</v>
      </c>
      <c r="E127" s="20">
        <v>12.76</v>
      </c>
      <c r="F127" s="20">
        <v>-0.23</v>
      </c>
      <c r="G127" s="26">
        <v>3011.14</v>
      </c>
      <c r="H127" s="20"/>
      <c r="I127" s="20"/>
      <c r="J127" s="20"/>
      <c r="K127" s="20"/>
    </row>
    <row r="128" spans="1:11" ht="19.5" customHeight="1" x14ac:dyDescent="0.3">
      <c r="A128" s="22">
        <v>46045.609626516205</v>
      </c>
      <c r="B128" s="20">
        <v>12</v>
      </c>
      <c r="C128" s="20">
        <v>80</v>
      </c>
      <c r="D128" s="20">
        <v>67.540000000000006</v>
      </c>
      <c r="E128" s="20">
        <v>12.46</v>
      </c>
      <c r="F128" s="20">
        <v>-0.3</v>
      </c>
      <c r="G128" s="26">
        <v>3039.07</v>
      </c>
      <c r="H128" s="20"/>
      <c r="I128" s="20"/>
      <c r="J128" s="20"/>
      <c r="K128" s="20"/>
    </row>
    <row r="129" spans="1:11" ht="19.5" customHeight="1" x14ac:dyDescent="0.3">
      <c r="A129" s="22">
        <v>46045.609627662037</v>
      </c>
      <c r="B129" s="20">
        <v>12.1</v>
      </c>
      <c r="C129" s="20">
        <v>80</v>
      </c>
      <c r="D129" s="26">
        <v>67.760000000000005</v>
      </c>
      <c r="E129" s="20">
        <v>12.24</v>
      </c>
      <c r="F129" s="20">
        <v>-0.23</v>
      </c>
      <c r="G129" s="26">
        <v>2958.98</v>
      </c>
      <c r="H129" s="20"/>
      <c r="I129" s="20"/>
      <c r="J129" s="20"/>
      <c r="K129" s="20"/>
    </row>
    <row r="130" spans="1:11" ht="19.5" customHeight="1" x14ac:dyDescent="0.3">
      <c r="A130" s="22">
        <v>46045.609628819446</v>
      </c>
      <c r="B130" s="20">
        <v>12.2</v>
      </c>
      <c r="C130" s="20">
        <v>80</v>
      </c>
      <c r="D130" s="20">
        <v>68.040000000000006</v>
      </c>
      <c r="E130" s="20">
        <v>11.96</v>
      </c>
      <c r="F130" s="20">
        <v>-0.28000000000000003</v>
      </c>
      <c r="G130" s="26">
        <v>2961.12</v>
      </c>
      <c r="H130" s="20"/>
      <c r="I130" s="20"/>
      <c r="J130" s="20"/>
      <c r="K130" s="20"/>
    </row>
    <row r="131" spans="1:11" ht="19.5" customHeight="1" x14ac:dyDescent="0.3">
      <c r="A131" s="22">
        <v>46045.609629988423</v>
      </c>
      <c r="B131" s="20">
        <v>12.3</v>
      </c>
      <c r="C131" s="20">
        <v>80</v>
      </c>
      <c r="D131" s="26">
        <v>68.28</v>
      </c>
      <c r="E131" s="20">
        <v>11.72</v>
      </c>
      <c r="F131" s="20">
        <v>-0.24</v>
      </c>
      <c r="G131" s="26">
        <v>2903.07</v>
      </c>
      <c r="H131" s="20"/>
      <c r="I131" s="20"/>
      <c r="J131" s="20"/>
      <c r="K131" s="20"/>
    </row>
    <row r="132" spans="1:11" ht="19.5" customHeight="1" x14ac:dyDescent="0.3">
      <c r="A132" s="22">
        <v>46045.609631145831</v>
      </c>
      <c r="B132" s="20">
        <v>12.4</v>
      </c>
      <c r="C132" s="20">
        <v>80</v>
      </c>
      <c r="D132" s="26">
        <v>68.48</v>
      </c>
      <c r="E132" s="20">
        <v>11.52</v>
      </c>
      <c r="F132" s="20">
        <v>-0.2</v>
      </c>
      <c r="G132" s="26">
        <v>2857.34</v>
      </c>
      <c r="H132" s="20"/>
      <c r="I132" s="20"/>
      <c r="J132" s="20"/>
      <c r="K132" s="20"/>
    </row>
    <row r="133" spans="1:11" ht="19.5" customHeight="1" x14ac:dyDescent="0.3">
      <c r="A133" s="22">
        <v>46045.60963230324</v>
      </c>
      <c r="B133" s="20">
        <v>12.5</v>
      </c>
      <c r="C133" s="20">
        <v>80</v>
      </c>
      <c r="D133" s="20">
        <v>68.75</v>
      </c>
      <c r="E133" s="20">
        <v>11.25</v>
      </c>
      <c r="F133" s="20">
        <v>-0.27</v>
      </c>
      <c r="G133" s="26">
        <v>2850.83</v>
      </c>
      <c r="H133" s="20"/>
      <c r="I133" s="20"/>
      <c r="J133" s="20"/>
      <c r="K133" s="20"/>
    </row>
    <row r="134" spans="1:11" ht="19.5" customHeight="1" x14ac:dyDescent="0.3">
      <c r="A134" s="22">
        <v>46045.609633495369</v>
      </c>
      <c r="B134" s="20">
        <v>12.6</v>
      </c>
      <c r="C134" s="20">
        <v>80</v>
      </c>
      <c r="D134" s="26">
        <v>69</v>
      </c>
      <c r="E134" s="20">
        <v>11</v>
      </c>
      <c r="F134" s="20">
        <v>-0.25</v>
      </c>
      <c r="G134" s="26">
        <v>2793.05</v>
      </c>
      <c r="H134" s="20"/>
      <c r="I134" s="20"/>
      <c r="J134" s="20"/>
      <c r="K134" s="20"/>
    </row>
    <row r="135" spans="1:11" ht="19.5" customHeight="1" x14ac:dyDescent="0.3">
      <c r="A135" s="22">
        <v>46045.609634606481</v>
      </c>
      <c r="B135" s="20">
        <v>12.7</v>
      </c>
      <c r="C135" s="20">
        <v>80</v>
      </c>
      <c r="D135" s="20">
        <v>69.16</v>
      </c>
      <c r="E135" s="20">
        <v>10.84</v>
      </c>
      <c r="F135" s="20">
        <v>-0.16</v>
      </c>
      <c r="G135" s="20">
        <v>2734.97</v>
      </c>
      <c r="H135" s="20"/>
      <c r="I135" s="20"/>
      <c r="J135" s="20"/>
      <c r="K135" s="20"/>
    </row>
    <row r="136" spans="1:11" ht="19.5" customHeight="1" x14ac:dyDescent="0.3">
      <c r="A136" s="22">
        <v>46045.609635775465</v>
      </c>
      <c r="B136" s="20">
        <v>12.8</v>
      </c>
      <c r="C136" s="20">
        <v>80</v>
      </c>
      <c r="D136" s="26">
        <v>69.44</v>
      </c>
      <c r="E136" s="20">
        <v>10.56</v>
      </c>
      <c r="F136" s="20">
        <v>-0.28000000000000003</v>
      </c>
      <c r="G136" s="26">
        <v>2714.03</v>
      </c>
      <c r="H136" s="20"/>
      <c r="I136" s="20"/>
      <c r="J136" s="20"/>
      <c r="K136" s="20"/>
    </row>
    <row r="137" spans="1:11" ht="19.5" customHeight="1" x14ac:dyDescent="0.3">
      <c r="A137" s="22">
        <v>46045.609636909721</v>
      </c>
      <c r="B137" s="20">
        <v>12.9</v>
      </c>
      <c r="C137" s="20">
        <v>80</v>
      </c>
      <c r="D137" s="26">
        <v>69.62</v>
      </c>
      <c r="E137" s="20">
        <v>10.38</v>
      </c>
      <c r="F137" s="20">
        <v>-0.18</v>
      </c>
      <c r="G137" s="20">
        <v>2645.17</v>
      </c>
      <c r="H137" s="20"/>
      <c r="I137" s="20"/>
      <c r="J137" s="20"/>
      <c r="K137" s="20"/>
    </row>
    <row r="138" spans="1:11" ht="19.5" customHeight="1" x14ac:dyDescent="0.3">
      <c r="A138" s="22">
        <v>46045.609638101851</v>
      </c>
      <c r="B138" s="20">
        <v>13</v>
      </c>
      <c r="C138" s="20">
        <v>80</v>
      </c>
      <c r="D138" s="20">
        <v>69.84</v>
      </c>
      <c r="E138" s="20">
        <v>10.16</v>
      </c>
      <c r="F138" s="20">
        <v>-0.23</v>
      </c>
      <c r="G138" s="26">
        <v>2594.59</v>
      </c>
      <c r="H138" s="20"/>
      <c r="I138" s="20"/>
      <c r="J138" s="20"/>
      <c r="K138" s="20"/>
    </row>
    <row r="139" spans="1:11" ht="19.5" customHeight="1" x14ac:dyDescent="0.3">
      <c r="A139" s="22">
        <v>46045.609639236114</v>
      </c>
      <c r="B139" s="20">
        <v>13.1</v>
      </c>
      <c r="C139" s="20">
        <v>80</v>
      </c>
      <c r="D139" s="26">
        <v>69.98</v>
      </c>
      <c r="E139" s="20">
        <v>10.02</v>
      </c>
      <c r="F139" s="20">
        <v>-0.13</v>
      </c>
      <c r="G139" s="26">
        <v>2555.94</v>
      </c>
      <c r="H139" s="20"/>
      <c r="I139" s="20"/>
      <c r="J139" s="20"/>
      <c r="K139" s="20"/>
    </row>
    <row r="140" spans="1:11" ht="19.5" customHeight="1" x14ac:dyDescent="0.3">
      <c r="A140" s="22">
        <v>46045.609640405091</v>
      </c>
      <c r="B140" s="20">
        <v>13.2</v>
      </c>
      <c r="C140" s="20">
        <v>80</v>
      </c>
      <c r="D140" s="26">
        <v>70.19</v>
      </c>
      <c r="E140" s="20">
        <v>9.81</v>
      </c>
      <c r="F140" s="20">
        <v>-0.21</v>
      </c>
      <c r="G140" s="20">
        <v>2550</v>
      </c>
      <c r="H140" s="20"/>
      <c r="I140" s="20"/>
      <c r="J140" s="20"/>
      <c r="K140" s="20"/>
    </row>
    <row r="141" spans="1:11" ht="19.5" customHeight="1" x14ac:dyDescent="0.3">
      <c r="A141" s="22">
        <v>46045.609641574076</v>
      </c>
      <c r="B141" s="20">
        <v>13.3</v>
      </c>
      <c r="C141" s="20">
        <v>80</v>
      </c>
      <c r="D141" s="20">
        <v>70.34</v>
      </c>
      <c r="E141" s="20">
        <v>9.66</v>
      </c>
      <c r="F141" s="20">
        <v>-0.15</v>
      </c>
      <c r="G141" s="26">
        <v>2550</v>
      </c>
      <c r="H141" s="20"/>
      <c r="I141" s="20"/>
      <c r="J141" s="20"/>
      <c r="K141" s="20"/>
    </row>
    <row r="142" spans="1:11" ht="19.5" customHeight="1" x14ac:dyDescent="0.3">
      <c r="A142" s="22">
        <v>46045.609642719908</v>
      </c>
      <c r="B142" s="20">
        <v>13.4</v>
      </c>
      <c r="C142" s="20">
        <v>80</v>
      </c>
      <c r="D142" s="26">
        <v>70.569999999999993</v>
      </c>
      <c r="E142" s="20">
        <v>9.43</v>
      </c>
      <c r="F142" s="20">
        <v>-0.23</v>
      </c>
      <c r="G142" s="26">
        <v>2550</v>
      </c>
      <c r="H142" s="20"/>
      <c r="I142" s="20"/>
      <c r="J142" s="20"/>
      <c r="K142" s="20"/>
    </row>
    <row r="143" spans="1:11" ht="19.5" customHeight="1" x14ac:dyDescent="0.3">
      <c r="A143" s="22">
        <v>46045.609643888885</v>
      </c>
      <c r="B143" s="20">
        <v>13.5</v>
      </c>
      <c r="C143" s="20">
        <v>80</v>
      </c>
      <c r="D143" s="20">
        <v>70.69</v>
      </c>
      <c r="E143" s="20">
        <v>9.31</v>
      </c>
      <c r="F143" s="20">
        <v>-0.12</v>
      </c>
      <c r="G143" s="26">
        <v>2550</v>
      </c>
      <c r="H143" s="20"/>
      <c r="I143" s="20"/>
      <c r="J143" s="20"/>
      <c r="K143" s="20"/>
    </row>
    <row r="144" spans="1:11" ht="19.5" customHeight="1" x14ac:dyDescent="0.3">
      <c r="A144" s="22">
        <v>46045.609645023149</v>
      </c>
      <c r="B144" s="20">
        <v>13.6</v>
      </c>
      <c r="C144" s="20">
        <v>80</v>
      </c>
      <c r="D144" s="26">
        <v>70.88</v>
      </c>
      <c r="E144" s="20">
        <v>9.1199999999999992</v>
      </c>
      <c r="F144" s="20">
        <v>-0.19</v>
      </c>
      <c r="G144" s="26">
        <v>2550</v>
      </c>
      <c r="H144" s="20"/>
      <c r="I144" s="20"/>
      <c r="J144" s="20"/>
      <c r="K144" s="20"/>
    </row>
    <row r="145" spans="1:11" ht="19.5" customHeight="1" x14ac:dyDescent="0.3">
      <c r="A145" s="22">
        <v>46045.609646192126</v>
      </c>
      <c r="B145" s="20">
        <v>13.7</v>
      </c>
      <c r="C145" s="20">
        <v>80</v>
      </c>
      <c r="D145" s="26">
        <v>71.03</v>
      </c>
      <c r="E145" s="20">
        <v>8.9700000000000006</v>
      </c>
      <c r="F145" s="20">
        <v>-0.15</v>
      </c>
      <c r="G145" s="26">
        <v>2550</v>
      </c>
      <c r="H145" s="20"/>
      <c r="I145" s="20"/>
      <c r="J145" s="20"/>
      <c r="K145" s="20"/>
    </row>
    <row r="146" spans="1:11" ht="19.5" customHeight="1" x14ac:dyDescent="0.3">
      <c r="A146" s="22">
        <v>46045.609647337966</v>
      </c>
      <c r="B146" s="20">
        <v>13.8</v>
      </c>
      <c r="C146" s="20">
        <v>80</v>
      </c>
      <c r="D146" s="20">
        <v>71.11</v>
      </c>
      <c r="E146" s="20">
        <v>8.89</v>
      </c>
      <c r="F146" s="20">
        <v>-0.08</v>
      </c>
      <c r="G146" s="26">
        <v>2550</v>
      </c>
      <c r="H146" s="20"/>
      <c r="I146" s="20"/>
      <c r="J146" s="20"/>
      <c r="K146" s="20"/>
    </row>
    <row r="147" spans="1:11" ht="19.5" customHeight="1" x14ac:dyDescent="0.3">
      <c r="A147" s="22">
        <v>46045.609648518519</v>
      </c>
      <c r="B147" s="20">
        <v>13.9</v>
      </c>
      <c r="C147" s="20">
        <v>80</v>
      </c>
      <c r="D147" s="26">
        <v>71.319999999999993</v>
      </c>
      <c r="E147" s="20">
        <v>8.68</v>
      </c>
      <c r="F147" s="20">
        <v>-0.21</v>
      </c>
      <c r="G147" s="26">
        <v>2550</v>
      </c>
      <c r="H147" s="20"/>
      <c r="I147" s="20"/>
      <c r="J147" s="20"/>
      <c r="K147" s="20"/>
    </row>
    <row r="148" spans="1:11" ht="19.5" customHeight="1" x14ac:dyDescent="0.3">
      <c r="A148" s="22">
        <v>46045.609649652775</v>
      </c>
      <c r="B148" s="20">
        <v>14</v>
      </c>
      <c r="C148" s="20">
        <v>80</v>
      </c>
      <c r="D148" s="20">
        <v>71.38</v>
      </c>
      <c r="E148" s="20">
        <v>8.6199999999999992</v>
      </c>
      <c r="F148" s="20">
        <v>-0.06</v>
      </c>
      <c r="G148" s="26">
        <v>2550</v>
      </c>
      <c r="H148" s="20"/>
      <c r="I148" s="20"/>
      <c r="J148" s="20"/>
      <c r="K148" s="20"/>
    </row>
    <row r="149" spans="1:11" ht="19.5" customHeight="1" x14ac:dyDescent="0.3">
      <c r="A149" s="22">
        <v>46045.609650810184</v>
      </c>
      <c r="B149" s="20">
        <v>14.1</v>
      </c>
      <c r="C149" s="20">
        <v>80</v>
      </c>
      <c r="D149" s="26">
        <v>71.56</v>
      </c>
      <c r="E149" s="20">
        <v>8.44</v>
      </c>
      <c r="F149" s="20">
        <v>-0.17</v>
      </c>
      <c r="G149" s="26">
        <v>2550</v>
      </c>
      <c r="H149" s="20"/>
      <c r="I149" s="20"/>
      <c r="J149" s="20"/>
      <c r="K149" s="20"/>
    </row>
    <row r="150" spans="1:11" ht="19.5" customHeight="1" x14ac:dyDescent="0.3">
      <c r="A150" s="22">
        <v>46045.609651967592</v>
      </c>
      <c r="B150" s="20">
        <v>14.2</v>
      </c>
      <c r="C150" s="20">
        <v>80</v>
      </c>
      <c r="D150" s="26">
        <v>71.62</v>
      </c>
      <c r="E150" s="20">
        <v>8.3800000000000008</v>
      </c>
      <c r="F150" s="20">
        <v>-7.0000000000000007E-2</v>
      </c>
      <c r="G150" s="26">
        <v>2550</v>
      </c>
      <c r="H150" s="20"/>
      <c r="I150" s="20"/>
      <c r="J150" s="20"/>
      <c r="K150" s="20"/>
    </row>
    <row r="151" spans="1:11" ht="19.5" customHeight="1" x14ac:dyDescent="0.3">
      <c r="A151" s="22">
        <v>46045.609653148145</v>
      </c>
      <c r="B151" s="20">
        <v>14.3</v>
      </c>
      <c r="C151" s="20">
        <v>80</v>
      </c>
      <c r="D151" s="20">
        <v>71.81</v>
      </c>
      <c r="E151" s="20">
        <v>8.19</v>
      </c>
      <c r="F151" s="20">
        <v>-0.19</v>
      </c>
      <c r="G151" s="20">
        <v>2550</v>
      </c>
      <c r="H151" s="20"/>
      <c r="I151" s="20"/>
      <c r="J151" s="20"/>
      <c r="K151" s="20"/>
    </row>
    <row r="152" spans="1:11" ht="19.5" customHeight="1" x14ac:dyDescent="0.3">
      <c r="A152" s="22">
        <v>46045.609654293985</v>
      </c>
      <c r="B152" s="20">
        <v>14.4</v>
      </c>
      <c r="C152" s="20">
        <v>80</v>
      </c>
      <c r="D152" s="26">
        <v>71.87</v>
      </c>
      <c r="E152" s="20">
        <v>8.1300000000000008</v>
      </c>
      <c r="F152" s="20">
        <v>-0.05</v>
      </c>
      <c r="G152" s="26">
        <v>2550</v>
      </c>
      <c r="H152" s="20"/>
      <c r="I152" s="20"/>
      <c r="J152" s="20"/>
      <c r="K152" s="20"/>
    </row>
    <row r="153" spans="1:11" ht="19.5" customHeight="1" x14ac:dyDescent="0.3">
      <c r="A153" s="22">
        <v>46045.609655439817</v>
      </c>
      <c r="B153" s="20">
        <v>14.5</v>
      </c>
      <c r="C153" s="20">
        <v>80</v>
      </c>
      <c r="D153" s="26">
        <v>71.95</v>
      </c>
      <c r="E153" s="20">
        <v>8.0500000000000007</v>
      </c>
      <c r="F153" s="20">
        <v>-0.08</v>
      </c>
      <c r="G153" s="20">
        <v>2550</v>
      </c>
      <c r="H153" s="20"/>
      <c r="I153" s="20"/>
      <c r="J153" s="20"/>
      <c r="K153" s="20"/>
    </row>
    <row r="154" spans="1:11" ht="19.5" customHeight="1" x14ac:dyDescent="0.3">
      <c r="A154" s="22">
        <v>46045.609656608794</v>
      </c>
      <c r="B154" s="20">
        <v>14.6</v>
      </c>
      <c r="C154" s="20">
        <v>80</v>
      </c>
      <c r="D154" s="20">
        <v>72.09</v>
      </c>
      <c r="E154" s="20">
        <v>7.91</v>
      </c>
      <c r="F154" s="20">
        <v>-0.14000000000000001</v>
      </c>
      <c r="G154" s="26">
        <v>2550</v>
      </c>
      <c r="H154" s="20"/>
      <c r="I154" s="20"/>
      <c r="J154" s="20"/>
      <c r="K154" s="20"/>
    </row>
    <row r="155" spans="1:11" ht="19.5" customHeight="1" x14ac:dyDescent="0.3">
      <c r="A155" s="22">
        <v>46045.609657766203</v>
      </c>
      <c r="B155" s="20">
        <v>14.7</v>
      </c>
      <c r="C155" s="20">
        <v>80</v>
      </c>
      <c r="D155" s="26">
        <v>72.17</v>
      </c>
      <c r="E155" s="20">
        <v>7.83</v>
      </c>
      <c r="F155" s="20">
        <v>-0.08</v>
      </c>
      <c r="G155" s="26">
        <v>2550</v>
      </c>
      <c r="H155" s="20"/>
      <c r="I155" s="20"/>
      <c r="J155" s="20"/>
      <c r="K155" s="20"/>
    </row>
    <row r="156" spans="1:11" ht="19.5" customHeight="1" x14ac:dyDescent="0.3">
      <c r="A156" s="22">
        <v>46045.609658923611</v>
      </c>
      <c r="B156" s="20">
        <v>14.8</v>
      </c>
      <c r="C156" s="20">
        <v>80</v>
      </c>
      <c r="D156" s="26">
        <v>72.25</v>
      </c>
      <c r="E156" s="20">
        <v>7.75</v>
      </c>
      <c r="F156" s="20">
        <v>-0.08</v>
      </c>
      <c r="G156" s="26">
        <v>2550</v>
      </c>
      <c r="H156" s="20"/>
      <c r="I156" s="20"/>
      <c r="J156" s="20"/>
      <c r="K156" s="20"/>
    </row>
    <row r="157" spans="1:11" ht="19.5" customHeight="1" x14ac:dyDescent="0.3">
      <c r="A157" s="22">
        <v>46045.609660069444</v>
      </c>
      <c r="B157" s="20">
        <v>14.9</v>
      </c>
      <c r="C157" s="20">
        <v>80</v>
      </c>
      <c r="D157" s="20">
        <v>72.39</v>
      </c>
      <c r="E157" s="20">
        <v>7.61</v>
      </c>
      <c r="F157" s="20">
        <v>-0.14000000000000001</v>
      </c>
      <c r="G157" s="26">
        <v>2550</v>
      </c>
      <c r="H157" s="20"/>
      <c r="I157" s="20"/>
      <c r="J157" s="20"/>
      <c r="K157" s="20"/>
    </row>
    <row r="158" spans="1:11" ht="19.5" customHeight="1" x14ac:dyDescent="0.3">
      <c r="A158" s="22">
        <v>46045.609661226852</v>
      </c>
      <c r="B158" s="20">
        <v>15</v>
      </c>
      <c r="C158" s="20">
        <v>80</v>
      </c>
      <c r="D158" s="26">
        <v>72.45</v>
      </c>
      <c r="E158" s="20">
        <v>7.55</v>
      </c>
      <c r="F158" s="20">
        <v>-0.06</v>
      </c>
      <c r="G158" s="26">
        <v>2550</v>
      </c>
      <c r="H158" s="20"/>
      <c r="I158" s="20"/>
      <c r="J158" s="20"/>
      <c r="K158" s="20"/>
    </row>
    <row r="159" spans="1:11" ht="19.5" customHeight="1" x14ac:dyDescent="0.3">
      <c r="A159" s="22">
        <v>46045.609662395836</v>
      </c>
      <c r="B159" s="20">
        <v>15.1</v>
      </c>
      <c r="C159" s="20">
        <v>80</v>
      </c>
      <c r="D159" s="20">
        <v>72.61</v>
      </c>
      <c r="E159" s="20">
        <v>7.39</v>
      </c>
      <c r="F159" s="20">
        <v>-0.16</v>
      </c>
      <c r="G159" s="26">
        <v>2550</v>
      </c>
      <c r="H159" s="20"/>
      <c r="I159" s="20"/>
      <c r="J159" s="20"/>
      <c r="K159" s="20"/>
    </row>
    <row r="160" spans="1:11" ht="19.5" customHeight="1" x14ac:dyDescent="0.3">
      <c r="A160" s="22">
        <v>46045.609663553238</v>
      </c>
      <c r="B160" s="20">
        <v>15.2</v>
      </c>
      <c r="C160" s="20">
        <v>80</v>
      </c>
      <c r="D160" s="26">
        <v>72.73</v>
      </c>
      <c r="E160" s="20">
        <v>7.27</v>
      </c>
      <c r="F160" s="20">
        <v>-0.12</v>
      </c>
      <c r="G160" s="26">
        <v>2550</v>
      </c>
      <c r="H160" s="20"/>
      <c r="I160" s="20"/>
      <c r="J160" s="20"/>
      <c r="K160" s="20"/>
    </row>
    <row r="161" spans="1:11" ht="19.5" customHeight="1" x14ac:dyDescent="0.3">
      <c r="A161" s="22">
        <v>46045.609664699077</v>
      </c>
      <c r="B161" s="20">
        <v>15.3</v>
      </c>
      <c r="C161" s="20">
        <v>80</v>
      </c>
      <c r="D161" s="26">
        <v>72.77</v>
      </c>
      <c r="E161" s="20">
        <v>7.23</v>
      </c>
      <c r="F161" s="20">
        <v>-0.04</v>
      </c>
      <c r="G161" s="26">
        <v>2550</v>
      </c>
      <c r="H161" s="20"/>
      <c r="I161" s="20"/>
      <c r="J161" s="20"/>
      <c r="K161" s="20"/>
    </row>
    <row r="162" spans="1:11" ht="19.5" customHeight="1" x14ac:dyDescent="0.3">
      <c r="A162" s="22">
        <v>46045.609665868054</v>
      </c>
      <c r="B162" s="20">
        <v>15.4</v>
      </c>
      <c r="C162" s="20">
        <v>80</v>
      </c>
      <c r="D162" s="20">
        <v>72.900000000000006</v>
      </c>
      <c r="E162" s="20">
        <v>7.1</v>
      </c>
      <c r="F162" s="20">
        <v>-0.13</v>
      </c>
      <c r="G162" s="20">
        <v>2550</v>
      </c>
      <c r="H162" s="20"/>
      <c r="I162" s="20"/>
      <c r="J162" s="20"/>
      <c r="K162" s="20"/>
    </row>
    <row r="163" spans="1:11" ht="19.5" customHeight="1" x14ac:dyDescent="0.3">
      <c r="A163" s="22">
        <v>46045.609667013887</v>
      </c>
      <c r="B163" s="20">
        <v>15.5</v>
      </c>
      <c r="C163" s="20">
        <v>80</v>
      </c>
      <c r="D163" s="26">
        <v>72.97</v>
      </c>
      <c r="E163" s="20">
        <v>7.03</v>
      </c>
      <c r="F163" s="20">
        <v>-7.0000000000000007E-2</v>
      </c>
      <c r="G163" s="26">
        <v>2550</v>
      </c>
      <c r="H163" s="20"/>
      <c r="I163" s="20"/>
      <c r="J163" s="20"/>
      <c r="K163" s="20"/>
    </row>
    <row r="164" spans="1:11" ht="19.5" customHeight="1" x14ac:dyDescent="0.3">
      <c r="A164" s="22">
        <v>46045.609668182871</v>
      </c>
      <c r="B164" s="20">
        <v>15.6</v>
      </c>
      <c r="C164" s="20">
        <v>80</v>
      </c>
      <c r="D164" s="26">
        <v>73.069999999999993</v>
      </c>
      <c r="E164" s="20">
        <v>6.93</v>
      </c>
      <c r="F164" s="20">
        <v>-0.1</v>
      </c>
      <c r="G164" s="26">
        <v>2550</v>
      </c>
      <c r="H164" s="20"/>
      <c r="I164" s="20"/>
      <c r="J164" s="20"/>
      <c r="K164" s="20"/>
    </row>
    <row r="165" spans="1:11" ht="19.5" customHeight="1" x14ac:dyDescent="0.3">
      <c r="A165" s="22">
        <v>46045.609669328704</v>
      </c>
      <c r="B165" s="20">
        <v>15.7</v>
      </c>
      <c r="C165" s="20">
        <v>80</v>
      </c>
      <c r="D165" s="20">
        <v>73.209999999999994</v>
      </c>
      <c r="E165" s="20">
        <v>6.79</v>
      </c>
      <c r="F165" s="20">
        <v>-0.15</v>
      </c>
      <c r="G165" s="26">
        <v>2550</v>
      </c>
      <c r="H165" s="20"/>
      <c r="I165" s="20"/>
      <c r="J165" s="20"/>
      <c r="K165" s="20"/>
    </row>
    <row r="166" spans="1:11" ht="19.5" customHeight="1" x14ac:dyDescent="0.3">
      <c r="A166" s="22">
        <v>46045.609670486112</v>
      </c>
      <c r="B166" s="20">
        <v>15.8</v>
      </c>
      <c r="C166" s="20">
        <v>80</v>
      </c>
      <c r="D166" s="26">
        <v>73.25</v>
      </c>
      <c r="E166" s="20">
        <v>6.75</v>
      </c>
      <c r="F166" s="20">
        <v>-0.04</v>
      </c>
      <c r="G166" s="26">
        <v>2550</v>
      </c>
      <c r="H166" s="20"/>
      <c r="I166" s="20"/>
      <c r="J166" s="20"/>
      <c r="K166" s="20"/>
    </row>
    <row r="167" spans="1:11" ht="19.5" customHeight="1" x14ac:dyDescent="0.3">
      <c r="A167" s="22">
        <v>46045.60967164352</v>
      </c>
      <c r="B167" s="20">
        <v>15.9</v>
      </c>
      <c r="C167" s="20">
        <v>80</v>
      </c>
      <c r="D167" s="26">
        <v>73.41</v>
      </c>
      <c r="E167" s="20">
        <v>6.59</v>
      </c>
      <c r="F167" s="20">
        <v>-0.16</v>
      </c>
      <c r="G167" s="26">
        <v>2550</v>
      </c>
      <c r="H167" s="20"/>
      <c r="I167" s="20"/>
      <c r="J167" s="20"/>
      <c r="K167" s="20"/>
    </row>
    <row r="168" spans="1:11" ht="19.5" customHeight="1" x14ac:dyDescent="0.3">
      <c r="A168" s="22">
        <v>46045.609672800929</v>
      </c>
      <c r="B168" s="20">
        <v>16</v>
      </c>
      <c r="C168" s="20">
        <v>80</v>
      </c>
      <c r="D168" s="20">
        <v>73.5</v>
      </c>
      <c r="E168" s="20">
        <v>6.5</v>
      </c>
      <c r="F168" s="20">
        <v>-0.09</v>
      </c>
      <c r="G168" s="26">
        <v>2550</v>
      </c>
      <c r="H168" s="20"/>
      <c r="I168" s="20"/>
      <c r="J168" s="20"/>
      <c r="K168" s="20"/>
    </row>
    <row r="169" spans="1:11" ht="19.5" customHeight="1" x14ac:dyDescent="0.3">
      <c r="A169" s="22">
        <v>46045.609673969906</v>
      </c>
      <c r="B169" s="20">
        <v>16.100000000000001</v>
      </c>
      <c r="C169" s="20">
        <v>80</v>
      </c>
      <c r="D169" s="26">
        <v>73.569999999999993</v>
      </c>
      <c r="E169" s="20">
        <v>6.43</v>
      </c>
      <c r="F169" s="20">
        <v>-7.0000000000000007E-2</v>
      </c>
      <c r="G169" s="26">
        <v>2550</v>
      </c>
      <c r="H169" s="20"/>
      <c r="I169" s="20"/>
      <c r="J169" s="20"/>
      <c r="K169" s="20"/>
    </row>
    <row r="170" spans="1:11" ht="19.5" customHeight="1" x14ac:dyDescent="0.3">
      <c r="A170" s="22">
        <v>46045.609675127314</v>
      </c>
      <c r="B170" s="20">
        <v>16.2</v>
      </c>
      <c r="C170" s="20">
        <v>80</v>
      </c>
      <c r="D170" s="20">
        <v>73.709999999999994</v>
      </c>
      <c r="E170" s="20">
        <v>6.29</v>
      </c>
      <c r="F170" s="20">
        <v>-0.15</v>
      </c>
      <c r="G170" s="26">
        <v>2550</v>
      </c>
      <c r="H170" s="20"/>
      <c r="I170" s="20"/>
      <c r="J170" s="20"/>
      <c r="K170" s="20"/>
    </row>
    <row r="171" spans="1:11" ht="19.5" customHeight="1" x14ac:dyDescent="0.3">
      <c r="A171" s="22">
        <v>46045.609676284723</v>
      </c>
      <c r="B171" s="20">
        <v>16.3</v>
      </c>
      <c r="C171" s="20">
        <v>80</v>
      </c>
      <c r="D171" s="26">
        <v>73.790000000000006</v>
      </c>
      <c r="E171" s="20">
        <v>6.21</v>
      </c>
      <c r="F171" s="20">
        <v>-0.08</v>
      </c>
      <c r="G171" s="26">
        <v>2550</v>
      </c>
      <c r="H171" s="20"/>
      <c r="I171" s="20"/>
      <c r="J171" s="20"/>
      <c r="K171" s="20"/>
    </row>
    <row r="172" spans="1:11" ht="19.5" customHeight="1" x14ac:dyDescent="0.3">
      <c r="A172" s="22">
        <v>46045.609677430555</v>
      </c>
      <c r="B172" s="20">
        <v>16.399999999999999</v>
      </c>
      <c r="C172" s="20">
        <v>80</v>
      </c>
      <c r="D172" s="26">
        <v>73.819999999999993</v>
      </c>
      <c r="E172" s="20">
        <v>6.18</v>
      </c>
      <c r="F172" s="20">
        <v>-0.03</v>
      </c>
      <c r="G172" s="26">
        <v>2550</v>
      </c>
      <c r="H172" s="20"/>
      <c r="I172" s="20"/>
      <c r="J172" s="20"/>
      <c r="K172" s="20"/>
    </row>
    <row r="173" spans="1:11" ht="19.5" customHeight="1" x14ac:dyDescent="0.3">
      <c r="A173" s="22">
        <v>46045.60967859954</v>
      </c>
      <c r="B173" s="20">
        <v>16.5</v>
      </c>
      <c r="C173" s="20">
        <v>80</v>
      </c>
      <c r="D173" s="20">
        <v>73.959999999999994</v>
      </c>
      <c r="E173" s="20">
        <v>6.04</v>
      </c>
      <c r="F173" s="20">
        <v>-0.13</v>
      </c>
      <c r="G173" s="20">
        <v>2550</v>
      </c>
      <c r="H173" s="20"/>
      <c r="I173" s="20"/>
      <c r="J173" s="20"/>
      <c r="K173" s="20"/>
    </row>
    <row r="174" spans="1:11" ht="19.5" customHeight="1" x14ac:dyDescent="0.3">
      <c r="A174" s="22">
        <v>46045.609679745372</v>
      </c>
      <c r="B174" s="20">
        <v>16.600000000000001</v>
      </c>
      <c r="C174" s="20">
        <v>80</v>
      </c>
      <c r="D174" s="26">
        <v>74.08</v>
      </c>
      <c r="E174" s="20">
        <v>5.92</v>
      </c>
      <c r="F174" s="20">
        <v>-0.12</v>
      </c>
      <c r="G174" s="26">
        <v>2550</v>
      </c>
      <c r="H174" s="20"/>
      <c r="I174" s="20"/>
      <c r="J174" s="20"/>
      <c r="K174" s="20"/>
    </row>
    <row r="175" spans="1:11" ht="19.5" customHeight="1" x14ac:dyDescent="0.3">
      <c r="A175" s="22">
        <v>46045.609680914349</v>
      </c>
      <c r="B175" s="20">
        <v>16.7</v>
      </c>
      <c r="C175" s="20">
        <v>80</v>
      </c>
      <c r="D175" s="20">
        <v>74.12</v>
      </c>
      <c r="E175" s="20">
        <v>5.88</v>
      </c>
      <c r="F175" s="20">
        <v>-0.04</v>
      </c>
      <c r="G175" s="26">
        <v>2550</v>
      </c>
      <c r="H175" s="20"/>
      <c r="I175" s="20"/>
      <c r="J175" s="20"/>
      <c r="K175" s="20"/>
    </row>
    <row r="176" spans="1:11" ht="19.5" customHeight="1" x14ac:dyDescent="0.3">
      <c r="A176" s="22">
        <v>46045.609682060189</v>
      </c>
      <c r="B176" s="20">
        <v>16.8</v>
      </c>
      <c r="C176" s="20">
        <v>80</v>
      </c>
      <c r="D176" s="26">
        <v>74.22</v>
      </c>
      <c r="E176" s="20">
        <v>5.78</v>
      </c>
      <c r="F176" s="20">
        <v>-0.09</v>
      </c>
      <c r="G176" s="20">
        <v>2550</v>
      </c>
      <c r="H176" s="20"/>
      <c r="I176" s="20"/>
      <c r="J176" s="20"/>
      <c r="K176" s="20"/>
    </row>
    <row r="177" spans="1:11" ht="19.5" customHeight="1" x14ac:dyDescent="0.3">
      <c r="A177" s="22">
        <v>46045.60968321759</v>
      </c>
      <c r="B177" s="20">
        <v>16.899999999999999</v>
      </c>
      <c r="C177" s="20">
        <v>80</v>
      </c>
      <c r="D177" s="26">
        <v>74.319999999999993</v>
      </c>
      <c r="E177" s="20">
        <v>5.68</v>
      </c>
      <c r="F177" s="20">
        <v>-0.1</v>
      </c>
      <c r="G177" s="26">
        <v>2550</v>
      </c>
      <c r="H177" s="20"/>
      <c r="I177" s="20"/>
      <c r="J177" s="20"/>
      <c r="K177" s="20"/>
    </row>
    <row r="178" spans="1:11" ht="19.5" customHeight="1" x14ac:dyDescent="0.3">
      <c r="A178" s="22">
        <v>46045.609684409719</v>
      </c>
      <c r="B178" s="20">
        <v>17</v>
      </c>
      <c r="C178" s="20">
        <v>80</v>
      </c>
      <c r="D178" s="20">
        <v>74.400000000000006</v>
      </c>
      <c r="E178" s="20">
        <v>5.6</v>
      </c>
      <c r="F178" s="20">
        <v>-0.08</v>
      </c>
      <c r="G178" s="20">
        <v>2550</v>
      </c>
      <c r="H178" s="20"/>
      <c r="I178" s="20"/>
      <c r="J178" s="20"/>
      <c r="K178" s="20"/>
    </row>
    <row r="179" spans="1:11" ht="19.5" customHeight="1" x14ac:dyDescent="0.3">
      <c r="A179" s="22">
        <v>46045.609685532407</v>
      </c>
      <c r="B179" s="20">
        <v>17.100000000000001</v>
      </c>
      <c r="C179" s="20">
        <v>80</v>
      </c>
      <c r="D179" s="26">
        <v>74.459999999999994</v>
      </c>
      <c r="E179" s="20">
        <v>5.54</v>
      </c>
      <c r="F179" s="20">
        <v>-0.05</v>
      </c>
      <c r="G179" s="26">
        <v>2550</v>
      </c>
      <c r="H179" s="20"/>
      <c r="I179" s="20"/>
      <c r="J179" s="20"/>
      <c r="K179" s="20"/>
    </row>
    <row r="180" spans="1:11" ht="19.5" customHeight="1" x14ac:dyDescent="0.3">
      <c r="A180" s="22">
        <v>46045.609686689815</v>
      </c>
      <c r="B180" s="20">
        <v>17.2</v>
      </c>
      <c r="C180" s="20">
        <v>80</v>
      </c>
      <c r="D180" s="26">
        <v>74.55</v>
      </c>
      <c r="E180" s="20">
        <v>5.45</v>
      </c>
      <c r="F180" s="20">
        <v>-0.09</v>
      </c>
      <c r="G180" s="26">
        <v>2550</v>
      </c>
      <c r="H180" s="20"/>
      <c r="I180" s="20"/>
      <c r="J180" s="20"/>
      <c r="K180" s="20"/>
    </row>
    <row r="181" spans="1:11" ht="19.5" customHeight="1" x14ac:dyDescent="0.3">
      <c r="A181" s="22">
        <v>46045.609687847224</v>
      </c>
      <c r="B181" s="20">
        <v>17.3</v>
      </c>
      <c r="C181" s="20">
        <v>80</v>
      </c>
      <c r="D181" s="20">
        <v>74.63</v>
      </c>
      <c r="E181" s="20">
        <v>5.37</v>
      </c>
      <c r="F181" s="20">
        <v>-0.09</v>
      </c>
      <c r="G181" s="26">
        <v>2550</v>
      </c>
      <c r="H181" s="20"/>
      <c r="I181" s="20"/>
      <c r="J181" s="20"/>
      <c r="K181" s="20"/>
    </row>
    <row r="182" spans="1:11" ht="19.5" customHeight="1" x14ac:dyDescent="0.3">
      <c r="A182" s="22">
        <v>46045.609689004632</v>
      </c>
      <c r="B182" s="20">
        <v>17.399999999999999</v>
      </c>
      <c r="C182" s="20">
        <v>80</v>
      </c>
      <c r="D182" s="26">
        <v>74.69</v>
      </c>
      <c r="E182" s="20">
        <v>5.31</v>
      </c>
      <c r="F182" s="20">
        <v>-0.06</v>
      </c>
      <c r="G182" s="26">
        <v>2550</v>
      </c>
      <c r="H182" s="20"/>
      <c r="I182" s="20"/>
      <c r="J182" s="20"/>
      <c r="K182" s="20"/>
    </row>
    <row r="183" spans="1:11" ht="19.5" customHeight="1" x14ac:dyDescent="0.3">
      <c r="A183" s="22">
        <v>46045.609690173609</v>
      </c>
      <c r="B183" s="20">
        <v>17.5</v>
      </c>
      <c r="C183" s="20">
        <v>80</v>
      </c>
      <c r="D183" s="20">
        <v>74.739999999999995</v>
      </c>
      <c r="E183" s="20">
        <v>5.26</v>
      </c>
      <c r="F183" s="20">
        <v>-0.04</v>
      </c>
      <c r="G183" s="26">
        <v>2550</v>
      </c>
      <c r="H183" s="20"/>
      <c r="I183" s="20"/>
      <c r="J183" s="20"/>
      <c r="K183" s="20"/>
    </row>
    <row r="184" spans="1:11" ht="19.5" customHeight="1" x14ac:dyDescent="0.3">
      <c r="A184" s="22">
        <v>46045.609691319441</v>
      </c>
      <c r="B184" s="20">
        <v>17.600000000000001</v>
      </c>
      <c r="C184" s="20">
        <v>80</v>
      </c>
      <c r="D184" s="26">
        <v>74.87</v>
      </c>
      <c r="E184" s="20">
        <v>5.13</v>
      </c>
      <c r="F184" s="20">
        <v>-0.13</v>
      </c>
      <c r="G184" s="26">
        <v>2550</v>
      </c>
      <c r="H184" s="20"/>
      <c r="I184" s="20"/>
      <c r="J184" s="20"/>
      <c r="K184" s="20"/>
    </row>
    <row r="185" spans="1:11" ht="19.5" customHeight="1" x14ac:dyDescent="0.3">
      <c r="A185" s="22">
        <v>46045.60969247685</v>
      </c>
      <c r="B185" s="20">
        <v>17.7</v>
      </c>
      <c r="C185" s="20">
        <v>80</v>
      </c>
      <c r="D185" s="26">
        <v>74.95</v>
      </c>
      <c r="E185" s="20">
        <v>5.05</v>
      </c>
      <c r="F185" s="20">
        <v>-0.08</v>
      </c>
      <c r="G185" s="26">
        <v>2550</v>
      </c>
      <c r="H185" s="20"/>
      <c r="I185" s="20"/>
      <c r="J185" s="20"/>
      <c r="K185" s="20"/>
    </row>
    <row r="186" spans="1:11" ht="19.5" customHeight="1" x14ac:dyDescent="0.3">
      <c r="A186" s="22">
        <v>46045.609693634258</v>
      </c>
      <c r="B186" s="20">
        <v>17.8</v>
      </c>
      <c r="C186" s="20">
        <v>80</v>
      </c>
      <c r="D186" s="20">
        <v>75</v>
      </c>
      <c r="E186" s="20">
        <v>5</v>
      </c>
      <c r="F186" s="20">
        <v>-0.04</v>
      </c>
      <c r="G186" s="26">
        <v>2550</v>
      </c>
      <c r="H186" s="20"/>
      <c r="I186" s="20"/>
      <c r="J186" s="20"/>
      <c r="K186" s="20"/>
    </row>
    <row r="187" spans="1:11" ht="19.5" customHeight="1" x14ac:dyDescent="0.3">
      <c r="A187" s="22">
        <v>46045.609694803243</v>
      </c>
      <c r="B187" s="20">
        <v>17.899999999999999</v>
      </c>
      <c r="C187" s="20">
        <v>80</v>
      </c>
      <c r="D187" s="26">
        <v>75.099999999999994</v>
      </c>
      <c r="E187" s="20">
        <v>4.9000000000000004</v>
      </c>
      <c r="F187" s="20">
        <v>-0.1</v>
      </c>
      <c r="G187" s="26">
        <v>2550</v>
      </c>
      <c r="H187" s="20"/>
      <c r="I187" s="20"/>
      <c r="J187" s="20"/>
      <c r="K187" s="20"/>
    </row>
    <row r="188" spans="1:11" ht="19.5" customHeight="1" x14ac:dyDescent="0.3">
      <c r="A188" s="22">
        <v>46045.609695960651</v>
      </c>
      <c r="B188" s="20">
        <v>18</v>
      </c>
      <c r="C188" s="20">
        <v>80</v>
      </c>
      <c r="D188" s="20">
        <v>75.180000000000007</v>
      </c>
      <c r="E188" s="20">
        <v>4.82</v>
      </c>
      <c r="F188" s="20">
        <v>-0.08</v>
      </c>
      <c r="G188" s="26">
        <v>2550</v>
      </c>
      <c r="H188" s="20"/>
      <c r="I188" s="20"/>
      <c r="J188" s="20"/>
      <c r="K188" s="20"/>
    </row>
    <row r="189" spans="1:11" ht="19.5" customHeight="1" x14ac:dyDescent="0.3">
      <c r="A189" s="22">
        <v>46045.609697106484</v>
      </c>
      <c r="B189" s="20">
        <v>18.100000000000001</v>
      </c>
      <c r="C189" s="20">
        <v>80</v>
      </c>
      <c r="D189" s="26">
        <v>75.22</v>
      </c>
      <c r="E189" s="20">
        <v>4.78</v>
      </c>
      <c r="F189" s="20">
        <v>-0.04</v>
      </c>
      <c r="G189" s="20">
        <v>2550</v>
      </c>
      <c r="H189" s="20"/>
      <c r="I189" s="20"/>
      <c r="J189" s="20"/>
      <c r="K189" s="20"/>
    </row>
    <row r="190" spans="1:11" ht="19.5" customHeight="1" x14ac:dyDescent="0.3">
      <c r="A190" s="22">
        <v>46045.609698263892</v>
      </c>
      <c r="B190" s="20">
        <v>18.2</v>
      </c>
      <c r="C190" s="20">
        <v>80</v>
      </c>
      <c r="D190" s="26">
        <v>75.28</v>
      </c>
      <c r="E190" s="20">
        <v>4.72</v>
      </c>
      <c r="F190" s="20">
        <v>-0.06</v>
      </c>
      <c r="G190" s="26">
        <v>2550</v>
      </c>
      <c r="H190" s="20"/>
      <c r="I190" s="20"/>
      <c r="J190" s="20"/>
      <c r="K190" s="20"/>
    </row>
    <row r="191" spans="1:11" ht="19.5" customHeight="1" x14ac:dyDescent="0.3">
      <c r="A191" s="22">
        <v>46045.609699456021</v>
      </c>
      <c r="B191" s="20">
        <v>18.3</v>
      </c>
      <c r="C191" s="20">
        <v>80</v>
      </c>
      <c r="D191" s="20">
        <v>75.319999999999993</v>
      </c>
      <c r="E191" s="20">
        <v>4.68</v>
      </c>
      <c r="F191" s="20">
        <v>-0.04</v>
      </c>
      <c r="G191" s="20">
        <v>2550</v>
      </c>
      <c r="H191" s="20"/>
      <c r="I191" s="20"/>
      <c r="J191" s="20"/>
      <c r="K191" s="20"/>
    </row>
    <row r="192" spans="1:11" ht="19.5" customHeight="1" x14ac:dyDescent="0.3">
      <c r="A192" s="22">
        <v>46045.609700578701</v>
      </c>
      <c r="B192" s="20">
        <v>18.399999999999999</v>
      </c>
      <c r="C192" s="20">
        <v>80</v>
      </c>
      <c r="D192" s="26">
        <v>75.319999999999993</v>
      </c>
      <c r="E192" s="20">
        <v>4.68</v>
      </c>
      <c r="F192" s="20">
        <v>0</v>
      </c>
      <c r="G192" s="26">
        <v>2550</v>
      </c>
      <c r="H192" s="20"/>
      <c r="I192" s="20"/>
      <c r="J192" s="20"/>
      <c r="K192" s="20"/>
    </row>
    <row r="193" spans="1:11" ht="19.5" customHeight="1" x14ac:dyDescent="0.3">
      <c r="A193" s="22">
        <v>46045.609701747686</v>
      </c>
      <c r="B193" s="20">
        <v>18.5</v>
      </c>
      <c r="C193" s="20">
        <v>80</v>
      </c>
      <c r="D193" s="26">
        <v>75.48</v>
      </c>
      <c r="E193" s="20">
        <v>4.5199999999999996</v>
      </c>
      <c r="F193" s="20">
        <v>-0.15</v>
      </c>
      <c r="G193" s="26">
        <v>2550</v>
      </c>
      <c r="H193" s="20"/>
      <c r="I193" s="20"/>
      <c r="J193" s="20"/>
      <c r="K193" s="20"/>
    </row>
    <row r="194" spans="1:11" ht="19.5" customHeight="1" x14ac:dyDescent="0.3">
      <c r="A194" s="22">
        <v>46045.609702905094</v>
      </c>
      <c r="B194" s="20">
        <v>18.600000000000001</v>
      </c>
      <c r="C194" s="20">
        <v>80</v>
      </c>
      <c r="D194" s="20">
        <v>75.5</v>
      </c>
      <c r="E194" s="20">
        <v>4.5</v>
      </c>
      <c r="F194" s="20">
        <v>-0.02</v>
      </c>
      <c r="G194" s="20">
        <v>2550</v>
      </c>
      <c r="H194" s="20"/>
      <c r="I194" s="20"/>
      <c r="J194" s="20"/>
      <c r="K194" s="20"/>
    </row>
    <row r="195" spans="1:11" ht="19.5" customHeight="1" x14ac:dyDescent="0.3">
      <c r="A195" s="22">
        <v>46045.609704050927</v>
      </c>
      <c r="B195" s="20">
        <v>18.7</v>
      </c>
      <c r="C195" s="20">
        <v>80</v>
      </c>
      <c r="D195" s="26">
        <v>75.569999999999993</v>
      </c>
      <c r="E195" s="20">
        <v>4.43</v>
      </c>
      <c r="F195" s="20">
        <v>-7.0000000000000007E-2</v>
      </c>
      <c r="G195" s="26">
        <v>2550</v>
      </c>
      <c r="H195" s="20"/>
      <c r="I195" s="20"/>
      <c r="J195" s="20"/>
      <c r="K195" s="20"/>
    </row>
    <row r="196" spans="1:11" ht="19.5" customHeight="1" x14ac:dyDescent="0.3">
      <c r="A196" s="22">
        <v>46045.609705219904</v>
      </c>
      <c r="B196" s="20">
        <v>18.8</v>
      </c>
      <c r="C196" s="20">
        <v>80</v>
      </c>
      <c r="D196" s="20">
        <v>75.64</v>
      </c>
      <c r="E196" s="20">
        <v>4.3600000000000003</v>
      </c>
      <c r="F196" s="20">
        <v>-7.0000000000000007E-2</v>
      </c>
      <c r="G196" s="26">
        <v>2550</v>
      </c>
      <c r="H196" s="20"/>
      <c r="I196" s="20"/>
      <c r="J196" s="20"/>
      <c r="K196" s="20"/>
    </row>
    <row r="197" spans="1:11" ht="19.5" customHeight="1" x14ac:dyDescent="0.3">
      <c r="A197" s="22">
        <v>46045.60970641204</v>
      </c>
      <c r="B197" s="20">
        <v>18.899999999999999</v>
      </c>
      <c r="C197" s="20">
        <v>80</v>
      </c>
      <c r="D197" s="26">
        <v>75.650000000000006</v>
      </c>
      <c r="E197" s="20">
        <v>4.3499999999999996</v>
      </c>
      <c r="F197" s="20">
        <v>-0.01</v>
      </c>
      <c r="G197" s="26">
        <v>2550</v>
      </c>
      <c r="H197" s="20"/>
      <c r="I197" s="20"/>
      <c r="J197" s="20"/>
      <c r="K197" s="20"/>
    </row>
    <row r="198" spans="1:11" ht="19.5" customHeight="1" x14ac:dyDescent="0.3">
      <c r="A198" s="22">
        <v>46045.609707523145</v>
      </c>
      <c r="B198" s="20">
        <v>19</v>
      </c>
      <c r="C198" s="20">
        <v>80</v>
      </c>
      <c r="D198" s="26">
        <v>75.739999999999995</v>
      </c>
      <c r="E198" s="20">
        <v>4.26</v>
      </c>
      <c r="F198" s="20">
        <v>-0.09</v>
      </c>
      <c r="G198" s="26">
        <v>2550</v>
      </c>
      <c r="H198" s="20"/>
      <c r="I198" s="20"/>
      <c r="J198" s="20"/>
      <c r="K198" s="20"/>
    </row>
    <row r="199" spans="1:11" ht="19.5" customHeight="1" x14ac:dyDescent="0.3">
      <c r="A199" s="22">
        <v>46045.609708680553</v>
      </c>
      <c r="B199" s="20">
        <v>19.100000000000001</v>
      </c>
      <c r="C199" s="20">
        <v>80</v>
      </c>
      <c r="D199" s="20">
        <v>75.83</v>
      </c>
      <c r="E199" s="20">
        <v>4.17</v>
      </c>
      <c r="F199" s="20">
        <v>-0.08</v>
      </c>
      <c r="G199" s="26">
        <v>2550</v>
      </c>
      <c r="H199" s="20"/>
      <c r="I199" s="20"/>
      <c r="J199" s="20"/>
      <c r="K199" s="20"/>
    </row>
    <row r="200" spans="1:11" ht="19.5" customHeight="1" x14ac:dyDescent="0.3">
      <c r="A200" s="22">
        <v>46045.609709837961</v>
      </c>
      <c r="B200" s="20">
        <v>19.2</v>
      </c>
      <c r="C200" s="20">
        <v>80</v>
      </c>
      <c r="D200" s="26">
        <v>75.88</v>
      </c>
      <c r="E200" s="20">
        <v>4.12</v>
      </c>
      <c r="F200" s="20">
        <v>-0.05</v>
      </c>
      <c r="G200" s="26">
        <v>2550</v>
      </c>
      <c r="H200" s="20"/>
      <c r="I200" s="20"/>
      <c r="J200" s="20"/>
      <c r="K200" s="20"/>
    </row>
    <row r="201" spans="1:11" ht="19.5" customHeight="1" x14ac:dyDescent="0.3">
      <c r="A201" s="22">
        <v>46045.609711018522</v>
      </c>
      <c r="B201" s="20">
        <v>19.3</v>
      </c>
      <c r="C201" s="20">
        <v>80</v>
      </c>
      <c r="D201" s="20">
        <v>75.92</v>
      </c>
      <c r="E201" s="20">
        <v>4.08</v>
      </c>
      <c r="F201" s="20">
        <v>-0.05</v>
      </c>
      <c r="G201" s="26">
        <v>2550</v>
      </c>
      <c r="H201" s="20"/>
      <c r="I201" s="20"/>
      <c r="J201" s="20"/>
      <c r="K201" s="20"/>
    </row>
    <row r="202" spans="1:11" ht="19.5" customHeight="1" x14ac:dyDescent="0.3">
      <c r="A202" s="22">
        <v>46045.609712152778</v>
      </c>
      <c r="B202" s="20">
        <v>19.399999999999999</v>
      </c>
      <c r="C202" s="20">
        <v>80</v>
      </c>
      <c r="D202" s="26">
        <v>75.97</v>
      </c>
      <c r="E202" s="20">
        <v>4.03</v>
      </c>
      <c r="F202" s="20">
        <v>-0.04</v>
      </c>
      <c r="G202" s="26">
        <v>2550</v>
      </c>
      <c r="H202" s="20"/>
      <c r="I202" s="20"/>
      <c r="J202" s="20"/>
      <c r="K202" s="20"/>
    </row>
    <row r="203" spans="1:11" ht="19.5" customHeight="1" x14ac:dyDescent="0.3">
      <c r="A203" s="22">
        <v>46045.609713321763</v>
      </c>
      <c r="B203" s="20">
        <v>19.5</v>
      </c>
      <c r="C203" s="20">
        <v>80</v>
      </c>
      <c r="D203" s="26">
        <v>76.040000000000006</v>
      </c>
      <c r="E203" s="20">
        <v>3.96</v>
      </c>
      <c r="F203" s="20">
        <v>-7.0000000000000007E-2</v>
      </c>
      <c r="G203" s="26">
        <v>2550</v>
      </c>
      <c r="H203" s="20"/>
      <c r="I203" s="20"/>
      <c r="J203" s="20"/>
      <c r="K203" s="20"/>
    </row>
    <row r="204" spans="1:11" ht="19.5" customHeight="1" x14ac:dyDescent="0.3">
      <c r="A204" s="22">
        <v>46045.609714467595</v>
      </c>
      <c r="B204" s="20">
        <v>19.600000000000001</v>
      </c>
      <c r="C204" s="20">
        <v>80</v>
      </c>
      <c r="D204" s="20">
        <v>76.14</v>
      </c>
      <c r="E204" s="20">
        <v>3.86</v>
      </c>
      <c r="F204" s="20">
        <v>-0.1</v>
      </c>
      <c r="G204" s="26">
        <v>2550</v>
      </c>
      <c r="H204" s="20"/>
      <c r="I204" s="20"/>
      <c r="J204" s="20"/>
      <c r="K204" s="20"/>
    </row>
    <row r="205" spans="1:11" ht="19.5" customHeight="1" x14ac:dyDescent="0.3">
      <c r="A205" s="22">
        <v>46045.609715625003</v>
      </c>
      <c r="B205" s="20">
        <v>19.7</v>
      </c>
      <c r="C205" s="20">
        <v>80</v>
      </c>
      <c r="D205" s="26">
        <v>76.17</v>
      </c>
      <c r="E205" s="20">
        <v>3.83</v>
      </c>
      <c r="F205" s="20">
        <v>-0.03</v>
      </c>
      <c r="G205" s="26">
        <v>2550</v>
      </c>
      <c r="H205" s="20"/>
      <c r="I205" s="20"/>
      <c r="J205" s="20"/>
      <c r="K205" s="20"/>
    </row>
    <row r="206" spans="1:11" ht="19.5" customHeight="1" x14ac:dyDescent="0.3">
      <c r="A206" s="22">
        <v>46045.609716782405</v>
      </c>
      <c r="B206" s="20">
        <v>19.8</v>
      </c>
      <c r="C206" s="20">
        <v>80</v>
      </c>
      <c r="D206" s="26">
        <v>76.23</v>
      </c>
      <c r="E206" s="20">
        <v>3.77</v>
      </c>
      <c r="F206" s="20">
        <v>-0.06</v>
      </c>
      <c r="G206" s="26">
        <v>2550</v>
      </c>
      <c r="H206" s="20"/>
      <c r="I206" s="20"/>
      <c r="J206" s="20"/>
      <c r="K206" s="20"/>
    </row>
    <row r="207" spans="1:11" ht="19.5" customHeight="1" x14ac:dyDescent="0.3">
      <c r="A207" s="22">
        <v>46045.609717951389</v>
      </c>
      <c r="B207" s="20">
        <v>19.899999999999999</v>
      </c>
      <c r="C207" s="20">
        <v>80</v>
      </c>
      <c r="D207" s="20">
        <v>76.31</v>
      </c>
      <c r="E207" s="20">
        <v>3.69</v>
      </c>
      <c r="F207" s="20">
        <v>-0.08</v>
      </c>
      <c r="G207" s="20">
        <v>2550</v>
      </c>
      <c r="H207" s="20"/>
      <c r="I207" s="20"/>
      <c r="J207" s="20"/>
      <c r="K207" s="20"/>
    </row>
    <row r="208" spans="1:11" ht="19.5" customHeight="1" x14ac:dyDescent="0.3">
      <c r="A208" s="22">
        <v>46045.609719097221</v>
      </c>
      <c r="B208" s="20">
        <v>20</v>
      </c>
      <c r="C208" s="20">
        <v>80</v>
      </c>
      <c r="D208" s="26">
        <v>76.39</v>
      </c>
      <c r="E208" s="20">
        <v>3.61</v>
      </c>
      <c r="F208" s="20">
        <v>-0.08</v>
      </c>
      <c r="G208" s="26">
        <v>2550</v>
      </c>
      <c r="H208" s="20"/>
      <c r="I208" s="20"/>
      <c r="J208" s="20"/>
      <c r="K208" s="20"/>
    </row>
    <row r="209" spans="1:11" ht="19.5" customHeight="1" x14ac:dyDescent="0.3">
      <c r="A209" s="22">
        <v>46045.60972025463</v>
      </c>
      <c r="B209" s="20">
        <v>20.100000000000001</v>
      </c>
      <c r="C209" s="20">
        <v>80</v>
      </c>
      <c r="D209" s="20">
        <v>76.44</v>
      </c>
      <c r="E209" s="20">
        <v>3.56</v>
      </c>
      <c r="F209" s="20">
        <v>-0.05</v>
      </c>
      <c r="G209" s="26">
        <v>2550</v>
      </c>
      <c r="H209" s="20"/>
      <c r="I209" s="20"/>
      <c r="J209" s="20"/>
      <c r="K209" s="20"/>
    </row>
    <row r="210" spans="1:11" ht="19.5" customHeight="1" x14ac:dyDescent="0.3">
      <c r="A210" s="22">
        <v>46045.609721412038</v>
      </c>
      <c r="B210" s="20">
        <v>20.2</v>
      </c>
      <c r="C210" s="20">
        <v>80</v>
      </c>
      <c r="D210" s="26">
        <v>76.5</v>
      </c>
      <c r="E210" s="20">
        <v>3.5</v>
      </c>
      <c r="F210" s="20">
        <v>-0.06</v>
      </c>
      <c r="G210" s="26">
        <v>2550</v>
      </c>
      <c r="H210" s="20"/>
      <c r="I210" s="20"/>
      <c r="J210" s="20"/>
      <c r="K210" s="20"/>
    </row>
    <row r="211" spans="1:11" ht="19.5" customHeight="1" x14ac:dyDescent="0.3">
      <c r="A211" s="22">
        <v>46045.609722569447</v>
      </c>
      <c r="B211" s="20">
        <v>20.3</v>
      </c>
      <c r="C211" s="20">
        <v>80</v>
      </c>
      <c r="D211" s="26">
        <v>76.52</v>
      </c>
      <c r="E211" s="20">
        <v>3.48</v>
      </c>
      <c r="F211" s="20">
        <v>-0.02</v>
      </c>
      <c r="G211" s="26">
        <v>2550</v>
      </c>
      <c r="H211" s="20"/>
      <c r="I211" s="20"/>
      <c r="J211" s="20"/>
      <c r="K211" s="20"/>
    </row>
    <row r="212" spans="1:11" ht="19.5" customHeight="1" x14ac:dyDescent="0.3">
      <c r="A212" s="22">
        <v>46045.609723738424</v>
      </c>
      <c r="B212" s="20">
        <v>20.399999999999999</v>
      </c>
      <c r="C212" s="20">
        <v>80</v>
      </c>
      <c r="D212" s="20">
        <v>76.56</v>
      </c>
      <c r="E212" s="20">
        <v>3.44</v>
      </c>
      <c r="F212" s="20">
        <v>-0.04</v>
      </c>
      <c r="G212" s="20">
        <v>2550</v>
      </c>
      <c r="H212" s="20"/>
      <c r="I212" s="20"/>
      <c r="J212" s="20"/>
      <c r="K212" s="20"/>
    </row>
    <row r="213" spans="1:11" ht="19.5" customHeight="1" x14ac:dyDescent="0.3">
      <c r="A213" s="22">
        <v>46045.609724895832</v>
      </c>
      <c r="B213" s="20">
        <v>20.5</v>
      </c>
      <c r="C213" s="20">
        <v>80</v>
      </c>
      <c r="D213" s="26">
        <v>76.650000000000006</v>
      </c>
      <c r="E213" s="20">
        <v>3.35</v>
      </c>
      <c r="F213" s="20">
        <v>-0.08</v>
      </c>
      <c r="G213" s="26">
        <v>2550</v>
      </c>
      <c r="H213" s="20"/>
      <c r="I213" s="20"/>
      <c r="J213" s="20"/>
      <c r="K213" s="20"/>
    </row>
    <row r="214" spans="1:11" ht="19.5" customHeight="1" x14ac:dyDescent="0.3">
      <c r="A214" s="22">
        <v>46045.609726053241</v>
      </c>
      <c r="B214" s="20">
        <v>20.6</v>
      </c>
      <c r="C214" s="20">
        <v>80</v>
      </c>
      <c r="D214" s="20">
        <v>76.709999999999994</v>
      </c>
      <c r="E214" s="20">
        <v>3.29</v>
      </c>
      <c r="F214" s="20">
        <v>-0.06</v>
      </c>
      <c r="G214" s="20">
        <v>2550</v>
      </c>
      <c r="H214" s="20"/>
      <c r="I214" s="20"/>
      <c r="J214" s="20"/>
      <c r="K214" s="20"/>
    </row>
    <row r="215" spans="1:11" ht="19.5" customHeight="1" x14ac:dyDescent="0.3">
      <c r="A215" s="22">
        <v>46045.609727199073</v>
      </c>
      <c r="B215" s="20">
        <v>20.7</v>
      </c>
      <c r="C215" s="20">
        <v>80</v>
      </c>
      <c r="D215" s="26">
        <v>76.77</v>
      </c>
      <c r="E215" s="20">
        <v>3.23</v>
      </c>
      <c r="F215" s="20">
        <v>-0.06</v>
      </c>
      <c r="G215" s="26">
        <v>2550</v>
      </c>
      <c r="H215" s="20"/>
      <c r="I215" s="20"/>
      <c r="J215" s="20"/>
      <c r="K215" s="20"/>
    </row>
    <row r="216" spans="1:11" ht="19.5" customHeight="1" x14ac:dyDescent="0.3">
      <c r="A216" s="22">
        <v>46045.609728368057</v>
      </c>
      <c r="B216" s="20">
        <v>20.8</v>
      </c>
      <c r="C216" s="20">
        <v>80</v>
      </c>
      <c r="D216" s="26">
        <v>76.86</v>
      </c>
      <c r="E216" s="20">
        <v>3.14</v>
      </c>
      <c r="F216" s="20">
        <v>-0.1</v>
      </c>
      <c r="G216" s="26">
        <v>2550</v>
      </c>
      <c r="H216" s="20"/>
      <c r="I216" s="20"/>
      <c r="J216" s="20"/>
      <c r="K216" s="20"/>
    </row>
    <row r="217" spans="1:11" ht="19.5" customHeight="1" x14ac:dyDescent="0.3">
      <c r="A217" s="22">
        <v>46045.60972951389</v>
      </c>
      <c r="B217" s="20">
        <v>20.9</v>
      </c>
      <c r="C217" s="20">
        <v>80</v>
      </c>
      <c r="D217" s="20">
        <v>76.930000000000007</v>
      </c>
      <c r="E217" s="20">
        <v>3.07</v>
      </c>
      <c r="F217" s="20">
        <v>-0.06</v>
      </c>
      <c r="G217" s="20">
        <v>2550</v>
      </c>
      <c r="H217" s="20"/>
      <c r="I217" s="20"/>
      <c r="J217" s="20"/>
      <c r="K217" s="20"/>
    </row>
    <row r="218" spans="1:11" ht="19.5" customHeight="1" x14ac:dyDescent="0.3">
      <c r="A218" s="22">
        <v>46045.609730694443</v>
      </c>
      <c r="B218" s="20">
        <v>21</v>
      </c>
      <c r="C218" s="20">
        <v>80</v>
      </c>
      <c r="D218" s="26">
        <v>76.97</v>
      </c>
      <c r="E218" s="20">
        <v>3.03</v>
      </c>
      <c r="F218" s="20">
        <v>-0.04</v>
      </c>
      <c r="G218" s="26">
        <v>2550</v>
      </c>
      <c r="H218" s="20"/>
      <c r="I218" s="20"/>
      <c r="J218" s="20"/>
      <c r="K218" s="20"/>
    </row>
    <row r="219" spans="1:11" ht="19.5" customHeight="1" x14ac:dyDescent="0.3">
      <c r="A219" s="22">
        <v>46045.609731828707</v>
      </c>
      <c r="B219" s="20">
        <v>21.1</v>
      </c>
      <c r="C219" s="20">
        <v>80</v>
      </c>
      <c r="D219" s="26">
        <v>77.05</v>
      </c>
      <c r="E219" s="20">
        <v>2.95</v>
      </c>
      <c r="F219" s="20">
        <v>-0.08</v>
      </c>
      <c r="G219" s="20">
        <v>2608.7399999999998</v>
      </c>
      <c r="H219" s="20"/>
      <c r="I219" s="20"/>
      <c r="J219" s="20"/>
      <c r="K219" s="20"/>
    </row>
    <row r="220" spans="1:11" ht="19.5" customHeight="1" x14ac:dyDescent="0.3">
      <c r="A220" s="22">
        <v>46045.609732986108</v>
      </c>
      <c r="B220" s="20">
        <v>21.2</v>
      </c>
      <c r="C220" s="20">
        <v>80</v>
      </c>
      <c r="D220" s="20">
        <v>77.09</v>
      </c>
      <c r="E220" s="20">
        <v>2.91</v>
      </c>
      <c r="F220" s="20">
        <v>-0.04</v>
      </c>
      <c r="G220" s="26">
        <v>2638.38</v>
      </c>
      <c r="H220" s="20"/>
      <c r="I220" s="20"/>
      <c r="J220" s="20"/>
      <c r="K220" s="20"/>
    </row>
    <row r="221" spans="1:11" ht="19.5" customHeight="1" x14ac:dyDescent="0.3">
      <c r="A221" s="22">
        <v>46045.609734143516</v>
      </c>
      <c r="B221" s="20">
        <v>21.3</v>
      </c>
      <c r="C221" s="20">
        <v>80</v>
      </c>
      <c r="D221" s="26">
        <v>77.12</v>
      </c>
      <c r="E221" s="20">
        <v>2.88</v>
      </c>
      <c r="F221" s="20">
        <v>-0.03</v>
      </c>
      <c r="G221" s="26">
        <v>2613.34</v>
      </c>
      <c r="H221" s="20"/>
      <c r="I221" s="20"/>
      <c r="J221" s="20"/>
      <c r="K221" s="20"/>
    </row>
    <row r="222" spans="1:11" ht="19.5" customHeight="1" x14ac:dyDescent="0.3">
      <c r="A222" s="22">
        <v>46045.609735312501</v>
      </c>
      <c r="B222" s="20">
        <v>21.4</v>
      </c>
      <c r="C222" s="20">
        <v>80</v>
      </c>
      <c r="D222" s="20">
        <v>77.16</v>
      </c>
      <c r="E222" s="20">
        <v>2.84</v>
      </c>
      <c r="F222" s="20">
        <v>-0.05</v>
      </c>
      <c r="G222" s="26">
        <v>2654.99</v>
      </c>
      <c r="H222" s="20"/>
      <c r="I222" s="20"/>
      <c r="J222" s="20"/>
      <c r="K222" s="20"/>
    </row>
    <row r="223" spans="1:11" ht="19.5" customHeight="1" x14ac:dyDescent="0.3">
      <c r="A223" s="22">
        <v>46045.609736469909</v>
      </c>
      <c r="B223" s="20">
        <v>21.5</v>
      </c>
      <c r="C223" s="20">
        <v>80</v>
      </c>
      <c r="D223" s="26">
        <v>77.27</v>
      </c>
      <c r="E223" s="20">
        <v>2.73</v>
      </c>
      <c r="F223" s="20">
        <v>-0.1</v>
      </c>
      <c r="G223" s="26">
        <v>2760.05</v>
      </c>
      <c r="H223" s="20"/>
      <c r="I223" s="20"/>
      <c r="J223" s="20"/>
      <c r="K223" s="20"/>
    </row>
    <row r="224" spans="1:11" ht="19.5" customHeight="1" x14ac:dyDescent="0.3">
      <c r="A224" s="22">
        <v>46045.609737627317</v>
      </c>
      <c r="B224" s="20">
        <v>21.6</v>
      </c>
      <c r="C224" s="20">
        <v>80</v>
      </c>
      <c r="D224" s="26">
        <v>77.36</v>
      </c>
      <c r="E224" s="20">
        <v>2.64</v>
      </c>
      <c r="F224" s="20">
        <v>-0.09</v>
      </c>
      <c r="G224" s="26">
        <v>2735.2</v>
      </c>
      <c r="H224" s="20"/>
      <c r="I224" s="20"/>
      <c r="J224" s="20"/>
      <c r="K224" s="20"/>
    </row>
    <row r="225" spans="1:11" ht="19.5" customHeight="1" x14ac:dyDescent="0.3">
      <c r="A225" s="22">
        <v>46045.60973877315</v>
      </c>
      <c r="B225" s="20">
        <v>21.7</v>
      </c>
      <c r="C225" s="20">
        <v>80</v>
      </c>
      <c r="D225" s="20">
        <v>77.36</v>
      </c>
      <c r="E225" s="20">
        <v>2.64</v>
      </c>
      <c r="F225" s="20">
        <v>0</v>
      </c>
      <c r="G225" s="26">
        <v>2560.0300000000002</v>
      </c>
      <c r="H225" s="20"/>
      <c r="I225" s="20"/>
      <c r="J225" s="20"/>
      <c r="K225" s="20"/>
    </row>
    <row r="226" spans="1:11" ht="19.5" customHeight="1" x14ac:dyDescent="0.3">
      <c r="A226" s="22">
        <v>46045.609739953703</v>
      </c>
      <c r="B226" s="20">
        <v>21.8</v>
      </c>
      <c r="C226" s="20">
        <v>80</v>
      </c>
      <c r="D226" s="26">
        <v>77.430000000000007</v>
      </c>
      <c r="E226" s="20">
        <v>2.57</v>
      </c>
      <c r="F226" s="20">
        <v>-7.0000000000000007E-2</v>
      </c>
      <c r="G226" s="26">
        <v>2710.29</v>
      </c>
      <c r="H226" s="20"/>
      <c r="I226" s="20"/>
      <c r="J226" s="20"/>
      <c r="K226" s="20"/>
    </row>
    <row r="227" spans="1:11" ht="19.5" customHeight="1" x14ac:dyDescent="0.3">
      <c r="A227" s="22">
        <v>46045.609741099535</v>
      </c>
      <c r="B227" s="20">
        <v>21.9</v>
      </c>
      <c r="C227" s="20">
        <v>80</v>
      </c>
      <c r="D227" s="20">
        <v>77.48</v>
      </c>
      <c r="E227" s="20">
        <v>2.52</v>
      </c>
      <c r="F227" s="20">
        <v>-0.05</v>
      </c>
      <c r="G227" s="26">
        <v>2664.49</v>
      </c>
      <c r="H227" s="20"/>
      <c r="I227" s="20"/>
      <c r="J227" s="20"/>
      <c r="K227" s="20"/>
    </row>
    <row r="228" spans="1:11" ht="19.5" customHeight="1" x14ac:dyDescent="0.3">
      <c r="A228" s="22">
        <v>46045.609742245368</v>
      </c>
      <c r="B228" s="20">
        <v>22</v>
      </c>
      <c r="C228" s="20">
        <v>80</v>
      </c>
      <c r="D228" s="26">
        <v>77.59</v>
      </c>
      <c r="E228" s="20">
        <v>2.41</v>
      </c>
      <c r="F228" s="20">
        <v>-0.1</v>
      </c>
      <c r="G228" s="26">
        <v>2781.16</v>
      </c>
      <c r="H228" s="20"/>
      <c r="I228" s="20"/>
      <c r="J228" s="20"/>
      <c r="K228" s="20"/>
    </row>
    <row r="229" spans="1:11" ht="19.5" customHeight="1" x14ac:dyDescent="0.3">
      <c r="A229" s="22">
        <v>46045.609743414352</v>
      </c>
      <c r="B229" s="20">
        <v>22.1</v>
      </c>
      <c r="C229" s="20">
        <v>80</v>
      </c>
      <c r="D229" s="26">
        <v>77.58</v>
      </c>
      <c r="E229" s="20">
        <v>2.42</v>
      </c>
      <c r="F229" s="20">
        <v>0</v>
      </c>
      <c r="G229" s="26">
        <v>2561.15</v>
      </c>
      <c r="H229" s="20"/>
      <c r="I229" s="20"/>
      <c r="J229" s="20"/>
      <c r="K229" s="20"/>
    </row>
    <row r="230" spans="1:11" ht="19.5" customHeight="1" x14ac:dyDescent="0.3">
      <c r="A230" s="22">
        <v>46045.609744560184</v>
      </c>
      <c r="B230" s="20">
        <v>22.2</v>
      </c>
      <c r="C230" s="20">
        <v>80</v>
      </c>
      <c r="D230" s="20">
        <v>77.680000000000007</v>
      </c>
      <c r="E230" s="20">
        <v>2.3199999999999998</v>
      </c>
      <c r="F230" s="20">
        <v>-0.1</v>
      </c>
      <c r="G230" s="26">
        <v>2786.01</v>
      </c>
      <c r="H230" s="20"/>
      <c r="I230" s="20"/>
      <c r="J230" s="20"/>
      <c r="K230" s="20"/>
    </row>
    <row r="231" spans="1:11" ht="19.5" customHeight="1" x14ac:dyDescent="0.3">
      <c r="A231" s="22">
        <v>46045.609745717593</v>
      </c>
      <c r="B231" s="20">
        <v>22.3</v>
      </c>
      <c r="C231" s="20">
        <v>80</v>
      </c>
      <c r="D231" s="26">
        <v>77.73</v>
      </c>
      <c r="E231" s="20">
        <v>2.27</v>
      </c>
      <c r="F231" s="20">
        <v>-0.05</v>
      </c>
      <c r="G231" s="26">
        <v>2682.26</v>
      </c>
      <c r="H231" s="20"/>
      <c r="I231" s="20"/>
      <c r="J231" s="20"/>
      <c r="K231" s="20"/>
    </row>
    <row r="232" spans="1:11" ht="19.5" customHeight="1" x14ac:dyDescent="0.3">
      <c r="A232" s="22">
        <v>46045.609746886577</v>
      </c>
      <c r="B232" s="20">
        <v>22.4</v>
      </c>
      <c r="C232" s="20">
        <v>80</v>
      </c>
      <c r="D232" s="26">
        <v>77.8</v>
      </c>
      <c r="E232" s="20">
        <v>2.2000000000000002</v>
      </c>
      <c r="F232" s="20">
        <v>-7.0000000000000007E-2</v>
      </c>
      <c r="G232" s="20">
        <v>2724.18</v>
      </c>
      <c r="H232" s="20"/>
      <c r="I232" s="20"/>
      <c r="J232" s="20"/>
      <c r="K232" s="20"/>
    </row>
    <row r="233" spans="1:11" ht="19.5" customHeight="1" x14ac:dyDescent="0.3">
      <c r="A233" s="22">
        <v>46045.60974803241</v>
      </c>
      <c r="B233" s="20">
        <v>22.5</v>
      </c>
      <c r="C233" s="20">
        <v>80</v>
      </c>
      <c r="D233" s="20">
        <v>77.88</v>
      </c>
      <c r="E233" s="20">
        <v>2.12</v>
      </c>
      <c r="F233" s="20">
        <v>-0.08</v>
      </c>
      <c r="G233" s="26">
        <v>2732.47</v>
      </c>
      <c r="H233" s="20"/>
      <c r="I233" s="20"/>
      <c r="J233" s="20"/>
      <c r="K233" s="20"/>
    </row>
    <row r="234" spans="1:11" ht="19.5" customHeight="1" x14ac:dyDescent="0.3">
      <c r="A234" s="22">
        <v>46045.609749189818</v>
      </c>
      <c r="B234" s="20">
        <v>22.6</v>
      </c>
      <c r="C234" s="20">
        <v>80</v>
      </c>
      <c r="D234" s="26">
        <v>77.959999999999994</v>
      </c>
      <c r="E234" s="20">
        <v>2.04</v>
      </c>
      <c r="F234" s="20">
        <v>-0.08</v>
      </c>
      <c r="G234" s="26">
        <v>2732.9</v>
      </c>
      <c r="H234" s="20"/>
      <c r="I234" s="20"/>
      <c r="J234" s="20"/>
      <c r="K234" s="20"/>
    </row>
    <row r="235" spans="1:11" ht="19.5" customHeight="1" x14ac:dyDescent="0.3">
      <c r="A235" s="22">
        <v>46045.609750358795</v>
      </c>
      <c r="B235" s="20">
        <v>22.7</v>
      </c>
      <c r="C235" s="20">
        <v>80</v>
      </c>
      <c r="D235" s="20">
        <v>78.02</v>
      </c>
      <c r="E235" s="20">
        <v>1.98</v>
      </c>
      <c r="F235" s="20">
        <v>-0.06</v>
      </c>
      <c r="G235" s="26">
        <v>2689.41</v>
      </c>
      <c r="H235" s="20"/>
      <c r="I235" s="20"/>
      <c r="J235" s="20"/>
      <c r="K235" s="20"/>
    </row>
    <row r="236" spans="1:11" ht="19.5" customHeight="1" x14ac:dyDescent="0.3">
      <c r="A236" s="22">
        <v>46045.609751516204</v>
      </c>
      <c r="B236" s="20">
        <v>22.8</v>
      </c>
      <c r="C236" s="20">
        <v>80</v>
      </c>
      <c r="D236" s="26">
        <v>78.05</v>
      </c>
      <c r="E236" s="20">
        <v>1.95</v>
      </c>
      <c r="F236" s="20">
        <v>-0.03</v>
      </c>
      <c r="G236" s="26">
        <v>2618.9299999999998</v>
      </c>
      <c r="H236" s="20"/>
      <c r="I236" s="20"/>
      <c r="J236" s="20"/>
      <c r="K236" s="20"/>
    </row>
    <row r="237" spans="1:11" ht="19.5" customHeight="1" x14ac:dyDescent="0.3">
      <c r="A237" s="22">
        <v>46045.609752685188</v>
      </c>
      <c r="B237" s="20">
        <v>22.9</v>
      </c>
      <c r="C237" s="20">
        <v>80</v>
      </c>
      <c r="D237" s="26">
        <v>78.17</v>
      </c>
      <c r="E237" s="20">
        <v>1.83</v>
      </c>
      <c r="F237" s="20">
        <v>-0.12</v>
      </c>
      <c r="G237" s="20">
        <v>2794.95</v>
      </c>
      <c r="H237" s="20"/>
      <c r="I237" s="20"/>
      <c r="J237" s="20"/>
      <c r="K237" s="20"/>
    </row>
    <row r="238" spans="1:11" ht="19.5" customHeight="1" x14ac:dyDescent="0.3">
      <c r="A238" s="22">
        <v>46045.609753819444</v>
      </c>
      <c r="B238" s="20">
        <v>23</v>
      </c>
      <c r="C238" s="20">
        <v>80</v>
      </c>
      <c r="D238" s="20">
        <v>78.22</v>
      </c>
      <c r="E238" s="20">
        <v>1.78</v>
      </c>
      <c r="F238" s="20">
        <v>-0.05</v>
      </c>
      <c r="G238" s="26">
        <v>2665.07</v>
      </c>
      <c r="H238" s="20"/>
      <c r="I238" s="20"/>
      <c r="J238" s="20"/>
      <c r="K238" s="20"/>
    </row>
    <row r="239" spans="1:11" ht="19.5" customHeight="1" x14ac:dyDescent="0.3">
      <c r="A239" s="22">
        <v>46045.609754988429</v>
      </c>
      <c r="B239" s="20">
        <v>23.1</v>
      </c>
      <c r="C239" s="20">
        <v>80</v>
      </c>
      <c r="D239" s="26">
        <v>78.28</v>
      </c>
      <c r="E239" s="20">
        <v>1.72</v>
      </c>
      <c r="F239" s="20">
        <v>-0.06</v>
      </c>
      <c r="G239" s="26">
        <v>2679.16</v>
      </c>
      <c r="H239" s="20"/>
      <c r="I239" s="20"/>
      <c r="J239" s="20"/>
      <c r="K239" s="20"/>
    </row>
    <row r="240" spans="1:11" ht="19.5" customHeight="1" x14ac:dyDescent="0.3">
      <c r="A240" s="22">
        <v>46045.609756157406</v>
      </c>
      <c r="B240" s="20">
        <v>23.2</v>
      </c>
      <c r="C240" s="20">
        <v>80</v>
      </c>
      <c r="D240" s="26">
        <v>78.33</v>
      </c>
      <c r="E240" s="20">
        <v>1.67</v>
      </c>
      <c r="F240" s="20">
        <v>-0.04</v>
      </c>
      <c r="G240" s="20">
        <v>2638.95</v>
      </c>
      <c r="H240" s="20"/>
      <c r="I240" s="20"/>
      <c r="J240" s="20"/>
      <c r="K240" s="20"/>
    </row>
    <row r="241" spans="1:11" ht="19.5" customHeight="1" x14ac:dyDescent="0.3">
      <c r="A241" s="22">
        <v>46045.60975729167</v>
      </c>
      <c r="B241" s="20">
        <v>23.3</v>
      </c>
      <c r="C241" s="20">
        <v>80</v>
      </c>
      <c r="D241" s="20">
        <v>78.45</v>
      </c>
      <c r="E241" s="20">
        <v>1.55</v>
      </c>
      <c r="F241" s="20">
        <v>-0.12</v>
      </c>
      <c r="G241" s="26">
        <v>2788.04</v>
      </c>
      <c r="H241" s="20"/>
      <c r="I241" s="20"/>
      <c r="J241" s="20"/>
      <c r="K241" s="20"/>
    </row>
    <row r="242" spans="1:11" ht="19.5" customHeight="1" x14ac:dyDescent="0.3">
      <c r="A242" s="22">
        <v>46045.609758483799</v>
      </c>
      <c r="B242" s="20">
        <v>23.4</v>
      </c>
      <c r="C242" s="20">
        <v>80</v>
      </c>
      <c r="D242" s="26">
        <v>78.459999999999994</v>
      </c>
      <c r="E242" s="20">
        <v>1.54</v>
      </c>
      <c r="F242" s="20">
        <v>-0.01</v>
      </c>
      <c r="G242" s="20">
        <v>2577.9</v>
      </c>
      <c r="H242" s="20"/>
      <c r="I242" s="20"/>
      <c r="J242" s="20"/>
      <c r="K242" s="20"/>
    </row>
    <row r="243" spans="1:11" ht="19.5" customHeight="1" x14ac:dyDescent="0.3">
      <c r="A243" s="22">
        <v>46045.609759629631</v>
      </c>
      <c r="B243" s="20">
        <v>23.5</v>
      </c>
      <c r="C243" s="20">
        <v>80</v>
      </c>
      <c r="D243" s="26">
        <v>78.510000000000005</v>
      </c>
      <c r="E243" s="20">
        <v>1.49</v>
      </c>
      <c r="F243" s="20">
        <v>-0.05</v>
      </c>
      <c r="G243" s="26">
        <v>2662.73</v>
      </c>
      <c r="H243" s="20"/>
      <c r="I243" s="20"/>
      <c r="J243" s="20"/>
      <c r="K243" s="20"/>
    </row>
    <row r="244" spans="1:11" ht="19.5" customHeight="1" x14ac:dyDescent="0.3">
      <c r="A244" s="22">
        <v>46045.609760775464</v>
      </c>
      <c r="B244" s="20">
        <v>23.6</v>
      </c>
      <c r="C244" s="20">
        <v>80</v>
      </c>
      <c r="D244" s="20">
        <v>78.63</v>
      </c>
      <c r="E244" s="20">
        <v>1.37</v>
      </c>
      <c r="F244" s="20">
        <v>-0.12</v>
      </c>
      <c r="G244" s="26">
        <v>2781.14</v>
      </c>
      <c r="H244" s="20"/>
      <c r="I244" s="20"/>
      <c r="J244" s="20"/>
      <c r="K244" s="20"/>
    </row>
    <row r="245" spans="1:11" ht="19.5" customHeight="1" x14ac:dyDescent="0.3">
      <c r="A245" s="22">
        <v>46045.609761932872</v>
      </c>
      <c r="B245" s="20">
        <v>23.7</v>
      </c>
      <c r="C245" s="20">
        <v>80</v>
      </c>
      <c r="D245" s="26">
        <v>78.680000000000007</v>
      </c>
      <c r="E245" s="20">
        <v>1.32</v>
      </c>
      <c r="F245" s="20">
        <v>-0.05</v>
      </c>
      <c r="G245" s="26">
        <v>2655.09</v>
      </c>
      <c r="H245" s="20"/>
      <c r="I245" s="20"/>
      <c r="J245" s="20"/>
      <c r="K245" s="20"/>
    </row>
    <row r="246" spans="1:11" ht="19.5" customHeight="1" x14ac:dyDescent="0.3">
      <c r="A246" s="22">
        <v>46045.609763101849</v>
      </c>
      <c r="B246" s="20">
        <v>23.8</v>
      </c>
      <c r="C246" s="20">
        <v>80</v>
      </c>
      <c r="D246" s="26">
        <v>78.739999999999995</v>
      </c>
      <c r="E246" s="20">
        <v>1.26</v>
      </c>
      <c r="F246" s="20">
        <v>-7.0000000000000007E-2</v>
      </c>
      <c r="G246" s="26">
        <v>2694.89</v>
      </c>
      <c r="H246" s="20"/>
      <c r="I246" s="20"/>
      <c r="J246" s="20"/>
      <c r="K246" s="20"/>
    </row>
    <row r="247" spans="1:11" ht="19.5" customHeight="1" x14ac:dyDescent="0.3">
      <c r="A247" s="22">
        <v>46045.60976428241</v>
      </c>
      <c r="B247" s="20">
        <v>23.9</v>
      </c>
      <c r="C247" s="20">
        <v>80</v>
      </c>
      <c r="D247" s="20">
        <v>78.81</v>
      </c>
      <c r="E247" s="20">
        <v>1.19</v>
      </c>
      <c r="F247" s="20">
        <v>-0.06</v>
      </c>
      <c r="G247" s="26">
        <v>2689.4</v>
      </c>
      <c r="H247" s="20"/>
      <c r="I247" s="20"/>
      <c r="J247" s="20"/>
      <c r="K247" s="20"/>
    </row>
    <row r="248" spans="1:11" ht="19.5" customHeight="1" x14ac:dyDescent="0.3">
      <c r="A248" s="22">
        <v>46045.60976540509</v>
      </c>
      <c r="B248" s="20">
        <v>24</v>
      </c>
      <c r="C248" s="20">
        <v>80</v>
      </c>
      <c r="D248" s="26">
        <v>78.849999999999994</v>
      </c>
      <c r="E248" s="20">
        <v>1.1499999999999999</v>
      </c>
      <c r="F248" s="20">
        <v>-0.04</v>
      </c>
      <c r="G248" s="20">
        <v>2650.96</v>
      </c>
      <c r="H248" s="20"/>
      <c r="I248" s="20"/>
      <c r="J248" s="20"/>
      <c r="K248" s="20"/>
    </row>
    <row r="249" spans="1:11" ht="19.5" customHeight="1" x14ac:dyDescent="0.3">
      <c r="A249" s="22">
        <v>46045.609766562498</v>
      </c>
      <c r="B249" s="20">
        <v>24.1</v>
      </c>
      <c r="C249" s="20">
        <v>80</v>
      </c>
      <c r="D249" s="26">
        <v>78.989999999999995</v>
      </c>
      <c r="E249" s="20">
        <v>1.01</v>
      </c>
      <c r="F249" s="20">
        <v>-0.14000000000000001</v>
      </c>
      <c r="G249" s="26">
        <v>2822.44</v>
      </c>
      <c r="H249" s="20"/>
      <c r="I249" s="20"/>
      <c r="J249" s="20"/>
      <c r="K249" s="20"/>
    </row>
    <row r="250" spans="1:11" ht="19.5" customHeight="1" x14ac:dyDescent="0.3">
      <c r="A250" s="22">
        <v>46045.609767719907</v>
      </c>
      <c r="B250" s="20">
        <v>24.2</v>
      </c>
      <c r="C250" s="20">
        <v>80</v>
      </c>
      <c r="D250" s="20">
        <v>78.98</v>
      </c>
      <c r="E250" s="20">
        <v>1.02</v>
      </c>
      <c r="F250" s="20">
        <v>0.01</v>
      </c>
      <c r="G250" s="26">
        <v>2570.86</v>
      </c>
      <c r="H250" s="20"/>
      <c r="I250" s="20"/>
      <c r="J250" s="20"/>
      <c r="K250" s="20"/>
    </row>
    <row r="251" spans="1:11" ht="19.5" customHeight="1" x14ac:dyDescent="0.3">
      <c r="A251" s="22">
        <v>46045.609768888891</v>
      </c>
      <c r="B251" s="20">
        <v>24.3</v>
      </c>
      <c r="C251" s="20">
        <v>80</v>
      </c>
      <c r="D251" s="26">
        <v>79.08</v>
      </c>
      <c r="E251" s="20">
        <v>0.92</v>
      </c>
      <c r="F251" s="20">
        <v>-0.1</v>
      </c>
      <c r="G251" s="26">
        <v>2765.97</v>
      </c>
      <c r="H251" s="20"/>
      <c r="I251" s="20"/>
      <c r="J251" s="20"/>
      <c r="K251" s="20"/>
    </row>
    <row r="252" spans="1:11" ht="19.5" customHeight="1" x14ac:dyDescent="0.3">
      <c r="A252" s="22">
        <v>46045.6097700463</v>
      </c>
      <c r="B252" s="20">
        <v>24.4</v>
      </c>
      <c r="C252" s="20">
        <v>80</v>
      </c>
      <c r="D252" s="20">
        <v>79.17</v>
      </c>
      <c r="E252" s="20">
        <v>0.83</v>
      </c>
      <c r="F252" s="20">
        <v>-0.09</v>
      </c>
      <c r="G252" s="26">
        <v>2769.3</v>
      </c>
      <c r="H252" s="20"/>
      <c r="I252" s="20"/>
      <c r="J252" s="20"/>
      <c r="K252" s="20"/>
    </row>
    <row r="253" spans="1:11" ht="19.5" customHeight="1" x14ac:dyDescent="0.3">
      <c r="A253" s="22">
        <v>46045.609771203701</v>
      </c>
      <c r="B253" s="20">
        <v>24.5</v>
      </c>
      <c r="C253" s="20">
        <v>80</v>
      </c>
      <c r="D253" s="26">
        <v>79.260000000000005</v>
      </c>
      <c r="E253" s="20">
        <v>0.74</v>
      </c>
      <c r="F253" s="20">
        <v>-0.08</v>
      </c>
      <c r="G253" s="26">
        <v>2765.47</v>
      </c>
      <c r="H253" s="20"/>
      <c r="I253" s="20"/>
      <c r="J253" s="20"/>
      <c r="K253" s="20"/>
    </row>
    <row r="254" spans="1:11" ht="19.5" customHeight="1" x14ac:dyDescent="0.3">
      <c r="A254" s="22">
        <v>46045.60977234954</v>
      </c>
      <c r="B254" s="20">
        <v>24.6</v>
      </c>
      <c r="C254" s="20">
        <v>80</v>
      </c>
      <c r="D254" s="26">
        <v>79.27</v>
      </c>
      <c r="E254" s="20">
        <v>0.73</v>
      </c>
      <c r="F254" s="20">
        <v>-0.02</v>
      </c>
      <c r="G254" s="26">
        <v>2599.61</v>
      </c>
      <c r="H254" s="20"/>
      <c r="I254" s="20"/>
      <c r="J254" s="20"/>
      <c r="K254" s="20"/>
    </row>
    <row r="255" spans="1:11" ht="19.5" customHeight="1" x14ac:dyDescent="0.3">
      <c r="A255" s="22">
        <v>46045.609773506942</v>
      </c>
      <c r="B255" s="20">
        <v>24.7</v>
      </c>
      <c r="C255" s="20">
        <v>80</v>
      </c>
      <c r="D255" s="20">
        <v>79.41</v>
      </c>
      <c r="E255" s="20">
        <v>0.59</v>
      </c>
      <c r="F255" s="20">
        <v>-0.13</v>
      </c>
      <c r="G255" s="20">
        <v>2888.56</v>
      </c>
      <c r="H255" s="20"/>
      <c r="I255" s="20"/>
      <c r="J255" s="20"/>
      <c r="K255" s="20"/>
    </row>
    <row r="256" spans="1:11" ht="19.5" customHeight="1" x14ac:dyDescent="0.3">
      <c r="A256" s="22">
        <v>46045.60977466435</v>
      </c>
      <c r="B256" s="20">
        <v>24.8</v>
      </c>
      <c r="C256" s="20">
        <v>80</v>
      </c>
      <c r="D256" s="26">
        <v>79.44</v>
      </c>
      <c r="E256" s="20">
        <v>0.56000000000000005</v>
      </c>
      <c r="F256" s="20">
        <v>-0.04</v>
      </c>
      <c r="G256" s="26">
        <v>2675.3</v>
      </c>
      <c r="H256" s="20"/>
      <c r="I256" s="20"/>
      <c r="J256" s="20"/>
      <c r="K256" s="20"/>
    </row>
    <row r="257" spans="1:11" ht="19.5" customHeight="1" x14ac:dyDescent="0.3">
      <c r="A257" s="22">
        <v>46045.609775810182</v>
      </c>
      <c r="B257" s="20">
        <v>24.9</v>
      </c>
      <c r="C257" s="20">
        <v>80</v>
      </c>
      <c r="D257" s="20">
        <v>79.489999999999995</v>
      </c>
      <c r="E257" s="20">
        <v>0.51</v>
      </c>
      <c r="F257" s="20">
        <v>-0.04</v>
      </c>
      <c r="G257" s="26">
        <v>2703.53</v>
      </c>
      <c r="H257" s="20"/>
      <c r="I257" s="20"/>
      <c r="J257" s="20"/>
      <c r="K257" s="20"/>
    </row>
    <row r="258" spans="1:11" ht="19.5" customHeight="1" x14ac:dyDescent="0.3">
      <c r="A258" s="22">
        <v>46045.609776990743</v>
      </c>
      <c r="B258" s="20">
        <v>25</v>
      </c>
      <c r="C258" s="20">
        <v>80</v>
      </c>
      <c r="D258" s="26">
        <v>79.59</v>
      </c>
      <c r="E258" s="20">
        <v>0.41</v>
      </c>
      <c r="F258" s="20">
        <v>-0.1</v>
      </c>
      <c r="G258" s="26">
        <v>2800.37</v>
      </c>
      <c r="H258" s="20"/>
      <c r="I258" s="20"/>
      <c r="J258" s="20"/>
      <c r="K258" s="20"/>
    </row>
    <row r="259" spans="1:11" ht="19.5" customHeight="1" x14ac:dyDescent="0.3">
      <c r="A259" s="22">
        <v>46045.609778148151</v>
      </c>
      <c r="B259" s="20">
        <v>25.1</v>
      </c>
      <c r="C259" s="20">
        <v>80</v>
      </c>
      <c r="D259" s="26">
        <v>79.64</v>
      </c>
      <c r="E259" s="20">
        <v>0.36</v>
      </c>
      <c r="F259" s="20">
        <v>-0.05</v>
      </c>
      <c r="G259" s="26">
        <v>2686.39</v>
      </c>
      <c r="H259" s="20"/>
      <c r="I259" s="20"/>
      <c r="J259" s="20"/>
      <c r="K259" s="20"/>
    </row>
    <row r="260" spans="1:11" ht="19.5" customHeight="1" x14ac:dyDescent="0.3">
      <c r="A260" s="22">
        <v>46045.609779293984</v>
      </c>
      <c r="B260" s="20">
        <v>25.2</v>
      </c>
      <c r="C260" s="20">
        <v>80</v>
      </c>
      <c r="D260" s="20">
        <v>79.67</v>
      </c>
      <c r="E260" s="20">
        <v>0.33</v>
      </c>
      <c r="F260" s="20">
        <v>-0.03</v>
      </c>
      <c r="G260" s="20">
        <v>2625.27</v>
      </c>
      <c r="H260" s="20"/>
      <c r="I260" s="20"/>
      <c r="J260" s="20"/>
      <c r="K260" s="20"/>
    </row>
    <row r="261" spans="1:11" ht="19.5" customHeight="1" x14ac:dyDescent="0.3">
      <c r="A261" s="22">
        <v>46045.609780451392</v>
      </c>
      <c r="B261" s="20">
        <v>25.3</v>
      </c>
      <c r="C261" s="20">
        <v>80</v>
      </c>
      <c r="D261" s="26">
        <v>79.77</v>
      </c>
      <c r="E261" s="20">
        <v>0.23</v>
      </c>
      <c r="F261" s="20">
        <v>-0.1</v>
      </c>
      <c r="G261" s="26">
        <v>2760.64</v>
      </c>
      <c r="H261" s="20"/>
      <c r="I261" s="20"/>
      <c r="J261" s="20"/>
      <c r="K261" s="20"/>
    </row>
    <row r="262" spans="1:11" ht="19.5" customHeight="1" x14ac:dyDescent="0.3">
      <c r="A262" s="22">
        <v>46045.609781608793</v>
      </c>
      <c r="B262" s="20">
        <v>25.4</v>
      </c>
      <c r="C262" s="20">
        <v>80</v>
      </c>
      <c r="D262" s="20">
        <v>79.83</v>
      </c>
      <c r="E262" s="20">
        <v>0.17</v>
      </c>
      <c r="F262" s="20">
        <v>-0.06</v>
      </c>
      <c r="G262" s="26">
        <v>2682.12</v>
      </c>
      <c r="H262" s="20"/>
      <c r="I262" s="20"/>
      <c r="J262" s="20"/>
      <c r="K262" s="20"/>
    </row>
    <row r="263" spans="1:11" ht="19.5" customHeight="1" x14ac:dyDescent="0.3">
      <c r="A263" s="22">
        <v>46045.609782766202</v>
      </c>
      <c r="B263" s="20">
        <v>25.5</v>
      </c>
      <c r="C263" s="20">
        <v>80</v>
      </c>
      <c r="D263" s="26">
        <v>79.87</v>
      </c>
      <c r="E263" s="20">
        <v>0.13</v>
      </c>
      <c r="F263" s="20">
        <v>-0.04</v>
      </c>
      <c r="G263" s="26">
        <v>2640.14</v>
      </c>
      <c r="H263" s="20"/>
      <c r="I263" s="20"/>
      <c r="J263" s="20"/>
      <c r="K263" s="20"/>
    </row>
    <row r="264" spans="1:11" ht="19.5" customHeight="1" x14ac:dyDescent="0.3">
      <c r="A264" s="22">
        <v>46045.60978392361</v>
      </c>
      <c r="B264" s="20">
        <v>25.6</v>
      </c>
      <c r="C264" s="20">
        <v>80</v>
      </c>
      <c r="D264" s="26">
        <v>79.959999999999994</v>
      </c>
      <c r="E264" s="20">
        <v>0.04</v>
      </c>
      <c r="F264" s="20">
        <v>-0.09</v>
      </c>
      <c r="G264" s="26">
        <v>2603.17</v>
      </c>
      <c r="H264" s="20"/>
      <c r="I264" s="20"/>
      <c r="J264" s="20"/>
      <c r="K264" s="20"/>
    </row>
    <row r="265" spans="1:11" ht="19.5" customHeight="1" x14ac:dyDescent="0.3">
      <c r="A265" s="22">
        <v>46045.609785081018</v>
      </c>
      <c r="B265" s="20">
        <v>25.7</v>
      </c>
      <c r="C265" s="20">
        <v>80</v>
      </c>
      <c r="D265" s="20">
        <v>80.010000000000005</v>
      </c>
      <c r="E265" s="20">
        <v>-0.01</v>
      </c>
      <c r="F265" s="20">
        <v>-0.06</v>
      </c>
      <c r="G265" s="26">
        <v>2525.96</v>
      </c>
      <c r="H265" s="20"/>
      <c r="I265" s="20"/>
      <c r="J265" s="20"/>
      <c r="K265" s="20"/>
    </row>
    <row r="266" spans="1:11" ht="19.5" customHeight="1" x14ac:dyDescent="0.3">
      <c r="A266" s="22">
        <v>46045.609786238427</v>
      </c>
      <c r="B266" s="20">
        <v>25.8</v>
      </c>
      <c r="C266" s="20">
        <v>80</v>
      </c>
      <c r="D266" s="26">
        <v>80.02</v>
      </c>
      <c r="E266" s="20">
        <v>-0.02</v>
      </c>
      <c r="F266" s="20">
        <v>0</v>
      </c>
      <c r="G266" s="26">
        <v>2524.83</v>
      </c>
      <c r="H266" s="20"/>
      <c r="I266" s="20"/>
      <c r="J266" s="20"/>
      <c r="K266" s="20"/>
    </row>
    <row r="267" spans="1:11" ht="19.5" customHeight="1" x14ac:dyDescent="0.3">
      <c r="A267" s="22">
        <v>46045.609787395835</v>
      </c>
      <c r="B267" s="20">
        <v>25.9</v>
      </c>
      <c r="C267" s="20">
        <v>80</v>
      </c>
      <c r="D267" s="20">
        <v>80.150000000000006</v>
      </c>
      <c r="E267" s="20">
        <v>-0.15</v>
      </c>
      <c r="F267" s="20">
        <v>-0.14000000000000001</v>
      </c>
      <c r="G267" s="26">
        <v>2295.08</v>
      </c>
      <c r="H267" s="20"/>
      <c r="I267" s="20"/>
      <c r="J267" s="20"/>
      <c r="K267" s="20"/>
    </row>
    <row r="268" spans="1:11" ht="19.5" customHeight="1" x14ac:dyDescent="0.3">
      <c r="A268" s="22">
        <v>46045.609788587964</v>
      </c>
      <c r="B268" s="20">
        <v>26</v>
      </c>
      <c r="C268" s="20">
        <v>80</v>
      </c>
      <c r="D268" s="26">
        <v>80.2</v>
      </c>
      <c r="E268" s="20">
        <v>-0.2</v>
      </c>
      <c r="F268" s="20">
        <v>-0.04</v>
      </c>
      <c r="G268" s="26">
        <v>2295.04</v>
      </c>
      <c r="H268" s="20"/>
      <c r="I268" s="20"/>
      <c r="J268" s="20"/>
      <c r="K268" s="20"/>
    </row>
    <row r="269" spans="1:11" ht="19.5" customHeight="1" x14ac:dyDescent="0.3">
      <c r="A269" s="22">
        <v>46045.609789710645</v>
      </c>
      <c r="B269" s="20">
        <v>26.1</v>
      </c>
      <c r="C269" s="20">
        <v>80</v>
      </c>
      <c r="D269" s="26">
        <v>80.239999999999995</v>
      </c>
      <c r="E269" s="20">
        <v>-0.24</v>
      </c>
      <c r="F269" s="20">
        <v>-0.04</v>
      </c>
      <c r="G269" s="26">
        <v>2265.66</v>
      </c>
      <c r="H269" s="20"/>
      <c r="I269" s="20"/>
      <c r="J269" s="20"/>
      <c r="K269" s="20"/>
    </row>
    <row r="270" spans="1:11" ht="19.5" customHeight="1" x14ac:dyDescent="0.3">
      <c r="A270" s="22">
        <v>46045.609790868053</v>
      </c>
      <c r="B270" s="20">
        <v>26.2</v>
      </c>
      <c r="C270" s="20">
        <v>80</v>
      </c>
      <c r="D270" s="20">
        <v>80.3</v>
      </c>
      <c r="E270" s="20">
        <v>-0.3</v>
      </c>
      <c r="F270" s="20">
        <v>-0.06</v>
      </c>
      <c r="G270" s="26">
        <v>2180.7199999999998</v>
      </c>
      <c r="H270" s="20"/>
      <c r="I270" s="20"/>
      <c r="J270" s="20"/>
      <c r="K270" s="20"/>
    </row>
    <row r="271" spans="1:11" ht="19.5" customHeight="1" x14ac:dyDescent="0.3">
      <c r="A271" s="22">
        <v>46045.609792037038</v>
      </c>
      <c r="B271" s="20">
        <v>26.3</v>
      </c>
      <c r="C271" s="20">
        <v>80</v>
      </c>
      <c r="D271" s="26">
        <v>80.33</v>
      </c>
      <c r="E271" s="20">
        <v>-0.33</v>
      </c>
      <c r="F271" s="20">
        <v>-0.04</v>
      </c>
      <c r="G271" s="26">
        <v>2162.1799999999998</v>
      </c>
      <c r="H271" s="20"/>
      <c r="I271" s="20"/>
      <c r="J271" s="20"/>
      <c r="K271" s="20"/>
    </row>
    <row r="272" spans="1:11" ht="19.5" customHeight="1" x14ac:dyDescent="0.3">
      <c r="A272" s="22">
        <v>46045.60979318287</v>
      </c>
      <c r="B272" s="20">
        <v>26.4</v>
      </c>
      <c r="C272" s="20">
        <v>80</v>
      </c>
      <c r="D272" s="20">
        <v>80.36</v>
      </c>
      <c r="E272" s="20">
        <v>-0.36</v>
      </c>
      <c r="F272" s="20">
        <v>-0.02</v>
      </c>
      <c r="G272" s="26">
        <v>2144.94</v>
      </c>
      <c r="H272" s="20"/>
      <c r="I272" s="20"/>
      <c r="J272" s="20"/>
      <c r="K272" s="20"/>
    </row>
    <row r="273" spans="1:11" ht="19.5" customHeight="1" x14ac:dyDescent="0.3">
      <c r="A273" s="22">
        <v>46045.609794351854</v>
      </c>
      <c r="B273" s="20">
        <v>26.5</v>
      </c>
      <c r="C273" s="20">
        <v>80</v>
      </c>
      <c r="D273" s="26">
        <v>80.36</v>
      </c>
      <c r="E273" s="20">
        <v>-0.36</v>
      </c>
      <c r="F273" s="20">
        <v>-0.01</v>
      </c>
      <c r="G273" s="26">
        <v>2149.8200000000002</v>
      </c>
      <c r="H273" s="20"/>
      <c r="I273" s="20"/>
      <c r="J273" s="20"/>
      <c r="K273" s="20"/>
    </row>
    <row r="274" spans="1:11" ht="19.5" customHeight="1" x14ac:dyDescent="0.3">
      <c r="A274" s="22">
        <v>46045.609795497687</v>
      </c>
      <c r="B274" s="20">
        <v>26.6</v>
      </c>
      <c r="C274" s="20">
        <v>80</v>
      </c>
      <c r="D274" s="26">
        <v>80.37</v>
      </c>
      <c r="E274" s="20">
        <v>-0.37</v>
      </c>
      <c r="F274" s="20">
        <v>0</v>
      </c>
      <c r="G274" s="26">
        <v>2148.59</v>
      </c>
      <c r="H274" s="20"/>
      <c r="I274" s="20"/>
      <c r="J274" s="20"/>
      <c r="K274" s="20"/>
    </row>
    <row r="275" spans="1:11" ht="19.5" customHeight="1" x14ac:dyDescent="0.3">
      <c r="A275" s="22">
        <v>46045.60979667824</v>
      </c>
      <c r="B275" s="20">
        <v>26.7</v>
      </c>
      <c r="C275" s="20">
        <v>80</v>
      </c>
      <c r="D275" s="20">
        <v>80.42</v>
      </c>
      <c r="E275" s="20">
        <v>-0.42</v>
      </c>
      <c r="F275" s="20">
        <v>-0.05</v>
      </c>
      <c r="G275" s="26">
        <v>2037.95</v>
      </c>
      <c r="H275" s="20"/>
      <c r="I275" s="20"/>
      <c r="J275" s="20"/>
      <c r="K275" s="20"/>
    </row>
    <row r="276" spans="1:11" ht="19.5" customHeight="1" x14ac:dyDescent="0.3">
      <c r="A276" s="22">
        <v>46045.609797812504</v>
      </c>
      <c r="B276" s="20">
        <v>26.8</v>
      </c>
      <c r="C276" s="20">
        <v>80</v>
      </c>
      <c r="D276" s="26">
        <v>80.41</v>
      </c>
      <c r="E276" s="20">
        <v>-0.41</v>
      </c>
      <c r="F276" s="20">
        <v>0.01</v>
      </c>
      <c r="G276" s="26">
        <v>2096.02</v>
      </c>
      <c r="H276" s="20"/>
      <c r="I276" s="20"/>
      <c r="J276" s="20"/>
      <c r="K276" s="20"/>
    </row>
    <row r="277" spans="1:11" ht="19.5" customHeight="1" x14ac:dyDescent="0.3">
      <c r="A277" s="22">
        <v>46045.609798969905</v>
      </c>
      <c r="B277" s="20">
        <v>26.9</v>
      </c>
      <c r="C277" s="20">
        <v>80</v>
      </c>
      <c r="D277" s="26">
        <v>80.37</v>
      </c>
      <c r="E277" s="20">
        <v>-0.37</v>
      </c>
      <c r="F277" s="20">
        <v>0.04</v>
      </c>
      <c r="G277" s="26">
        <v>2152.21</v>
      </c>
      <c r="H277" s="20"/>
      <c r="I277" s="20"/>
      <c r="J277" s="20"/>
      <c r="K277" s="20"/>
    </row>
    <row r="278" spans="1:11" ht="19.5" customHeight="1" x14ac:dyDescent="0.3">
      <c r="A278" s="22">
        <v>46045.609800127313</v>
      </c>
      <c r="B278" s="20">
        <v>27</v>
      </c>
      <c r="C278" s="20">
        <v>80</v>
      </c>
      <c r="D278" s="20">
        <v>80.37</v>
      </c>
      <c r="E278" s="20">
        <v>-0.37</v>
      </c>
      <c r="F278" s="20">
        <v>0</v>
      </c>
      <c r="G278" s="20">
        <v>2143.66</v>
      </c>
      <c r="H278" s="20"/>
      <c r="I278" s="20"/>
      <c r="J278" s="20"/>
      <c r="K278" s="20"/>
    </row>
    <row r="279" spans="1:11" ht="19.5" customHeight="1" x14ac:dyDescent="0.3">
      <c r="A279" s="22">
        <v>46045.609801284721</v>
      </c>
      <c r="B279" s="20">
        <v>27.1</v>
      </c>
      <c r="C279" s="20">
        <v>80</v>
      </c>
      <c r="D279" s="26">
        <v>80.400000000000006</v>
      </c>
      <c r="E279" s="20">
        <v>-0.4</v>
      </c>
      <c r="F279" s="20">
        <v>-0.03</v>
      </c>
      <c r="G279" s="26">
        <v>2086.4499999999998</v>
      </c>
      <c r="H279" s="20"/>
      <c r="I279" s="20"/>
      <c r="J279" s="20"/>
      <c r="K279" s="20"/>
    </row>
    <row r="280" spans="1:11" ht="19.5" customHeight="1" x14ac:dyDescent="0.3">
      <c r="A280" s="22">
        <v>46045.60980244213</v>
      </c>
      <c r="B280" s="20">
        <v>27.2</v>
      </c>
      <c r="C280" s="20">
        <v>80</v>
      </c>
      <c r="D280" s="26">
        <v>80.3</v>
      </c>
      <c r="E280" s="20">
        <v>-0.3</v>
      </c>
      <c r="F280" s="20">
        <v>0.1</v>
      </c>
      <c r="G280" s="20">
        <v>2226.12</v>
      </c>
      <c r="H280" s="20"/>
      <c r="I280" s="20"/>
      <c r="J280" s="20"/>
      <c r="K280" s="20"/>
    </row>
    <row r="281" spans="1:11" ht="19.5" customHeight="1" x14ac:dyDescent="0.3">
      <c r="A281" s="22">
        <v>46045.609803599538</v>
      </c>
      <c r="B281" s="20">
        <v>27.3</v>
      </c>
      <c r="C281" s="20">
        <v>80</v>
      </c>
      <c r="D281" s="20">
        <v>80.34</v>
      </c>
      <c r="E281" s="20">
        <v>-0.34</v>
      </c>
      <c r="F281" s="20">
        <v>-0.03</v>
      </c>
      <c r="G281" s="26">
        <v>2161.14</v>
      </c>
      <c r="H281" s="20"/>
      <c r="I281" s="20"/>
      <c r="J281" s="20"/>
      <c r="K281" s="20"/>
    </row>
    <row r="282" spans="1:11" ht="19.5" customHeight="1" x14ac:dyDescent="0.3">
      <c r="A282" s="22">
        <v>46045.609804768515</v>
      </c>
      <c r="B282" s="20">
        <v>27.4</v>
      </c>
      <c r="C282" s="20">
        <v>80</v>
      </c>
      <c r="D282" s="26">
        <v>80.290000000000006</v>
      </c>
      <c r="E282" s="20">
        <v>-0.28999999999999998</v>
      </c>
      <c r="F282" s="20">
        <v>0.04</v>
      </c>
      <c r="G282" s="26">
        <v>2239.23</v>
      </c>
      <c r="H282" s="20"/>
      <c r="I282" s="20"/>
      <c r="J282" s="20"/>
      <c r="K282" s="20"/>
    </row>
    <row r="283" spans="1:11" ht="19.5" customHeight="1" x14ac:dyDescent="0.3">
      <c r="A283" s="22">
        <v>46045.609805914355</v>
      </c>
      <c r="B283" s="20">
        <v>27.5</v>
      </c>
      <c r="C283" s="20">
        <v>80</v>
      </c>
      <c r="D283" s="20">
        <v>80.22</v>
      </c>
      <c r="E283" s="20">
        <v>-0.22</v>
      </c>
      <c r="F283" s="20">
        <v>0.08</v>
      </c>
      <c r="G283" s="26">
        <v>2319.31</v>
      </c>
      <c r="H283" s="20"/>
      <c r="I283" s="20"/>
      <c r="J283" s="20"/>
      <c r="K283" s="20"/>
    </row>
    <row r="284" spans="1:11" ht="19.5" customHeight="1" x14ac:dyDescent="0.3">
      <c r="A284" s="22">
        <v>46045.609807083332</v>
      </c>
      <c r="B284" s="20">
        <v>27.6</v>
      </c>
      <c r="C284" s="20">
        <v>80</v>
      </c>
      <c r="D284" s="26">
        <v>80.22</v>
      </c>
      <c r="E284" s="20">
        <v>-0.22</v>
      </c>
      <c r="F284" s="20">
        <v>-0.01</v>
      </c>
      <c r="G284" s="26">
        <v>2303.7399999999998</v>
      </c>
      <c r="H284" s="20"/>
      <c r="I284" s="20"/>
      <c r="J284" s="20"/>
      <c r="K284" s="20"/>
    </row>
    <row r="285" spans="1:11" ht="19.5" customHeight="1" x14ac:dyDescent="0.3">
      <c r="A285" s="22">
        <v>46045.609808229165</v>
      </c>
      <c r="B285" s="20">
        <v>27.7</v>
      </c>
      <c r="C285" s="20">
        <v>80</v>
      </c>
      <c r="D285" s="26">
        <v>80.150000000000006</v>
      </c>
      <c r="E285" s="20">
        <v>-0.15</v>
      </c>
      <c r="F285" s="20">
        <v>7.0000000000000007E-2</v>
      </c>
      <c r="G285" s="26">
        <v>2385.16</v>
      </c>
      <c r="H285" s="20"/>
      <c r="I285" s="20"/>
      <c r="J285" s="20"/>
      <c r="K285" s="20"/>
    </row>
    <row r="286" spans="1:11" ht="19.5" customHeight="1" x14ac:dyDescent="0.3">
      <c r="A286" s="22">
        <v>46045.609809386573</v>
      </c>
      <c r="B286" s="20">
        <v>27.8</v>
      </c>
      <c r="C286" s="20">
        <v>80</v>
      </c>
      <c r="D286" s="20">
        <v>80.11</v>
      </c>
      <c r="E286" s="20">
        <v>-0.11</v>
      </c>
      <c r="F286" s="20">
        <v>0.04</v>
      </c>
      <c r="G286" s="26">
        <v>2422.6799999999998</v>
      </c>
      <c r="H286" s="20"/>
      <c r="I286" s="20"/>
      <c r="J286" s="20"/>
      <c r="K286" s="20"/>
    </row>
    <row r="287" spans="1:11" ht="19.5" customHeight="1" x14ac:dyDescent="0.3">
      <c r="A287" s="22">
        <v>46045.609810543981</v>
      </c>
      <c r="B287" s="20">
        <v>27.9</v>
      </c>
      <c r="C287" s="20">
        <v>80</v>
      </c>
      <c r="D287" s="26">
        <v>80.08</v>
      </c>
      <c r="E287" s="20">
        <v>-0.08</v>
      </c>
      <c r="F287" s="20">
        <v>0.03</v>
      </c>
      <c r="G287" s="26">
        <v>2456.85</v>
      </c>
      <c r="H287" s="20"/>
      <c r="I287" s="20"/>
      <c r="J287" s="20"/>
      <c r="K287" s="20"/>
    </row>
    <row r="288" spans="1:11" ht="19.5" customHeight="1" x14ac:dyDescent="0.3">
      <c r="A288" s="22">
        <v>46045.60981170139</v>
      </c>
      <c r="B288" s="20">
        <v>28</v>
      </c>
      <c r="C288" s="20">
        <v>80</v>
      </c>
      <c r="D288" s="26">
        <v>80.03</v>
      </c>
      <c r="E288" s="20">
        <v>-0.03</v>
      </c>
      <c r="F288" s="20">
        <v>0.05</v>
      </c>
      <c r="G288" s="26">
        <v>2510.09</v>
      </c>
      <c r="H288" s="20"/>
      <c r="I288" s="20"/>
      <c r="J288" s="20"/>
      <c r="K288" s="20"/>
    </row>
    <row r="289" spans="1:11" ht="19.5" customHeight="1" x14ac:dyDescent="0.3">
      <c r="A289" s="22">
        <v>46045.609812858798</v>
      </c>
      <c r="B289" s="20">
        <v>28.1</v>
      </c>
      <c r="C289" s="20">
        <v>80</v>
      </c>
      <c r="D289" s="20">
        <v>80.05</v>
      </c>
      <c r="E289" s="20">
        <v>-0.05</v>
      </c>
      <c r="F289" s="20">
        <v>-0.02</v>
      </c>
      <c r="G289" s="26">
        <v>2475.8200000000002</v>
      </c>
      <c r="H289" s="20"/>
      <c r="I289" s="20"/>
      <c r="J289" s="20"/>
      <c r="K289" s="20"/>
    </row>
    <row r="290" spans="1:11" ht="19.5" customHeight="1" x14ac:dyDescent="0.3">
      <c r="A290" s="22">
        <v>46045.609814016207</v>
      </c>
      <c r="B290" s="20">
        <v>28.2</v>
      </c>
      <c r="C290" s="20">
        <v>80</v>
      </c>
      <c r="D290" s="26">
        <v>79.989999999999995</v>
      </c>
      <c r="E290" s="20">
        <v>0.01</v>
      </c>
      <c r="F290" s="20">
        <v>0.06</v>
      </c>
      <c r="G290" s="26">
        <v>2558.36</v>
      </c>
      <c r="H290" s="20"/>
      <c r="I290" s="20"/>
      <c r="J290" s="20"/>
      <c r="K290" s="20"/>
    </row>
    <row r="291" spans="1:11" ht="19.5" customHeight="1" x14ac:dyDescent="0.3">
      <c r="A291" s="22">
        <v>46045.609815173608</v>
      </c>
      <c r="B291" s="20">
        <v>28.3</v>
      </c>
      <c r="C291" s="20">
        <v>80</v>
      </c>
      <c r="D291" s="20">
        <v>79.97</v>
      </c>
      <c r="E291" s="20">
        <v>0.03</v>
      </c>
      <c r="F291" s="20">
        <v>0.03</v>
      </c>
      <c r="G291" s="20">
        <v>2592.38</v>
      </c>
      <c r="H291" s="20"/>
      <c r="I291" s="20"/>
      <c r="J291" s="20"/>
      <c r="K291" s="20"/>
    </row>
    <row r="292" spans="1:11" ht="19.5" customHeight="1" x14ac:dyDescent="0.3">
      <c r="A292" s="22">
        <v>46045.609816331016</v>
      </c>
      <c r="B292" s="20">
        <v>28.4</v>
      </c>
      <c r="C292" s="20">
        <v>80</v>
      </c>
      <c r="D292" s="26">
        <v>79.95</v>
      </c>
      <c r="E292" s="20">
        <v>0.05</v>
      </c>
      <c r="F292" s="20">
        <v>0.01</v>
      </c>
      <c r="G292" s="26">
        <v>2577.98</v>
      </c>
      <c r="H292" s="20"/>
      <c r="I292" s="20"/>
      <c r="J292" s="20"/>
      <c r="K292" s="20"/>
    </row>
    <row r="293" spans="1:11" ht="19.5" customHeight="1" x14ac:dyDescent="0.3">
      <c r="A293" s="22">
        <v>46045.609817488425</v>
      </c>
      <c r="B293" s="20">
        <v>28.5</v>
      </c>
      <c r="C293" s="20">
        <v>80</v>
      </c>
      <c r="D293" s="26">
        <v>79.95</v>
      </c>
      <c r="E293" s="20">
        <v>0.05</v>
      </c>
      <c r="F293" s="20">
        <v>0</v>
      </c>
      <c r="G293" s="26">
        <v>2550</v>
      </c>
      <c r="H293" s="20"/>
      <c r="I293" s="20"/>
      <c r="J293" s="20"/>
      <c r="K293" s="20"/>
    </row>
    <row r="294" spans="1:11" ht="19.5" customHeight="1" x14ac:dyDescent="0.3">
      <c r="A294" s="22">
        <v>46045.609818657409</v>
      </c>
      <c r="B294" s="20">
        <v>28.6</v>
      </c>
      <c r="C294" s="20">
        <v>80</v>
      </c>
      <c r="D294" s="20">
        <v>79.95</v>
      </c>
      <c r="E294" s="20">
        <v>0.05</v>
      </c>
      <c r="F294" s="20">
        <v>0.01</v>
      </c>
      <c r="G294" s="26">
        <v>2568.83</v>
      </c>
      <c r="H294" s="20"/>
      <c r="I294" s="20"/>
      <c r="J294" s="20"/>
      <c r="K294" s="20"/>
    </row>
    <row r="295" spans="1:11" ht="19.5" customHeight="1" x14ac:dyDescent="0.3">
      <c r="A295" s="22">
        <v>46045.609819803241</v>
      </c>
      <c r="B295" s="20">
        <v>28.7</v>
      </c>
      <c r="C295" s="20">
        <v>80</v>
      </c>
      <c r="D295" s="26">
        <v>79.95</v>
      </c>
      <c r="E295" s="20">
        <v>0.05</v>
      </c>
      <c r="F295" s="20">
        <v>0</v>
      </c>
      <c r="G295" s="26">
        <v>2559.4899999999998</v>
      </c>
      <c r="H295" s="20"/>
      <c r="I295" s="20"/>
      <c r="J295" s="20"/>
      <c r="K295" s="20"/>
    </row>
    <row r="296" spans="1:11" ht="19.5" customHeight="1" x14ac:dyDescent="0.3">
      <c r="A296" s="22">
        <v>46045.60982096065</v>
      </c>
      <c r="B296" s="20">
        <v>28.8</v>
      </c>
      <c r="C296" s="20">
        <v>80</v>
      </c>
      <c r="D296" s="26">
        <v>79.98</v>
      </c>
      <c r="E296" s="20">
        <v>0.02</v>
      </c>
      <c r="F296" s="20">
        <v>-0.03</v>
      </c>
      <c r="G296" s="20">
        <v>2578.0300000000002</v>
      </c>
      <c r="H296" s="20"/>
      <c r="I296" s="20"/>
      <c r="J296" s="20"/>
      <c r="K296" s="20"/>
    </row>
    <row r="297" spans="1:11" ht="19.5" customHeight="1" x14ac:dyDescent="0.3">
      <c r="A297" s="22">
        <v>46045.609822129627</v>
      </c>
      <c r="B297" s="20">
        <v>28.9</v>
      </c>
      <c r="C297" s="20">
        <v>80</v>
      </c>
      <c r="D297" s="20">
        <v>79.989999999999995</v>
      </c>
      <c r="E297" s="20">
        <v>0.01</v>
      </c>
      <c r="F297" s="20">
        <v>-0.02</v>
      </c>
      <c r="G297" s="26">
        <v>2558.2600000000002</v>
      </c>
      <c r="H297" s="20"/>
      <c r="I297" s="20"/>
      <c r="J297" s="20"/>
      <c r="K297" s="20"/>
    </row>
    <row r="298" spans="1:11" ht="19.5" customHeight="1" x14ac:dyDescent="0.3">
      <c r="A298" s="22">
        <v>46045.609823287035</v>
      </c>
      <c r="B298" s="20">
        <v>29</v>
      </c>
      <c r="C298" s="20">
        <v>80</v>
      </c>
      <c r="D298" s="26">
        <v>79.989999999999995</v>
      </c>
      <c r="E298" s="20">
        <v>0.01</v>
      </c>
      <c r="F298" s="20">
        <v>0</v>
      </c>
      <c r="G298" s="26">
        <v>2559.4499999999998</v>
      </c>
      <c r="H298" s="20"/>
      <c r="I298" s="20"/>
      <c r="J298" s="20"/>
      <c r="K298" s="20"/>
    </row>
    <row r="299" spans="1:11" ht="19.5" customHeight="1" x14ac:dyDescent="0.3">
      <c r="A299" s="22">
        <v>46045.609824432868</v>
      </c>
      <c r="B299" s="20">
        <v>29.1</v>
      </c>
      <c r="C299" s="20">
        <v>80</v>
      </c>
      <c r="D299" s="20">
        <v>79.989999999999995</v>
      </c>
      <c r="E299" s="20">
        <v>0.01</v>
      </c>
      <c r="F299" s="20">
        <v>0</v>
      </c>
      <c r="G299" s="26">
        <v>2559.4499999999998</v>
      </c>
      <c r="H299" s="20"/>
      <c r="I299" s="20"/>
      <c r="J299" s="20"/>
      <c r="K299" s="20"/>
    </row>
    <row r="300" spans="1:11" ht="19.5" customHeight="1" x14ac:dyDescent="0.3">
      <c r="A300" s="22">
        <v>46045.609825590276</v>
      </c>
      <c r="B300" s="20">
        <v>29.2</v>
      </c>
      <c r="C300" s="20">
        <v>80</v>
      </c>
      <c r="D300" s="26">
        <v>80.03</v>
      </c>
      <c r="E300" s="20">
        <v>-0.03</v>
      </c>
      <c r="F300" s="20">
        <v>-0.04</v>
      </c>
      <c r="G300" s="26">
        <v>2505.25</v>
      </c>
      <c r="H300" s="20"/>
      <c r="I300" s="20"/>
      <c r="J300" s="20"/>
      <c r="K300" s="20"/>
    </row>
    <row r="301" spans="1:11" ht="19.5" customHeight="1" x14ac:dyDescent="0.3">
      <c r="A301" s="22">
        <v>46045.609826747685</v>
      </c>
      <c r="B301" s="20">
        <v>29.3</v>
      </c>
      <c r="C301" s="20">
        <v>80</v>
      </c>
      <c r="D301" s="26">
        <v>80</v>
      </c>
      <c r="E301" s="20">
        <v>0</v>
      </c>
      <c r="F301" s="20">
        <v>0.03</v>
      </c>
      <c r="G301" s="26">
        <v>2553.2399999999998</v>
      </c>
      <c r="H301" s="20"/>
      <c r="I301" s="20"/>
      <c r="J301" s="20"/>
      <c r="K301" s="20"/>
    </row>
    <row r="302" spans="1:11" ht="19.5" customHeight="1" x14ac:dyDescent="0.3">
      <c r="A302" s="22">
        <v>46045.609827916669</v>
      </c>
      <c r="B302" s="20">
        <v>29.4</v>
      </c>
      <c r="C302" s="20">
        <v>80</v>
      </c>
      <c r="D302" s="20">
        <v>80.099999999999994</v>
      </c>
      <c r="E302" s="20">
        <v>-0.1</v>
      </c>
      <c r="F302" s="20">
        <v>-0.1</v>
      </c>
      <c r="G302" s="26">
        <v>2384.77</v>
      </c>
      <c r="H302" s="20"/>
      <c r="I302" s="20"/>
      <c r="J302" s="20"/>
      <c r="K302" s="20"/>
    </row>
    <row r="303" spans="1:11" ht="19.5" customHeight="1" x14ac:dyDescent="0.3">
      <c r="A303" s="22">
        <v>46045.609829074077</v>
      </c>
      <c r="B303" s="20">
        <v>29.5</v>
      </c>
      <c r="C303" s="20">
        <v>80</v>
      </c>
      <c r="D303" s="26">
        <v>80.069999999999993</v>
      </c>
      <c r="E303" s="20">
        <v>-7.0000000000000007E-2</v>
      </c>
      <c r="F303" s="20">
        <v>0.03</v>
      </c>
      <c r="G303" s="26">
        <v>2474.3200000000002</v>
      </c>
      <c r="H303" s="20"/>
      <c r="I303" s="20"/>
      <c r="J303" s="20"/>
      <c r="K303" s="20"/>
    </row>
    <row r="304" spans="1:11" ht="19.5" customHeight="1" x14ac:dyDescent="0.3">
      <c r="A304" s="22">
        <v>46045.60983021991</v>
      </c>
      <c r="B304" s="20">
        <v>29.6</v>
      </c>
      <c r="C304" s="20">
        <v>80</v>
      </c>
      <c r="D304" s="26">
        <v>80.12</v>
      </c>
      <c r="E304" s="20">
        <v>-0.12</v>
      </c>
      <c r="F304" s="20">
        <v>-0.05</v>
      </c>
      <c r="G304" s="26">
        <v>2368.1999999999998</v>
      </c>
      <c r="H304" s="20"/>
      <c r="I304" s="20"/>
      <c r="J304" s="20"/>
      <c r="K304" s="20"/>
    </row>
    <row r="305" spans="1:11" ht="19.5" customHeight="1" x14ac:dyDescent="0.3">
      <c r="A305" s="22">
        <v>46045.609831388887</v>
      </c>
      <c r="B305" s="20">
        <v>29.7</v>
      </c>
      <c r="C305" s="20">
        <v>80</v>
      </c>
      <c r="D305" s="20">
        <v>80.13</v>
      </c>
      <c r="E305" s="20">
        <v>-0.13</v>
      </c>
      <c r="F305" s="20">
        <v>-0.02</v>
      </c>
      <c r="G305" s="26">
        <v>2386.44</v>
      </c>
      <c r="H305" s="20"/>
      <c r="I305" s="20"/>
      <c r="J305" s="20"/>
      <c r="K305" s="20"/>
    </row>
    <row r="306" spans="1:11" ht="19.5" customHeight="1" x14ac:dyDescent="0.3">
      <c r="A306" s="22">
        <v>46045.609832546295</v>
      </c>
      <c r="B306" s="20">
        <v>29.8</v>
      </c>
      <c r="C306" s="20">
        <v>80</v>
      </c>
      <c r="D306" s="26">
        <v>80.2</v>
      </c>
      <c r="E306" s="20">
        <v>-0.2</v>
      </c>
      <c r="F306" s="20">
        <v>-7.0000000000000007E-2</v>
      </c>
      <c r="G306" s="26">
        <v>2268.9499999999998</v>
      </c>
      <c r="H306" s="20"/>
      <c r="I306" s="20"/>
      <c r="J306" s="20"/>
      <c r="K306" s="20"/>
    </row>
    <row r="307" spans="1:11" ht="19.5" customHeight="1" x14ac:dyDescent="0.3">
      <c r="A307" s="22">
        <v>46045.609833692128</v>
      </c>
      <c r="B307" s="20">
        <v>29.9</v>
      </c>
      <c r="C307" s="20">
        <v>80</v>
      </c>
      <c r="D307" s="26">
        <v>80.22</v>
      </c>
      <c r="E307" s="20">
        <v>-0.22</v>
      </c>
      <c r="F307" s="20">
        <v>-0.01</v>
      </c>
      <c r="G307" s="26">
        <v>2308.2800000000002</v>
      </c>
      <c r="H307" s="20"/>
      <c r="I307" s="20"/>
      <c r="J307" s="20"/>
      <c r="K307" s="20"/>
    </row>
    <row r="308" spans="1:11" ht="19.5" customHeight="1" x14ac:dyDescent="0.3">
      <c r="A308" s="22">
        <v>46045.609834872688</v>
      </c>
      <c r="B308" s="20">
        <v>30</v>
      </c>
      <c r="C308" s="20">
        <v>80</v>
      </c>
      <c r="D308" s="20">
        <v>80.17</v>
      </c>
      <c r="E308" s="20">
        <v>-0.17</v>
      </c>
      <c r="F308" s="20">
        <v>0.05</v>
      </c>
      <c r="G308" s="26">
        <v>2368.64</v>
      </c>
      <c r="H308" s="20"/>
      <c r="I308" s="20"/>
      <c r="J308" s="20"/>
      <c r="K308" s="20"/>
    </row>
    <row r="309" spans="1:11" ht="19.5" customHeight="1" x14ac:dyDescent="0.3">
      <c r="A309" s="22">
        <v>46045.609836006945</v>
      </c>
      <c r="B309" s="20">
        <v>30.1</v>
      </c>
      <c r="C309" s="20">
        <v>80</v>
      </c>
      <c r="D309" s="26">
        <v>80.180000000000007</v>
      </c>
      <c r="E309" s="20">
        <v>-0.18</v>
      </c>
      <c r="F309" s="20">
        <v>-0.02</v>
      </c>
      <c r="G309" s="20">
        <v>2337.3200000000002</v>
      </c>
      <c r="H309" s="20"/>
      <c r="I309" s="20"/>
      <c r="J309" s="20"/>
      <c r="K309" s="20"/>
    </row>
    <row r="310" spans="1:11" ht="19.5" customHeight="1" x14ac:dyDescent="0.3">
      <c r="A310" s="22">
        <v>46045.609837175929</v>
      </c>
      <c r="B310" s="20">
        <v>30.2</v>
      </c>
      <c r="C310" s="20">
        <v>80</v>
      </c>
      <c r="D310" s="20">
        <v>80.239999999999995</v>
      </c>
      <c r="E310" s="20">
        <v>-0.24</v>
      </c>
      <c r="F310" s="20">
        <v>-0.06</v>
      </c>
      <c r="G310" s="26">
        <v>2235.5500000000002</v>
      </c>
      <c r="H310" s="20"/>
      <c r="I310" s="20"/>
      <c r="J310" s="20"/>
      <c r="K310" s="20"/>
    </row>
    <row r="311" spans="1:11" ht="19.5" customHeight="1" x14ac:dyDescent="0.3">
      <c r="A311" s="22">
        <v>46045.609838344906</v>
      </c>
      <c r="B311" s="20">
        <v>30.3</v>
      </c>
      <c r="C311" s="20">
        <v>80</v>
      </c>
      <c r="D311" s="26">
        <v>80.239999999999995</v>
      </c>
      <c r="E311" s="20">
        <v>-0.24</v>
      </c>
      <c r="F311" s="20">
        <v>0.01</v>
      </c>
      <c r="G311" s="26">
        <v>2298.62</v>
      </c>
      <c r="H311" s="20"/>
      <c r="I311" s="20"/>
      <c r="J311" s="20"/>
      <c r="K311" s="20"/>
    </row>
    <row r="312" spans="1:11" ht="19.5" customHeight="1" x14ac:dyDescent="0.3">
      <c r="A312" s="22">
        <v>46045.609839490739</v>
      </c>
      <c r="B312" s="20">
        <v>30.4</v>
      </c>
      <c r="C312" s="20">
        <v>80</v>
      </c>
      <c r="D312" s="26">
        <v>80.239999999999995</v>
      </c>
      <c r="E312" s="20">
        <v>-0.24</v>
      </c>
      <c r="F312" s="20">
        <v>0</v>
      </c>
      <c r="G312" s="26">
        <v>2290.77</v>
      </c>
      <c r="H312" s="20"/>
      <c r="I312" s="20"/>
      <c r="J312" s="20"/>
      <c r="K312" s="20"/>
    </row>
    <row r="313" spans="1:11" ht="19.5" customHeight="1" x14ac:dyDescent="0.3">
      <c r="A313" s="22">
        <v>46045.609840659723</v>
      </c>
      <c r="B313" s="20">
        <v>30.5</v>
      </c>
      <c r="C313" s="20">
        <v>80</v>
      </c>
      <c r="D313" s="20">
        <v>80.22</v>
      </c>
      <c r="E313" s="20">
        <v>-0.22</v>
      </c>
      <c r="F313" s="20">
        <v>0.02</v>
      </c>
      <c r="G313" s="26">
        <v>2319.31</v>
      </c>
      <c r="H313" s="20"/>
      <c r="I313" s="20"/>
      <c r="J313" s="20"/>
      <c r="K313" s="20"/>
    </row>
    <row r="314" spans="1:11" ht="19.5" customHeight="1" x14ac:dyDescent="0.3">
      <c r="A314" s="22">
        <v>46045.6098418287</v>
      </c>
      <c r="B314" s="20">
        <v>30.6</v>
      </c>
      <c r="C314" s="20">
        <v>80</v>
      </c>
      <c r="D314" s="26">
        <v>80.209999999999994</v>
      </c>
      <c r="E314" s="20">
        <v>-0.21</v>
      </c>
      <c r="F314" s="20">
        <v>0.01</v>
      </c>
      <c r="G314" s="20">
        <v>2327.59</v>
      </c>
      <c r="H314" s="20"/>
      <c r="I314" s="20"/>
      <c r="J314" s="20"/>
      <c r="K314" s="20"/>
    </row>
    <row r="315" spans="1:11" ht="19.5" customHeight="1" x14ac:dyDescent="0.3">
      <c r="A315" s="22">
        <v>46045.609842962964</v>
      </c>
      <c r="B315" s="20">
        <v>30.7</v>
      </c>
      <c r="C315" s="20">
        <v>80</v>
      </c>
      <c r="D315" s="26">
        <v>80.239999999999995</v>
      </c>
      <c r="E315" s="20">
        <v>-0.24</v>
      </c>
      <c r="F315" s="20">
        <v>-0.03</v>
      </c>
      <c r="G315" s="26">
        <v>2265.13</v>
      </c>
      <c r="H315" s="20"/>
      <c r="I315" s="20"/>
      <c r="J315" s="20"/>
      <c r="K315" s="20"/>
    </row>
    <row r="316" spans="1:11" ht="19.5" customHeight="1" x14ac:dyDescent="0.3">
      <c r="A316" s="22">
        <v>46045.609844108796</v>
      </c>
      <c r="B316" s="20">
        <v>30.8</v>
      </c>
      <c r="C316" s="20">
        <v>80</v>
      </c>
      <c r="D316" s="20">
        <v>80.2</v>
      </c>
      <c r="E316" s="20">
        <v>-0.2</v>
      </c>
      <c r="F316" s="20">
        <v>0.04</v>
      </c>
      <c r="G316" s="20">
        <v>2331.6999999999998</v>
      </c>
      <c r="H316" s="20"/>
      <c r="I316" s="20"/>
      <c r="J316" s="20"/>
      <c r="K316" s="20"/>
    </row>
    <row r="317" spans="1:11" ht="19.5" customHeight="1" x14ac:dyDescent="0.3">
      <c r="A317" s="22">
        <v>46045.609845266205</v>
      </c>
      <c r="B317" s="20">
        <v>30.9</v>
      </c>
      <c r="C317" s="20">
        <v>80</v>
      </c>
      <c r="D317" s="26">
        <v>80.209999999999994</v>
      </c>
      <c r="E317" s="20">
        <v>-0.21</v>
      </c>
      <c r="F317" s="20">
        <v>-0.01</v>
      </c>
      <c r="G317" s="26">
        <v>2316.04</v>
      </c>
      <c r="H317" s="20"/>
      <c r="I317" s="20"/>
      <c r="J317" s="20"/>
      <c r="K317" s="20"/>
    </row>
    <row r="318" spans="1:11" ht="19.5" customHeight="1" x14ac:dyDescent="0.3">
      <c r="A318" s="22">
        <v>46045.609846435182</v>
      </c>
      <c r="B318" s="20">
        <v>31</v>
      </c>
      <c r="C318" s="20">
        <v>80</v>
      </c>
      <c r="D318" s="26">
        <v>80.22</v>
      </c>
      <c r="E318" s="20">
        <v>-0.22</v>
      </c>
      <c r="F318" s="20">
        <v>-0.01</v>
      </c>
      <c r="G318" s="26">
        <v>2307.8200000000002</v>
      </c>
      <c r="H318" s="20"/>
      <c r="I318" s="20"/>
      <c r="J318" s="20"/>
      <c r="K318" s="20"/>
    </row>
    <row r="319" spans="1:11" ht="19.5" customHeight="1" x14ac:dyDescent="0.3">
      <c r="A319" s="22">
        <v>46045.609847604166</v>
      </c>
      <c r="B319" s="20">
        <v>31.1</v>
      </c>
      <c r="C319" s="20">
        <v>80</v>
      </c>
      <c r="D319" s="20">
        <v>80.239999999999995</v>
      </c>
      <c r="E319" s="20">
        <v>-0.24</v>
      </c>
      <c r="F319" s="20">
        <v>-0.02</v>
      </c>
      <c r="G319" s="20">
        <v>2276.12</v>
      </c>
      <c r="H319" s="20"/>
      <c r="I319" s="20"/>
      <c r="J319" s="20"/>
      <c r="K319" s="20"/>
    </row>
    <row r="320" spans="1:11" ht="19.5" customHeight="1" x14ac:dyDescent="0.3">
      <c r="A320" s="22">
        <v>46045.609848749998</v>
      </c>
      <c r="B320" s="20">
        <v>31.2</v>
      </c>
      <c r="C320" s="20">
        <v>80</v>
      </c>
      <c r="D320" s="26">
        <v>80.25</v>
      </c>
      <c r="E320" s="20">
        <v>-0.25</v>
      </c>
      <c r="F320" s="20">
        <v>-0.01</v>
      </c>
      <c r="G320" s="26">
        <v>2278.8200000000002</v>
      </c>
      <c r="H320" s="20"/>
      <c r="I320" s="20"/>
      <c r="J320" s="20"/>
      <c r="K320" s="20"/>
    </row>
    <row r="321" spans="1:11" ht="19.5" customHeight="1" x14ac:dyDescent="0.3">
      <c r="A321" s="22">
        <v>46045.609849907407</v>
      </c>
      <c r="B321" s="20">
        <v>31.3</v>
      </c>
      <c r="C321" s="20">
        <v>80</v>
      </c>
      <c r="D321" s="20">
        <v>80.209999999999994</v>
      </c>
      <c r="E321" s="20">
        <v>-0.21</v>
      </c>
      <c r="F321" s="20">
        <v>0.04</v>
      </c>
      <c r="G321" s="26">
        <v>2323.44</v>
      </c>
      <c r="H321" s="20"/>
      <c r="I321" s="20"/>
      <c r="J321" s="20"/>
      <c r="K321" s="20"/>
    </row>
    <row r="322" spans="1:11" ht="19.5" customHeight="1" x14ac:dyDescent="0.3">
      <c r="A322" s="22">
        <v>46045.609851064815</v>
      </c>
      <c r="B322" s="20">
        <v>31.4</v>
      </c>
      <c r="C322" s="20">
        <v>80</v>
      </c>
      <c r="D322" s="26">
        <v>80.22</v>
      </c>
      <c r="E322" s="20">
        <v>-0.22</v>
      </c>
      <c r="F322" s="20">
        <v>-0.01</v>
      </c>
      <c r="G322" s="26">
        <v>2300.09</v>
      </c>
      <c r="H322" s="20"/>
      <c r="I322" s="20"/>
      <c r="J322" s="20"/>
      <c r="K322" s="20"/>
    </row>
    <row r="323" spans="1:11" ht="19.5" customHeight="1" x14ac:dyDescent="0.3">
      <c r="A323" s="22">
        <v>46045.609852210648</v>
      </c>
      <c r="B323" s="20">
        <v>31.5</v>
      </c>
      <c r="C323" s="20">
        <v>80</v>
      </c>
      <c r="D323" s="26">
        <v>80.180000000000007</v>
      </c>
      <c r="E323" s="20">
        <v>-0.18</v>
      </c>
      <c r="F323" s="20">
        <v>0.04</v>
      </c>
      <c r="G323" s="26">
        <v>2356.35</v>
      </c>
      <c r="H323" s="20"/>
      <c r="I323" s="20"/>
      <c r="J323" s="20"/>
      <c r="K323" s="20"/>
    </row>
    <row r="324" spans="1:11" ht="19.5" customHeight="1" x14ac:dyDescent="0.3">
      <c r="A324" s="22">
        <v>46045.609853391201</v>
      </c>
      <c r="B324" s="20">
        <v>31.6</v>
      </c>
      <c r="C324" s="20">
        <v>80</v>
      </c>
      <c r="D324" s="20">
        <v>80.2</v>
      </c>
      <c r="E324" s="20">
        <v>-0.2</v>
      </c>
      <c r="F324" s="20">
        <v>-0.02</v>
      </c>
      <c r="G324" s="26">
        <v>2309.46</v>
      </c>
      <c r="H324" s="20"/>
      <c r="I324" s="20"/>
      <c r="J324" s="20"/>
      <c r="K324" s="20"/>
    </row>
    <row r="325" spans="1:11" ht="19.5" customHeight="1" x14ac:dyDescent="0.3">
      <c r="A325" s="22">
        <v>46045.609854571761</v>
      </c>
      <c r="B325" s="20">
        <v>31.7</v>
      </c>
      <c r="C325" s="20">
        <v>80</v>
      </c>
      <c r="D325" s="26">
        <v>80.14</v>
      </c>
      <c r="E325" s="20">
        <v>-0.14000000000000001</v>
      </c>
      <c r="F325" s="20">
        <v>0.06</v>
      </c>
      <c r="G325" s="26">
        <v>2397.58</v>
      </c>
      <c r="H325" s="20"/>
      <c r="I325" s="20"/>
      <c r="J325" s="20"/>
      <c r="K325" s="20"/>
    </row>
    <row r="326" spans="1:11" ht="19.5" customHeight="1" x14ac:dyDescent="0.3">
      <c r="A326" s="22">
        <v>46045.609855694442</v>
      </c>
      <c r="B326" s="20">
        <v>31.8</v>
      </c>
      <c r="C326" s="20">
        <v>80</v>
      </c>
      <c r="D326" s="26">
        <v>80.11</v>
      </c>
      <c r="E326" s="20">
        <v>-0.11</v>
      </c>
      <c r="F326" s="20">
        <v>0.02</v>
      </c>
      <c r="G326" s="26">
        <v>2422.6799999999998</v>
      </c>
      <c r="H326" s="20"/>
      <c r="I326" s="20"/>
      <c r="J326" s="20"/>
      <c r="K326" s="20"/>
    </row>
    <row r="327" spans="1:11" ht="19.5" customHeight="1" x14ac:dyDescent="0.3">
      <c r="A327" s="22">
        <v>46045.609856840281</v>
      </c>
      <c r="B327" s="20">
        <v>31.9</v>
      </c>
      <c r="C327" s="20">
        <v>80</v>
      </c>
      <c r="D327" s="20">
        <v>80.09</v>
      </c>
      <c r="E327" s="20">
        <v>-0.09</v>
      </c>
      <c r="F327" s="20">
        <v>0.02</v>
      </c>
      <c r="G327" s="20">
        <v>2448.1999999999998</v>
      </c>
      <c r="H327" s="20"/>
      <c r="I327" s="20"/>
      <c r="J327" s="20"/>
      <c r="K327" s="20"/>
    </row>
    <row r="328" spans="1:11" ht="19.5" customHeight="1" x14ac:dyDescent="0.3">
      <c r="A328" s="22">
        <v>46045.609858055555</v>
      </c>
      <c r="B328" s="20">
        <v>32</v>
      </c>
      <c r="C328" s="20">
        <v>80</v>
      </c>
      <c r="D328" s="26">
        <v>80.14</v>
      </c>
      <c r="E328" s="20">
        <v>-0.14000000000000001</v>
      </c>
      <c r="F328" s="20">
        <v>-0.05</v>
      </c>
      <c r="G328" s="26">
        <v>2343.92</v>
      </c>
      <c r="H328" s="20"/>
      <c r="I328" s="20"/>
      <c r="J328" s="20"/>
      <c r="K328" s="20"/>
    </row>
    <row r="329" spans="1:11" ht="19.5" customHeight="1" x14ac:dyDescent="0.3">
      <c r="A329" s="22">
        <v>46045.609859155091</v>
      </c>
      <c r="B329" s="20">
        <v>32.1</v>
      </c>
      <c r="C329" s="20">
        <v>80</v>
      </c>
      <c r="D329" s="20">
        <v>80.13</v>
      </c>
      <c r="E329" s="20">
        <v>-0.13</v>
      </c>
      <c r="F329" s="20">
        <v>0.01</v>
      </c>
      <c r="G329" s="26">
        <v>2405.91</v>
      </c>
      <c r="H329" s="20"/>
      <c r="I329" s="20"/>
      <c r="J329" s="20"/>
      <c r="K329" s="20"/>
    </row>
    <row r="330" spans="1:11" ht="19.5" customHeight="1" x14ac:dyDescent="0.3">
      <c r="A330" s="22">
        <v>46045.609860324075</v>
      </c>
      <c r="B330" s="20">
        <v>32.200000000000003</v>
      </c>
      <c r="C330" s="20">
        <v>80</v>
      </c>
      <c r="D330" s="26">
        <v>80.13</v>
      </c>
      <c r="E330" s="20">
        <v>-0.13</v>
      </c>
      <c r="F330" s="20">
        <v>0</v>
      </c>
      <c r="G330" s="20">
        <v>2410.08</v>
      </c>
      <c r="H330" s="20"/>
      <c r="I330" s="20"/>
      <c r="J330" s="20"/>
      <c r="K330" s="20"/>
    </row>
    <row r="331" spans="1:11" ht="19.5" customHeight="1" x14ac:dyDescent="0.3">
      <c r="A331" s="22">
        <v>46045.609861469908</v>
      </c>
      <c r="B331" s="20">
        <v>32.299999999999997</v>
      </c>
      <c r="C331" s="20">
        <v>80</v>
      </c>
      <c r="D331" s="26">
        <v>80.069999999999993</v>
      </c>
      <c r="E331" s="20">
        <v>-7.0000000000000007E-2</v>
      </c>
      <c r="F331" s="20">
        <v>0.06</v>
      </c>
      <c r="G331" s="26">
        <v>2473.7399999999998</v>
      </c>
      <c r="H331" s="20"/>
      <c r="I331" s="20"/>
      <c r="J331" s="20"/>
      <c r="K331" s="20"/>
    </row>
    <row r="332" spans="1:11" ht="19.5" customHeight="1" x14ac:dyDescent="0.3">
      <c r="A332" s="22">
        <v>46045.609862627316</v>
      </c>
      <c r="B332" s="20">
        <v>32.4</v>
      </c>
      <c r="C332" s="20">
        <v>80</v>
      </c>
      <c r="D332" s="20">
        <v>80.03</v>
      </c>
      <c r="E332" s="20">
        <v>-0.03</v>
      </c>
      <c r="F332" s="20">
        <v>0.03</v>
      </c>
      <c r="G332" s="20">
        <v>2510.29</v>
      </c>
      <c r="H332" s="20"/>
      <c r="I332" s="20"/>
      <c r="J332" s="20"/>
      <c r="K332" s="20"/>
    </row>
    <row r="333" spans="1:11" ht="19.5" customHeight="1" x14ac:dyDescent="0.3">
      <c r="A333" s="22">
        <v>46045.609863807869</v>
      </c>
      <c r="B333" s="20">
        <v>32.5</v>
      </c>
      <c r="C333" s="20">
        <v>80</v>
      </c>
      <c r="D333" s="26">
        <v>80.069999999999993</v>
      </c>
      <c r="E333" s="20">
        <v>-7.0000000000000007E-2</v>
      </c>
      <c r="F333" s="20">
        <v>-0.04</v>
      </c>
      <c r="G333" s="26">
        <v>2426.46</v>
      </c>
      <c r="H333" s="20"/>
      <c r="I333" s="20"/>
      <c r="J333" s="20"/>
      <c r="K333" s="20"/>
    </row>
    <row r="334" spans="1:11" ht="19.5" customHeight="1" x14ac:dyDescent="0.3">
      <c r="A334" s="22">
        <v>46045.609864942133</v>
      </c>
      <c r="B334" s="20">
        <v>32.6</v>
      </c>
      <c r="C334" s="20">
        <v>80</v>
      </c>
      <c r="D334" s="26">
        <v>80</v>
      </c>
      <c r="E334" s="20">
        <v>0</v>
      </c>
      <c r="F334" s="20">
        <v>7.0000000000000007E-2</v>
      </c>
      <c r="G334" s="26">
        <v>2548.1999999999998</v>
      </c>
      <c r="H334" s="20"/>
      <c r="I334" s="20"/>
      <c r="J334" s="20"/>
      <c r="K334" s="20"/>
    </row>
    <row r="335" spans="1:11" ht="19.5" customHeight="1" x14ac:dyDescent="0.3">
      <c r="A335" s="22">
        <v>46045.609866122686</v>
      </c>
      <c r="B335" s="20">
        <v>32.700000000000003</v>
      </c>
      <c r="C335" s="20">
        <v>80</v>
      </c>
      <c r="D335" s="20">
        <v>80.069999999999993</v>
      </c>
      <c r="E335" s="20">
        <v>-7.0000000000000007E-2</v>
      </c>
      <c r="F335" s="20">
        <v>-7.0000000000000007E-2</v>
      </c>
      <c r="G335" s="26">
        <v>2424.9699999999998</v>
      </c>
      <c r="H335" s="20"/>
      <c r="I335" s="20"/>
      <c r="J335" s="20"/>
      <c r="K335" s="20"/>
    </row>
    <row r="336" spans="1:11" ht="19.5" customHeight="1" x14ac:dyDescent="0.3">
      <c r="A336" s="22">
        <v>46045.609867256942</v>
      </c>
      <c r="B336" s="20">
        <v>32.799999999999997</v>
      </c>
      <c r="C336" s="20">
        <v>80</v>
      </c>
      <c r="D336" s="26">
        <v>80.03</v>
      </c>
      <c r="E336" s="20">
        <v>-0.03</v>
      </c>
      <c r="F336" s="20">
        <v>0.04</v>
      </c>
      <c r="G336" s="26">
        <v>2514.77</v>
      </c>
      <c r="H336" s="20"/>
      <c r="I336" s="20"/>
      <c r="J336" s="20"/>
      <c r="K336" s="20"/>
    </row>
    <row r="337" spans="1:11" ht="19.5" customHeight="1" x14ac:dyDescent="0.3">
      <c r="A337" s="22">
        <v>46045.609868425927</v>
      </c>
      <c r="B337" s="20">
        <v>32.9</v>
      </c>
      <c r="C337" s="20">
        <v>80</v>
      </c>
      <c r="D337" s="26">
        <v>80.03</v>
      </c>
      <c r="E337" s="20">
        <v>-0.03</v>
      </c>
      <c r="F337" s="20">
        <v>0</v>
      </c>
      <c r="G337" s="26">
        <v>2519.63</v>
      </c>
      <c r="H337" s="20"/>
      <c r="I337" s="20"/>
      <c r="J337" s="20"/>
      <c r="K337" s="20"/>
    </row>
    <row r="338" spans="1:11" ht="19.5" customHeight="1" x14ac:dyDescent="0.3">
      <c r="A338" s="22">
        <v>46045.60986960648</v>
      </c>
      <c r="B338" s="20">
        <v>33</v>
      </c>
      <c r="C338" s="20">
        <v>80</v>
      </c>
      <c r="D338" s="20">
        <v>80.08</v>
      </c>
      <c r="E338" s="20">
        <v>-0.08</v>
      </c>
      <c r="F338" s="20">
        <v>-0.06</v>
      </c>
      <c r="G338" s="26">
        <v>2413.5100000000002</v>
      </c>
      <c r="H338" s="20"/>
      <c r="I338" s="20"/>
      <c r="J338" s="20"/>
      <c r="K338" s="20"/>
    </row>
    <row r="339" spans="1:11" ht="19.5" customHeight="1" x14ac:dyDescent="0.3">
      <c r="A339" s="22">
        <v>46045.609870729168</v>
      </c>
      <c r="B339" s="20">
        <v>33.1</v>
      </c>
      <c r="C339" s="20">
        <v>80</v>
      </c>
      <c r="D339" s="26">
        <v>80.09</v>
      </c>
      <c r="E339" s="20">
        <v>-0.09</v>
      </c>
      <c r="F339" s="20">
        <v>-0.01</v>
      </c>
      <c r="G339" s="26">
        <v>2432.11</v>
      </c>
      <c r="H339" s="20"/>
      <c r="I339" s="20"/>
      <c r="J339" s="20"/>
      <c r="K339" s="20"/>
    </row>
    <row r="340" spans="1:11" ht="19.5" customHeight="1" x14ac:dyDescent="0.3">
      <c r="A340" s="22">
        <v>46045.609871886576</v>
      </c>
      <c r="B340" s="20">
        <v>33.200000000000003</v>
      </c>
      <c r="C340" s="20">
        <v>80</v>
      </c>
      <c r="D340" s="20">
        <v>80.06</v>
      </c>
      <c r="E340" s="20">
        <v>-0.06</v>
      </c>
      <c r="F340" s="20">
        <v>0.03</v>
      </c>
      <c r="G340" s="26">
        <v>2478.7600000000002</v>
      </c>
      <c r="H340" s="20"/>
      <c r="I340" s="20"/>
      <c r="J340" s="20"/>
      <c r="K340" s="20"/>
    </row>
    <row r="341" spans="1:11" ht="19.5" customHeight="1" x14ac:dyDescent="0.3">
      <c r="A341" s="22">
        <v>46045.609873090281</v>
      </c>
      <c r="B341" s="20">
        <v>33.299999999999997</v>
      </c>
      <c r="C341" s="20">
        <v>80</v>
      </c>
      <c r="D341" s="26">
        <v>80.11</v>
      </c>
      <c r="E341" s="20">
        <v>-0.11</v>
      </c>
      <c r="F341" s="20">
        <v>-0.05</v>
      </c>
      <c r="G341" s="20">
        <v>2372.33</v>
      </c>
      <c r="H341" s="20"/>
      <c r="I341" s="20"/>
      <c r="J341" s="20"/>
      <c r="K341" s="20"/>
    </row>
    <row r="342" spans="1:11" ht="19.5" customHeight="1" x14ac:dyDescent="0.3">
      <c r="A342" s="22">
        <v>46045.609874201386</v>
      </c>
      <c r="B342" s="20">
        <v>33.4</v>
      </c>
      <c r="C342" s="20">
        <v>80</v>
      </c>
      <c r="D342" s="26">
        <v>80.069999999999993</v>
      </c>
      <c r="E342" s="20">
        <v>-7.0000000000000007E-2</v>
      </c>
      <c r="F342" s="20">
        <v>0.04</v>
      </c>
      <c r="G342" s="26">
        <v>2469.87</v>
      </c>
      <c r="H342" s="20"/>
      <c r="I342" s="20"/>
      <c r="J342" s="20"/>
      <c r="K342" s="20"/>
    </row>
    <row r="343" spans="1:11" ht="19.5" customHeight="1" x14ac:dyDescent="0.3">
      <c r="A343" s="22">
        <v>46045.609875381946</v>
      </c>
      <c r="B343" s="20">
        <v>33.5</v>
      </c>
      <c r="C343" s="20">
        <v>80</v>
      </c>
      <c r="D343" s="20">
        <v>80.099999999999994</v>
      </c>
      <c r="E343" s="20">
        <v>-0.1</v>
      </c>
      <c r="F343" s="20">
        <v>-0.03</v>
      </c>
      <c r="G343" s="26">
        <v>2404.1</v>
      </c>
      <c r="H343" s="20"/>
      <c r="I343" s="20"/>
      <c r="J343" s="20"/>
      <c r="K343" s="20"/>
    </row>
    <row r="344" spans="1:11" ht="19.5" customHeight="1" x14ac:dyDescent="0.3">
      <c r="A344" s="22">
        <v>46045.609876585651</v>
      </c>
      <c r="B344" s="20">
        <v>33.6</v>
      </c>
      <c r="C344" s="20">
        <v>80</v>
      </c>
      <c r="D344" s="26">
        <v>80.19</v>
      </c>
      <c r="E344" s="20">
        <v>-0.19</v>
      </c>
      <c r="F344" s="20">
        <v>-0.08</v>
      </c>
      <c r="G344" s="26">
        <v>2270.19</v>
      </c>
      <c r="H344" s="20"/>
      <c r="I344" s="20"/>
      <c r="J344" s="20"/>
      <c r="K344" s="20"/>
    </row>
    <row r="345" spans="1:11" ht="19.5" customHeight="1" x14ac:dyDescent="0.3">
      <c r="A345" s="22">
        <v>46045.609877673611</v>
      </c>
      <c r="B345" s="20">
        <v>33.700000000000003</v>
      </c>
      <c r="C345" s="20">
        <v>80</v>
      </c>
      <c r="D345" s="26">
        <v>80.13</v>
      </c>
      <c r="E345" s="20">
        <v>-0.13</v>
      </c>
      <c r="F345" s="20">
        <v>0.06</v>
      </c>
      <c r="G345" s="26">
        <v>2410.08</v>
      </c>
      <c r="H345" s="20"/>
      <c r="I345" s="20"/>
      <c r="J345" s="20"/>
      <c r="K345" s="20"/>
    </row>
    <row r="346" spans="1:11" ht="19.5" customHeight="1" x14ac:dyDescent="0.3">
      <c r="A346" s="22">
        <v>46045.609878842595</v>
      </c>
      <c r="B346" s="20">
        <v>33.799999999999997</v>
      </c>
      <c r="C346" s="20">
        <v>80</v>
      </c>
      <c r="D346" s="20">
        <v>80.17</v>
      </c>
      <c r="E346" s="20">
        <v>-0.17</v>
      </c>
      <c r="F346" s="20">
        <v>-0.05</v>
      </c>
      <c r="G346" s="26">
        <v>2315.5300000000002</v>
      </c>
      <c r="H346" s="20"/>
      <c r="I346" s="20"/>
      <c r="J346" s="20"/>
      <c r="K346" s="20"/>
    </row>
    <row r="347" spans="1:11" ht="19.5" customHeight="1" x14ac:dyDescent="0.3">
      <c r="A347" s="22">
        <v>46045.609880057869</v>
      </c>
      <c r="B347" s="20">
        <v>33.9</v>
      </c>
      <c r="C347" s="20">
        <v>80</v>
      </c>
      <c r="D347" s="26">
        <v>80.209999999999994</v>
      </c>
      <c r="E347" s="20">
        <v>-0.21</v>
      </c>
      <c r="F347" s="20">
        <v>-0.03</v>
      </c>
      <c r="G347" s="26">
        <v>2297.9899999999998</v>
      </c>
      <c r="H347" s="20"/>
      <c r="I347" s="20"/>
      <c r="J347" s="20"/>
      <c r="K347" s="20"/>
    </row>
    <row r="348" spans="1:11" ht="19.5" customHeight="1" x14ac:dyDescent="0.3">
      <c r="A348" s="22">
        <v>46045.609881145836</v>
      </c>
      <c r="B348" s="20">
        <v>34</v>
      </c>
      <c r="C348" s="20">
        <v>80</v>
      </c>
      <c r="D348" s="20">
        <v>80.209999999999994</v>
      </c>
      <c r="E348" s="20">
        <v>-0.21</v>
      </c>
      <c r="F348" s="20">
        <v>0</v>
      </c>
      <c r="G348" s="26">
        <v>2327.59</v>
      </c>
      <c r="H348" s="20"/>
      <c r="I348" s="20"/>
      <c r="J348" s="20"/>
      <c r="K348" s="20"/>
    </row>
    <row r="349" spans="1:11" ht="19.5" customHeight="1" x14ac:dyDescent="0.3">
      <c r="A349" s="22">
        <v>46045.609882326389</v>
      </c>
      <c r="B349" s="20">
        <v>34.1</v>
      </c>
      <c r="C349" s="20">
        <v>80</v>
      </c>
      <c r="D349" s="26">
        <v>80.22</v>
      </c>
      <c r="E349" s="20">
        <v>-0.22</v>
      </c>
      <c r="F349" s="20">
        <v>-0.01</v>
      </c>
      <c r="G349" s="26">
        <v>2311.94</v>
      </c>
      <c r="H349" s="20"/>
      <c r="I349" s="20"/>
      <c r="J349" s="20"/>
      <c r="K349" s="20"/>
    </row>
    <row r="350" spans="1:11" ht="19.5" customHeight="1" x14ac:dyDescent="0.3">
      <c r="A350" s="22">
        <v>46045.609883472222</v>
      </c>
      <c r="B350" s="20">
        <v>34.200000000000003</v>
      </c>
      <c r="C350" s="20">
        <v>80</v>
      </c>
      <c r="D350" s="26">
        <v>80.209999999999994</v>
      </c>
      <c r="E350" s="20">
        <v>-0.21</v>
      </c>
      <c r="F350" s="20">
        <v>0</v>
      </c>
      <c r="G350" s="26">
        <v>2323.44</v>
      </c>
      <c r="H350" s="20"/>
      <c r="I350" s="20"/>
      <c r="J350" s="20"/>
      <c r="K350" s="20"/>
    </row>
    <row r="351" spans="1:11" ht="19.5" customHeight="1" x14ac:dyDescent="0.3">
      <c r="A351" s="22">
        <v>46045.609884641206</v>
      </c>
      <c r="B351" s="20">
        <v>34.299999999999997</v>
      </c>
      <c r="C351" s="20">
        <v>80</v>
      </c>
      <c r="D351" s="20">
        <v>80.22</v>
      </c>
      <c r="E351" s="20">
        <v>-0.22</v>
      </c>
      <c r="F351" s="20">
        <v>0</v>
      </c>
      <c r="G351" s="26">
        <v>2315.63</v>
      </c>
      <c r="H351" s="20"/>
      <c r="I351" s="20"/>
      <c r="J351" s="20"/>
      <c r="K351" s="20"/>
    </row>
    <row r="352" spans="1:11" ht="19.5" customHeight="1" x14ac:dyDescent="0.3">
      <c r="A352" s="22">
        <v>46045.609885810183</v>
      </c>
      <c r="B352" s="20">
        <v>34.4</v>
      </c>
      <c r="C352" s="20">
        <v>80</v>
      </c>
      <c r="D352" s="26">
        <v>80.209999999999994</v>
      </c>
      <c r="E352" s="20">
        <v>-0.21</v>
      </c>
      <c r="F352" s="20">
        <v>0</v>
      </c>
      <c r="G352" s="20">
        <v>2323.44</v>
      </c>
      <c r="H352" s="20"/>
      <c r="I352" s="20"/>
      <c r="J352" s="20"/>
      <c r="K352" s="20"/>
    </row>
    <row r="353" spans="1:11" ht="19.5" customHeight="1" x14ac:dyDescent="0.3">
      <c r="A353" s="22">
        <v>46045.609886956016</v>
      </c>
      <c r="B353" s="20">
        <v>34.5</v>
      </c>
      <c r="C353" s="20">
        <v>80</v>
      </c>
      <c r="D353" s="26">
        <v>80.22</v>
      </c>
      <c r="E353" s="20">
        <v>-0.22</v>
      </c>
      <c r="F353" s="20">
        <v>-0.01</v>
      </c>
      <c r="G353" s="26">
        <v>2300.09</v>
      </c>
      <c r="H353" s="20"/>
      <c r="I353" s="20"/>
      <c r="J353" s="20"/>
      <c r="K353" s="20"/>
    </row>
    <row r="354" spans="1:11" ht="19.5" customHeight="1" x14ac:dyDescent="0.3">
      <c r="A354" s="22">
        <v>46045.609888113424</v>
      </c>
      <c r="B354" s="20">
        <v>34.6</v>
      </c>
      <c r="C354" s="20">
        <v>80</v>
      </c>
      <c r="D354" s="20">
        <v>80.239999999999995</v>
      </c>
      <c r="E354" s="20">
        <v>-0.24</v>
      </c>
      <c r="F354" s="20">
        <v>-0.01</v>
      </c>
      <c r="G354" s="20">
        <v>2287.64</v>
      </c>
      <c r="H354" s="20"/>
      <c r="I354" s="20"/>
      <c r="J354" s="20"/>
      <c r="K354" s="20"/>
    </row>
    <row r="355" spans="1:11" ht="19.5" customHeight="1" x14ac:dyDescent="0.3">
      <c r="A355" s="22">
        <v>46045.609889259256</v>
      </c>
      <c r="B355" s="20">
        <v>34.700000000000003</v>
      </c>
      <c r="C355" s="20">
        <v>80</v>
      </c>
      <c r="D355" s="26">
        <v>80.22</v>
      </c>
      <c r="E355" s="20">
        <v>-0.22</v>
      </c>
      <c r="F355" s="20">
        <v>0.02</v>
      </c>
      <c r="G355" s="26">
        <v>2315.1799999999998</v>
      </c>
      <c r="H355" s="20"/>
      <c r="I355" s="20"/>
      <c r="J355" s="20"/>
      <c r="K355" s="20"/>
    </row>
    <row r="356" spans="1:11" ht="19.5" customHeight="1" x14ac:dyDescent="0.3">
      <c r="A356" s="22">
        <v>46045.609890416665</v>
      </c>
      <c r="B356" s="20">
        <v>34.799999999999997</v>
      </c>
      <c r="C356" s="20">
        <v>80</v>
      </c>
      <c r="D356" s="20">
        <v>80.209999999999994</v>
      </c>
      <c r="E356" s="20">
        <v>-0.21</v>
      </c>
      <c r="F356" s="20">
        <v>0.01</v>
      </c>
      <c r="G356" s="26">
        <v>2327.59</v>
      </c>
      <c r="H356" s="20"/>
      <c r="I356" s="20"/>
      <c r="J356" s="20"/>
      <c r="K356" s="20"/>
    </row>
    <row r="357" spans="1:11" ht="19.5" customHeight="1" x14ac:dyDescent="0.3">
      <c r="A357" s="22">
        <v>46045.609891585649</v>
      </c>
      <c r="B357" s="20">
        <v>34.9</v>
      </c>
      <c r="C357" s="20">
        <v>80</v>
      </c>
      <c r="D357" s="26">
        <v>80.25</v>
      </c>
      <c r="E357" s="20">
        <v>-0.25</v>
      </c>
      <c r="F357" s="20">
        <v>-0.04</v>
      </c>
      <c r="G357" s="20">
        <v>2241.8200000000002</v>
      </c>
      <c r="H357" s="20"/>
      <c r="I357" s="20"/>
      <c r="J357" s="20"/>
      <c r="K357" s="20"/>
    </row>
    <row r="358" spans="1:11" ht="19.5" customHeight="1" x14ac:dyDescent="0.3">
      <c r="A358" s="22">
        <v>46045.609892719905</v>
      </c>
      <c r="B358" s="20">
        <v>35</v>
      </c>
      <c r="C358" s="20">
        <v>80</v>
      </c>
      <c r="D358" s="26">
        <v>80.23</v>
      </c>
      <c r="E358" s="20">
        <v>-0.23</v>
      </c>
      <c r="F358" s="20">
        <v>0.02</v>
      </c>
      <c r="G358" s="26">
        <v>2302.79</v>
      </c>
      <c r="H358" s="20"/>
      <c r="I358" s="20"/>
      <c r="J358" s="20"/>
      <c r="K358" s="20"/>
    </row>
    <row r="359" spans="1:11" ht="19.5" customHeight="1" x14ac:dyDescent="0.3">
      <c r="A359" s="22">
        <v>46045.609893877314</v>
      </c>
      <c r="B359" s="20">
        <v>35.1</v>
      </c>
      <c r="C359" s="20">
        <v>80</v>
      </c>
      <c r="D359" s="20">
        <v>80.19</v>
      </c>
      <c r="E359" s="20">
        <v>-0.19</v>
      </c>
      <c r="F359" s="20">
        <v>0.04</v>
      </c>
      <c r="G359" s="20">
        <v>2339.9</v>
      </c>
      <c r="H359" s="20"/>
      <c r="I359" s="20"/>
      <c r="J359" s="20"/>
      <c r="K359" s="20"/>
    </row>
    <row r="360" spans="1:11" ht="19.5" customHeight="1" x14ac:dyDescent="0.3">
      <c r="A360" s="22">
        <v>46045.609895046298</v>
      </c>
      <c r="B360" s="20">
        <v>35.200000000000003</v>
      </c>
      <c r="C360" s="20">
        <v>80</v>
      </c>
      <c r="D360" s="26">
        <v>80.180000000000007</v>
      </c>
      <c r="E360" s="20">
        <v>-0.18</v>
      </c>
      <c r="F360" s="20">
        <v>0.01</v>
      </c>
      <c r="G360" s="26">
        <v>2352.2399999999998</v>
      </c>
      <c r="H360" s="20"/>
      <c r="I360" s="20"/>
      <c r="J360" s="20"/>
      <c r="K360" s="20"/>
    </row>
    <row r="361" spans="1:11" ht="19.5" customHeight="1" x14ac:dyDescent="0.3">
      <c r="A361" s="22">
        <v>46045.609896192131</v>
      </c>
      <c r="B361" s="20">
        <v>35.299999999999997</v>
      </c>
      <c r="C361" s="20">
        <v>80</v>
      </c>
      <c r="D361" s="20">
        <v>80.19</v>
      </c>
      <c r="E361" s="20">
        <v>-0.19</v>
      </c>
      <c r="F361" s="20">
        <v>0</v>
      </c>
      <c r="G361" s="26">
        <v>2344.38</v>
      </c>
      <c r="H361" s="20"/>
      <c r="I361" s="20"/>
      <c r="J361" s="20"/>
      <c r="K361" s="20"/>
    </row>
    <row r="362" spans="1:11" ht="19.5" customHeight="1" x14ac:dyDescent="0.3">
      <c r="A362" s="22">
        <v>46045.609897372684</v>
      </c>
      <c r="B362" s="20">
        <v>35.4</v>
      </c>
      <c r="C362" s="20">
        <v>80</v>
      </c>
      <c r="D362" s="26">
        <v>80.14</v>
      </c>
      <c r="E362" s="20">
        <v>-0.14000000000000001</v>
      </c>
      <c r="F362" s="20">
        <v>0.04</v>
      </c>
      <c r="G362" s="26">
        <v>2393.41</v>
      </c>
      <c r="H362" s="20"/>
      <c r="I362" s="20"/>
      <c r="J362" s="20"/>
      <c r="K362" s="20"/>
    </row>
    <row r="363" spans="1:11" ht="19.5" customHeight="1" x14ac:dyDescent="0.3">
      <c r="A363" s="22">
        <v>46045.609898506948</v>
      </c>
      <c r="B363" s="20">
        <v>35.5</v>
      </c>
      <c r="C363" s="20">
        <v>80</v>
      </c>
      <c r="D363" s="26">
        <v>80.209999999999994</v>
      </c>
      <c r="E363" s="20">
        <v>-0.21</v>
      </c>
      <c r="F363" s="20">
        <v>-0.06</v>
      </c>
      <c r="G363" s="26">
        <v>2268.61</v>
      </c>
      <c r="H363" s="20"/>
      <c r="I363" s="20"/>
      <c r="J363" s="20"/>
      <c r="K363" s="20"/>
    </row>
    <row r="364" spans="1:11" ht="19.5" customHeight="1" x14ac:dyDescent="0.3">
      <c r="A364" s="22">
        <v>46045.609899675925</v>
      </c>
      <c r="B364" s="20">
        <v>35.6</v>
      </c>
      <c r="C364" s="20">
        <v>80</v>
      </c>
      <c r="D364" s="20">
        <v>80.17</v>
      </c>
      <c r="E364" s="20">
        <v>-0.17</v>
      </c>
      <c r="F364" s="20">
        <v>0.04</v>
      </c>
      <c r="G364" s="26">
        <v>2364.54</v>
      </c>
      <c r="H364" s="20"/>
      <c r="I364" s="20"/>
      <c r="J364" s="20"/>
      <c r="K364" s="20"/>
    </row>
    <row r="365" spans="1:11" ht="19.5" customHeight="1" x14ac:dyDescent="0.3">
      <c r="A365" s="22">
        <v>46045.609900844909</v>
      </c>
      <c r="B365" s="20">
        <v>35.700000000000003</v>
      </c>
      <c r="C365" s="20">
        <v>80</v>
      </c>
      <c r="D365" s="26">
        <v>80.16</v>
      </c>
      <c r="E365" s="20">
        <v>-0.16</v>
      </c>
      <c r="F365" s="20">
        <v>0.01</v>
      </c>
      <c r="G365" s="20">
        <v>2372.7800000000002</v>
      </c>
      <c r="H365" s="20"/>
      <c r="I365" s="20"/>
      <c r="J365" s="20"/>
      <c r="K365" s="20"/>
    </row>
    <row r="366" spans="1:11" ht="19.5" customHeight="1" x14ac:dyDescent="0.3">
      <c r="A366" s="22">
        <v>46045.609901990741</v>
      </c>
      <c r="B366" s="20">
        <v>35.799999999999997</v>
      </c>
      <c r="C366" s="20">
        <v>80</v>
      </c>
      <c r="D366" s="26">
        <v>80.16</v>
      </c>
      <c r="E366" s="20">
        <v>-0.16</v>
      </c>
      <c r="F366" s="20">
        <v>0</v>
      </c>
      <c r="G366" s="26">
        <v>2376.91</v>
      </c>
      <c r="H366" s="20"/>
      <c r="I366" s="20"/>
      <c r="J366" s="20"/>
      <c r="K366" s="20"/>
    </row>
    <row r="367" spans="1:11" ht="19.5" customHeight="1" x14ac:dyDescent="0.3">
      <c r="A367" s="22">
        <v>46045.60990314815</v>
      </c>
      <c r="B367" s="20">
        <v>35.9</v>
      </c>
      <c r="C367" s="20">
        <v>80</v>
      </c>
      <c r="D367" s="20">
        <v>80.099999999999994</v>
      </c>
      <c r="E367" s="20">
        <v>-0.1</v>
      </c>
      <c r="F367" s="20">
        <v>0.06</v>
      </c>
      <c r="G367" s="26">
        <v>2439.61</v>
      </c>
      <c r="H367" s="20"/>
      <c r="I367" s="20"/>
      <c r="J367" s="20"/>
      <c r="K367" s="20"/>
    </row>
    <row r="368" spans="1:11" ht="19.5" customHeight="1" x14ac:dyDescent="0.3">
      <c r="A368" s="22">
        <v>46045.609904305558</v>
      </c>
      <c r="B368" s="20">
        <v>36</v>
      </c>
      <c r="C368" s="20">
        <v>80</v>
      </c>
      <c r="D368" s="26">
        <v>80.150000000000006</v>
      </c>
      <c r="E368" s="20">
        <v>-0.15</v>
      </c>
      <c r="F368" s="20">
        <v>-0.06</v>
      </c>
      <c r="G368" s="20">
        <v>2328.12</v>
      </c>
      <c r="H368" s="20"/>
      <c r="I368" s="20"/>
      <c r="J368" s="20"/>
      <c r="K368" s="20"/>
    </row>
    <row r="369" spans="1:11" ht="19.5" customHeight="1" x14ac:dyDescent="0.3">
      <c r="A369" s="22">
        <v>46045.609905462959</v>
      </c>
      <c r="B369" s="20">
        <v>36.1</v>
      </c>
      <c r="C369" s="20">
        <v>80</v>
      </c>
      <c r="D369" s="20">
        <v>80.11</v>
      </c>
      <c r="E369" s="20">
        <v>-0.11</v>
      </c>
      <c r="F369" s="20">
        <v>0.05</v>
      </c>
      <c r="G369" s="26">
        <v>2431.14</v>
      </c>
      <c r="H369" s="20"/>
      <c r="I369" s="20"/>
      <c r="J369" s="20"/>
      <c r="K369" s="20"/>
    </row>
    <row r="370" spans="1:11" ht="19.5" customHeight="1" x14ac:dyDescent="0.3">
      <c r="A370" s="22">
        <v>46045.609906620368</v>
      </c>
      <c r="B370" s="20">
        <v>36.200000000000003</v>
      </c>
      <c r="C370" s="20">
        <v>80</v>
      </c>
      <c r="D370" s="26">
        <v>80.13</v>
      </c>
      <c r="E370" s="20">
        <v>-0.13</v>
      </c>
      <c r="F370" s="20">
        <v>-0.02</v>
      </c>
      <c r="G370" s="20">
        <v>2382.85</v>
      </c>
      <c r="H370" s="20"/>
      <c r="I370" s="20"/>
      <c r="J370" s="20"/>
      <c r="K370" s="20"/>
    </row>
    <row r="371" spans="1:11" ht="19.5" customHeight="1" x14ac:dyDescent="0.3">
      <c r="A371" s="22">
        <v>46045.6099077662</v>
      </c>
      <c r="B371" s="20">
        <v>36.299999999999997</v>
      </c>
      <c r="C371" s="20">
        <v>80</v>
      </c>
      <c r="D371" s="26">
        <v>80.11</v>
      </c>
      <c r="E371" s="20">
        <v>-0.11</v>
      </c>
      <c r="F371" s="20">
        <v>0.02</v>
      </c>
      <c r="G371" s="26">
        <v>2422.6799999999998</v>
      </c>
      <c r="H371" s="20"/>
      <c r="I371" s="20"/>
      <c r="J371" s="20"/>
      <c r="K371" s="20"/>
    </row>
    <row r="372" spans="1:11" ht="19.5" customHeight="1" x14ac:dyDescent="0.3">
      <c r="A372" s="22">
        <v>46045.609908935185</v>
      </c>
      <c r="B372" s="20">
        <v>36.4</v>
      </c>
      <c r="C372" s="20">
        <v>80</v>
      </c>
      <c r="D372" s="20">
        <v>80.13</v>
      </c>
      <c r="E372" s="20">
        <v>-0.13</v>
      </c>
      <c r="F372" s="20">
        <v>-0.01</v>
      </c>
      <c r="G372" s="26">
        <v>2398.5500000000002</v>
      </c>
      <c r="H372" s="20"/>
      <c r="I372" s="20"/>
      <c r="J372" s="20"/>
      <c r="K372" s="20"/>
    </row>
    <row r="373" spans="1:11" ht="19.5" customHeight="1" x14ac:dyDescent="0.3">
      <c r="A373" s="22">
        <v>46045.609910104169</v>
      </c>
      <c r="B373" s="20">
        <v>36.5</v>
      </c>
      <c r="C373" s="20">
        <v>80</v>
      </c>
      <c r="D373" s="26">
        <v>80.05</v>
      </c>
      <c r="E373" s="20">
        <v>-0.05</v>
      </c>
      <c r="F373" s="20">
        <v>0.08</v>
      </c>
      <c r="G373" s="26">
        <v>2491</v>
      </c>
      <c r="H373" s="20"/>
      <c r="I373" s="20"/>
      <c r="J373" s="20"/>
      <c r="K373" s="20"/>
    </row>
    <row r="374" spans="1:11" ht="19.5" customHeight="1" x14ac:dyDescent="0.3">
      <c r="A374" s="22">
        <v>46045.609911261578</v>
      </c>
      <c r="B374" s="20">
        <v>36.6</v>
      </c>
      <c r="C374" s="20">
        <v>80</v>
      </c>
      <c r="D374" s="26">
        <v>80.13</v>
      </c>
      <c r="E374" s="20">
        <v>-0.13</v>
      </c>
      <c r="F374" s="20">
        <v>-0.08</v>
      </c>
      <c r="G374" s="26">
        <v>2345.9299999999998</v>
      </c>
      <c r="H374" s="20"/>
      <c r="I374" s="20"/>
      <c r="J374" s="20"/>
      <c r="K374" s="20"/>
    </row>
    <row r="375" spans="1:11" ht="19.5" customHeight="1" x14ac:dyDescent="0.3">
      <c r="A375" s="22">
        <v>46045.60991240741</v>
      </c>
      <c r="B375" s="20">
        <v>36.700000000000003</v>
      </c>
      <c r="C375" s="20">
        <v>80</v>
      </c>
      <c r="D375" s="20">
        <v>80.12</v>
      </c>
      <c r="E375" s="20">
        <v>-0.12</v>
      </c>
      <c r="F375" s="20">
        <v>0.01</v>
      </c>
      <c r="G375" s="26">
        <v>2418.4299999999998</v>
      </c>
      <c r="H375" s="20"/>
      <c r="I375" s="20"/>
      <c r="J375" s="20"/>
      <c r="K375" s="20"/>
    </row>
    <row r="376" spans="1:11" ht="19.5" customHeight="1" x14ac:dyDescent="0.3">
      <c r="A376" s="22">
        <v>46045.609913576387</v>
      </c>
      <c r="B376" s="20">
        <v>36.799999999999997</v>
      </c>
      <c r="C376" s="20">
        <v>80</v>
      </c>
      <c r="D376" s="26">
        <v>80.09</v>
      </c>
      <c r="E376" s="20">
        <v>-0.09</v>
      </c>
      <c r="F376" s="20">
        <v>0.02</v>
      </c>
      <c r="G376" s="26">
        <v>2443.88</v>
      </c>
      <c r="H376" s="20"/>
      <c r="I376" s="20"/>
      <c r="J376" s="20"/>
      <c r="K376" s="20"/>
    </row>
    <row r="377" spans="1:11" ht="19.5" customHeight="1" x14ac:dyDescent="0.3">
      <c r="A377" s="22">
        <v>46045.609914733795</v>
      </c>
      <c r="B377" s="20">
        <v>36.9</v>
      </c>
      <c r="C377" s="20">
        <v>80</v>
      </c>
      <c r="D377" s="20">
        <v>80.06</v>
      </c>
      <c r="E377" s="20">
        <v>-0.06</v>
      </c>
      <c r="F377" s="20">
        <v>0.04</v>
      </c>
      <c r="G377" s="26">
        <v>2483.1999999999998</v>
      </c>
      <c r="H377" s="20"/>
      <c r="I377" s="20"/>
      <c r="J377" s="20"/>
      <c r="K377" s="20"/>
    </row>
    <row r="378" spans="1:11" ht="19.5" customHeight="1" x14ac:dyDescent="0.3">
      <c r="A378" s="22">
        <v>46045.609915891204</v>
      </c>
      <c r="B378" s="20">
        <v>37</v>
      </c>
      <c r="C378" s="20">
        <v>80</v>
      </c>
      <c r="D378" s="26">
        <v>80.14</v>
      </c>
      <c r="E378" s="20">
        <v>-0.14000000000000001</v>
      </c>
      <c r="F378" s="20">
        <v>-0.08</v>
      </c>
      <c r="G378" s="26">
        <v>2327.83</v>
      </c>
      <c r="H378" s="20"/>
      <c r="I378" s="20"/>
      <c r="J378" s="20"/>
      <c r="K378" s="20"/>
    </row>
    <row r="379" spans="1:11" ht="19.5" customHeight="1" x14ac:dyDescent="0.3">
      <c r="A379" s="22">
        <v>46045.609917037036</v>
      </c>
      <c r="B379" s="20">
        <v>37.1</v>
      </c>
      <c r="C379" s="20">
        <v>80</v>
      </c>
      <c r="D379" s="26">
        <v>80.069999999999993</v>
      </c>
      <c r="E379" s="20">
        <v>-7.0000000000000007E-2</v>
      </c>
      <c r="F379" s="20">
        <v>7.0000000000000007E-2</v>
      </c>
      <c r="G379" s="26">
        <v>2473.2600000000002</v>
      </c>
      <c r="H379" s="20"/>
      <c r="I379" s="20"/>
      <c r="J379" s="20"/>
      <c r="K379" s="20"/>
    </row>
    <row r="380" spans="1:11" ht="19.5" customHeight="1" x14ac:dyDescent="0.3">
      <c r="A380" s="22">
        <v>46045.609918194445</v>
      </c>
      <c r="B380" s="20">
        <v>37.200000000000003</v>
      </c>
      <c r="C380" s="20">
        <v>80</v>
      </c>
      <c r="D380" s="20">
        <v>80.06</v>
      </c>
      <c r="E380" s="20">
        <v>-0.06</v>
      </c>
      <c r="F380" s="20">
        <v>0</v>
      </c>
      <c r="G380" s="26">
        <v>2478.7600000000002</v>
      </c>
      <c r="H380" s="20"/>
      <c r="I380" s="20"/>
      <c r="J380" s="20"/>
      <c r="K380" s="20"/>
    </row>
    <row r="381" spans="1:11" ht="19.5" customHeight="1" x14ac:dyDescent="0.3">
      <c r="A381" s="22">
        <v>46045.60991939815</v>
      </c>
      <c r="B381" s="20">
        <v>37.299999999999997</v>
      </c>
      <c r="C381" s="20">
        <v>80</v>
      </c>
      <c r="D381" s="26">
        <v>80.06</v>
      </c>
      <c r="E381" s="20">
        <v>-0.06</v>
      </c>
      <c r="F381" s="20">
        <v>0</v>
      </c>
      <c r="G381" s="26">
        <v>2478.7600000000002</v>
      </c>
      <c r="H381" s="20"/>
      <c r="I381" s="20"/>
      <c r="J381" s="20"/>
      <c r="K381" s="20"/>
    </row>
    <row r="382" spans="1:11" ht="19.5" customHeight="1" x14ac:dyDescent="0.3">
      <c r="A382" s="22">
        <v>46045.60992052083</v>
      </c>
      <c r="B382" s="20">
        <v>37.4</v>
      </c>
      <c r="C382" s="20">
        <v>80</v>
      </c>
      <c r="D382" s="26">
        <v>80.12</v>
      </c>
      <c r="E382" s="20">
        <v>-0.12</v>
      </c>
      <c r="F382" s="20">
        <v>-0.06</v>
      </c>
      <c r="G382" s="26">
        <v>2356.54</v>
      </c>
      <c r="H382" s="20"/>
      <c r="I382" s="20"/>
      <c r="J382" s="20"/>
      <c r="K382" s="20"/>
    </row>
    <row r="383" spans="1:11" ht="19.5" customHeight="1" x14ac:dyDescent="0.3">
      <c r="A383" s="22">
        <v>46045.609921689815</v>
      </c>
      <c r="B383" s="20">
        <v>37.5</v>
      </c>
      <c r="C383" s="20">
        <v>80</v>
      </c>
      <c r="D383" s="20">
        <v>80.069999999999993</v>
      </c>
      <c r="E383" s="20">
        <v>-7.0000000000000007E-2</v>
      </c>
      <c r="F383" s="20">
        <v>0.06</v>
      </c>
      <c r="G383" s="20">
        <v>2473.89</v>
      </c>
      <c r="H383" s="20"/>
      <c r="I383" s="20"/>
      <c r="J383" s="20"/>
      <c r="K383" s="20"/>
    </row>
    <row r="384" spans="1:11" ht="19.5" customHeight="1" x14ac:dyDescent="0.3">
      <c r="A384" s="22">
        <v>46045.609922812502</v>
      </c>
      <c r="B384" s="20">
        <v>37.6</v>
      </c>
      <c r="C384" s="20">
        <v>80</v>
      </c>
      <c r="D384" s="26">
        <v>80.069999999999993</v>
      </c>
      <c r="E384" s="20">
        <v>-7.0000000000000007E-2</v>
      </c>
      <c r="F384" s="20">
        <v>0</v>
      </c>
      <c r="G384" s="26">
        <v>2465.87</v>
      </c>
      <c r="H384" s="20"/>
      <c r="I384" s="20"/>
      <c r="J384" s="20"/>
      <c r="K384" s="20"/>
    </row>
    <row r="385" spans="1:11" ht="19.5" customHeight="1" x14ac:dyDescent="0.3">
      <c r="A385" s="22">
        <v>46045.609923981479</v>
      </c>
      <c r="B385" s="20">
        <v>37.700000000000003</v>
      </c>
      <c r="C385" s="20">
        <v>80</v>
      </c>
      <c r="D385" s="20">
        <v>80.069999999999993</v>
      </c>
      <c r="E385" s="20">
        <v>-7.0000000000000007E-2</v>
      </c>
      <c r="F385" s="20">
        <v>0</v>
      </c>
      <c r="G385" s="20">
        <v>2474.3200000000002</v>
      </c>
      <c r="H385" s="20"/>
      <c r="I385" s="20"/>
      <c r="J385" s="20"/>
      <c r="K385" s="20"/>
    </row>
    <row r="386" spans="1:11" ht="19.5" customHeight="1" x14ac:dyDescent="0.3">
      <c r="A386" s="22">
        <v>46045.609925138888</v>
      </c>
      <c r="B386" s="20">
        <v>37.799999999999997</v>
      </c>
      <c r="C386" s="20">
        <v>80</v>
      </c>
      <c r="D386" s="26">
        <v>80.150000000000006</v>
      </c>
      <c r="E386" s="20">
        <v>-0.15</v>
      </c>
      <c r="F386" s="20">
        <v>-0.08</v>
      </c>
      <c r="G386" s="26">
        <v>2315.81</v>
      </c>
      <c r="H386" s="20"/>
      <c r="I386" s="20"/>
      <c r="J386" s="20"/>
      <c r="K386" s="20"/>
    </row>
    <row r="387" spans="1:11" ht="19.5" customHeight="1" x14ac:dyDescent="0.3">
      <c r="A387" s="22">
        <v>46045.609926296296</v>
      </c>
      <c r="B387" s="20">
        <v>37.9</v>
      </c>
      <c r="C387" s="20">
        <v>80</v>
      </c>
      <c r="D387" s="26">
        <v>80.11</v>
      </c>
      <c r="E387" s="20">
        <v>-0.11</v>
      </c>
      <c r="F387" s="20">
        <v>0.03</v>
      </c>
      <c r="G387" s="26">
        <v>2422.6799999999998</v>
      </c>
      <c r="H387" s="20"/>
      <c r="I387" s="20"/>
      <c r="J387" s="20"/>
      <c r="K387" s="20"/>
    </row>
    <row r="388" spans="1:11" ht="19.5" customHeight="1" x14ac:dyDescent="0.3">
      <c r="A388" s="22">
        <v>46045.609927453705</v>
      </c>
      <c r="B388" s="20">
        <v>38</v>
      </c>
      <c r="C388" s="20">
        <v>80</v>
      </c>
      <c r="D388" s="20">
        <v>80.13</v>
      </c>
      <c r="E388" s="20">
        <v>-0.13</v>
      </c>
      <c r="F388" s="20">
        <v>-0.02</v>
      </c>
      <c r="G388" s="26">
        <v>2382.58</v>
      </c>
      <c r="H388" s="20"/>
      <c r="I388" s="20"/>
      <c r="J388" s="20"/>
      <c r="K388" s="20"/>
    </row>
    <row r="389" spans="1:11" ht="19.5" customHeight="1" x14ac:dyDescent="0.3">
      <c r="A389" s="22">
        <v>46045.609928645834</v>
      </c>
      <c r="B389" s="20">
        <v>38.1</v>
      </c>
      <c r="C389" s="20">
        <v>80</v>
      </c>
      <c r="D389" s="26">
        <v>80.17</v>
      </c>
      <c r="E389" s="20">
        <v>-0.17</v>
      </c>
      <c r="F389" s="20">
        <v>-0.04</v>
      </c>
      <c r="G389" s="26">
        <v>2330.77</v>
      </c>
      <c r="H389" s="20"/>
      <c r="I389" s="20"/>
      <c r="J389" s="20"/>
      <c r="K389" s="20"/>
    </row>
    <row r="390" spans="1:11" ht="19.5" customHeight="1" x14ac:dyDescent="0.3">
      <c r="A390" s="22">
        <v>46045.609929756945</v>
      </c>
      <c r="B390" s="20">
        <v>38.200000000000003</v>
      </c>
      <c r="C390" s="20">
        <v>80</v>
      </c>
      <c r="D390" s="26">
        <v>80.22</v>
      </c>
      <c r="E390" s="20">
        <v>-0.22</v>
      </c>
      <c r="F390" s="20">
        <v>-0.05</v>
      </c>
      <c r="G390" s="26">
        <v>2271.0300000000002</v>
      </c>
      <c r="H390" s="20"/>
      <c r="I390" s="20"/>
      <c r="J390" s="20"/>
      <c r="K390" s="20"/>
    </row>
    <row r="391" spans="1:11" ht="19.5" customHeight="1" x14ac:dyDescent="0.3">
      <c r="A391" s="22">
        <v>46045.609930914354</v>
      </c>
      <c r="B391" s="20">
        <v>38.299999999999997</v>
      </c>
      <c r="C391" s="20">
        <v>80</v>
      </c>
      <c r="D391" s="20">
        <v>80.27</v>
      </c>
      <c r="E391" s="20">
        <v>-0.27</v>
      </c>
      <c r="F391" s="20">
        <v>-0.05</v>
      </c>
      <c r="G391" s="26">
        <v>2213.5700000000002</v>
      </c>
      <c r="H391" s="20"/>
      <c r="I391" s="20"/>
      <c r="J391" s="20"/>
      <c r="K391" s="20"/>
    </row>
    <row r="392" spans="1:11" ht="19.5" customHeight="1" x14ac:dyDescent="0.3">
      <c r="A392" s="22">
        <v>46045.609932083331</v>
      </c>
      <c r="B392" s="20">
        <v>38.4</v>
      </c>
      <c r="C392" s="20">
        <v>80</v>
      </c>
      <c r="D392" s="26">
        <v>80.25</v>
      </c>
      <c r="E392" s="20">
        <v>-0.25</v>
      </c>
      <c r="F392" s="20">
        <v>0.02</v>
      </c>
      <c r="G392" s="26">
        <v>2286.12</v>
      </c>
      <c r="H392" s="20"/>
      <c r="I392" s="20"/>
      <c r="J392" s="20"/>
      <c r="K392" s="20"/>
    </row>
    <row r="393" spans="1:11" ht="19.5" customHeight="1" x14ac:dyDescent="0.3">
      <c r="A393" s="22">
        <v>46045.609933240739</v>
      </c>
      <c r="B393" s="20">
        <v>38.5</v>
      </c>
      <c r="C393" s="20">
        <v>80</v>
      </c>
      <c r="D393" s="20">
        <v>80.319999999999993</v>
      </c>
      <c r="E393" s="20">
        <v>-0.32</v>
      </c>
      <c r="F393" s="20">
        <v>-7.0000000000000007E-2</v>
      </c>
      <c r="G393" s="26">
        <v>2151.56</v>
      </c>
      <c r="H393" s="20"/>
      <c r="I393" s="20"/>
      <c r="J393" s="20"/>
      <c r="K393" s="20"/>
    </row>
    <row r="394" spans="1:11" ht="19.5" customHeight="1" x14ac:dyDescent="0.3">
      <c r="A394" s="22">
        <v>46045.609934409724</v>
      </c>
      <c r="B394" s="20">
        <v>38.6</v>
      </c>
      <c r="C394" s="20">
        <v>80</v>
      </c>
      <c r="D394" s="26">
        <v>80.290000000000006</v>
      </c>
      <c r="E394" s="20">
        <v>-0.28999999999999998</v>
      </c>
      <c r="F394" s="20">
        <v>0.02</v>
      </c>
      <c r="G394" s="26">
        <v>2239.23</v>
      </c>
      <c r="H394" s="20"/>
      <c r="I394" s="20"/>
      <c r="J394" s="20"/>
      <c r="K394" s="20"/>
    </row>
    <row r="395" spans="1:11" ht="19.5" customHeight="1" x14ac:dyDescent="0.3">
      <c r="A395" s="22">
        <v>46045.609935555556</v>
      </c>
      <c r="B395" s="20">
        <v>38.700000000000003</v>
      </c>
      <c r="C395" s="20">
        <v>80</v>
      </c>
      <c r="D395" s="26">
        <v>80.31</v>
      </c>
      <c r="E395" s="20">
        <v>-0.31</v>
      </c>
      <c r="F395" s="20">
        <v>-0.02</v>
      </c>
      <c r="G395" s="26">
        <v>2207.2199999999998</v>
      </c>
      <c r="H395" s="20"/>
      <c r="I395" s="20"/>
      <c r="J395" s="20"/>
      <c r="K395" s="20"/>
    </row>
    <row r="396" spans="1:11" ht="19.5" customHeight="1" x14ac:dyDescent="0.3">
      <c r="A396" s="22">
        <v>46045.609936712965</v>
      </c>
      <c r="B396" s="20">
        <v>38.799999999999997</v>
      </c>
      <c r="C396" s="20">
        <v>80</v>
      </c>
      <c r="D396" s="20">
        <v>80.33</v>
      </c>
      <c r="E396" s="20">
        <v>-0.33</v>
      </c>
      <c r="F396" s="20">
        <v>-0.02</v>
      </c>
      <c r="G396" s="26">
        <v>2172.96</v>
      </c>
      <c r="H396" s="20"/>
      <c r="I396" s="20"/>
      <c r="J396" s="20"/>
      <c r="K396" s="20"/>
    </row>
    <row r="397" spans="1:11" ht="19.5" customHeight="1" x14ac:dyDescent="0.3">
      <c r="A397" s="22">
        <v>46045.609937870373</v>
      </c>
      <c r="B397" s="20">
        <v>38.9</v>
      </c>
      <c r="C397" s="20">
        <v>80</v>
      </c>
      <c r="D397" s="26">
        <v>80.31</v>
      </c>
      <c r="E397" s="20">
        <v>-0.31</v>
      </c>
      <c r="F397" s="20">
        <v>0.02</v>
      </c>
      <c r="G397" s="26">
        <v>2221.69</v>
      </c>
      <c r="H397" s="20"/>
      <c r="I397" s="20"/>
      <c r="J397" s="20"/>
      <c r="K397" s="20"/>
    </row>
    <row r="398" spans="1:11" ht="19.5" customHeight="1" x14ac:dyDescent="0.3">
      <c r="A398" s="22">
        <v>46045.60993903935</v>
      </c>
      <c r="B398" s="20">
        <v>39</v>
      </c>
      <c r="C398" s="20">
        <v>80</v>
      </c>
      <c r="D398" s="26">
        <v>80.36</v>
      </c>
      <c r="E398" s="20">
        <v>-0.36</v>
      </c>
      <c r="F398" s="20">
        <v>-0.05</v>
      </c>
      <c r="G398" s="20">
        <v>2123.35</v>
      </c>
      <c r="H398" s="20"/>
      <c r="I398" s="20"/>
      <c r="J398" s="20"/>
      <c r="K398" s="20"/>
    </row>
    <row r="399" spans="1:11" ht="19.5" customHeight="1" x14ac:dyDescent="0.3">
      <c r="A399" s="22">
        <v>46045.609940185182</v>
      </c>
      <c r="B399" s="20">
        <v>39.1</v>
      </c>
      <c r="C399" s="20">
        <v>80</v>
      </c>
      <c r="D399" s="20">
        <v>80.290000000000006</v>
      </c>
      <c r="E399" s="20">
        <v>-0.28999999999999998</v>
      </c>
      <c r="F399" s="20">
        <v>7.0000000000000007E-2</v>
      </c>
      <c r="G399" s="26">
        <v>2243.5500000000002</v>
      </c>
      <c r="H399" s="20"/>
      <c r="I399" s="20"/>
      <c r="J399" s="20"/>
      <c r="K399" s="20"/>
    </row>
    <row r="400" spans="1:11" ht="19.5" customHeight="1" x14ac:dyDescent="0.3">
      <c r="A400" s="22">
        <v>46045.609941354167</v>
      </c>
      <c r="B400" s="20">
        <v>39.200000000000003</v>
      </c>
      <c r="C400" s="20">
        <v>80</v>
      </c>
      <c r="D400" s="26">
        <v>80.3</v>
      </c>
      <c r="E400" s="20">
        <v>-0.3</v>
      </c>
      <c r="F400" s="20">
        <v>-0.02</v>
      </c>
      <c r="G400" s="26">
        <v>2211.65</v>
      </c>
      <c r="H400" s="20"/>
      <c r="I400" s="20"/>
      <c r="J400" s="20"/>
      <c r="K400" s="20"/>
    </row>
    <row r="401" spans="1:11" ht="19.5" customHeight="1" x14ac:dyDescent="0.3">
      <c r="A401" s="22">
        <v>46045.609942488423</v>
      </c>
      <c r="B401" s="20">
        <v>39.299999999999997</v>
      </c>
      <c r="C401" s="20">
        <v>80</v>
      </c>
      <c r="D401" s="26">
        <v>80.239999999999995</v>
      </c>
      <c r="E401" s="20">
        <v>-0.24</v>
      </c>
      <c r="F401" s="20">
        <v>7.0000000000000007E-2</v>
      </c>
      <c r="G401" s="20">
        <v>2298.62</v>
      </c>
      <c r="H401" s="20"/>
      <c r="I401" s="20"/>
      <c r="J401" s="20"/>
      <c r="K401" s="20"/>
    </row>
    <row r="402" spans="1:11" ht="19.5" customHeight="1" x14ac:dyDescent="0.3">
      <c r="A402" s="22">
        <v>46045.609943668984</v>
      </c>
      <c r="B402" s="20">
        <v>39.4</v>
      </c>
      <c r="C402" s="20">
        <v>80</v>
      </c>
      <c r="D402" s="20">
        <v>80.27</v>
      </c>
      <c r="E402" s="20">
        <v>-0.27</v>
      </c>
      <c r="F402" s="20">
        <v>-0.03</v>
      </c>
      <c r="G402" s="26">
        <v>2235.92</v>
      </c>
      <c r="H402" s="20"/>
      <c r="I402" s="20"/>
      <c r="J402" s="20"/>
      <c r="K402" s="20"/>
    </row>
    <row r="403" spans="1:11" ht="19.5" customHeight="1" x14ac:dyDescent="0.3">
      <c r="A403" s="22">
        <v>46045.609944826392</v>
      </c>
      <c r="B403" s="20">
        <v>39.5</v>
      </c>
      <c r="C403" s="20">
        <v>80</v>
      </c>
      <c r="D403" s="26">
        <v>80.17</v>
      </c>
      <c r="E403" s="20">
        <v>-0.17</v>
      </c>
      <c r="F403" s="20">
        <v>0.09</v>
      </c>
      <c r="G403" s="26">
        <v>2360.4499999999998</v>
      </c>
      <c r="H403" s="20"/>
      <c r="I403" s="20"/>
      <c r="J403" s="20"/>
      <c r="K403" s="20"/>
    </row>
    <row r="404" spans="1:11" ht="19.5" customHeight="1" x14ac:dyDescent="0.3">
      <c r="A404" s="22">
        <v>46045.609945972225</v>
      </c>
      <c r="B404" s="20">
        <v>39.6</v>
      </c>
      <c r="C404" s="20">
        <v>80</v>
      </c>
      <c r="D404" s="26">
        <v>80.209999999999994</v>
      </c>
      <c r="E404" s="20">
        <v>-0.21</v>
      </c>
      <c r="F404" s="20">
        <v>-0.04</v>
      </c>
      <c r="G404" s="26">
        <v>2290.21</v>
      </c>
      <c r="H404" s="20"/>
      <c r="I404" s="20"/>
      <c r="J404" s="20"/>
      <c r="K404" s="20"/>
    </row>
    <row r="405" spans="1:11" ht="19.5" customHeight="1" x14ac:dyDescent="0.3">
      <c r="A405" s="22">
        <v>46045.609947141202</v>
      </c>
      <c r="B405" s="20">
        <v>39.700000000000003</v>
      </c>
      <c r="C405" s="20">
        <v>80</v>
      </c>
      <c r="D405" s="20">
        <v>80.19</v>
      </c>
      <c r="E405" s="20">
        <v>-0.19</v>
      </c>
      <c r="F405" s="20">
        <v>0.02</v>
      </c>
      <c r="G405" s="26">
        <v>2339.9</v>
      </c>
      <c r="H405" s="20"/>
      <c r="I405" s="20"/>
      <c r="J405" s="20"/>
      <c r="K405" s="20"/>
    </row>
    <row r="406" spans="1:11" ht="19.5" customHeight="1" x14ac:dyDescent="0.3">
      <c r="A406" s="22">
        <v>46045.609948287034</v>
      </c>
      <c r="B406" s="20">
        <v>39.799999999999997</v>
      </c>
      <c r="C406" s="20">
        <v>80</v>
      </c>
      <c r="D406" s="26">
        <v>80.150000000000006</v>
      </c>
      <c r="E406" s="20">
        <v>-0.15</v>
      </c>
      <c r="F406" s="20">
        <v>0.05</v>
      </c>
      <c r="G406" s="26">
        <v>2389.27</v>
      </c>
      <c r="H406" s="20"/>
      <c r="I406" s="20"/>
      <c r="J406" s="20"/>
      <c r="K406" s="20"/>
    </row>
    <row r="407" spans="1:11" ht="19.5" customHeight="1" x14ac:dyDescent="0.3">
      <c r="A407" s="22">
        <v>46045.609949456019</v>
      </c>
      <c r="B407" s="20">
        <v>39.9</v>
      </c>
      <c r="C407" s="20">
        <v>80</v>
      </c>
      <c r="D407" s="26">
        <v>80.09</v>
      </c>
      <c r="E407" s="20">
        <v>-0.09</v>
      </c>
      <c r="F407" s="20">
        <v>0.06</v>
      </c>
      <c r="G407" s="26">
        <v>2448.19</v>
      </c>
      <c r="H407" s="20"/>
      <c r="I407" s="20"/>
      <c r="J407" s="20"/>
      <c r="K407" s="20"/>
    </row>
    <row r="408" spans="1:11" ht="19.5" customHeight="1" x14ac:dyDescent="0.3">
      <c r="A408" s="22">
        <v>46045.609950648148</v>
      </c>
      <c r="B408" s="20">
        <v>40</v>
      </c>
      <c r="C408" s="20">
        <v>80</v>
      </c>
      <c r="D408" s="20">
        <v>80.069999999999993</v>
      </c>
      <c r="E408" s="20">
        <v>-7.0000000000000007E-2</v>
      </c>
      <c r="F408" s="20">
        <v>0.02</v>
      </c>
      <c r="G408" s="20">
        <v>2474.3200000000002</v>
      </c>
      <c r="H408" s="20"/>
      <c r="I408" s="20"/>
      <c r="J408" s="20"/>
      <c r="K408" s="20"/>
    </row>
    <row r="409" spans="1:11" ht="19.5" customHeight="1" x14ac:dyDescent="0.3">
      <c r="A409" s="22">
        <v>46045.609951770835</v>
      </c>
      <c r="B409" s="20">
        <v>40.1</v>
      </c>
      <c r="C409" s="20">
        <v>80</v>
      </c>
      <c r="D409" s="26">
        <v>80.08</v>
      </c>
      <c r="E409" s="20">
        <v>-0.08</v>
      </c>
      <c r="F409" s="20">
        <v>-0.02</v>
      </c>
      <c r="G409" s="26">
        <v>2440.98</v>
      </c>
      <c r="H409" s="20"/>
      <c r="I409" s="20"/>
      <c r="J409" s="20"/>
      <c r="K409" s="20"/>
    </row>
    <row r="410" spans="1:11" ht="19.5" customHeight="1" x14ac:dyDescent="0.3">
      <c r="A410" s="22">
        <v>46045.609952916668</v>
      </c>
      <c r="B410" s="20">
        <v>40.200000000000003</v>
      </c>
      <c r="C410" s="20">
        <v>80</v>
      </c>
      <c r="D410" s="20">
        <v>80.09</v>
      </c>
      <c r="E410" s="20">
        <v>-0.09</v>
      </c>
      <c r="F410" s="20">
        <v>-0.01</v>
      </c>
      <c r="G410" s="26">
        <v>2440.31</v>
      </c>
      <c r="H410" s="20"/>
      <c r="I410" s="20"/>
      <c r="J410" s="20"/>
      <c r="K410" s="20"/>
    </row>
    <row r="411" spans="1:11" ht="19.5" customHeight="1" x14ac:dyDescent="0.3">
      <c r="A411" s="22">
        <v>46045.609954074076</v>
      </c>
      <c r="B411" s="20">
        <v>40.299999999999997</v>
      </c>
      <c r="C411" s="20">
        <v>80</v>
      </c>
      <c r="D411" s="26">
        <v>80.040000000000006</v>
      </c>
      <c r="E411" s="20">
        <v>-0.04</v>
      </c>
      <c r="F411" s="20">
        <v>0.05</v>
      </c>
      <c r="G411" s="26">
        <v>2505.41</v>
      </c>
      <c r="H411" s="20"/>
      <c r="I411" s="20"/>
      <c r="J411" s="20"/>
      <c r="K411" s="20"/>
    </row>
    <row r="412" spans="1:11" ht="19.5" customHeight="1" x14ac:dyDescent="0.3">
      <c r="A412" s="22">
        <v>46045.609955243053</v>
      </c>
      <c r="B412" s="20">
        <v>40.4</v>
      </c>
      <c r="C412" s="20">
        <v>80</v>
      </c>
      <c r="D412" s="26">
        <v>80.05</v>
      </c>
      <c r="E412" s="20">
        <v>-0.05</v>
      </c>
      <c r="F412" s="20">
        <v>-0.01</v>
      </c>
      <c r="G412" s="26">
        <v>2479.92</v>
      </c>
      <c r="H412" s="20"/>
      <c r="I412" s="20"/>
      <c r="J412" s="20"/>
      <c r="K412" s="20"/>
    </row>
    <row r="413" spans="1:11" ht="19.5" customHeight="1" x14ac:dyDescent="0.3">
      <c r="A413" s="22">
        <v>46045.609956388886</v>
      </c>
      <c r="B413" s="20">
        <v>40.5</v>
      </c>
      <c r="C413" s="20">
        <v>80</v>
      </c>
      <c r="D413" s="20">
        <v>80.069999999999993</v>
      </c>
      <c r="E413" s="20">
        <v>-7.0000000000000007E-2</v>
      </c>
      <c r="F413" s="20">
        <v>-0.02</v>
      </c>
      <c r="G413" s="26">
        <v>2441.5300000000002</v>
      </c>
      <c r="H413" s="20"/>
      <c r="I413" s="20"/>
      <c r="J413" s="20"/>
      <c r="K413" s="20"/>
    </row>
    <row r="414" spans="1:11" ht="19.5" customHeight="1" x14ac:dyDescent="0.3">
      <c r="A414" s="22">
        <v>46045.609957569446</v>
      </c>
      <c r="B414" s="20">
        <v>40.6</v>
      </c>
      <c r="C414" s="20">
        <v>80</v>
      </c>
      <c r="D414" s="26">
        <v>80.069999999999993</v>
      </c>
      <c r="E414" s="20">
        <v>-7.0000000000000007E-2</v>
      </c>
      <c r="F414" s="20">
        <v>0.01</v>
      </c>
      <c r="G414" s="20">
        <v>2474.3200000000002</v>
      </c>
      <c r="H414" s="20"/>
      <c r="I414" s="20"/>
      <c r="J414" s="20"/>
      <c r="K414" s="20"/>
    </row>
    <row r="415" spans="1:11" ht="19.5" customHeight="1" x14ac:dyDescent="0.3">
      <c r="A415" s="22">
        <v>46045.609958715278</v>
      </c>
      <c r="B415" s="20">
        <v>40.700000000000003</v>
      </c>
      <c r="C415" s="20">
        <v>80</v>
      </c>
      <c r="D415" s="26">
        <v>80.08</v>
      </c>
      <c r="E415" s="20">
        <v>-0.08</v>
      </c>
      <c r="F415" s="20">
        <v>-0.01</v>
      </c>
      <c r="G415" s="26">
        <v>2449.25</v>
      </c>
      <c r="H415" s="20"/>
      <c r="I415" s="20"/>
      <c r="J415" s="20"/>
      <c r="K415" s="20"/>
    </row>
    <row r="416" spans="1:11" ht="19.5" customHeight="1" x14ac:dyDescent="0.3">
      <c r="A416" s="22">
        <v>46045.609959872687</v>
      </c>
      <c r="B416" s="20">
        <v>40.799999999999997</v>
      </c>
      <c r="C416" s="20">
        <v>80</v>
      </c>
      <c r="D416" s="20">
        <v>80.09</v>
      </c>
      <c r="E416" s="20">
        <v>-0.09</v>
      </c>
      <c r="F416" s="20">
        <v>-0.02</v>
      </c>
      <c r="G416" s="26">
        <v>2428.16</v>
      </c>
      <c r="H416" s="20"/>
      <c r="I416" s="20"/>
      <c r="J416" s="20"/>
      <c r="K416" s="20"/>
    </row>
    <row r="417" spans="1:11" ht="19.5" customHeight="1" x14ac:dyDescent="0.3">
      <c r="A417" s="22">
        <v>46045.609961018519</v>
      </c>
      <c r="B417" s="20">
        <v>40.9</v>
      </c>
      <c r="C417" s="20">
        <v>80</v>
      </c>
      <c r="D417" s="26">
        <v>80.06</v>
      </c>
      <c r="E417" s="20">
        <v>-0.06</v>
      </c>
      <c r="F417" s="20">
        <v>0.03</v>
      </c>
      <c r="G417" s="26">
        <v>2478.7600000000002</v>
      </c>
      <c r="H417" s="20"/>
      <c r="I417" s="20"/>
      <c r="J417" s="20"/>
      <c r="K417" s="20"/>
    </row>
    <row r="418" spans="1:11" ht="19.5" customHeight="1" x14ac:dyDescent="0.3">
      <c r="A418" s="22">
        <v>46045.609962187496</v>
      </c>
      <c r="B418" s="20">
        <v>41</v>
      </c>
      <c r="C418" s="20">
        <v>80</v>
      </c>
      <c r="D418" s="20">
        <v>80.13</v>
      </c>
      <c r="E418" s="20">
        <v>-0.13</v>
      </c>
      <c r="F418" s="20">
        <v>-7.0000000000000007E-2</v>
      </c>
      <c r="G418" s="26">
        <v>2333.85</v>
      </c>
      <c r="H418" s="20"/>
      <c r="I418" s="20"/>
      <c r="J418" s="20"/>
      <c r="K418" s="20"/>
    </row>
    <row r="419" spans="1:11" ht="19.5" customHeight="1" x14ac:dyDescent="0.3">
      <c r="A419" s="22">
        <v>46045.609963333336</v>
      </c>
      <c r="B419" s="20">
        <v>41.1</v>
      </c>
      <c r="C419" s="20">
        <v>80</v>
      </c>
      <c r="D419" s="26">
        <v>80.13</v>
      </c>
      <c r="E419" s="20">
        <v>-0.13</v>
      </c>
      <c r="F419" s="20">
        <v>0.01</v>
      </c>
      <c r="G419" s="20">
        <v>2410.08</v>
      </c>
      <c r="H419" s="20"/>
      <c r="I419" s="20"/>
      <c r="J419" s="20"/>
      <c r="K419" s="20"/>
    </row>
    <row r="420" spans="1:11" ht="19.5" customHeight="1" x14ac:dyDescent="0.3">
      <c r="A420" s="22">
        <v>46045.609964490737</v>
      </c>
      <c r="B420" s="20">
        <v>41.2</v>
      </c>
      <c r="C420" s="20">
        <v>80</v>
      </c>
      <c r="D420" s="26">
        <v>80.16</v>
      </c>
      <c r="E420" s="20">
        <v>-0.16</v>
      </c>
      <c r="F420" s="20">
        <v>-0.04</v>
      </c>
      <c r="G420" s="26">
        <v>2338.89</v>
      </c>
      <c r="H420" s="20"/>
      <c r="I420" s="20"/>
      <c r="J420" s="20"/>
      <c r="K420" s="20"/>
    </row>
    <row r="421" spans="1:11" ht="19.5" customHeight="1" x14ac:dyDescent="0.3">
      <c r="A421" s="22">
        <v>46045.609965659722</v>
      </c>
      <c r="B421" s="20">
        <v>41.3</v>
      </c>
      <c r="C421" s="20">
        <v>80</v>
      </c>
      <c r="D421" s="20">
        <v>80.17</v>
      </c>
      <c r="E421" s="20">
        <v>-0.17</v>
      </c>
      <c r="F421" s="20">
        <v>-0.01</v>
      </c>
      <c r="G421" s="20">
        <v>2349.2399999999998</v>
      </c>
      <c r="H421" s="20"/>
      <c r="I421" s="20"/>
      <c r="J421" s="20"/>
      <c r="K421" s="20"/>
    </row>
    <row r="422" spans="1:11" ht="19.5" customHeight="1" x14ac:dyDescent="0.3">
      <c r="A422" s="22">
        <v>46045.609966805554</v>
      </c>
      <c r="B422" s="20">
        <v>41.4</v>
      </c>
      <c r="C422" s="20">
        <v>80</v>
      </c>
      <c r="D422" s="26">
        <v>80.17</v>
      </c>
      <c r="E422" s="20">
        <v>-0.17</v>
      </c>
      <c r="F422" s="20">
        <v>0.01</v>
      </c>
      <c r="G422" s="26">
        <v>2368.64</v>
      </c>
      <c r="H422" s="20"/>
      <c r="I422" s="20"/>
      <c r="J422" s="20"/>
      <c r="K422" s="20"/>
    </row>
    <row r="423" spans="1:11" ht="19.5" customHeight="1" x14ac:dyDescent="0.3">
      <c r="A423" s="22">
        <v>46045.609967962962</v>
      </c>
      <c r="B423" s="20">
        <v>41.5</v>
      </c>
      <c r="C423" s="20">
        <v>80</v>
      </c>
      <c r="D423" s="26">
        <v>80.19</v>
      </c>
      <c r="E423" s="20">
        <v>-0.19</v>
      </c>
      <c r="F423" s="20">
        <v>-0.02</v>
      </c>
      <c r="G423" s="26">
        <v>2329.46</v>
      </c>
      <c r="H423" s="20"/>
      <c r="I423" s="20"/>
      <c r="J423" s="20"/>
      <c r="K423" s="20"/>
    </row>
    <row r="424" spans="1:11" ht="19.5" customHeight="1" x14ac:dyDescent="0.3">
      <c r="A424" s="22">
        <v>46045.609969131947</v>
      </c>
      <c r="B424" s="20">
        <v>41.6</v>
      </c>
      <c r="C424" s="20">
        <v>80</v>
      </c>
      <c r="D424" s="20">
        <v>80.22</v>
      </c>
      <c r="E424" s="20">
        <v>-0.22</v>
      </c>
      <c r="F424" s="20">
        <v>-0.03</v>
      </c>
      <c r="G424" s="20">
        <v>2285.6999999999998</v>
      </c>
      <c r="H424" s="20"/>
      <c r="I424" s="20"/>
      <c r="J424" s="20"/>
      <c r="K424" s="20"/>
    </row>
    <row r="425" spans="1:11" ht="19.5" customHeight="1" x14ac:dyDescent="0.3">
      <c r="A425" s="22">
        <v>46045.609970289355</v>
      </c>
      <c r="B425" s="20">
        <v>41.7</v>
      </c>
      <c r="C425" s="20">
        <v>80</v>
      </c>
      <c r="D425" s="26">
        <v>80.19</v>
      </c>
      <c r="E425" s="20">
        <v>-0.19</v>
      </c>
      <c r="F425" s="20">
        <v>0.02</v>
      </c>
      <c r="G425" s="26">
        <v>2339.9</v>
      </c>
      <c r="H425" s="20"/>
      <c r="I425" s="20"/>
      <c r="J425" s="20"/>
      <c r="K425" s="20"/>
    </row>
    <row r="426" spans="1:11" ht="19.5" customHeight="1" x14ac:dyDescent="0.3">
      <c r="A426" s="22">
        <v>46045.609971446756</v>
      </c>
      <c r="B426" s="20">
        <v>41.8</v>
      </c>
      <c r="C426" s="20">
        <v>80</v>
      </c>
      <c r="D426" s="20">
        <v>80.27</v>
      </c>
      <c r="E426" s="20">
        <v>-0.27</v>
      </c>
      <c r="F426" s="20">
        <v>-7.0000000000000007E-2</v>
      </c>
      <c r="G426" s="26">
        <v>2199.81</v>
      </c>
      <c r="H426" s="20"/>
      <c r="I426" s="20"/>
      <c r="J426" s="20"/>
      <c r="K426" s="20"/>
    </row>
    <row r="427" spans="1:11" ht="19.5" customHeight="1" x14ac:dyDescent="0.3">
      <c r="A427" s="22">
        <v>46045.609972592596</v>
      </c>
      <c r="B427" s="20">
        <v>41.9</v>
      </c>
      <c r="C427" s="20">
        <v>80</v>
      </c>
      <c r="D427" s="26">
        <v>80.25</v>
      </c>
      <c r="E427" s="20">
        <v>-0.25</v>
      </c>
      <c r="F427" s="20">
        <v>0.02</v>
      </c>
      <c r="G427" s="26">
        <v>2286.12</v>
      </c>
      <c r="H427" s="20"/>
      <c r="I427" s="20"/>
      <c r="J427" s="20"/>
      <c r="K427" s="20"/>
    </row>
    <row r="428" spans="1:11" ht="19.5" customHeight="1" x14ac:dyDescent="0.3">
      <c r="A428" s="22">
        <v>46045.609973749997</v>
      </c>
      <c r="B428" s="20">
        <v>42</v>
      </c>
      <c r="C428" s="20">
        <v>80</v>
      </c>
      <c r="D428" s="26">
        <v>80.290000000000006</v>
      </c>
      <c r="E428" s="20">
        <v>-0.28999999999999998</v>
      </c>
      <c r="F428" s="20">
        <v>-0.04</v>
      </c>
      <c r="G428" s="26">
        <v>2199.42</v>
      </c>
      <c r="H428" s="20"/>
      <c r="I428" s="20"/>
      <c r="J428" s="20"/>
      <c r="K428" s="20"/>
    </row>
    <row r="429" spans="1:11" ht="19.5" customHeight="1" x14ac:dyDescent="0.3">
      <c r="A429" s="22">
        <v>46045.609974907406</v>
      </c>
      <c r="B429" s="20">
        <v>42.1</v>
      </c>
      <c r="C429" s="20">
        <v>80</v>
      </c>
      <c r="D429" s="20">
        <v>80.28</v>
      </c>
      <c r="E429" s="20">
        <v>-0.28000000000000003</v>
      </c>
      <c r="F429" s="20">
        <v>0.02</v>
      </c>
      <c r="G429" s="26">
        <v>2256.52</v>
      </c>
      <c r="H429" s="20"/>
      <c r="I429" s="20"/>
      <c r="J429" s="20"/>
      <c r="K429" s="20"/>
    </row>
    <row r="430" spans="1:11" ht="19.5" customHeight="1" x14ac:dyDescent="0.3">
      <c r="A430" s="22">
        <v>46045.609976064814</v>
      </c>
      <c r="B430" s="20">
        <v>42.2</v>
      </c>
      <c r="C430" s="20">
        <v>80</v>
      </c>
      <c r="D430" s="26">
        <v>80.319999999999993</v>
      </c>
      <c r="E430" s="20">
        <v>-0.32</v>
      </c>
      <c r="F430" s="20">
        <v>-0.04</v>
      </c>
      <c r="G430" s="26">
        <v>2176.67</v>
      </c>
      <c r="H430" s="20"/>
      <c r="I430" s="20"/>
      <c r="J430" s="20"/>
      <c r="K430" s="20"/>
    </row>
    <row r="431" spans="1:11" ht="19.5" customHeight="1" x14ac:dyDescent="0.3">
      <c r="A431" s="22">
        <v>46045.609977222222</v>
      </c>
      <c r="B431" s="20">
        <v>42.3</v>
      </c>
      <c r="C431" s="20">
        <v>80</v>
      </c>
      <c r="D431" s="20">
        <v>80.28</v>
      </c>
      <c r="E431" s="20">
        <v>-0.28000000000000003</v>
      </c>
      <c r="F431" s="20">
        <v>0.03</v>
      </c>
      <c r="G431" s="26">
        <v>2247.92</v>
      </c>
      <c r="H431" s="20"/>
      <c r="I431" s="20"/>
      <c r="J431" s="20"/>
      <c r="K431" s="20"/>
    </row>
    <row r="432" spans="1:11" ht="19.5" customHeight="1" x14ac:dyDescent="0.3">
      <c r="A432" s="22">
        <v>46045.609978391207</v>
      </c>
      <c r="B432" s="20">
        <v>42.4</v>
      </c>
      <c r="C432" s="20">
        <v>80</v>
      </c>
      <c r="D432" s="26">
        <v>80.31</v>
      </c>
      <c r="E432" s="20">
        <v>-0.31</v>
      </c>
      <c r="F432" s="20">
        <v>-0.03</v>
      </c>
      <c r="G432" s="20">
        <v>2191.86</v>
      </c>
      <c r="H432" s="20"/>
      <c r="I432" s="20"/>
      <c r="J432" s="20"/>
      <c r="K432" s="20"/>
    </row>
    <row r="433" spans="1:11" ht="19.5" customHeight="1" x14ac:dyDescent="0.3">
      <c r="A433" s="22">
        <v>46045.609979537039</v>
      </c>
      <c r="B433" s="20">
        <v>42.5</v>
      </c>
      <c r="C433" s="20">
        <v>80</v>
      </c>
      <c r="D433" s="26">
        <v>80.290000000000006</v>
      </c>
      <c r="E433" s="20">
        <v>-0.28999999999999998</v>
      </c>
      <c r="F433" s="20">
        <v>0.02</v>
      </c>
      <c r="G433" s="26">
        <v>2239.23</v>
      </c>
      <c r="H433" s="20"/>
      <c r="I433" s="20"/>
      <c r="J433" s="20"/>
      <c r="K433" s="20"/>
    </row>
    <row r="434" spans="1:11" ht="19.5" customHeight="1" x14ac:dyDescent="0.3">
      <c r="A434" s="22">
        <v>46045.609980694448</v>
      </c>
      <c r="B434" s="20">
        <v>42.6</v>
      </c>
      <c r="C434" s="20">
        <v>80</v>
      </c>
      <c r="D434" s="20">
        <v>80.33</v>
      </c>
      <c r="E434" s="20">
        <v>-0.33</v>
      </c>
      <c r="F434" s="20">
        <v>-0.04</v>
      </c>
      <c r="G434" s="26">
        <v>2166.77</v>
      </c>
      <c r="H434" s="20"/>
      <c r="I434" s="20"/>
      <c r="J434" s="20"/>
      <c r="K434" s="20"/>
    </row>
    <row r="435" spans="1:11" ht="19.5" customHeight="1" x14ac:dyDescent="0.3">
      <c r="A435" s="22">
        <v>46045.609981863425</v>
      </c>
      <c r="B435" s="20">
        <v>42.7</v>
      </c>
      <c r="C435" s="20">
        <v>80</v>
      </c>
      <c r="D435" s="26">
        <v>80.28</v>
      </c>
      <c r="E435" s="20">
        <v>-0.28000000000000003</v>
      </c>
      <c r="F435" s="20">
        <v>0.04</v>
      </c>
      <c r="G435" s="20">
        <v>2247.92</v>
      </c>
      <c r="H435" s="20"/>
      <c r="I435" s="20"/>
      <c r="J435" s="20"/>
      <c r="K435" s="20"/>
    </row>
    <row r="436" spans="1:11" ht="19.5" customHeight="1" x14ac:dyDescent="0.3">
      <c r="A436" s="22">
        <v>46045.609983020833</v>
      </c>
      <c r="B436" s="20">
        <v>42.8</v>
      </c>
      <c r="C436" s="20">
        <v>80</v>
      </c>
      <c r="D436" s="26">
        <v>80.23</v>
      </c>
      <c r="E436" s="20">
        <v>-0.23</v>
      </c>
      <c r="F436" s="20">
        <v>0.05</v>
      </c>
      <c r="G436" s="26">
        <v>2302.79</v>
      </c>
      <c r="H436" s="20"/>
      <c r="I436" s="20"/>
      <c r="J436" s="20"/>
      <c r="K436" s="20"/>
    </row>
    <row r="437" spans="1:11" ht="19.5" customHeight="1" x14ac:dyDescent="0.3">
      <c r="A437" s="22">
        <v>46045.609984155089</v>
      </c>
      <c r="B437" s="20">
        <v>42.9</v>
      </c>
      <c r="C437" s="20">
        <v>80</v>
      </c>
      <c r="D437" s="20">
        <v>80.28</v>
      </c>
      <c r="E437" s="20">
        <v>-0.28000000000000003</v>
      </c>
      <c r="F437" s="20">
        <v>-0.04</v>
      </c>
      <c r="G437" s="20">
        <v>2216.63</v>
      </c>
      <c r="H437" s="20"/>
      <c r="I437" s="20"/>
      <c r="J437" s="20"/>
      <c r="K437" s="20"/>
    </row>
    <row r="438" spans="1:11" ht="19.5" customHeight="1" x14ac:dyDescent="0.3">
      <c r="A438" s="22">
        <v>46045.60998533565</v>
      </c>
      <c r="B438" s="20">
        <v>43</v>
      </c>
      <c r="C438" s="20">
        <v>80</v>
      </c>
      <c r="D438" s="26">
        <v>80.260000000000005</v>
      </c>
      <c r="E438" s="20">
        <v>-0.26</v>
      </c>
      <c r="F438" s="20">
        <v>0.01</v>
      </c>
      <c r="G438" s="26">
        <v>2269.25</v>
      </c>
      <c r="H438" s="20"/>
      <c r="I438" s="20"/>
      <c r="J438" s="20"/>
      <c r="K438" s="20"/>
    </row>
    <row r="439" spans="1:11" ht="19.5" customHeight="1" x14ac:dyDescent="0.3">
      <c r="A439" s="22">
        <v>46045.609986481482</v>
      </c>
      <c r="B439" s="20">
        <v>43.1</v>
      </c>
      <c r="C439" s="20">
        <v>80</v>
      </c>
      <c r="D439" s="20">
        <v>80.239999999999995</v>
      </c>
      <c r="E439" s="20">
        <v>-0.24</v>
      </c>
      <c r="F439" s="20">
        <v>0.02</v>
      </c>
      <c r="G439" s="20">
        <v>2294.4299999999998</v>
      </c>
      <c r="H439" s="20"/>
      <c r="I439" s="20"/>
      <c r="J439" s="20"/>
      <c r="K439" s="20"/>
    </row>
    <row r="440" spans="1:11" ht="19.5" customHeight="1" x14ac:dyDescent="0.3">
      <c r="A440" s="22">
        <v>46045.60998765046</v>
      </c>
      <c r="B440" s="20">
        <v>43.2</v>
      </c>
      <c r="C440" s="20">
        <v>80</v>
      </c>
      <c r="D440" s="26">
        <v>80.16</v>
      </c>
      <c r="E440" s="20">
        <v>-0.16</v>
      </c>
      <c r="F440" s="20">
        <v>0.08</v>
      </c>
      <c r="G440" s="26">
        <v>2376.91</v>
      </c>
      <c r="H440" s="20"/>
      <c r="I440" s="20"/>
      <c r="J440" s="20"/>
      <c r="K440" s="20"/>
    </row>
    <row r="441" spans="1:11" ht="19.5" customHeight="1" x14ac:dyDescent="0.3">
      <c r="A441" s="22">
        <v>46045.609988796299</v>
      </c>
      <c r="B441" s="20">
        <v>43.3</v>
      </c>
      <c r="C441" s="20">
        <v>80</v>
      </c>
      <c r="D441" s="26">
        <v>80.19</v>
      </c>
      <c r="E441" s="20">
        <v>-0.19</v>
      </c>
      <c r="F441" s="20">
        <v>-0.03</v>
      </c>
      <c r="G441" s="26">
        <v>2321.9899999999998</v>
      </c>
      <c r="H441" s="20"/>
      <c r="I441" s="20"/>
      <c r="J441" s="20"/>
      <c r="K441" s="20"/>
    </row>
    <row r="442" spans="1:11" ht="19.5" customHeight="1" x14ac:dyDescent="0.3">
      <c r="A442" s="22">
        <v>46045.609989965276</v>
      </c>
      <c r="B442" s="20">
        <v>43.4</v>
      </c>
      <c r="C442" s="20">
        <v>80</v>
      </c>
      <c r="D442" s="20">
        <v>80.19</v>
      </c>
      <c r="E442" s="20">
        <v>-0.19</v>
      </c>
      <c r="F442" s="20">
        <v>0</v>
      </c>
      <c r="G442" s="20">
        <v>2348.12</v>
      </c>
      <c r="H442" s="20"/>
      <c r="I442" s="20"/>
      <c r="J442" s="20"/>
      <c r="K442" s="20"/>
    </row>
    <row r="443" spans="1:11" ht="19.5" customHeight="1" x14ac:dyDescent="0.3">
      <c r="A443" s="22">
        <v>46045.60999109954</v>
      </c>
      <c r="B443" s="20">
        <v>43.5</v>
      </c>
      <c r="C443" s="20">
        <v>80</v>
      </c>
      <c r="D443" s="26">
        <v>80.2</v>
      </c>
      <c r="E443" s="20">
        <v>-0.2</v>
      </c>
      <c r="F443" s="20">
        <v>-0.02</v>
      </c>
      <c r="G443" s="26">
        <v>2316.9</v>
      </c>
      <c r="H443" s="20"/>
      <c r="I443" s="20"/>
      <c r="J443" s="20"/>
      <c r="K443" s="20"/>
    </row>
    <row r="444" spans="1:11" ht="19.5" customHeight="1" x14ac:dyDescent="0.3">
      <c r="A444" s="22">
        <v>46045.609992268517</v>
      </c>
      <c r="B444" s="20">
        <v>43.6</v>
      </c>
      <c r="C444" s="20">
        <v>80</v>
      </c>
      <c r="D444" s="20">
        <v>80.17</v>
      </c>
      <c r="E444" s="20">
        <v>-0.17</v>
      </c>
      <c r="F444" s="20">
        <v>0.03</v>
      </c>
      <c r="G444" s="26">
        <v>2364.54</v>
      </c>
      <c r="H444" s="20"/>
      <c r="I444" s="20"/>
      <c r="J444" s="20"/>
      <c r="K444" s="20"/>
    </row>
    <row r="445" spans="1:11" ht="19.5" customHeight="1" x14ac:dyDescent="0.3">
      <c r="A445" s="22">
        <v>46045.609993437502</v>
      </c>
      <c r="B445" s="20">
        <v>43.7</v>
      </c>
      <c r="C445" s="20">
        <v>80</v>
      </c>
      <c r="D445" s="26">
        <v>80.150000000000006</v>
      </c>
      <c r="E445" s="20">
        <v>-0.15</v>
      </c>
      <c r="F445" s="20">
        <v>0.02</v>
      </c>
      <c r="G445" s="26">
        <v>2385.16</v>
      </c>
      <c r="H445" s="20"/>
      <c r="I445" s="20"/>
      <c r="J445" s="20"/>
      <c r="K445" s="20"/>
    </row>
    <row r="446" spans="1:11" ht="19.5" customHeight="1" x14ac:dyDescent="0.3">
      <c r="A446" s="22">
        <v>46045.60999459491</v>
      </c>
      <c r="B446" s="20">
        <v>43.8</v>
      </c>
      <c r="C446" s="20">
        <v>80</v>
      </c>
      <c r="D446" s="26">
        <v>80.16</v>
      </c>
      <c r="E446" s="20">
        <v>-0.16</v>
      </c>
      <c r="F446" s="20">
        <v>-0.01</v>
      </c>
      <c r="G446" s="26">
        <v>2369.37</v>
      </c>
      <c r="H446" s="20"/>
      <c r="I446" s="20"/>
      <c r="J446" s="20"/>
      <c r="K446" s="20"/>
    </row>
    <row r="447" spans="1:11" ht="19.5" customHeight="1" x14ac:dyDescent="0.3">
      <c r="A447" s="22">
        <v>46045.609995740742</v>
      </c>
      <c r="B447" s="20">
        <v>43.9</v>
      </c>
      <c r="C447" s="20">
        <v>80</v>
      </c>
      <c r="D447" s="20">
        <v>80.11</v>
      </c>
      <c r="E447" s="20">
        <v>-0.11</v>
      </c>
      <c r="F447" s="20">
        <v>0.04</v>
      </c>
      <c r="G447" s="26">
        <v>2422.6799999999998</v>
      </c>
      <c r="H447" s="20"/>
      <c r="I447" s="20"/>
      <c r="J447" s="20"/>
      <c r="K447" s="20"/>
    </row>
    <row r="448" spans="1:11" ht="19.5" customHeight="1" x14ac:dyDescent="0.3">
      <c r="A448" s="22">
        <v>46045.609996932872</v>
      </c>
      <c r="B448" s="20">
        <v>44</v>
      </c>
      <c r="C448" s="20">
        <v>80</v>
      </c>
      <c r="D448" s="26">
        <v>80.17</v>
      </c>
      <c r="E448" s="20">
        <v>-0.17</v>
      </c>
      <c r="F448" s="20">
        <v>-0.06</v>
      </c>
      <c r="G448" s="26">
        <v>2304.36</v>
      </c>
      <c r="H448" s="20"/>
      <c r="I448" s="20"/>
      <c r="J448" s="20"/>
      <c r="K448" s="20"/>
    </row>
    <row r="449" spans="1:11" ht="19.5" customHeight="1" x14ac:dyDescent="0.3">
      <c r="A449" s="22">
        <v>46045.609998078704</v>
      </c>
      <c r="B449" s="20">
        <v>44.1</v>
      </c>
      <c r="C449" s="20">
        <v>80</v>
      </c>
      <c r="D449" s="20">
        <v>80.150000000000006</v>
      </c>
      <c r="E449" s="20">
        <v>-0.15</v>
      </c>
      <c r="F449" s="20">
        <v>0.03</v>
      </c>
      <c r="G449" s="26">
        <v>2389.27</v>
      </c>
      <c r="H449" s="20"/>
      <c r="I449" s="20"/>
      <c r="J449" s="20"/>
      <c r="K449" s="20"/>
    </row>
    <row r="450" spans="1:11" ht="19.5" customHeight="1" x14ac:dyDescent="0.3">
      <c r="A450" s="22">
        <v>46045.609999236112</v>
      </c>
      <c r="B450" s="20">
        <v>44.2</v>
      </c>
      <c r="C450" s="20">
        <v>80</v>
      </c>
      <c r="D450" s="26">
        <v>80.2</v>
      </c>
      <c r="E450" s="20">
        <v>-0.2</v>
      </c>
      <c r="F450" s="20">
        <v>-0.05</v>
      </c>
      <c r="G450" s="26">
        <v>2287.64</v>
      </c>
      <c r="H450" s="20"/>
      <c r="I450" s="20"/>
      <c r="J450" s="20"/>
      <c r="K450" s="20"/>
    </row>
    <row r="451" spans="1:11" ht="19.5" customHeight="1" x14ac:dyDescent="0.3">
      <c r="A451" s="22">
        <v>46045.610000370369</v>
      </c>
      <c r="B451" s="20">
        <v>44.3</v>
      </c>
      <c r="C451" s="20">
        <v>80</v>
      </c>
      <c r="D451" s="26">
        <v>80.12</v>
      </c>
      <c r="E451" s="20">
        <v>-0.12</v>
      </c>
      <c r="F451" s="20">
        <v>0.08</v>
      </c>
      <c r="G451" s="26">
        <v>2417.91</v>
      </c>
      <c r="H451" s="20"/>
      <c r="I451" s="20"/>
      <c r="J451" s="20"/>
      <c r="K451" s="20"/>
    </row>
    <row r="452" spans="1:11" ht="19.5" customHeight="1" x14ac:dyDescent="0.3">
      <c r="A452" s="22">
        <v>46045.610001550929</v>
      </c>
      <c r="B452" s="20">
        <v>44.4</v>
      </c>
      <c r="C452" s="20">
        <v>80</v>
      </c>
      <c r="D452" s="20">
        <v>80.09</v>
      </c>
      <c r="E452" s="20">
        <v>-0.09</v>
      </c>
      <c r="F452" s="20">
        <v>0.03</v>
      </c>
      <c r="G452" s="26">
        <v>2448.1999999999998</v>
      </c>
      <c r="H452" s="20"/>
      <c r="I452" s="20"/>
      <c r="J452" s="20"/>
      <c r="K452" s="20"/>
    </row>
    <row r="453" spans="1:11" ht="19.5" customHeight="1" x14ac:dyDescent="0.3">
      <c r="A453" s="22">
        <v>46045.610002696762</v>
      </c>
      <c r="B453" s="20">
        <v>44.5</v>
      </c>
      <c r="C453" s="20">
        <v>80</v>
      </c>
      <c r="D453" s="26">
        <v>80.099999999999994</v>
      </c>
      <c r="E453" s="20">
        <v>-0.1</v>
      </c>
      <c r="F453" s="20">
        <v>-0.01</v>
      </c>
      <c r="G453" s="20">
        <v>2431.7800000000002</v>
      </c>
      <c r="H453" s="20"/>
      <c r="I453" s="20"/>
      <c r="J453" s="20"/>
      <c r="K453" s="20"/>
    </row>
    <row r="454" spans="1:11" ht="19.5" customHeight="1" x14ac:dyDescent="0.3">
      <c r="A454" s="22">
        <v>46045.61000385417</v>
      </c>
      <c r="B454" s="20">
        <v>44.6</v>
      </c>
      <c r="C454" s="20">
        <v>80</v>
      </c>
      <c r="D454" s="20">
        <v>80.14</v>
      </c>
      <c r="E454" s="20">
        <v>-0.14000000000000001</v>
      </c>
      <c r="F454" s="20">
        <v>-0.04</v>
      </c>
      <c r="G454" s="26">
        <v>2351.5300000000002</v>
      </c>
      <c r="H454" s="20"/>
      <c r="I454" s="20"/>
      <c r="J454" s="20"/>
      <c r="K454" s="20"/>
    </row>
    <row r="455" spans="1:11" ht="19.5" customHeight="1" x14ac:dyDescent="0.3">
      <c r="A455" s="22">
        <v>46045.610005000002</v>
      </c>
      <c r="B455" s="20">
        <v>44.7</v>
      </c>
      <c r="C455" s="20">
        <v>80</v>
      </c>
      <c r="D455" s="26">
        <v>80.09</v>
      </c>
      <c r="E455" s="20">
        <v>-0.09</v>
      </c>
      <c r="F455" s="20">
        <v>0.05</v>
      </c>
      <c r="G455" s="26">
        <v>2448.1999999999998</v>
      </c>
      <c r="H455" s="20"/>
      <c r="I455" s="20"/>
      <c r="J455" s="20"/>
      <c r="K455" s="20"/>
    </row>
    <row r="456" spans="1:11" ht="19.5" customHeight="1" x14ac:dyDescent="0.3">
      <c r="A456" s="22">
        <v>46045.610006180556</v>
      </c>
      <c r="B456" s="20">
        <v>44.8</v>
      </c>
      <c r="C456" s="20">
        <v>80</v>
      </c>
      <c r="D456" s="26">
        <v>80.150000000000006</v>
      </c>
      <c r="E456" s="20">
        <v>-0.15</v>
      </c>
      <c r="F456" s="20">
        <v>-0.06</v>
      </c>
      <c r="G456" s="26">
        <v>2336.12</v>
      </c>
      <c r="H456" s="20"/>
      <c r="I456" s="20"/>
      <c r="J456" s="20"/>
      <c r="K456" s="20"/>
    </row>
    <row r="457" spans="1:11" ht="19.5" customHeight="1" x14ac:dyDescent="0.3">
      <c r="A457" s="22">
        <v>46045.610007326388</v>
      </c>
      <c r="B457" s="20">
        <v>44.9</v>
      </c>
      <c r="C457" s="20">
        <v>80</v>
      </c>
      <c r="D457" s="20">
        <v>80.16</v>
      </c>
      <c r="E457" s="20">
        <v>-0.16</v>
      </c>
      <c r="F457" s="20">
        <v>-0.02</v>
      </c>
      <c r="G457" s="26">
        <v>2357.71</v>
      </c>
      <c r="H457" s="20"/>
      <c r="I457" s="20"/>
      <c r="J457" s="20"/>
      <c r="K457" s="20"/>
    </row>
    <row r="458" spans="1:11" ht="19.5" customHeight="1" x14ac:dyDescent="0.3">
      <c r="A458" s="22">
        <v>46045.61000847222</v>
      </c>
      <c r="B458" s="20">
        <v>45</v>
      </c>
      <c r="C458" s="20">
        <v>80</v>
      </c>
      <c r="D458" s="26">
        <v>80.09</v>
      </c>
      <c r="E458" s="20">
        <v>-0.09</v>
      </c>
      <c r="F458" s="20">
        <v>0.08</v>
      </c>
      <c r="G458" s="20">
        <v>2451.39</v>
      </c>
      <c r="H458" s="20"/>
      <c r="I458" s="20"/>
      <c r="J458" s="20"/>
      <c r="K458" s="20"/>
    </row>
    <row r="459" spans="1:11" ht="19.5" customHeight="1" x14ac:dyDescent="0.3">
      <c r="A459" s="22">
        <v>46045.610009652781</v>
      </c>
      <c r="B459" s="20">
        <v>45.1</v>
      </c>
      <c r="C459" s="20">
        <v>80</v>
      </c>
      <c r="D459" s="20">
        <v>80.150000000000006</v>
      </c>
      <c r="E459" s="20">
        <v>-0.15</v>
      </c>
      <c r="F459" s="20">
        <v>-0.06</v>
      </c>
      <c r="G459" s="26">
        <v>2332.37</v>
      </c>
      <c r="H459" s="20"/>
      <c r="I459" s="20"/>
      <c r="J459" s="20"/>
      <c r="K459" s="20"/>
    </row>
    <row r="460" spans="1:11" ht="19.5" customHeight="1" x14ac:dyDescent="0.3">
      <c r="A460" s="22">
        <v>46045.610010775461</v>
      </c>
      <c r="B460" s="20">
        <v>45.2</v>
      </c>
      <c r="C460" s="20">
        <v>80</v>
      </c>
      <c r="D460" s="26">
        <v>80.13</v>
      </c>
      <c r="E460" s="20">
        <v>-0.13</v>
      </c>
      <c r="F460" s="20">
        <v>0.02</v>
      </c>
      <c r="G460" s="26">
        <v>2410.08</v>
      </c>
      <c r="H460" s="20"/>
      <c r="I460" s="20"/>
      <c r="J460" s="20"/>
      <c r="K460" s="20"/>
    </row>
    <row r="461" spans="1:11" ht="19.5" customHeight="1" x14ac:dyDescent="0.3">
      <c r="A461" s="22">
        <v>46045.610011979166</v>
      </c>
      <c r="B461" s="20">
        <v>45.3</v>
      </c>
      <c r="C461" s="20">
        <v>80</v>
      </c>
      <c r="D461" s="26">
        <v>80.180000000000007</v>
      </c>
      <c r="E461" s="20">
        <v>-0.18</v>
      </c>
      <c r="F461" s="20">
        <v>-0.06</v>
      </c>
      <c r="G461" s="26">
        <v>2300.0500000000002</v>
      </c>
      <c r="H461" s="20"/>
      <c r="I461" s="20"/>
      <c r="J461" s="20"/>
      <c r="K461" s="20"/>
    </row>
    <row r="462" spans="1:11" ht="19.5" customHeight="1" x14ac:dyDescent="0.3">
      <c r="A462" s="22">
        <v>46045.610013124999</v>
      </c>
      <c r="B462" s="20">
        <v>45.4</v>
      </c>
      <c r="C462" s="20">
        <v>80</v>
      </c>
      <c r="D462" s="20">
        <v>80.2</v>
      </c>
      <c r="E462" s="20">
        <v>-0.2</v>
      </c>
      <c r="F462" s="20">
        <v>-0.02</v>
      </c>
      <c r="G462" s="26">
        <v>2313.17</v>
      </c>
      <c r="H462" s="20"/>
      <c r="I462" s="20"/>
      <c r="J462" s="20"/>
      <c r="K462" s="20"/>
    </row>
    <row r="463" spans="1:11" ht="19.5" customHeight="1" x14ac:dyDescent="0.3">
      <c r="A463" s="22">
        <v>46045.610014293983</v>
      </c>
      <c r="B463" s="20">
        <v>45.5</v>
      </c>
      <c r="C463" s="20">
        <v>80</v>
      </c>
      <c r="D463" s="26">
        <v>80.209999999999994</v>
      </c>
      <c r="E463" s="20">
        <v>-0.21</v>
      </c>
      <c r="F463" s="20">
        <v>0</v>
      </c>
      <c r="G463" s="26">
        <v>2323.89</v>
      </c>
      <c r="H463" s="20"/>
      <c r="I463" s="20"/>
      <c r="J463" s="20"/>
      <c r="K463" s="20"/>
    </row>
    <row r="464" spans="1:11" ht="19.5" customHeight="1" x14ac:dyDescent="0.3">
      <c r="A464" s="22">
        <v>46045.610015416663</v>
      </c>
      <c r="B464" s="20">
        <v>45.6</v>
      </c>
      <c r="C464" s="20">
        <v>80</v>
      </c>
      <c r="D464" s="20">
        <v>80.150000000000006</v>
      </c>
      <c r="E464" s="20">
        <v>-0.15</v>
      </c>
      <c r="F464" s="20">
        <v>0.06</v>
      </c>
      <c r="G464" s="20">
        <v>2389.27</v>
      </c>
      <c r="H464" s="20"/>
      <c r="I464" s="20"/>
      <c r="J464" s="20"/>
      <c r="K464" s="20"/>
    </row>
    <row r="465" spans="1:11" ht="19.5" customHeight="1" x14ac:dyDescent="0.3">
      <c r="A465" s="22">
        <v>46045.610016597224</v>
      </c>
      <c r="B465" s="20">
        <v>45.7</v>
      </c>
      <c r="C465" s="20">
        <v>80</v>
      </c>
      <c r="D465" s="26">
        <v>80.19</v>
      </c>
      <c r="E465" s="20">
        <v>-0.19</v>
      </c>
      <c r="F465" s="20">
        <v>-0.04</v>
      </c>
      <c r="G465" s="26">
        <v>2310.89</v>
      </c>
      <c r="H465" s="20"/>
      <c r="I465" s="20"/>
      <c r="J465" s="20"/>
      <c r="K465" s="20"/>
    </row>
    <row r="466" spans="1:11" ht="19.5" customHeight="1" x14ac:dyDescent="0.3">
      <c r="A466" s="22">
        <v>46045.610017777777</v>
      </c>
      <c r="B466" s="20">
        <v>45.8</v>
      </c>
      <c r="C466" s="20">
        <v>80</v>
      </c>
      <c r="D466" s="26">
        <v>80.2</v>
      </c>
      <c r="E466" s="20">
        <v>-0.2</v>
      </c>
      <c r="F466" s="20">
        <v>-0.01</v>
      </c>
      <c r="G466" s="26">
        <v>2324.71</v>
      </c>
      <c r="H466" s="20"/>
      <c r="I466" s="20"/>
      <c r="J466" s="20"/>
      <c r="K466" s="20"/>
    </row>
    <row r="467" spans="1:11" ht="19.5" customHeight="1" x14ac:dyDescent="0.3">
      <c r="A467" s="22">
        <v>46045.610018912033</v>
      </c>
      <c r="B467" s="20">
        <v>45.9</v>
      </c>
      <c r="C467" s="20">
        <v>80</v>
      </c>
      <c r="D467" s="20">
        <v>80.23</v>
      </c>
      <c r="E467" s="20">
        <v>-0.23</v>
      </c>
      <c r="F467" s="20">
        <v>-0.03</v>
      </c>
      <c r="G467" s="26">
        <v>2281.1799999999998</v>
      </c>
      <c r="H467" s="20"/>
      <c r="I467" s="20"/>
      <c r="J467" s="20"/>
      <c r="K467" s="20"/>
    </row>
    <row r="468" spans="1:11" ht="19.5" customHeight="1" x14ac:dyDescent="0.3">
      <c r="A468" s="22">
        <v>46045.610020046297</v>
      </c>
      <c r="B468" s="20">
        <v>46</v>
      </c>
      <c r="C468" s="20">
        <v>80</v>
      </c>
      <c r="D468" s="26">
        <v>80.17</v>
      </c>
      <c r="E468" s="20">
        <v>-0.17</v>
      </c>
      <c r="F468" s="20">
        <v>0.06</v>
      </c>
      <c r="G468" s="26">
        <v>2364.54</v>
      </c>
      <c r="H468" s="20"/>
      <c r="I468" s="20"/>
      <c r="J468" s="20"/>
      <c r="K468" s="20"/>
    </row>
    <row r="469" spans="1:11" ht="19.5" customHeight="1" x14ac:dyDescent="0.3">
      <c r="A469" s="22">
        <v>46045.610021203705</v>
      </c>
      <c r="B469" s="20">
        <v>46.1</v>
      </c>
      <c r="C469" s="20">
        <v>80</v>
      </c>
      <c r="D469" s="20">
        <v>80.17</v>
      </c>
      <c r="E469" s="20">
        <v>-0.17</v>
      </c>
      <c r="F469" s="20">
        <v>0</v>
      </c>
      <c r="G469" s="20">
        <v>2364.54</v>
      </c>
      <c r="H469" s="20"/>
      <c r="I469" s="20"/>
      <c r="J469" s="20"/>
      <c r="K469" s="20"/>
    </row>
    <row r="470" spans="1:11" ht="19.5" customHeight="1" x14ac:dyDescent="0.3">
      <c r="A470" s="22">
        <v>46045.610022384259</v>
      </c>
      <c r="B470" s="20">
        <v>46.2</v>
      </c>
      <c r="C470" s="20">
        <v>80</v>
      </c>
      <c r="D470" s="26">
        <v>80.22</v>
      </c>
      <c r="E470" s="20">
        <v>-0.22</v>
      </c>
      <c r="F470" s="20">
        <v>-0.05</v>
      </c>
      <c r="G470" s="26">
        <v>2263.33</v>
      </c>
      <c r="H470" s="20"/>
      <c r="I470" s="20"/>
      <c r="J470" s="20"/>
      <c r="K470" s="20"/>
    </row>
    <row r="471" spans="1:11" ht="19.5" customHeight="1" x14ac:dyDescent="0.3">
      <c r="A471" s="22">
        <v>46045.610023506946</v>
      </c>
      <c r="B471" s="20">
        <v>46.3</v>
      </c>
      <c r="C471" s="20">
        <v>80</v>
      </c>
      <c r="D471" s="26">
        <v>80.17</v>
      </c>
      <c r="E471" s="20">
        <v>-0.17</v>
      </c>
      <c r="F471" s="20">
        <v>0.06</v>
      </c>
      <c r="G471" s="20">
        <v>2368.64</v>
      </c>
      <c r="H471" s="20"/>
      <c r="I471" s="20"/>
      <c r="J471" s="20"/>
      <c r="K471" s="20"/>
    </row>
    <row r="472" spans="1:11" ht="19.5" customHeight="1" x14ac:dyDescent="0.3">
      <c r="A472" s="22">
        <v>46045.610024699075</v>
      </c>
      <c r="B472" s="20">
        <v>46.4</v>
      </c>
      <c r="C472" s="20">
        <v>80</v>
      </c>
      <c r="D472" s="20">
        <v>80.209999999999994</v>
      </c>
      <c r="E472" s="20">
        <v>-0.21</v>
      </c>
      <c r="F472" s="20">
        <v>-0.04</v>
      </c>
      <c r="G472" s="26">
        <v>2290.65</v>
      </c>
      <c r="H472" s="20"/>
      <c r="I472" s="20"/>
      <c r="J472" s="20"/>
      <c r="K472" s="20"/>
    </row>
    <row r="473" spans="1:11" ht="19.5" customHeight="1" x14ac:dyDescent="0.3">
      <c r="A473" s="22">
        <v>46045.610025856484</v>
      </c>
      <c r="B473" s="20">
        <v>46.5</v>
      </c>
      <c r="C473" s="20">
        <v>80</v>
      </c>
      <c r="D473" s="26">
        <v>80.19</v>
      </c>
      <c r="E473" s="20">
        <v>-0.19</v>
      </c>
      <c r="F473" s="20">
        <v>0.01</v>
      </c>
      <c r="G473" s="26">
        <v>2339.9</v>
      </c>
      <c r="H473" s="20"/>
      <c r="I473" s="20"/>
      <c r="J473" s="20"/>
      <c r="K473" s="20"/>
    </row>
    <row r="474" spans="1:11" ht="19.5" customHeight="1" x14ac:dyDescent="0.3">
      <c r="A474" s="22">
        <v>46045.610027002316</v>
      </c>
      <c r="B474" s="20">
        <v>46.6</v>
      </c>
      <c r="C474" s="20">
        <v>80</v>
      </c>
      <c r="D474" s="20">
        <v>80.180000000000007</v>
      </c>
      <c r="E474" s="20">
        <v>-0.18</v>
      </c>
      <c r="F474" s="20">
        <v>0.01</v>
      </c>
      <c r="G474" s="20">
        <v>2352.2399999999998</v>
      </c>
      <c r="H474" s="20"/>
      <c r="I474" s="20"/>
      <c r="J474" s="20"/>
      <c r="K474" s="20"/>
    </row>
    <row r="475" spans="1:11" ht="19.5" customHeight="1" x14ac:dyDescent="0.3">
      <c r="A475" s="22">
        <v>46045.610028148149</v>
      </c>
      <c r="B475" s="20">
        <v>46.7</v>
      </c>
      <c r="C475" s="20">
        <v>80</v>
      </c>
      <c r="D475" s="26">
        <v>80.180000000000007</v>
      </c>
      <c r="E475" s="20">
        <v>-0.18</v>
      </c>
      <c r="F475" s="20">
        <v>0</v>
      </c>
      <c r="G475" s="26">
        <v>2352.2399999999998</v>
      </c>
      <c r="H475" s="20"/>
      <c r="I475" s="20"/>
      <c r="J475" s="20"/>
      <c r="K475" s="20"/>
    </row>
    <row r="476" spans="1:11" ht="19.5" customHeight="1" x14ac:dyDescent="0.3">
      <c r="A476" s="22">
        <v>46045.610029305557</v>
      </c>
      <c r="B476" s="20">
        <v>46.8</v>
      </c>
      <c r="C476" s="20">
        <v>80</v>
      </c>
      <c r="D476" s="26">
        <v>80.16</v>
      </c>
      <c r="E476" s="20">
        <v>-0.16</v>
      </c>
      <c r="F476" s="20">
        <v>0.02</v>
      </c>
      <c r="G476" s="26">
        <v>2372.7800000000002</v>
      </c>
      <c r="H476" s="20"/>
      <c r="I476" s="20"/>
      <c r="J476" s="20"/>
      <c r="K476" s="20"/>
    </row>
    <row r="477" spans="1:11" ht="19.5" customHeight="1" x14ac:dyDescent="0.3">
      <c r="A477" s="22">
        <v>46045.610030462965</v>
      </c>
      <c r="B477" s="20">
        <v>46.9</v>
      </c>
      <c r="C477" s="20">
        <v>80</v>
      </c>
      <c r="D477" s="20">
        <v>80.12</v>
      </c>
      <c r="E477" s="20">
        <v>-0.12</v>
      </c>
      <c r="F477" s="20">
        <v>0.04</v>
      </c>
      <c r="G477" s="26">
        <v>2414.2600000000002</v>
      </c>
      <c r="H477" s="20"/>
      <c r="I477" s="20"/>
      <c r="J477" s="20"/>
      <c r="K477" s="20"/>
    </row>
    <row r="478" spans="1:11" ht="19.5" customHeight="1" x14ac:dyDescent="0.3">
      <c r="A478" s="22">
        <v>46045.610031631943</v>
      </c>
      <c r="B478" s="20">
        <v>47</v>
      </c>
      <c r="C478" s="20">
        <v>80</v>
      </c>
      <c r="D478" s="26">
        <v>80.19</v>
      </c>
      <c r="E478" s="20">
        <v>-0.19</v>
      </c>
      <c r="F478" s="20">
        <v>-0.06</v>
      </c>
      <c r="G478" s="26">
        <v>2288.66</v>
      </c>
      <c r="H478" s="20"/>
      <c r="I478" s="20"/>
      <c r="J478" s="20"/>
      <c r="K478" s="20"/>
    </row>
    <row r="479" spans="1:11" ht="19.5" customHeight="1" x14ac:dyDescent="0.3">
      <c r="A479" s="22">
        <v>46045.610032766206</v>
      </c>
      <c r="B479" s="20">
        <v>47.1</v>
      </c>
      <c r="C479" s="20">
        <v>80</v>
      </c>
      <c r="D479" s="26">
        <v>80.13</v>
      </c>
      <c r="E479" s="20">
        <v>-0.13</v>
      </c>
      <c r="F479" s="20">
        <v>0.06</v>
      </c>
      <c r="G479" s="26">
        <v>2405.91</v>
      </c>
      <c r="H479" s="20"/>
      <c r="I479" s="20"/>
      <c r="J479" s="20"/>
      <c r="K479" s="20"/>
    </row>
    <row r="480" spans="1:11" ht="19.5" customHeight="1" x14ac:dyDescent="0.3">
      <c r="A480" s="22">
        <v>46045.610033946759</v>
      </c>
      <c r="B480" s="20">
        <v>47.2</v>
      </c>
      <c r="C480" s="20">
        <v>80</v>
      </c>
      <c r="D480" s="20">
        <v>80.150000000000006</v>
      </c>
      <c r="E480" s="20">
        <v>-0.15</v>
      </c>
      <c r="F480" s="20">
        <v>-0.02</v>
      </c>
      <c r="G480" s="20">
        <v>2366.1799999999998</v>
      </c>
      <c r="H480" s="20"/>
      <c r="I480" s="20"/>
      <c r="J480" s="20"/>
      <c r="K480" s="20"/>
    </row>
    <row r="481" spans="1:11" ht="19.5" customHeight="1" x14ac:dyDescent="0.3">
      <c r="A481" s="22">
        <v>46045.610035092592</v>
      </c>
      <c r="B481" s="20">
        <v>47.3</v>
      </c>
      <c r="C481" s="20">
        <v>80</v>
      </c>
      <c r="D481" s="26">
        <v>80.11</v>
      </c>
      <c r="E481" s="20">
        <v>-0.11</v>
      </c>
      <c r="F481" s="20">
        <v>0.04</v>
      </c>
      <c r="G481" s="26">
        <v>2431.14</v>
      </c>
      <c r="H481" s="20"/>
      <c r="I481" s="20"/>
      <c r="J481" s="20"/>
      <c r="K481" s="20"/>
    </row>
    <row r="482" spans="1:11" ht="19.5" customHeight="1" x14ac:dyDescent="0.3">
      <c r="A482" s="22">
        <v>46045.610036284721</v>
      </c>
      <c r="B482" s="20">
        <v>47.4</v>
      </c>
      <c r="C482" s="20">
        <v>80</v>
      </c>
      <c r="D482" s="20">
        <v>80.13</v>
      </c>
      <c r="E482" s="20">
        <v>-0.13</v>
      </c>
      <c r="F482" s="20">
        <v>-0.02</v>
      </c>
      <c r="G482" s="20">
        <v>2382.85</v>
      </c>
      <c r="H482" s="20"/>
      <c r="I482" s="20"/>
      <c r="J482" s="20"/>
      <c r="K482" s="20"/>
    </row>
    <row r="483" spans="1:11" ht="19.5" customHeight="1" x14ac:dyDescent="0.3">
      <c r="A483" s="22">
        <v>46045.610037407409</v>
      </c>
      <c r="B483" s="20">
        <v>47.5</v>
      </c>
      <c r="C483" s="20">
        <v>80</v>
      </c>
      <c r="D483" s="26">
        <v>80.13</v>
      </c>
      <c r="E483" s="20">
        <v>-0.13</v>
      </c>
      <c r="F483" s="20">
        <v>0</v>
      </c>
      <c r="G483" s="26">
        <v>2405.91</v>
      </c>
      <c r="H483" s="20"/>
      <c r="I483" s="20"/>
      <c r="J483" s="20"/>
      <c r="K483" s="20"/>
    </row>
    <row r="484" spans="1:11" ht="19.5" customHeight="1" x14ac:dyDescent="0.3">
      <c r="A484" s="22">
        <v>46045.610038587962</v>
      </c>
      <c r="B484" s="20">
        <v>47.6</v>
      </c>
      <c r="C484" s="20">
        <v>80</v>
      </c>
      <c r="D484" s="26">
        <v>80.17</v>
      </c>
      <c r="E484" s="20">
        <v>-0.17</v>
      </c>
      <c r="F484" s="20">
        <v>-0.04</v>
      </c>
      <c r="G484" s="26">
        <v>2334.8200000000002</v>
      </c>
      <c r="H484" s="20"/>
      <c r="I484" s="20"/>
      <c r="J484" s="20"/>
      <c r="K484" s="20"/>
    </row>
    <row r="485" spans="1:11" ht="19.5" customHeight="1" x14ac:dyDescent="0.3">
      <c r="A485" s="22">
        <v>46045.610039722225</v>
      </c>
      <c r="B485" s="20">
        <v>47.7</v>
      </c>
      <c r="C485" s="20">
        <v>80</v>
      </c>
      <c r="D485" s="20">
        <v>80.099999999999994</v>
      </c>
      <c r="E485" s="20">
        <v>-0.1</v>
      </c>
      <c r="F485" s="20">
        <v>7.0000000000000007E-2</v>
      </c>
      <c r="G485" s="20">
        <v>2439.2199999999998</v>
      </c>
      <c r="H485" s="20"/>
      <c r="I485" s="20"/>
      <c r="J485" s="20"/>
      <c r="K485" s="20"/>
    </row>
    <row r="486" spans="1:11" ht="19.5" customHeight="1" x14ac:dyDescent="0.3">
      <c r="A486" s="22">
        <v>46045.610040891203</v>
      </c>
      <c r="B486" s="20">
        <v>47.8</v>
      </c>
      <c r="C486" s="20">
        <v>80</v>
      </c>
      <c r="D486" s="26">
        <v>80.2</v>
      </c>
      <c r="E486" s="20">
        <v>-0.2</v>
      </c>
      <c r="F486" s="20">
        <v>-0.1</v>
      </c>
      <c r="G486" s="26">
        <v>2236.0500000000002</v>
      </c>
      <c r="H486" s="20"/>
      <c r="I486" s="20"/>
      <c r="J486" s="20"/>
      <c r="K486" s="20"/>
    </row>
    <row r="487" spans="1:11" ht="19.5" customHeight="1" x14ac:dyDescent="0.3">
      <c r="A487" s="22">
        <v>46045.610042048611</v>
      </c>
      <c r="B487" s="20">
        <v>47.9</v>
      </c>
      <c r="C487" s="20">
        <v>80</v>
      </c>
      <c r="D487" s="26">
        <v>80.150000000000006</v>
      </c>
      <c r="E487" s="20">
        <v>-0.15</v>
      </c>
      <c r="F487" s="20">
        <v>0.05</v>
      </c>
      <c r="G487" s="26">
        <v>2381.04</v>
      </c>
      <c r="H487" s="20"/>
      <c r="I487" s="20"/>
      <c r="J487" s="20"/>
      <c r="K487" s="20"/>
    </row>
    <row r="488" spans="1:11" ht="19.5" customHeight="1" x14ac:dyDescent="0.3">
      <c r="A488" s="22">
        <v>46045.610043206019</v>
      </c>
      <c r="B488" s="20">
        <v>48</v>
      </c>
      <c r="C488" s="20">
        <v>80</v>
      </c>
      <c r="D488" s="20">
        <v>80.19</v>
      </c>
      <c r="E488" s="20">
        <v>-0.19</v>
      </c>
      <c r="F488" s="20">
        <v>-0.03</v>
      </c>
      <c r="G488" s="26">
        <v>2318.29</v>
      </c>
      <c r="H488" s="20"/>
      <c r="I488" s="20"/>
      <c r="J488" s="20"/>
      <c r="K488" s="20"/>
    </row>
    <row r="489" spans="1:11" ht="19.5" customHeight="1" x14ac:dyDescent="0.3">
      <c r="A489" s="22">
        <v>46045.610044363428</v>
      </c>
      <c r="B489" s="20">
        <v>48.1</v>
      </c>
      <c r="C489" s="20">
        <v>80</v>
      </c>
      <c r="D489" s="26">
        <v>80.150000000000006</v>
      </c>
      <c r="E489" s="20">
        <v>-0.15</v>
      </c>
      <c r="F489" s="20">
        <v>0.03</v>
      </c>
      <c r="G489" s="26">
        <v>2381.04</v>
      </c>
      <c r="H489" s="20"/>
      <c r="I489" s="20"/>
      <c r="J489" s="20"/>
      <c r="K489" s="20"/>
    </row>
    <row r="490" spans="1:11" ht="19.5" customHeight="1" x14ac:dyDescent="0.3">
      <c r="A490" s="22">
        <v>46045.610045555557</v>
      </c>
      <c r="B490" s="20">
        <v>48.2</v>
      </c>
      <c r="C490" s="20">
        <v>80</v>
      </c>
      <c r="D490" s="20">
        <v>80.13</v>
      </c>
      <c r="E490" s="20">
        <v>-0.13</v>
      </c>
      <c r="F490" s="20">
        <v>0.03</v>
      </c>
      <c r="G490" s="26">
        <v>2410.08</v>
      </c>
      <c r="H490" s="20"/>
      <c r="I490" s="20"/>
      <c r="J490" s="20"/>
      <c r="K490" s="20"/>
    </row>
    <row r="491" spans="1:11" ht="19.5" customHeight="1" x14ac:dyDescent="0.3">
      <c r="A491" s="22">
        <v>46045.610046689813</v>
      </c>
      <c r="B491" s="20">
        <v>48.3</v>
      </c>
      <c r="C491" s="20">
        <v>80</v>
      </c>
      <c r="D491" s="26">
        <v>80.11</v>
      </c>
      <c r="E491" s="20">
        <v>-0.11</v>
      </c>
      <c r="F491" s="20">
        <v>0.01</v>
      </c>
      <c r="G491" s="26">
        <v>2422.6799999999998</v>
      </c>
      <c r="H491" s="20"/>
      <c r="I491" s="20"/>
      <c r="J491" s="20"/>
      <c r="K491" s="20"/>
    </row>
    <row r="492" spans="1:11" ht="19.5" customHeight="1" x14ac:dyDescent="0.3">
      <c r="A492" s="22">
        <v>46045.610047847222</v>
      </c>
      <c r="B492" s="20">
        <v>48.4</v>
      </c>
      <c r="C492" s="20">
        <v>80</v>
      </c>
      <c r="D492" s="20">
        <v>80.180000000000007</v>
      </c>
      <c r="E492" s="20">
        <v>-0.18</v>
      </c>
      <c r="F492" s="20">
        <v>-0.06</v>
      </c>
      <c r="G492" s="26">
        <v>2296.6799999999998</v>
      </c>
      <c r="H492" s="20"/>
      <c r="I492" s="20"/>
      <c r="J492" s="20"/>
      <c r="K492" s="20"/>
    </row>
    <row r="493" spans="1:11" ht="19.5" customHeight="1" x14ac:dyDescent="0.3">
      <c r="A493" s="22">
        <v>46045.61004900463</v>
      </c>
      <c r="B493" s="20">
        <v>48.5</v>
      </c>
      <c r="C493" s="20">
        <v>80</v>
      </c>
      <c r="D493" s="26">
        <v>80.150000000000006</v>
      </c>
      <c r="E493" s="20">
        <v>-0.15</v>
      </c>
      <c r="F493" s="20">
        <v>0.03</v>
      </c>
      <c r="G493" s="26">
        <v>2389.27</v>
      </c>
      <c r="H493" s="20"/>
      <c r="I493" s="20"/>
      <c r="J493" s="20"/>
      <c r="K493" s="20"/>
    </row>
    <row r="494" spans="1:11" ht="19.5" customHeight="1" x14ac:dyDescent="0.3">
      <c r="A494" s="22">
        <v>46045.610050162039</v>
      </c>
      <c r="B494" s="20">
        <v>48.6</v>
      </c>
      <c r="C494" s="20">
        <v>80</v>
      </c>
      <c r="D494" s="26">
        <v>80.13</v>
      </c>
      <c r="E494" s="20">
        <v>-0.13</v>
      </c>
      <c r="F494" s="20">
        <v>0.01</v>
      </c>
      <c r="G494" s="26">
        <v>2401.75</v>
      </c>
      <c r="H494" s="20"/>
      <c r="I494" s="20"/>
      <c r="J494" s="20"/>
      <c r="K494" s="20"/>
    </row>
    <row r="495" spans="1:11" ht="19.5" customHeight="1" x14ac:dyDescent="0.3">
      <c r="A495" s="22">
        <v>46045.610051307871</v>
      </c>
      <c r="B495" s="20">
        <v>48.7</v>
      </c>
      <c r="C495" s="20">
        <v>80</v>
      </c>
      <c r="D495" s="20">
        <v>80.12</v>
      </c>
      <c r="E495" s="20">
        <v>-0.12</v>
      </c>
      <c r="F495" s="20">
        <v>0.01</v>
      </c>
      <c r="G495" s="26">
        <v>2414.2600000000002</v>
      </c>
      <c r="H495" s="20"/>
      <c r="I495" s="20"/>
      <c r="J495" s="20"/>
      <c r="K495" s="20"/>
    </row>
    <row r="496" spans="1:11" ht="19.5" customHeight="1" x14ac:dyDescent="0.3">
      <c r="A496" s="22">
        <v>46045.610052465279</v>
      </c>
      <c r="B496" s="20">
        <v>48.8</v>
      </c>
      <c r="C496" s="20">
        <v>80</v>
      </c>
      <c r="D496" s="26">
        <v>80.150000000000006</v>
      </c>
      <c r="E496" s="20">
        <v>-0.15</v>
      </c>
      <c r="F496" s="20">
        <v>-0.03</v>
      </c>
      <c r="G496" s="20">
        <v>2350.7399999999998</v>
      </c>
      <c r="H496" s="20"/>
      <c r="I496" s="20"/>
      <c r="J496" s="20"/>
      <c r="K496" s="20"/>
    </row>
    <row r="497" spans="1:11" ht="19.5" customHeight="1" x14ac:dyDescent="0.3">
      <c r="A497" s="22">
        <v>46045.610053657409</v>
      </c>
      <c r="B497" s="20">
        <v>48.9</v>
      </c>
      <c r="C497" s="20">
        <v>80</v>
      </c>
      <c r="D497" s="20">
        <v>80.150000000000006</v>
      </c>
      <c r="E497" s="20">
        <v>-0.15</v>
      </c>
      <c r="F497" s="20">
        <v>0</v>
      </c>
      <c r="G497" s="26">
        <v>2385.16</v>
      </c>
      <c r="H497" s="20"/>
      <c r="I497" s="20"/>
      <c r="J497" s="20"/>
      <c r="K497" s="20"/>
    </row>
    <row r="498" spans="1:11" ht="19.5" customHeight="1" x14ac:dyDescent="0.3">
      <c r="A498" s="22">
        <v>46045.610054791665</v>
      </c>
      <c r="B498" s="20">
        <v>49</v>
      </c>
      <c r="C498" s="20">
        <v>80</v>
      </c>
      <c r="D498" s="26">
        <v>80.13</v>
      </c>
      <c r="E498" s="20">
        <v>-0.13</v>
      </c>
      <c r="F498" s="20">
        <v>0.02</v>
      </c>
      <c r="G498" s="26">
        <v>2401.75</v>
      </c>
      <c r="H498" s="20"/>
      <c r="I498" s="20"/>
      <c r="J498" s="20"/>
      <c r="K498" s="20"/>
    </row>
    <row r="499" spans="1:11" ht="19.5" customHeight="1" x14ac:dyDescent="0.3">
      <c r="A499" s="22">
        <v>46045.610055949073</v>
      </c>
      <c r="B499" s="20">
        <v>49.1</v>
      </c>
      <c r="C499" s="20">
        <v>80</v>
      </c>
      <c r="D499" s="26">
        <v>80.12</v>
      </c>
      <c r="E499" s="20">
        <v>-0.12</v>
      </c>
      <c r="F499" s="20">
        <v>0.01</v>
      </c>
      <c r="G499" s="26">
        <v>2414.2600000000002</v>
      </c>
      <c r="H499" s="20"/>
      <c r="I499" s="20"/>
      <c r="J499" s="20"/>
      <c r="K499" s="20"/>
    </row>
    <row r="500" spans="1:11" ht="19.5" customHeight="1" x14ac:dyDescent="0.3">
      <c r="A500" s="22">
        <v>46045.610057094906</v>
      </c>
      <c r="B500" s="20">
        <v>49.2</v>
      </c>
      <c r="C500" s="20">
        <v>80</v>
      </c>
      <c r="D500" s="20">
        <v>80.17</v>
      </c>
      <c r="E500" s="20">
        <v>-0.17</v>
      </c>
      <c r="F500" s="20">
        <v>-0.05</v>
      </c>
      <c r="G500" s="26">
        <v>2311.77</v>
      </c>
      <c r="H500" s="20"/>
      <c r="I500" s="20"/>
      <c r="J500" s="20"/>
      <c r="K500" s="20"/>
    </row>
    <row r="501" spans="1:11" ht="19.5" customHeight="1" x14ac:dyDescent="0.3">
      <c r="A501" s="22">
        <v>46045.61005826389</v>
      </c>
      <c r="B501" s="20">
        <v>49.3</v>
      </c>
      <c r="C501" s="20">
        <v>80</v>
      </c>
      <c r="D501" s="26">
        <v>80.150000000000006</v>
      </c>
      <c r="E501" s="20">
        <v>-0.15</v>
      </c>
      <c r="F501" s="20">
        <v>0.02</v>
      </c>
      <c r="G501" s="20">
        <v>2385.16</v>
      </c>
      <c r="H501" s="20"/>
      <c r="I501" s="20"/>
      <c r="J501" s="20"/>
      <c r="K501" s="20"/>
    </row>
    <row r="502" spans="1:11" ht="19.5" customHeight="1" x14ac:dyDescent="0.3">
      <c r="A502" s="22">
        <v>46045.610059421299</v>
      </c>
      <c r="B502" s="20">
        <v>49.4</v>
      </c>
      <c r="C502" s="20">
        <v>80</v>
      </c>
      <c r="D502" s="20">
        <v>80.13</v>
      </c>
      <c r="E502" s="20">
        <v>-0.13</v>
      </c>
      <c r="F502" s="20">
        <v>0.02</v>
      </c>
      <c r="G502" s="26">
        <v>2405.91</v>
      </c>
      <c r="H502" s="20"/>
      <c r="I502" s="20"/>
      <c r="J502" s="20"/>
      <c r="K502" s="20"/>
    </row>
    <row r="503" spans="1:11" ht="19.5" customHeight="1" x14ac:dyDescent="0.3">
      <c r="A503" s="22">
        <v>46045.610060543979</v>
      </c>
      <c r="B503" s="20">
        <v>49.5</v>
      </c>
      <c r="C503" s="20">
        <v>80</v>
      </c>
      <c r="D503" s="26">
        <v>80.150000000000006</v>
      </c>
      <c r="E503" s="20">
        <v>-0.15</v>
      </c>
      <c r="F503" s="20">
        <v>-0.02</v>
      </c>
      <c r="G503" s="26">
        <v>2366.1799999999998</v>
      </c>
      <c r="H503" s="20"/>
      <c r="I503" s="20"/>
      <c r="J503" s="20"/>
      <c r="K503" s="20"/>
    </row>
    <row r="504" spans="1:11" ht="19.5" customHeight="1" x14ac:dyDescent="0.3">
      <c r="A504" s="22">
        <v>46045.610061724539</v>
      </c>
      <c r="B504" s="20">
        <v>49.6</v>
      </c>
      <c r="C504" s="20">
        <v>80</v>
      </c>
      <c r="D504" s="26">
        <v>80.150000000000006</v>
      </c>
      <c r="E504" s="20">
        <v>-0.15</v>
      </c>
      <c r="F504" s="20">
        <v>0</v>
      </c>
      <c r="G504" s="26">
        <v>2377.25</v>
      </c>
      <c r="H504" s="20"/>
      <c r="I504" s="20"/>
      <c r="J504" s="20"/>
      <c r="K504" s="20"/>
    </row>
    <row r="505" spans="1:11" ht="19.5" customHeight="1" x14ac:dyDescent="0.3">
      <c r="A505" s="22">
        <v>46045.610062870372</v>
      </c>
      <c r="B505" s="20">
        <v>49.7</v>
      </c>
      <c r="C505" s="20">
        <v>80</v>
      </c>
      <c r="D505" s="20">
        <v>80.19</v>
      </c>
      <c r="E505" s="20">
        <v>-0.19</v>
      </c>
      <c r="F505" s="20">
        <v>-0.04</v>
      </c>
      <c r="G505" s="26">
        <v>2302.79</v>
      </c>
      <c r="H505" s="20"/>
      <c r="I505" s="20"/>
      <c r="J505" s="20"/>
      <c r="K505" s="20"/>
    </row>
    <row r="506" spans="1:11" ht="19.5" customHeight="1" x14ac:dyDescent="0.3">
      <c r="A506" s="22">
        <v>46045.610064062501</v>
      </c>
      <c r="B506" s="20">
        <v>49.8</v>
      </c>
      <c r="C506" s="20">
        <v>80</v>
      </c>
      <c r="D506" s="26">
        <v>80.150000000000006</v>
      </c>
      <c r="E506" s="20">
        <v>-0.15</v>
      </c>
      <c r="F506" s="20">
        <v>0.04</v>
      </c>
      <c r="G506" s="26">
        <v>2385.16</v>
      </c>
      <c r="H506" s="20"/>
      <c r="I506" s="20"/>
      <c r="J506" s="20"/>
      <c r="K506" s="20"/>
    </row>
    <row r="507" spans="1:11" ht="19.5" customHeight="1" x14ac:dyDescent="0.3">
      <c r="A507" s="22">
        <v>46045.610065208333</v>
      </c>
      <c r="B507" s="20">
        <v>49.9</v>
      </c>
      <c r="C507" s="20">
        <v>80</v>
      </c>
      <c r="D507" s="26">
        <v>80.19</v>
      </c>
      <c r="E507" s="20">
        <v>-0.19</v>
      </c>
      <c r="F507" s="20">
        <v>-0.04</v>
      </c>
      <c r="G507" s="26">
        <v>2306.8200000000002</v>
      </c>
      <c r="H507" s="20"/>
      <c r="I507" s="20"/>
      <c r="J507" s="20"/>
      <c r="K507" s="20"/>
    </row>
    <row r="508" spans="1:11" ht="19.5" customHeight="1" x14ac:dyDescent="0.3">
      <c r="A508" s="22">
        <v>46045.610066365742</v>
      </c>
      <c r="B508" s="20">
        <v>50</v>
      </c>
      <c r="C508" s="20">
        <v>80</v>
      </c>
      <c r="D508" s="20">
        <v>80.13</v>
      </c>
      <c r="E508" s="20">
        <v>-0.13</v>
      </c>
      <c r="F508" s="20">
        <v>0.06</v>
      </c>
      <c r="G508" s="26">
        <v>2405.91</v>
      </c>
      <c r="H508" s="20"/>
      <c r="I508" s="20"/>
      <c r="J508" s="20"/>
      <c r="K508" s="20"/>
    </row>
    <row r="509" spans="1:11" ht="19.5" customHeight="1" x14ac:dyDescent="0.3">
      <c r="A509" s="22">
        <v>46045.610067511574</v>
      </c>
      <c r="B509" s="20">
        <v>50.1</v>
      </c>
      <c r="C509" s="20">
        <v>80</v>
      </c>
      <c r="D509" s="26">
        <v>80.180000000000007</v>
      </c>
      <c r="E509" s="20">
        <v>-0.18</v>
      </c>
      <c r="F509" s="20">
        <v>-0.05</v>
      </c>
      <c r="G509" s="26">
        <v>2311.5100000000002</v>
      </c>
      <c r="H509" s="20"/>
      <c r="I509" s="20"/>
      <c r="J509" s="20"/>
      <c r="K509" s="20"/>
    </row>
    <row r="510" spans="1:11" ht="19.5" customHeight="1" x14ac:dyDescent="0.3">
      <c r="A510" s="22">
        <v>46045.610068657406</v>
      </c>
      <c r="B510" s="20">
        <v>50.2</v>
      </c>
      <c r="C510" s="20">
        <v>80</v>
      </c>
      <c r="D510" s="20">
        <v>80.19</v>
      </c>
      <c r="E510" s="20">
        <v>-0.19</v>
      </c>
      <c r="F510" s="20">
        <v>-0.02</v>
      </c>
      <c r="G510" s="20">
        <v>2325.04</v>
      </c>
      <c r="H510" s="20"/>
      <c r="I510" s="20"/>
      <c r="J510" s="20"/>
      <c r="K510" s="20"/>
    </row>
    <row r="511" spans="1:11" ht="19.5" customHeight="1" x14ac:dyDescent="0.3">
      <c r="A511" s="22">
        <v>46045.61006983796</v>
      </c>
      <c r="B511" s="20">
        <v>50.3</v>
      </c>
      <c r="C511" s="20">
        <v>80</v>
      </c>
      <c r="D511" s="26">
        <v>80.209999999999994</v>
      </c>
      <c r="E511" s="20">
        <v>-0.21</v>
      </c>
      <c r="F511" s="20">
        <v>-0.02</v>
      </c>
      <c r="G511" s="26">
        <v>2308.66</v>
      </c>
      <c r="H511" s="20"/>
      <c r="I511" s="20"/>
      <c r="J511" s="20"/>
      <c r="K511" s="20"/>
    </row>
    <row r="512" spans="1:11" ht="19.5" customHeight="1" x14ac:dyDescent="0.3">
      <c r="A512" s="22">
        <v>46045.610070995368</v>
      </c>
      <c r="B512" s="20">
        <v>50.4</v>
      </c>
      <c r="C512" s="20">
        <v>80</v>
      </c>
      <c r="D512" s="20">
        <v>80.2</v>
      </c>
      <c r="E512" s="20">
        <v>-0.2</v>
      </c>
      <c r="F512" s="20">
        <v>0.01</v>
      </c>
      <c r="G512" s="20">
        <v>2331.6999999999998</v>
      </c>
      <c r="H512" s="20"/>
      <c r="I512" s="20"/>
      <c r="J512" s="20"/>
      <c r="K512" s="20"/>
    </row>
    <row r="513" spans="1:11" ht="19.5" customHeight="1" x14ac:dyDescent="0.3">
      <c r="A513" s="22">
        <v>46045.6100721412</v>
      </c>
      <c r="B513" s="20">
        <v>50.5</v>
      </c>
      <c r="C513" s="20">
        <v>80</v>
      </c>
      <c r="D513" s="26">
        <v>80.150000000000006</v>
      </c>
      <c r="E513" s="20">
        <v>-0.15</v>
      </c>
      <c r="F513" s="20">
        <v>0.05</v>
      </c>
      <c r="G513" s="26">
        <v>2385.16</v>
      </c>
      <c r="H513" s="20"/>
      <c r="I513" s="20"/>
      <c r="J513" s="20"/>
      <c r="K513" s="20"/>
    </row>
    <row r="514" spans="1:11" ht="19.5" customHeight="1" x14ac:dyDescent="0.3">
      <c r="A514" s="22">
        <v>46045.610073333337</v>
      </c>
      <c r="B514" s="20">
        <v>50.6</v>
      </c>
      <c r="C514" s="20">
        <v>80</v>
      </c>
      <c r="D514" s="26">
        <v>80.19</v>
      </c>
      <c r="E514" s="20">
        <v>-0.19</v>
      </c>
      <c r="F514" s="20">
        <v>-0.04</v>
      </c>
      <c r="G514" s="26">
        <v>2299.0700000000002</v>
      </c>
      <c r="H514" s="20"/>
      <c r="I514" s="20"/>
      <c r="J514" s="20"/>
      <c r="K514" s="20"/>
    </row>
    <row r="515" spans="1:11" ht="19.5" customHeight="1" x14ac:dyDescent="0.3">
      <c r="A515" s="22">
        <v>46045.610074467593</v>
      </c>
      <c r="B515" s="20">
        <v>50.7</v>
      </c>
      <c r="C515" s="20">
        <v>80</v>
      </c>
      <c r="D515" s="20">
        <v>80.22</v>
      </c>
      <c r="E515" s="20">
        <v>-0.22</v>
      </c>
      <c r="F515" s="20">
        <v>-0.02</v>
      </c>
      <c r="G515" s="26">
        <v>2300.86</v>
      </c>
      <c r="H515" s="20"/>
      <c r="I515" s="20"/>
      <c r="J515" s="20"/>
      <c r="K515" s="20"/>
    </row>
    <row r="516" spans="1:11" ht="19.5" customHeight="1" x14ac:dyDescent="0.3">
      <c r="A516" s="22">
        <v>46045.610075613426</v>
      </c>
      <c r="B516" s="20">
        <v>50.8</v>
      </c>
      <c r="C516" s="20">
        <v>80</v>
      </c>
      <c r="D516" s="26">
        <v>80.17</v>
      </c>
      <c r="E516" s="20">
        <v>-0.17</v>
      </c>
      <c r="F516" s="20">
        <v>0.04</v>
      </c>
      <c r="G516" s="26">
        <v>2364.54</v>
      </c>
      <c r="H516" s="20"/>
      <c r="I516" s="20"/>
      <c r="J516" s="20"/>
      <c r="K516" s="20"/>
    </row>
    <row r="517" spans="1:11" ht="19.5" customHeight="1" x14ac:dyDescent="0.3">
      <c r="A517" s="22">
        <v>46045.610076770834</v>
      </c>
      <c r="B517" s="20">
        <v>50.9</v>
      </c>
      <c r="C517" s="20">
        <v>80</v>
      </c>
      <c r="D517" s="26">
        <v>80.16</v>
      </c>
      <c r="E517" s="20">
        <v>-0.16</v>
      </c>
      <c r="F517" s="20">
        <v>0.01</v>
      </c>
      <c r="G517" s="26">
        <v>2376.91</v>
      </c>
      <c r="H517" s="20"/>
      <c r="I517" s="20"/>
      <c r="J517" s="20"/>
      <c r="K517" s="20"/>
    </row>
    <row r="518" spans="1:11" ht="19.5" customHeight="1" x14ac:dyDescent="0.3">
      <c r="A518" s="22">
        <v>46045.610077939818</v>
      </c>
      <c r="B518" s="20">
        <v>51</v>
      </c>
      <c r="C518" s="20">
        <v>80</v>
      </c>
      <c r="D518" s="20">
        <v>80.150000000000006</v>
      </c>
      <c r="E518" s="20">
        <v>-0.15</v>
      </c>
      <c r="F518" s="20">
        <v>0.01</v>
      </c>
      <c r="G518" s="26">
        <v>2385.16</v>
      </c>
      <c r="H518" s="20"/>
      <c r="I518" s="20"/>
      <c r="J518" s="20"/>
      <c r="K518" s="20"/>
    </row>
    <row r="519" spans="1:11" ht="19.5" customHeight="1" x14ac:dyDescent="0.3">
      <c r="A519" s="22">
        <v>46045.610079085651</v>
      </c>
      <c r="B519" s="20">
        <v>51.1</v>
      </c>
      <c r="C519" s="20">
        <v>80</v>
      </c>
      <c r="D519" s="26">
        <v>80.12</v>
      </c>
      <c r="E519" s="20">
        <v>-0.12</v>
      </c>
      <c r="F519" s="20">
        <v>0.03</v>
      </c>
      <c r="G519" s="26">
        <v>2418.4299999999998</v>
      </c>
      <c r="H519" s="20"/>
      <c r="I519" s="20"/>
      <c r="J519" s="20"/>
      <c r="K519" s="20"/>
    </row>
    <row r="520" spans="1:11" ht="19.5" customHeight="1" x14ac:dyDescent="0.3">
      <c r="A520" s="22">
        <v>46045.610080243052</v>
      </c>
      <c r="B520" s="20">
        <v>51.2</v>
      </c>
      <c r="C520" s="20">
        <v>80</v>
      </c>
      <c r="D520" s="20">
        <v>80.09</v>
      </c>
      <c r="E520" s="20">
        <v>-0.09</v>
      </c>
      <c r="F520" s="20">
        <v>0.02</v>
      </c>
      <c r="G520" s="26">
        <v>2443.88</v>
      </c>
      <c r="H520" s="20"/>
      <c r="I520" s="20"/>
      <c r="J520" s="20"/>
      <c r="K520" s="20"/>
    </row>
    <row r="521" spans="1:11" ht="19.5" customHeight="1" x14ac:dyDescent="0.3">
      <c r="A521" s="22">
        <v>46045.610081377316</v>
      </c>
      <c r="B521" s="20">
        <v>51.3</v>
      </c>
      <c r="C521" s="20">
        <v>80</v>
      </c>
      <c r="D521" s="26">
        <v>80.17</v>
      </c>
      <c r="E521" s="20">
        <v>-0.17</v>
      </c>
      <c r="F521" s="20">
        <v>-0.08</v>
      </c>
      <c r="G521" s="26">
        <v>2285.77</v>
      </c>
      <c r="H521" s="20"/>
      <c r="I521" s="20"/>
      <c r="J521" s="20"/>
      <c r="K521" s="20"/>
    </row>
    <row r="522" spans="1:11" ht="19.5" customHeight="1" x14ac:dyDescent="0.3">
      <c r="A522" s="22">
        <v>46045.610082569445</v>
      </c>
      <c r="B522" s="20">
        <v>51.4</v>
      </c>
      <c r="C522" s="20">
        <v>80</v>
      </c>
      <c r="D522" s="26">
        <v>80.16</v>
      </c>
      <c r="E522" s="20">
        <v>-0.16</v>
      </c>
      <c r="F522" s="20">
        <v>0.02</v>
      </c>
      <c r="G522" s="26">
        <v>2376.91</v>
      </c>
      <c r="H522" s="20"/>
      <c r="I522" s="20"/>
      <c r="J522" s="20"/>
      <c r="K522" s="20"/>
    </row>
    <row r="523" spans="1:11" ht="19.5" customHeight="1" x14ac:dyDescent="0.3">
      <c r="A523" s="22">
        <v>46045.610083726853</v>
      </c>
      <c r="B523" s="20">
        <v>51.5</v>
      </c>
      <c r="C523" s="20">
        <v>80</v>
      </c>
      <c r="D523" s="20">
        <v>80.16</v>
      </c>
      <c r="E523" s="20">
        <v>-0.16</v>
      </c>
      <c r="F523" s="20">
        <v>0</v>
      </c>
      <c r="G523" s="20">
        <v>2376.91</v>
      </c>
      <c r="H523" s="20"/>
      <c r="I523" s="20"/>
      <c r="J523" s="20"/>
      <c r="K523" s="20"/>
    </row>
    <row r="524" spans="1:11" ht="19.5" customHeight="1" x14ac:dyDescent="0.3">
      <c r="A524" s="22">
        <v>46045.610084884262</v>
      </c>
      <c r="B524" s="20">
        <v>51.6</v>
      </c>
      <c r="C524" s="20">
        <v>80</v>
      </c>
      <c r="D524" s="26">
        <v>80.11</v>
      </c>
      <c r="E524" s="20">
        <v>-0.11</v>
      </c>
      <c r="F524" s="20">
        <v>0.04</v>
      </c>
      <c r="G524" s="26">
        <v>2422.6799999999998</v>
      </c>
      <c r="H524" s="20"/>
      <c r="I524" s="20"/>
      <c r="J524" s="20"/>
      <c r="K524" s="20"/>
    </row>
    <row r="525" spans="1:11" ht="19.5" customHeight="1" x14ac:dyDescent="0.3">
      <c r="A525" s="22">
        <v>46045.61008604167</v>
      </c>
      <c r="B525" s="20">
        <v>51.7</v>
      </c>
      <c r="C525" s="20">
        <v>80</v>
      </c>
      <c r="D525" s="26">
        <v>80.180000000000007</v>
      </c>
      <c r="E525" s="20">
        <v>-0.18</v>
      </c>
      <c r="F525" s="20">
        <v>-0.06</v>
      </c>
      <c r="G525" s="26">
        <v>2296.6799999999998</v>
      </c>
      <c r="H525" s="20"/>
      <c r="I525" s="20"/>
      <c r="J525" s="20"/>
      <c r="K525" s="20"/>
    </row>
    <row r="526" spans="1:11" ht="19.5" customHeight="1" x14ac:dyDescent="0.3">
      <c r="A526" s="22">
        <v>46045.610087187502</v>
      </c>
      <c r="B526" s="20">
        <v>51.8</v>
      </c>
      <c r="C526" s="20">
        <v>80</v>
      </c>
      <c r="D526" s="20">
        <v>80.11</v>
      </c>
      <c r="E526" s="20">
        <v>-0.11</v>
      </c>
      <c r="F526" s="20">
        <v>0.06</v>
      </c>
      <c r="G526" s="26">
        <v>2422.6799999999998</v>
      </c>
      <c r="H526" s="20"/>
      <c r="I526" s="20"/>
      <c r="J526" s="20"/>
      <c r="K526" s="20"/>
    </row>
    <row r="527" spans="1:11" ht="19.5" customHeight="1" x14ac:dyDescent="0.3">
      <c r="A527" s="22">
        <v>46045.610088344911</v>
      </c>
      <c r="B527" s="20">
        <v>51.9</v>
      </c>
      <c r="C527" s="20">
        <v>80</v>
      </c>
      <c r="D527" s="26">
        <v>80.13</v>
      </c>
      <c r="E527" s="20">
        <v>-0.13</v>
      </c>
      <c r="F527" s="20">
        <v>-0.02</v>
      </c>
      <c r="G527" s="26">
        <v>2390.56</v>
      </c>
      <c r="H527" s="20"/>
      <c r="I527" s="20"/>
      <c r="J527" s="20"/>
      <c r="K527" s="20"/>
    </row>
    <row r="528" spans="1:11" ht="19.5" customHeight="1" x14ac:dyDescent="0.3">
      <c r="A528" s="22">
        <v>46045.610089513888</v>
      </c>
      <c r="B528" s="20">
        <v>52</v>
      </c>
      <c r="C528" s="20">
        <v>80</v>
      </c>
      <c r="D528" s="20">
        <v>80.11</v>
      </c>
      <c r="E528" s="20">
        <v>-0.11</v>
      </c>
      <c r="F528" s="20">
        <v>0.02</v>
      </c>
      <c r="G528" s="20">
        <v>2422.6799999999998</v>
      </c>
      <c r="H528" s="20"/>
      <c r="I528" s="20"/>
      <c r="J528" s="20"/>
      <c r="K528" s="20"/>
    </row>
    <row r="529" spans="1:11" ht="19.5" customHeight="1" x14ac:dyDescent="0.3">
      <c r="A529" s="22">
        <v>46045.61009065972</v>
      </c>
      <c r="B529" s="20">
        <v>52.1</v>
      </c>
      <c r="C529" s="20">
        <v>80</v>
      </c>
      <c r="D529" s="26">
        <v>80.069999999999993</v>
      </c>
      <c r="E529" s="20">
        <v>-7.0000000000000007E-2</v>
      </c>
      <c r="F529" s="20">
        <v>0.05</v>
      </c>
      <c r="G529" s="26">
        <v>2474.13</v>
      </c>
      <c r="H529" s="20"/>
      <c r="I529" s="20"/>
      <c r="J529" s="20"/>
      <c r="K529" s="20"/>
    </row>
    <row r="530" spans="1:11" ht="19.5" customHeight="1" x14ac:dyDescent="0.3">
      <c r="A530" s="22">
        <v>46045.610091817129</v>
      </c>
      <c r="B530" s="20">
        <v>52.2</v>
      </c>
      <c r="C530" s="20">
        <v>80</v>
      </c>
      <c r="D530" s="26">
        <v>80.11</v>
      </c>
      <c r="E530" s="20">
        <v>-0.11</v>
      </c>
      <c r="F530" s="20">
        <v>-0.04</v>
      </c>
      <c r="G530" s="26">
        <v>2384.16</v>
      </c>
      <c r="H530" s="20"/>
      <c r="I530" s="20"/>
      <c r="J530" s="20"/>
      <c r="K530" s="20"/>
    </row>
    <row r="531" spans="1:11" ht="19.5" customHeight="1" x14ac:dyDescent="0.3">
      <c r="A531" s="22">
        <v>46045.610092986113</v>
      </c>
      <c r="B531" s="20">
        <v>52.3</v>
      </c>
      <c r="C531" s="20">
        <v>80</v>
      </c>
      <c r="D531" s="20">
        <v>80.11</v>
      </c>
      <c r="E531" s="20">
        <v>-0.11</v>
      </c>
      <c r="F531" s="20">
        <v>0</v>
      </c>
      <c r="G531" s="26">
        <v>2426.89</v>
      </c>
      <c r="H531" s="20"/>
      <c r="I531" s="20"/>
      <c r="J531" s="20"/>
      <c r="K531" s="20"/>
    </row>
    <row r="532" spans="1:11" ht="19.5" customHeight="1" x14ac:dyDescent="0.3">
      <c r="A532" s="22">
        <v>46045.610094131946</v>
      </c>
      <c r="B532" s="20">
        <v>52.4</v>
      </c>
      <c r="C532" s="20">
        <v>80</v>
      </c>
      <c r="D532" s="26">
        <v>80.11</v>
      </c>
      <c r="E532" s="20">
        <v>-0.11</v>
      </c>
      <c r="F532" s="20">
        <v>0</v>
      </c>
      <c r="G532" s="26">
        <v>2418.81</v>
      </c>
      <c r="H532" s="20"/>
      <c r="I532" s="20"/>
      <c r="J532" s="20"/>
      <c r="K532" s="20"/>
    </row>
    <row r="533" spans="1:11" ht="19.5" customHeight="1" x14ac:dyDescent="0.3">
      <c r="A533" s="22">
        <v>46045.610095300923</v>
      </c>
      <c r="B533" s="20">
        <v>52.5</v>
      </c>
      <c r="C533" s="20">
        <v>80</v>
      </c>
      <c r="D533" s="20">
        <v>80.08</v>
      </c>
      <c r="E533" s="20">
        <v>-0.08</v>
      </c>
      <c r="F533" s="20">
        <v>0.03</v>
      </c>
      <c r="G533" s="20">
        <v>2456.85</v>
      </c>
      <c r="H533" s="20"/>
      <c r="I533" s="20"/>
      <c r="J533" s="20"/>
      <c r="K533" s="20"/>
    </row>
    <row r="534" spans="1:11" ht="19.5" customHeight="1" x14ac:dyDescent="0.3">
      <c r="A534" s="22">
        <v>46045.610096446762</v>
      </c>
      <c r="B534" s="20">
        <v>52.6</v>
      </c>
      <c r="C534" s="20">
        <v>80</v>
      </c>
      <c r="D534" s="26">
        <v>80.08</v>
      </c>
      <c r="E534" s="20">
        <v>-0.08</v>
      </c>
      <c r="F534" s="20">
        <v>0</v>
      </c>
      <c r="G534" s="26">
        <v>2456.85</v>
      </c>
      <c r="H534" s="20"/>
      <c r="I534" s="20"/>
      <c r="J534" s="20"/>
      <c r="K534" s="20"/>
    </row>
    <row r="535" spans="1:11" ht="19.5" customHeight="1" x14ac:dyDescent="0.3">
      <c r="A535" s="22">
        <v>46045.61009761574</v>
      </c>
      <c r="B535" s="20">
        <v>52.7</v>
      </c>
      <c r="C535" s="20">
        <v>80</v>
      </c>
      <c r="D535" s="26">
        <v>80.099999999999994</v>
      </c>
      <c r="E535" s="20">
        <v>-0.1</v>
      </c>
      <c r="F535" s="20">
        <v>-0.02</v>
      </c>
      <c r="G535" s="26">
        <v>2415.81</v>
      </c>
      <c r="H535" s="20"/>
      <c r="I535" s="20"/>
      <c r="J535" s="20"/>
      <c r="K535" s="20"/>
    </row>
    <row r="536" spans="1:11" ht="19.5" customHeight="1" x14ac:dyDescent="0.3">
      <c r="A536" s="22">
        <v>46045.610098738427</v>
      </c>
      <c r="B536" s="20">
        <v>52.8</v>
      </c>
      <c r="C536" s="20">
        <v>80</v>
      </c>
      <c r="D536" s="20">
        <v>80.12</v>
      </c>
      <c r="E536" s="20">
        <v>-0.12</v>
      </c>
      <c r="F536" s="20">
        <v>-0.02</v>
      </c>
      <c r="G536" s="26">
        <v>2402.96</v>
      </c>
      <c r="H536" s="20"/>
      <c r="I536" s="20"/>
      <c r="J536" s="20"/>
      <c r="K536" s="20"/>
    </row>
    <row r="537" spans="1:11" ht="19.5" customHeight="1" x14ac:dyDescent="0.3">
      <c r="A537" s="22">
        <v>46045.61009991898</v>
      </c>
      <c r="B537" s="20">
        <v>52.9</v>
      </c>
      <c r="C537" s="20">
        <v>80</v>
      </c>
      <c r="D537" s="26">
        <v>80.08</v>
      </c>
      <c r="E537" s="20">
        <v>-0.08</v>
      </c>
      <c r="F537" s="20">
        <v>0.04</v>
      </c>
      <c r="G537" s="26">
        <v>2461.17</v>
      </c>
      <c r="H537" s="20"/>
      <c r="I537" s="20"/>
      <c r="J537" s="20"/>
      <c r="K537" s="20"/>
    </row>
    <row r="538" spans="1:11" ht="19.5" customHeight="1" x14ac:dyDescent="0.3">
      <c r="A538" s="22">
        <v>46045.610101087965</v>
      </c>
      <c r="B538" s="20">
        <v>53</v>
      </c>
      <c r="C538" s="20">
        <v>80</v>
      </c>
      <c r="D538" s="26">
        <v>80.06</v>
      </c>
      <c r="E538" s="20">
        <v>-0.06</v>
      </c>
      <c r="F538" s="20">
        <v>0.02</v>
      </c>
      <c r="G538" s="26">
        <v>2483.1999999999998</v>
      </c>
      <c r="H538" s="20"/>
      <c r="I538" s="20"/>
      <c r="J538" s="20"/>
      <c r="K538" s="20"/>
    </row>
    <row r="539" spans="1:11" ht="19.5" customHeight="1" x14ac:dyDescent="0.3">
      <c r="A539" s="22">
        <v>46045.610102245373</v>
      </c>
      <c r="B539" s="20">
        <v>53.1</v>
      </c>
      <c r="C539" s="20">
        <v>80</v>
      </c>
      <c r="D539" s="20">
        <v>80.08</v>
      </c>
      <c r="E539" s="20">
        <v>-0.08</v>
      </c>
      <c r="F539" s="20">
        <v>-0.02</v>
      </c>
      <c r="G539" s="20">
        <v>2433.02</v>
      </c>
      <c r="H539" s="20"/>
      <c r="I539" s="20"/>
      <c r="J539" s="20"/>
      <c r="K539" s="20"/>
    </row>
    <row r="540" spans="1:11" ht="19.5" customHeight="1" x14ac:dyDescent="0.3">
      <c r="A540" s="22">
        <v>46045.610103402774</v>
      </c>
      <c r="B540" s="20">
        <v>53.2</v>
      </c>
      <c r="C540" s="20">
        <v>80</v>
      </c>
      <c r="D540" s="26">
        <v>80.17</v>
      </c>
      <c r="E540" s="20">
        <v>-0.17</v>
      </c>
      <c r="F540" s="20">
        <v>-0.09</v>
      </c>
      <c r="G540" s="26">
        <v>2282.36</v>
      </c>
      <c r="H540" s="20"/>
      <c r="I540" s="20"/>
      <c r="J540" s="20"/>
      <c r="K540" s="20"/>
    </row>
    <row r="541" spans="1:11" ht="19.5" customHeight="1" x14ac:dyDescent="0.3">
      <c r="A541" s="22">
        <v>46045.610104571759</v>
      </c>
      <c r="B541" s="20">
        <v>53.3</v>
      </c>
      <c r="C541" s="20">
        <v>80</v>
      </c>
      <c r="D541" s="20">
        <v>80.2</v>
      </c>
      <c r="E541" s="20">
        <v>-0.2</v>
      </c>
      <c r="F541" s="20">
        <v>-0.03</v>
      </c>
      <c r="G541" s="20">
        <v>2309.81</v>
      </c>
      <c r="H541" s="20"/>
      <c r="I541" s="20"/>
      <c r="J541" s="20"/>
      <c r="K541" s="20"/>
    </row>
    <row r="542" spans="1:11" ht="19.5" customHeight="1" x14ac:dyDescent="0.3">
      <c r="A542" s="22">
        <v>46045.610105706015</v>
      </c>
      <c r="B542" s="20">
        <v>53.4</v>
      </c>
      <c r="C542" s="20">
        <v>80</v>
      </c>
      <c r="D542" s="26">
        <v>80.19</v>
      </c>
      <c r="E542" s="20">
        <v>-0.19</v>
      </c>
      <c r="F542" s="20">
        <v>0.01</v>
      </c>
      <c r="G542" s="26">
        <v>2348.12</v>
      </c>
      <c r="H542" s="20"/>
      <c r="I542" s="20"/>
      <c r="J542" s="20"/>
      <c r="K542" s="20"/>
    </row>
    <row r="543" spans="1:11" ht="19.5" customHeight="1" x14ac:dyDescent="0.3">
      <c r="A543" s="22">
        <v>46045.610106863423</v>
      </c>
      <c r="B543" s="20">
        <v>53.5</v>
      </c>
      <c r="C543" s="20">
        <v>80</v>
      </c>
      <c r="D543" s="20">
        <v>80.11</v>
      </c>
      <c r="E543" s="20">
        <v>-0.11</v>
      </c>
      <c r="F543" s="20">
        <v>0.08</v>
      </c>
      <c r="G543" s="26">
        <v>2430.1799999999998</v>
      </c>
      <c r="H543" s="20"/>
      <c r="I543" s="20"/>
      <c r="J543" s="20"/>
      <c r="K543" s="20"/>
    </row>
    <row r="544" spans="1:11" ht="19.5" customHeight="1" x14ac:dyDescent="0.3">
      <c r="A544" s="22">
        <v>46045.610108043984</v>
      </c>
      <c r="B544" s="20">
        <v>53.6</v>
      </c>
      <c r="C544" s="20">
        <v>80</v>
      </c>
      <c r="D544" s="26">
        <v>80.16</v>
      </c>
      <c r="E544" s="20">
        <v>-0.16</v>
      </c>
      <c r="F544" s="20">
        <v>-0.06</v>
      </c>
      <c r="G544" s="20">
        <v>2320.08</v>
      </c>
      <c r="H544" s="20"/>
      <c r="I544" s="20"/>
      <c r="J544" s="20"/>
      <c r="K544" s="20"/>
    </row>
    <row r="545" spans="1:11" ht="19.5" customHeight="1" x14ac:dyDescent="0.3">
      <c r="A545" s="22">
        <v>46045.61010917824</v>
      </c>
      <c r="B545" s="20">
        <v>53.7</v>
      </c>
      <c r="C545" s="20">
        <v>80</v>
      </c>
      <c r="D545" s="26">
        <v>80.180000000000007</v>
      </c>
      <c r="E545" s="20">
        <v>-0.18</v>
      </c>
      <c r="F545" s="20">
        <v>-0.02</v>
      </c>
      <c r="G545" s="26">
        <v>2341.39</v>
      </c>
      <c r="H545" s="20"/>
      <c r="I545" s="20"/>
      <c r="J545" s="20"/>
      <c r="K545" s="20"/>
    </row>
    <row r="546" spans="1:11" ht="19.5" customHeight="1" x14ac:dyDescent="0.3">
      <c r="A546" s="22">
        <v>46045.610110347225</v>
      </c>
      <c r="B546" s="20">
        <v>53.8</v>
      </c>
      <c r="C546" s="20">
        <v>80</v>
      </c>
      <c r="D546" s="20">
        <v>80.19</v>
      </c>
      <c r="E546" s="20">
        <v>-0.19</v>
      </c>
      <c r="F546" s="20">
        <v>-0.01</v>
      </c>
      <c r="G546" s="20">
        <v>2340.67</v>
      </c>
      <c r="H546" s="20"/>
      <c r="I546" s="20"/>
      <c r="J546" s="20"/>
      <c r="K546" s="20"/>
    </row>
    <row r="547" spans="1:11" ht="19.5" customHeight="1" x14ac:dyDescent="0.3">
      <c r="A547" s="22">
        <v>46045.610111493057</v>
      </c>
      <c r="B547" s="20">
        <v>53.9</v>
      </c>
      <c r="C547" s="20">
        <v>80</v>
      </c>
      <c r="D547" s="26">
        <v>80.23</v>
      </c>
      <c r="E547" s="20">
        <v>-0.23</v>
      </c>
      <c r="F547" s="20">
        <v>-0.04</v>
      </c>
      <c r="G547" s="26">
        <v>2262.46</v>
      </c>
      <c r="H547" s="20"/>
      <c r="I547" s="20"/>
      <c r="J547" s="20"/>
      <c r="K547" s="20"/>
    </row>
    <row r="548" spans="1:11" ht="19.5" customHeight="1" x14ac:dyDescent="0.3">
      <c r="A548" s="22">
        <v>46045.61011267361</v>
      </c>
      <c r="B548" s="20">
        <v>54</v>
      </c>
      <c r="C548" s="20">
        <v>80</v>
      </c>
      <c r="D548" s="26">
        <v>80.239999999999995</v>
      </c>
      <c r="E548" s="20">
        <v>-0.24</v>
      </c>
      <c r="F548" s="20">
        <v>-0.01</v>
      </c>
      <c r="G548" s="26">
        <v>2279.34</v>
      </c>
      <c r="H548" s="20"/>
      <c r="I548" s="20"/>
      <c r="J548" s="20"/>
      <c r="K548" s="20"/>
    </row>
    <row r="549" spans="1:11" ht="19.5" customHeight="1" x14ac:dyDescent="0.3">
      <c r="A549" s="22">
        <v>46045.610113796298</v>
      </c>
      <c r="B549" s="20">
        <v>54.1</v>
      </c>
      <c r="C549" s="20">
        <v>80</v>
      </c>
      <c r="D549" s="20">
        <v>80.209999999999994</v>
      </c>
      <c r="E549" s="20">
        <v>-0.21</v>
      </c>
      <c r="F549" s="20">
        <v>0.03</v>
      </c>
      <c r="G549" s="26">
        <v>2323.44</v>
      </c>
      <c r="H549" s="20"/>
      <c r="I549" s="20"/>
      <c r="J549" s="20"/>
      <c r="K549" s="20"/>
    </row>
    <row r="550" spans="1:11" ht="19.5" customHeight="1" x14ac:dyDescent="0.3">
      <c r="A550" s="22">
        <v>46045.610114976851</v>
      </c>
      <c r="B550" s="20">
        <v>54.2</v>
      </c>
      <c r="C550" s="20">
        <v>80</v>
      </c>
      <c r="D550" s="26">
        <v>80.209999999999994</v>
      </c>
      <c r="E550" s="20">
        <v>-0.21</v>
      </c>
      <c r="F550" s="20">
        <v>0</v>
      </c>
      <c r="G550" s="26">
        <v>2323.44</v>
      </c>
      <c r="H550" s="20"/>
      <c r="I550" s="20"/>
      <c r="J550" s="20"/>
      <c r="K550" s="20"/>
    </row>
    <row r="551" spans="1:11" ht="19.5" customHeight="1" x14ac:dyDescent="0.3">
      <c r="A551" s="22">
        <v>46045.610116111115</v>
      </c>
      <c r="B551" s="20">
        <v>54.3</v>
      </c>
      <c r="C551" s="20">
        <v>80</v>
      </c>
      <c r="D551" s="20">
        <v>80.2</v>
      </c>
      <c r="E551" s="20">
        <v>-0.2</v>
      </c>
      <c r="F551" s="20">
        <v>0.01</v>
      </c>
      <c r="G551" s="26">
        <v>2335.81</v>
      </c>
      <c r="H551" s="20"/>
      <c r="I551" s="20"/>
      <c r="J551" s="20"/>
      <c r="K551" s="20"/>
    </row>
    <row r="552" spans="1:11" ht="19.5" customHeight="1" x14ac:dyDescent="0.3">
      <c r="A552" s="22">
        <v>46045.610117291668</v>
      </c>
      <c r="B552" s="20">
        <v>54.4</v>
      </c>
      <c r="C552" s="20">
        <v>80</v>
      </c>
      <c r="D552" s="26">
        <v>80.180000000000007</v>
      </c>
      <c r="E552" s="20">
        <v>-0.18</v>
      </c>
      <c r="F552" s="20">
        <v>0.02</v>
      </c>
      <c r="G552" s="20">
        <v>2352.2399999999998</v>
      </c>
      <c r="H552" s="20"/>
      <c r="I552" s="20"/>
      <c r="J552" s="20"/>
      <c r="K552" s="20"/>
    </row>
    <row r="553" spans="1:11" ht="19.5" customHeight="1" x14ac:dyDescent="0.3">
      <c r="A553" s="22">
        <v>46045.610118414355</v>
      </c>
      <c r="B553" s="20">
        <v>54.5</v>
      </c>
      <c r="C553" s="20">
        <v>80</v>
      </c>
      <c r="D553" s="26">
        <v>80.25</v>
      </c>
      <c r="E553" s="20">
        <v>-0.25</v>
      </c>
      <c r="F553" s="20">
        <v>-0.06</v>
      </c>
      <c r="G553" s="26">
        <v>2227.86</v>
      </c>
      <c r="H553" s="20"/>
      <c r="I553" s="20"/>
      <c r="J553" s="20"/>
      <c r="K553" s="20"/>
    </row>
    <row r="554" spans="1:11" ht="19.5" customHeight="1" x14ac:dyDescent="0.3">
      <c r="A554" s="22">
        <v>46045.610119606485</v>
      </c>
      <c r="B554" s="20">
        <v>54.6</v>
      </c>
      <c r="C554" s="20">
        <v>80</v>
      </c>
      <c r="D554" s="20">
        <v>80.23</v>
      </c>
      <c r="E554" s="20">
        <v>-0.23</v>
      </c>
      <c r="F554" s="20">
        <v>0.02</v>
      </c>
      <c r="G554" s="20">
        <v>2302.79</v>
      </c>
      <c r="H554" s="20"/>
      <c r="I554" s="20"/>
      <c r="J554" s="20"/>
      <c r="K554" s="20"/>
    </row>
    <row r="555" spans="1:11" ht="19.5" customHeight="1" x14ac:dyDescent="0.3">
      <c r="A555" s="22">
        <v>46045.610120763886</v>
      </c>
      <c r="B555" s="20">
        <v>54.7</v>
      </c>
      <c r="C555" s="20">
        <v>80</v>
      </c>
      <c r="D555" s="26">
        <v>80.2</v>
      </c>
      <c r="E555" s="20">
        <v>-0.2</v>
      </c>
      <c r="F555" s="20">
        <v>0.03</v>
      </c>
      <c r="G555" s="26">
        <v>2335.81</v>
      </c>
      <c r="H555" s="20"/>
      <c r="I555" s="20"/>
      <c r="J555" s="20"/>
      <c r="K555" s="20"/>
    </row>
    <row r="556" spans="1:11" ht="19.5" customHeight="1" x14ac:dyDescent="0.3">
      <c r="A556" s="22">
        <v>46045.610121909725</v>
      </c>
      <c r="B556" s="20">
        <v>54.8</v>
      </c>
      <c r="C556" s="20">
        <v>80</v>
      </c>
      <c r="D556" s="20">
        <v>80.19</v>
      </c>
      <c r="E556" s="20">
        <v>-0.19</v>
      </c>
      <c r="F556" s="20">
        <v>0.01</v>
      </c>
      <c r="G556" s="26">
        <v>2348.12</v>
      </c>
      <c r="H556" s="20"/>
      <c r="I556" s="20"/>
      <c r="J556" s="20"/>
      <c r="K556" s="20"/>
    </row>
    <row r="557" spans="1:11" ht="19.5" customHeight="1" x14ac:dyDescent="0.3">
      <c r="A557" s="22">
        <v>46045.610123078703</v>
      </c>
      <c r="B557" s="20">
        <v>54.9</v>
      </c>
      <c r="C557" s="20">
        <v>80</v>
      </c>
      <c r="D557" s="26">
        <v>80.19</v>
      </c>
      <c r="E557" s="20">
        <v>-0.19</v>
      </c>
      <c r="F557" s="20">
        <v>0</v>
      </c>
      <c r="G557" s="20">
        <v>2340.27</v>
      </c>
      <c r="H557" s="20"/>
      <c r="I557" s="20"/>
      <c r="J557" s="20"/>
      <c r="K557" s="20"/>
    </row>
    <row r="558" spans="1:11" ht="19.5" customHeight="1" x14ac:dyDescent="0.3">
      <c r="A558" s="22">
        <v>46045.610124236111</v>
      </c>
      <c r="B558" s="20">
        <v>55</v>
      </c>
      <c r="C558" s="20">
        <v>80</v>
      </c>
      <c r="D558" s="26">
        <v>80.239999999999995</v>
      </c>
      <c r="E558" s="20">
        <v>-0.24</v>
      </c>
      <c r="F558" s="20">
        <v>-0.04</v>
      </c>
      <c r="G558" s="26">
        <v>2258.35</v>
      </c>
      <c r="H558" s="20"/>
      <c r="I558" s="20"/>
      <c r="J558" s="20"/>
      <c r="K558" s="20"/>
    </row>
    <row r="559" spans="1:11" ht="19.5" customHeight="1" x14ac:dyDescent="0.3">
      <c r="A559" s="22">
        <v>46045.610125393519</v>
      </c>
      <c r="B559" s="20">
        <v>55.1</v>
      </c>
      <c r="C559" s="20">
        <v>80</v>
      </c>
      <c r="D559" s="20">
        <v>80.239999999999995</v>
      </c>
      <c r="E559" s="20">
        <v>-0.24</v>
      </c>
      <c r="F559" s="20">
        <v>0</v>
      </c>
      <c r="G559" s="26">
        <v>2290.77</v>
      </c>
      <c r="H559" s="20"/>
      <c r="I559" s="20"/>
      <c r="J559" s="20"/>
      <c r="K559" s="20"/>
    </row>
    <row r="560" spans="1:11" ht="19.5" customHeight="1" x14ac:dyDescent="0.3">
      <c r="A560" s="22">
        <v>46045.610126539352</v>
      </c>
      <c r="B560" s="20">
        <v>55.2</v>
      </c>
      <c r="C560" s="20">
        <v>80</v>
      </c>
      <c r="D560" s="26">
        <v>80.19</v>
      </c>
      <c r="E560" s="20">
        <v>-0.19</v>
      </c>
      <c r="F560" s="20">
        <v>0.05</v>
      </c>
      <c r="G560" s="26">
        <v>2348.12</v>
      </c>
      <c r="H560" s="20"/>
      <c r="I560" s="20"/>
      <c r="J560" s="20"/>
      <c r="K560" s="20"/>
    </row>
    <row r="561" spans="1:11" ht="19.5" customHeight="1" x14ac:dyDescent="0.3">
      <c r="A561" s="22">
        <v>46045.61012769676</v>
      </c>
      <c r="B561" s="20">
        <v>55.3</v>
      </c>
      <c r="C561" s="20">
        <v>80</v>
      </c>
      <c r="D561" s="26">
        <v>80.209999999999994</v>
      </c>
      <c r="E561" s="20">
        <v>-0.21</v>
      </c>
      <c r="F561" s="20">
        <v>-0.02</v>
      </c>
      <c r="G561" s="26">
        <v>2301.25</v>
      </c>
      <c r="H561" s="20"/>
      <c r="I561" s="20"/>
      <c r="J561" s="20"/>
      <c r="K561" s="20"/>
    </row>
    <row r="562" spans="1:11" ht="19.5" customHeight="1" x14ac:dyDescent="0.3">
      <c r="A562" s="22">
        <v>46045.610128865737</v>
      </c>
      <c r="B562" s="20">
        <v>55.4</v>
      </c>
      <c r="C562" s="20">
        <v>80</v>
      </c>
      <c r="D562" s="20">
        <v>80.16</v>
      </c>
      <c r="E562" s="20">
        <v>-0.16</v>
      </c>
      <c r="F562" s="20">
        <v>0.05</v>
      </c>
      <c r="G562" s="26">
        <v>2372.7800000000002</v>
      </c>
      <c r="H562" s="20"/>
      <c r="I562" s="20"/>
      <c r="J562" s="20"/>
      <c r="K562" s="20"/>
    </row>
    <row r="563" spans="1:11" ht="19.5" customHeight="1" x14ac:dyDescent="0.3">
      <c r="A563" s="22">
        <v>46045.610130023146</v>
      </c>
      <c r="B563" s="20">
        <v>55.5</v>
      </c>
      <c r="C563" s="20">
        <v>80</v>
      </c>
      <c r="D563" s="26">
        <v>80.2</v>
      </c>
      <c r="E563" s="20">
        <v>-0.2</v>
      </c>
      <c r="F563" s="20">
        <v>-0.04</v>
      </c>
      <c r="G563" s="26">
        <v>2294.71</v>
      </c>
      <c r="H563" s="20"/>
      <c r="I563" s="20"/>
      <c r="J563" s="20"/>
      <c r="K563" s="20"/>
    </row>
    <row r="564" spans="1:11" ht="19.5" customHeight="1" x14ac:dyDescent="0.3">
      <c r="A564" s="22">
        <v>46045.610131180554</v>
      </c>
      <c r="B564" s="20">
        <v>55.6</v>
      </c>
      <c r="C564" s="20">
        <v>80</v>
      </c>
      <c r="D564" s="20">
        <v>80.19</v>
      </c>
      <c r="E564" s="20">
        <v>-0.19</v>
      </c>
      <c r="F564" s="20">
        <v>0.01</v>
      </c>
      <c r="G564" s="26">
        <v>2343.9899999999998</v>
      </c>
      <c r="H564" s="20"/>
      <c r="I564" s="20"/>
      <c r="J564" s="20"/>
      <c r="K564" s="20"/>
    </row>
    <row r="565" spans="1:11" ht="19.5" customHeight="1" x14ac:dyDescent="0.3">
      <c r="A565" s="22">
        <v>46045.610132349539</v>
      </c>
      <c r="B565" s="20">
        <v>55.7</v>
      </c>
      <c r="C565" s="20">
        <v>80</v>
      </c>
      <c r="D565" s="26">
        <v>80.209999999999994</v>
      </c>
      <c r="E565" s="20">
        <v>-0.21</v>
      </c>
      <c r="F565" s="20">
        <v>-0.02</v>
      </c>
      <c r="G565" s="26">
        <v>2304.9499999999998</v>
      </c>
      <c r="H565" s="20"/>
      <c r="I565" s="20"/>
      <c r="J565" s="20"/>
      <c r="K565" s="20"/>
    </row>
    <row r="566" spans="1:11" ht="19.5" customHeight="1" x14ac:dyDescent="0.3">
      <c r="A566" s="22">
        <v>46045.610133483795</v>
      </c>
      <c r="B566" s="20">
        <v>55.8</v>
      </c>
      <c r="C566" s="20">
        <v>80</v>
      </c>
      <c r="D566" s="26">
        <v>80.13</v>
      </c>
      <c r="E566" s="20">
        <v>-0.13</v>
      </c>
      <c r="F566" s="20">
        <v>0.08</v>
      </c>
      <c r="G566" s="26">
        <v>2401.75</v>
      </c>
      <c r="H566" s="20"/>
      <c r="I566" s="20"/>
      <c r="J566" s="20"/>
      <c r="K566" s="20"/>
    </row>
    <row r="567" spans="1:11" ht="19.5" customHeight="1" x14ac:dyDescent="0.3">
      <c r="A567" s="22">
        <v>46045.610134618059</v>
      </c>
      <c r="B567" s="20">
        <v>55.9</v>
      </c>
      <c r="C567" s="20">
        <v>80</v>
      </c>
      <c r="D567" s="20">
        <v>80.16</v>
      </c>
      <c r="E567" s="20">
        <v>-0.16</v>
      </c>
      <c r="F567" s="20">
        <v>-0.03</v>
      </c>
      <c r="G567" s="26">
        <v>2346.36</v>
      </c>
      <c r="H567" s="20"/>
      <c r="I567" s="20"/>
      <c r="J567" s="20"/>
      <c r="K567" s="20"/>
    </row>
    <row r="568" spans="1:11" ht="19.5" customHeight="1" x14ac:dyDescent="0.3">
      <c r="A568" s="22">
        <v>46045.610135810188</v>
      </c>
      <c r="B568" s="20">
        <v>56</v>
      </c>
      <c r="C568" s="20">
        <v>80</v>
      </c>
      <c r="D568" s="26">
        <v>80.16</v>
      </c>
      <c r="E568" s="20">
        <v>-0.16</v>
      </c>
      <c r="F568" s="20">
        <v>0</v>
      </c>
      <c r="G568" s="20">
        <v>2372.7800000000002</v>
      </c>
      <c r="H568" s="20"/>
      <c r="I568" s="20"/>
      <c r="J568" s="20"/>
      <c r="K568" s="20"/>
    </row>
    <row r="569" spans="1:11" ht="19.5" customHeight="1" x14ac:dyDescent="0.3">
      <c r="A569" s="22">
        <v>46045.61013695602</v>
      </c>
      <c r="B569" s="20">
        <v>56.1</v>
      </c>
      <c r="C569" s="20">
        <v>80</v>
      </c>
      <c r="D569" s="26">
        <v>80.13</v>
      </c>
      <c r="E569" s="20">
        <v>-0.13</v>
      </c>
      <c r="F569" s="20">
        <v>0.03</v>
      </c>
      <c r="G569" s="26">
        <v>2405.91</v>
      </c>
      <c r="H569" s="20"/>
      <c r="I569" s="20"/>
      <c r="J569" s="20"/>
      <c r="K569" s="20"/>
    </row>
    <row r="570" spans="1:11" ht="19.5" customHeight="1" x14ac:dyDescent="0.3">
      <c r="A570" s="22">
        <v>46045.610138113429</v>
      </c>
      <c r="B570" s="20">
        <v>56.2</v>
      </c>
      <c r="C570" s="20">
        <v>80</v>
      </c>
      <c r="D570" s="20">
        <v>80.150000000000006</v>
      </c>
      <c r="E570" s="20">
        <v>-0.15</v>
      </c>
      <c r="F570" s="20">
        <v>-0.02</v>
      </c>
      <c r="G570" s="20">
        <v>2374.0700000000002</v>
      </c>
      <c r="H570" s="20"/>
      <c r="I570" s="20"/>
      <c r="J570" s="20"/>
      <c r="K570" s="20"/>
    </row>
    <row r="571" spans="1:11" ht="19.5" customHeight="1" x14ac:dyDescent="0.3">
      <c r="A571" s="22">
        <v>46045.610139317127</v>
      </c>
      <c r="B571" s="20">
        <v>56.3</v>
      </c>
      <c r="C571" s="20">
        <v>80</v>
      </c>
      <c r="D571" s="26">
        <v>80.11</v>
      </c>
      <c r="E571" s="20">
        <v>-0.11</v>
      </c>
      <c r="F571" s="20">
        <v>0.03</v>
      </c>
      <c r="G571" s="26">
        <v>2422.6799999999998</v>
      </c>
      <c r="H571" s="20"/>
      <c r="I571" s="20"/>
      <c r="J571" s="20"/>
      <c r="K571" s="20"/>
    </row>
    <row r="572" spans="1:11" ht="19.5" customHeight="1" x14ac:dyDescent="0.3">
      <c r="A572" s="22">
        <v>46045.610140439814</v>
      </c>
      <c r="B572" s="20">
        <v>56.4</v>
      </c>
      <c r="C572" s="20">
        <v>80</v>
      </c>
      <c r="D572" s="20">
        <v>80.150000000000006</v>
      </c>
      <c r="E572" s="20">
        <v>-0.15</v>
      </c>
      <c r="F572" s="20">
        <v>-0.04</v>
      </c>
      <c r="G572" s="26">
        <v>2351.04</v>
      </c>
      <c r="H572" s="20"/>
      <c r="I572" s="20"/>
      <c r="J572" s="20"/>
      <c r="K572" s="20"/>
    </row>
    <row r="573" spans="1:11" ht="19.5" customHeight="1" x14ac:dyDescent="0.3">
      <c r="A573" s="22">
        <v>46045.610141597223</v>
      </c>
      <c r="B573" s="20">
        <v>56.5</v>
      </c>
      <c r="C573" s="20">
        <v>80</v>
      </c>
      <c r="D573" s="26">
        <v>80.09</v>
      </c>
      <c r="E573" s="20">
        <v>-0.09</v>
      </c>
      <c r="F573" s="20">
        <v>0.06</v>
      </c>
      <c r="G573" s="20">
        <v>2443.88</v>
      </c>
      <c r="H573" s="20"/>
      <c r="I573" s="20"/>
      <c r="J573" s="20"/>
      <c r="K573" s="20"/>
    </row>
    <row r="574" spans="1:11" ht="19.5" customHeight="1" x14ac:dyDescent="0.3">
      <c r="A574" s="22">
        <v>46045.610142754631</v>
      </c>
      <c r="B574" s="20">
        <v>56.6</v>
      </c>
      <c r="C574" s="20">
        <v>80</v>
      </c>
      <c r="D574" s="26">
        <v>80.06</v>
      </c>
      <c r="E574" s="20">
        <v>-0.06</v>
      </c>
      <c r="F574" s="20">
        <v>0.03</v>
      </c>
      <c r="G574" s="26">
        <v>2478.7600000000002</v>
      </c>
      <c r="H574" s="20"/>
      <c r="I574" s="20"/>
      <c r="J574" s="20"/>
      <c r="K574" s="20"/>
    </row>
    <row r="575" spans="1:11" ht="19.5" customHeight="1" x14ac:dyDescent="0.3">
      <c r="A575" s="22">
        <v>46045.610143912039</v>
      </c>
      <c r="B575" s="20">
        <v>56.7</v>
      </c>
      <c r="C575" s="20">
        <v>80</v>
      </c>
      <c r="D575" s="20">
        <v>80.08</v>
      </c>
      <c r="E575" s="20">
        <v>-0.08</v>
      </c>
      <c r="F575" s="20">
        <v>-0.02</v>
      </c>
      <c r="G575" s="26">
        <v>2436.9899999999998</v>
      </c>
      <c r="H575" s="20"/>
      <c r="I575" s="20"/>
      <c r="J575" s="20"/>
      <c r="K575" s="20"/>
    </row>
    <row r="576" spans="1:11" ht="19.5" customHeight="1" x14ac:dyDescent="0.3">
      <c r="A576" s="22">
        <v>46045.610145069448</v>
      </c>
      <c r="B576" s="20">
        <v>56.8</v>
      </c>
      <c r="C576" s="20">
        <v>80</v>
      </c>
      <c r="D576" s="26">
        <v>80.08</v>
      </c>
      <c r="E576" s="20">
        <v>-0.08</v>
      </c>
      <c r="F576" s="20">
        <v>0</v>
      </c>
      <c r="G576" s="26">
        <v>2461.17</v>
      </c>
      <c r="H576" s="20"/>
      <c r="I576" s="20"/>
      <c r="J576" s="20"/>
      <c r="K576" s="20"/>
    </row>
    <row r="577" spans="1:11" ht="19.5" customHeight="1" x14ac:dyDescent="0.3">
      <c r="A577" s="22">
        <v>46045.610146226849</v>
      </c>
      <c r="B577" s="20">
        <v>56.9</v>
      </c>
      <c r="C577" s="20">
        <v>80</v>
      </c>
      <c r="D577" s="20">
        <v>80.12</v>
      </c>
      <c r="E577" s="20">
        <v>-0.12</v>
      </c>
      <c r="F577" s="20">
        <v>-0.04</v>
      </c>
      <c r="G577" s="26">
        <v>2379.8000000000002</v>
      </c>
      <c r="H577" s="20"/>
      <c r="I577" s="20"/>
      <c r="J577" s="20"/>
      <c r="K577" s="20"/>
    </row>
    <row r="578" spans="1:11" ht="19.5" customHeight="1" x14ac:dyDescent="0.3">
      <c r="A578" s="22">
        <v>46045.610147349536</v>
      </c>
      <c r="B578" s="20">
        <v>57</v>
      </c>
      <c r="C578" s="20">
        <v>80</v>
      </c>
      <c r="D578" s="26">
        <v>80.17</v>
      </c>
      <c r="E578" s="20">
        <v>-0.17</v>
      </c>
      <c r="F578" s="20">
        <v>-0.05</v>
      </c>
      <c r="G578" s="26">
        <v>2323.56</v>
      </c>
      <c r="H578" s="20"/>
      <c r="I578" s="20"/>
      <c r="J578" s="20"/>
      <c r="K578" s="20"/>
    </row>
    <row r="579" spans="1:11" ht="19.5" customHeight="1" x14ac:dyDescent="0.3">
      <c r="A579" s="22">
        <v>46045.610148541666</v>
      </c>
      <c r="B579" s="20">
        <v>57.1</v>
      </c>
      <c r="C579" s="20">
        <v>80</v>
      </c>
      <c r="D579" s="26">
        <v>80.11</v>
      </c>
      <c r="E579" s="20">
        <v>-0.11</v>
      </c>
      <c r="F579" s="20">
        <v>0.05</v>
      </c>
      <c r="G579" s="20">
        <v>2422.6799999999998</v>
      </c>
      <c r="H579" s="20"/>
      <c r="I579" s="20"/>
      <c r="J579" s="20"/>
      <c r="K579" s="20"/>
    </row>
    <row r="580" spans="1:11" ht="19.5" customHeight="1" x14ac:dyDescent="0.3">
      <c r="A580" s="22">
        <v>46045.61014971065</v>
      </c>
      <c r="B580" s="20">
        <v>57.2</v>
      </c>
      <c r="C580" s="20">
        <v>80</v>
      </c>
      <c r="D580" s="26">
        <v>80.150000000000006</v>
      </c>
      <c r="E580" s="20">
        <v>-0.15</v>
      </c>
      <c r="F580" s="20">
        <v>-0.03</v>
      </c>
      <c r="G580" s="26">
        <v>2358.84</v>
      </c>
      <c r="H580" s="20"/>
      <c r="I580" s="20"/>
      <c r="J580" s="20"/>
      <c r="K580" s="20"/>
    </row>
    <row r="581" spans="1:11" ht="19.5" customHeight="1" x14ac:dyDescent="0.3">
      <c r="A581" s="22">
        <v>46045.610150856483</v>
      </c>
      <c r="B581" s="20">
        <v>57.3</v>
      </c>
      <c r="C581" s="20">
        <v>80</v>
      </c>
      <c r="D581" s="20">
        <v>80.17</v>
      </c>
      <c r="E581" s="20">
        <v>-0.17</v>
      </c>
      <c r="F581" s="20">
        <v>-0.02</v>
      </c>
      <c r="G581" s="26">
        <v>2341.98</v>
      </c>
      <c r="H581" s="20"/>
      <c r="I581" s="20"/>
      <c r="J581" s="20"/>
      <c r="K581" s="20"/>
    </row>
    <row r="582" spans="1:11" ht="19.5" customHeight="1" x14ac:dyDescent="0.3">
      <c r="A582" s="22">
        <v>46045.610152002315</v>
      </c>
      <c r="B582" s="20">
        <v>57.4</v>
      </c>
      <c r="C582" s="20">
        <v>80</v>
      </c>
      <c r="D582" s="26">
        <v>80.11</v>
      </c>
      <c r="E582" s="20">
        <v>-0.11</v>
      </c>
      <c r="F582" s="20">
        <v>0.06</v>
      </c>
      <c r="G582" s="26">
        <v>2426.89</v>
      </c>
      <c r="H582" s="20"/>
      <c r="I582" s="20"/>
      <c r="J582" s="20"/>
      <c r="K582" s="20"/>
    </row>
    <row r="583" spans="1:11" ht="19.5" customHeight="1" x14ac:dyDescent="0.3">
      <c r="A583" s="22">
        <v>46045.610153171299</v>
      </c>
      <c r="B583" s="20">
        <v>57.5</v>
      </c>
      <c r="C583" s="20">
        <v>80</v>
      </c>
      <c r="D583" s="26">
        <v>80.08</v>
      </c>
      <c r="E583" s="20">
        <v>-0.08</v>
      </c>
      <c r="F583" s="20">
        <v>0.03</v>
      </c>
      <c r="G583" s="26">
        <v>2461.17</v>
      </c>
      <c r="H583" s="20"/>
      <c r="I583" s="20"/>
      <c r="J583" s="20"/>
      <c r="K583" s="20"/>
    </row>
    <row r="584" spans="1:11" ht="19.5" customHeight="1" x14ac:dyDescent="0.3">
      <c r="A584" s="22">
        <v>46045.610154351853</v>
      </c>
      <c r="B584" s="20">
        <v>57.6</v>
      </c>
      <c r="C584" s="20">
        <v>80</v>
      </c>
      <c r="D584" s="20">
        <v>80.13</v>
      </c>
      <c r="E584" s="20">
        <v>-0.13</v>
      </c>
      <c r="F584" s="20">
        <v>-0.06</v>
      </c>
      <c r="G584" s="20">
        <v>2348.2199999999998</v>
      </c>
      <c r="H584" s="20"/>
      <c r="I584" s="20"/>
      <c r="J584" s="20"/>
      <c r="K584" s="20"/>
    </row>
    <row r="585" spans="1:11" ht="19.5" customHeight="1" x14ac:dyDescent="0.3">
      <c r="A585" s="22">
        <v>46045.61015547454</v>
      </c>
      <c r="B585" s="20">
        <v>57.7</v>
      </c>
      <c r="C585" s="20">
        <v>80</v>
      </c>
      <c r="D585" s="26">
        <v>80.14</v>
      </c>
      <c r="E585" s="20">
        <v>-0.14000000000000001</v>
      </c>
      <c r="F585" s="20">
        <v>0</v>
      </c>
      <c r="G585" s="26">
        <v>2393.7600000000002</v>
      </c>
      <c r="H585" s="20"/>
      <c r="I585" s="20"/>
      <c r="J585" s="20"/>
      <c r="K585" s="20"/>
    </row>
    <row r="586" spans="1:11" ht="19.5" customHeight="1" x14ac:dyDescent="0.3">
      <c r="A586" s="22">
        <v>46045.610156643517</v>
      </c>
      <c r="B586" s="20">
        <v>57.8</v>
      </c>
      <c r="C586" s="20">
        <v>80</v>
      </c>
      <c r="D586" s="20">
        <v>80.150000000000006</v>
      </c>
      <c r="E586" s="20">
        <v>-0.15</v>
      </c>
      <c r="F586" s="20">
        <v>-0.02</v>
      </c>
      <c r="G586" s="26">
        <v>2365.91</v>
      </c>
      <c r="H586" s="20"/>
      <c r="I586" s="20"/>
      <c r="J586" s="20"/>
      <c r="K586" s="20"/>
    </row>
    <row r="587" spans="1:11" ht="19.5" customHeight="1" x14ac:dyDescent="0.3">
      <c r="A587" s="22">
        <v>46045.610157800926</v>
      </c>
      <c r="B587" s="20">
        <v>57.9</v>
      </c>
      <c r="C587" s="20">
        <v>80</v>
      </c>
      <c r="D587" s="26">
        <v>80.17</v>
      </c>
      <c r="E587" s="20">
        <v>-0.17</v>
      </c>
      <c r="F587" s="20">
        <v>-0.01</v>
      </c>
      <c r="G587" s="26">
        <v>2357.39</v>
      </c>
      <c r="H587" s="20"/>
      <c r="I587" s="20"/>
      <c r="J587" s="20"/>
      <c r="K587" s="20"/>
    </row>
    <row r="588" spans="1:11" ht="19.5" customHeight="1" x14ac:dyDescent="0.3">
      <c r="A588" s="22">
        <v>46045.61015896991</v>
      </c>
      <c r="B588" s="20">
        <v>58</v>
      </c>
      <c r="C588" s="20">
        <v>80</v>
      </c>
      <c r="D588" s="26">
        <v>80.2</v>
      </c>
      <c r="E588" s="20">
        <v>-0.2</v>
      </c>
      <c r="F588" s="20">
        <v>-0.03</v>
      </c>
      <c r="G588" s="26">
        <v>2306.12</v>
      </c>
      <c r="H588" s="20"/>
      <c r="I588" s="20"/>
      <c r="J588" s="20"/>
      <c r="K588" s="20"/>
    </row>
    <row r="589" spans="1:11" ht="19.5" customHeight="1" x14ac:dyDescent="0.3">
      <c r="A589" s="22">
        <v>46045.610160115742</v>
      </c>
      <c r="B589" s="20">
        <v>58.1</v>
      </c>
      <c r="C589" s="20">
        <v>80</v>
      </c>
      <c r="D589" s="20">
        <v>80.209999999999994</v>
      </c>
      <c r="E589" s="20">
        <v>-0.21</v>
      </c>
      <c r="F589" s="20">
        <v>-0.01</v>
      </c>
      <c r="G589" s="26">
        <v>2312.37</v>
      </c>
      <c r="H589" s="20"/>
      <c r="I589" s="20"/>
      <c r="J589" s="20"/>
      <c r="K589" s="20"/>
    </row>
    <row r="590" spans="1:11" ht="19.5" customHeight="1" x14ac:dyDescent="0.3">
      <c r="A590" s="22">
        <v>46045.610161261575</v>
      </c>
      <c r="B590" s="20">
        <v>58.2</v>
      </c>
      <c r="C590" s="20">
        <v>80</v>
      </c>
      <c r="D590" s="26">
        <v>80.22</v>
      </c>
      <c r="E590" s="20">
        <v>-0.22</v>
      </c>
      <c r="F590" s="20">
        <v>0</v>
      </c>
      <c r="G590" s="26">
        <v>2315.63</v>
      </c>
      <c r="H590" s="20"/>
      <c r="I590" s="20"/>
      <c r="J590" s="20"/>
      <c r="K590" s="20"/>
    </row>
    <row r="591" spans="1:11" ht="19.5" customHeight="1" x14ac:dyDescent="0.3">
      <c r="A591" s="22">
        <v>46045.610162430552</v>
      </c>
      <c r="B591" s="20">
        <v>58.3</v>
      </c>
      <c r="C591" s="20">
        <v>80</v>
      </c>
      <c r="D591" s="26">
        <v>80.16</v>
      </c>
      <c r="E591" s="20">
        <v>-0.16</v>
      </c>
      <c r="F591" s="20">
        <v>0.05</v>
      </c>
      <c r="G591" s="26">
        <v>2372.7800000000002</v>
      </c>
      <c r="H591" s="20"/>
      <c r="I591" s="20"/>
      <c r="J591" s="20"/>
      <c r="K591" s="20"/>
    </row>
    <row r="592" spans="1:11" ht="19.5" customHeight="1" x14ac:dyDescent="0.3">
      <c r="A592" s="22">
        <v>46045.610163599536</v>
      </c>
      <c r="B592" s="20">
        <v>58.4</v>
      </c>
      <c r="C592" s="20">
        <v>80</v>
      </c>
      <c r="D592" s="20">
        <v>80.19</v>
      </c>
      <c r="E592" s="20">
        <v>-0.19</v>
      </c>
      <c r="F592" s="20">
        <v>-0.02</v>
      </c>
      <c r="G592" s="26">
        <v>2325.73</v>
      </c>
      <c r="H592" s="20"/>
      <c r="I592" s="20"/>
      <c r="J592" s="20"/>
      <c r="K592" s="20"/>
    </row>
    <row r="593" spans="1:11" ht="19.5" customHeight="1" x14ac:dyDescent="0.3">
      <c r="A593" s="22">
        <v>46045.610164745369</v>
      </c>
      <c r="B593" s="20">
        <v>58.5</v>
      </c>
      <c r="C593" s="20">
        <v>80</v>
      </c>
      <c r="D593" s="26">
        <v>80.22</v>
      </c>
      <c r="E593" s="20">
        <v>-0.22</v>
      </c>
      <c r="F593" s="20">
        <v>-0.04</v>
      </c>
      <c r="G593" s="26">
        <v>2278.02</v>
      </c>
      <c r="H593" s="20"/>
      <c r="I593" s="20"/>
      <c r="J593" s="20"/>
      <c r="K593" s="20"/>
    </row>
    <row r="594" spans="1:11" ht="19.5" customHeight="1" x14ac:dyDescent="0.3">
      <c r="A594" s="22">
        <v>46045.610165914353</v>
      </c>
      <c r="B594" s="20">
        <v>58.6</v>
      </c>
      <c r="C594" s="20">
        <v>80</v>
      </c>
      <c r="D594" s="20">
        <v>80.23</v>
      </c>
      <c r="E594" s="20">
        <v>-0.23</v>
      </c>
      <c r="F594" s="20">
        <v>-0.01</v>
      </c>
      <c r="G594" s="26">
        <v>2295.44</v>
      </c>
      <c r="H594" s="20"/>
      <c r="I594" s="20"/>
      <c r="J594" s="20"/>
      <c r="K594" s="20"/>
    </row>
    <row r="595" spans="1:11" ht="19.5" customHeight="1" x14ac:dyDescent="0.3">
      <c r="A595" s="22">
        <v>46045.610167071762</v>
      </c>
      <c r="B595" s="20">
        <v>58.7</v>
      </c>
      <c r="C595" s="20">
        <v>80</v>
      </c>
      <c r="D595" s="26">
        <v>80.22</v>
      </c>
      <c r="E595" s="20">
        <v>-0.22</v>
      </c>
      <c r="F595" s="20">
        <v>0.01</v>
      </c>
      <c r="G595" s="20">
        <v>2311.08</v>
      </c>
      <c r="H595" s="20"/>
      <c r="I595" s="20"/>
      <c r="J595" s="20"/>
      <c r="K595" s="20"/>
    </row>
    <row r="596" spans="1:11" ht="19.5" customHeight="1" x14ac:dyDescent="0.3">
      <c r="A596" s="22">
        <v>46045.610168217594</v>
      </c>
      <c r="B596" s="20">
        <v>58.8</v>
      </c>
      <c r="C596" s="20">
        <v>80</v>
      </c>
      <c r="D596" s="26">
        <v>80.19</v>
      </c>
      <c r="E596" s="20">
        <v>-0.19</v>
      </c>
      <c r="F596" s="20">
        <v>0.03</v>
      </c>
      <c r="G596" s="26">
        <v>2343.9899999999998</v>
      </c>
      <c r="H596" s="20"/>
      <c r="I596" s="20"/>
      <c r="J596" s="20"/>
      <c r="K596" s="20"/>
    </row>
    <row r="597" spans="1:11" ht="19.5" customHeight="1" x14ac:dyDescent="0.3">
      <c r="A597" s="22">
        <v>46045.610169421299</v>
      </c>
      <c r="B597" s="20">
        <v>58.9</v>
      </c>
      <c r="C597" s="20">
        <v>80</v>
      </c>
      <c r="D597" s="20">
        <v>80.180000000000007</v>
      </c>
      <c r="E597" s="20">
        <v>-0.18</v>
      </c>
      <c r="F597" s="20">
        <v>0.01</v>
      </c>
      <c r="G597" s="26">
        <v>2352.2399999999998</v>
      </c>
      <c r="H597" s="20"/>
      <c r="I597" s="20"/>
      <c r="J597" s="20"/>
      <c r="K597" s="20"/>
    </row>
    <row r="598" spans="1:11" ht="19.5" customHeight="1" x14ac:dyDescent="0.3">
      <c r="A598" s="22">
        <v>46045.61017054398</v>
      </c>
      <c r="B598" s="20">
        <v>59</v>
      </c>
      <c r="C598" s="20">
        <v>80</v>
      </c>
      <c r="D598" s="26">
        <v>80.22</v>
      </c>
      <c r="E598" s="20">
        <v>-0.22</v>
      </c>
      <c r="F598" s="20">
        <v>-0.04</v>
      </c>
      <c r="G598" s="20">
        <v>2282.0500000000002</v>
      </c>
      <c r="H598" s="20"/>
      <c r="I598" s="20"/>
      <c r="J598" s="20"/>
      <c r="K598" s="20"/>
    </row>
    <row r="599" spans="1:11" ht="19.5" customHeight="1" x14ac:dyDescent="0.3">
      <c r="A599" s="22">
        <v>46045.610171689812</v>
      </c>
      <c r="B599" s="20">
        <v>59.1</v>
      </c>
      <c r="C599" s="20">
        <v>80</v>
      </c>
      <c r="D599" s="20">
        <v>80.19</v>
      </c>
      <c r="E599" s="20">
        <v>-0.19</v>
      </c>
      <c r="F599" s="20">
        <v>0.03</v>
      </c>
      <c r="G599" s="26">
        <v>2348.12</v>
      </c>
      <c r="H599" s="20"/>
      <c r="I599" s="20"/>
      <c r="J599" s="20"/>
      <c r="K599" s="20"/>
    </row>
    <row r="600" spans="1:11" ht="19.5" customHeight="1" x14ac:dyDescent="0.3">
      <c r="A600" s="22">
        <v>46045.61017284722</v>
      </c>
      <c r="B600" s="20">
        <v>59.2</v>
      </c>
      <c r="C600" s="20">
        <v>80</v>
      </c>
      <c r="D600" s="26">
        <v>80.239999999999995</v>
      </c>
      <c r="E600" s="20">
        <v>-0.24</v>
      </c>
      <c r="F600" s="20">
        <v>-0.06</v>
      </c>
      <c r="G600" s="20">
        <v>2239.16</v>
      </c>
      <c r="H600" s="20"/>
      <c r="I600" s="20"/>
      <c r="J600" s="20"/>
      <c r="K600" s="20"/>
    </row>
    <row r="601" spans="1:11" ht="19.5" customHeight="1" x14ac:dyDescent="0.3">
      <c r="A601" s="22">
        <v>46045.610174004629</v>
      </c>
      <c r="B601" s="20">
        <v>59.3</v>
      </c>
      <c r="C601" s="20">
        <v>80</v>
      </c>
      <c r="D601" s="26">
        <v>80.239999999999995</v>
      </c>
      <c r="E601" s="20">
        <v>-0.24</v>
      </c>
      <c r="F601" s="20">
        <v>0.01</v>
      </c>
      <c r="G601" s="26">
        <v>2298.62</v>
      </c>
      <c r="H601" s="20"/>
      <c r="I601" s="20"/>
      <c r="J601" s="20"/>
      <c r="K601" s="20"/>
    </row>
    <row r="602" spans="1:11" ht="19.5" customHeight="1" x14ac:dyDescent="0.3">
      <c r="A602" s="22">
        <v>46045.610175150461</v>
      </c>
      <c r="B602" s="20">
        <v>59.4</v>
      </c>
      <c r="C602" s="20">
        <v>80</v>
      </c>
      <c r="D602" s="20">
        <v>80.2</v>
      </c>
      <c r="E602" s="20">
        <v>-0.2</v>
      </c>
      <c r="F602" s="20">
        <v>0.04</v>
      </c>
      <c r="G602" s="26">
        <v>2335.81</v>
      </c>
      <c r="H602" s="20"/>
      <c r="I602" s="20"/>
      <c r="J602" s="20"/>
      <c r="K602" s="20"/>
    </row>
    <row r="603" spans="1:11" ht="19.5" customHeight="1" x14ac:dyDescent="0.3">
      <c r="A603" s="22">
        <v>46045.610176354166</v>
      </c>
      <c r="B603" s="20">
        <v>59.5</v>
      </c>
      <c r="C603" s="20">
        <v>80</v>
      </c>
      <c r="D603" s="26">
        <v>80.23</v>
      </c>
      <c r="E603" s="20">
        <v>-0.23</v>
      </c>
      <c r="F603" s="20">
        <v>-0.03</v>
      </c>
      <c r="G603" s="26">
        <v>2273.42</v>
      </c>
      <c r="H603" s="20"/>
      <c r="I603" s="20"/>
      <c r="J603" s="20"/>
      <c r="K603" s="20"/>
    </row>
    <row r="604" spans="1:11" ht="19.5" customHeight="1" x14ac:dyDescent="0.3">
      <c r="A604" s="22">
        <v>46045.610177488423</v>
      </c>
      <c r="B604" s="20">
        <v>59.6</v>
      </c>
      <c r="C604" s="20">
        <v>80</v>
      </c>
      <c r="D604" s="26">
        <v>80.22</v>
      </c>
      <c r="E604" s="20">
        <v>-0.22</v>
      </c>
      <c r="F604" s="20">
        <v>0.01</v>
      </c>
      <c r="G604" s="26">
        <v>2315.1799999999998</v>
      </c>
      <c r="H604" s="20"/>
      <c r="I604" s="20"/>
      <c r="J604" s="20"/>
      <c r="K604" s="20"/>
    </row>
    <row r="605" spans="1:11" ht="19.5" customHeight="1" x14ac:dyDescent="0.3">
      <c r="A605" s="22">
        <v>46045.610178645831</v>
      </c>
      <c r="B605" s="20">
        <v>59.7</v>
      </c>
      <c r="C605" s="20">
        <v>80</v>
      </c>
      <c r="D605" s="20">
        <v>80.25</v>
      </c>
      <c r="E605" s="20">
        <v>-0.25</v>
      </c>
      <c r="F605" s="20">
        <v>-0.03</v>
      </c>
      <c r="G605" s="26">
        <v>2260.52</v>
      </c>
      <c r="H605" s="20"/>
      <c r="I605" s="20"/>
      <c r="J605" s="20"/>
      <c r="K605" s="20"/>
    </row>
    <row r="606" spans="1:11" ht="19.5" customHeight="1" x14ac:dyDescent="0.3">
      <c r="A606" s="22">
        <v>46045.610179791664</v>
      </c>
      <c r="B606" s="20">
        <v>59.8</v>
      </c>
      <c r="C606" s="20">
        <v>80</v>
      </c>
      <c r="D606" s="26">
        <v>80.17</v>
      </c>
      <c r="E606" s="20">
        <v>-0.17</v>
      </c>
      <c r="F606" s="20">
        <v>0.08</v>
      </c>
      <c r="G606" s="20">
        <v>2364.54</v>
      </c>
      <c r="H606" s="20"/>
      <c r="I606" s="20"/>
      <c r="J606" s="20"/>
      <c r="K606" s="20"/>
    </row>
    <row r="607" spans="1:11" ht="19.5" customHeight="1" x14ac:dyDescent="0.3">
      <c r="A607" s="22">
        <v>46045.610180949072</v>
      </c>
      <c r="B607" s="20">
        <v>59.9</v>
      </c>
      <c r="C607" s="20">
        <v>80</v>
      </c>
      <c r="D607" s="26">
        <v>80.16</v>
      </c>
      <c r="E607" s="20">
        <v>-0.16</v>
      </c>
      <c r="F607" s="20">
        <v>0.01</v>
      </c>
      <c r="G607" s="26">
        <v>2376.91</v>
      </c>
      <c r="H607" s="20"/>
      <c r="I607" s="20"/>
      <c r="J607" s="20"/>
      <c r="K607" s="20"/>
    </row>
    <row r="608" spans="1:11" ht="19.5" customHeight="1" x14ac:dyDescent="0.3">
      <c r="A608" s="22">
        <v>46045.61018210648</v>
      </c>
      <c r="B608" s="20">
        <v>60</v>
      </c>
      <c r="C608" s="20">
        <v>80</v>
      </c>
      <c r="D608" s="20">
        <v>80.209999999999994</v>
      </c>
      <c r="E608" s="20">
        <v>-0.21</v>
      </c>
      <c r="F608" s="20">
        <v>-0.05</v>
      </c>
      <c r="G608" s="26">
        <v>2275.4699999999998</v>
      </c>
      <c r="H608" s="20"/>
      <c r="I608" s="20"/>
      <c r="J608" s="20"/>
      <c r="K608" s="20"/>
    </row>
    <row r="609" spans="1:11" ht="19.5" customHeight="1" x14ac:dyDescent="0.3">
      <c r="A609" s="23">
        <v>46045.610183263889</v>
      </c>
      <c r="B609" s="24">
        <v>60.1</v>
      </c>
      <c r="C609" s="24">
        <v>80</v>
      </c>
      <c r="D609" s="25">
        <v>80.23</v>
      </c>
      <c r="E609" s="24">
        <v>-0.23</v>
      </c>
      <c r="F609" s="24">
        <v>-0.02</v>
      </c>
      <c r="G609" s="25">
        <v>2284.4299999999998</v>
      </c>
      <c r="H609" s="24"/>
      <c r="I609" s="24"/>
      <c r="J609" s="24"/>
      <c r="K609" s="24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6EB83408-B7C2-4779-BEE9-8F2B6A635050}"/>
    <dataValidation allowBlank="1" showInputMessage="1" showErrorMessage="1" prompt="TBL_CUR[CH1]" sqref="B5" xr:uid="{46CB7B29-05BC-4C23-ADC9-315696BE6254}"/>
    <dataValidation allowBlank="1" showInputMessage="1" showErrorMessage="1" prompt="TBL_CUR[CH2]" sqref="C5" xr:uid="{D63DA865-4617-4103-B0C3-CCEB28993316}"/>
    <dataValidation allowBlank="1" showInputMessage="1" showErrorMessage="1" prompt="TBL_CUR[CH3]" sqref="D5" xr:uid="{06754C72-8650-4CE6-93D5-87174CF84AE4}"/>
    <dataValidation allowBlank="1" showInputMessage="1" showErrorMessage="1" prompt="TBL_CUR[CH4]" sqref="E5" xr:uid="{2651BDD4-1FD9-4A21-965A-5F0DB89494C3}"/>
    <dataValidation allowBlank="1" showInputMessage="1" showErrorMessage="1" prompt="TBL_CUR[CH5]" sqref="F5" xr:uid="{49A11900-6A31-4392-96DA-7EE27966FB5A}"/>
    <dataValidation allowBlank="1" showInputMessage="1" showErrorMessage="1" prompt="TBL_CUR[CH6]" sqref="G5" xr:uid="{374D47B2-59C6-411D-B499-08628F2D75AF}"/>
    <dataValidation allowBlank="1" showInputMessage="1" showErrorMessage="1" prompt="TBL_CUR[CH7]" sqref="H5" xr:uid="{557CE97D-A55B-4128-8108-45AF6714FF39}"/>
    <dataValidation allowBlank="1" showInputMessage="1" showErrorMessage="1" prompt="TBL_CUR[CH8]" sqref="I5" xr:uid="{F6F61EA0-6807-4A36-871A-ADE987E27DF2}"/>
    <dataValidation allowBlank="1" showInputMessage="1" showErrorMessage="1" prompt="TBL_CUR[CH9]" sqref="J5" xr:uid="{883C1D3C-494C-4C9E-B363-80F3B52A51F4}"/>
    <dataValidation allowBlank="1" showInputMessage="1" showErrorMessage="1" prompt="TBL_CUR[CH10]" sqref="K5" xr:uid="{C91C890F-D933-481B-9CDE-0E706C23D4F3}"/>
    <dataValidation allowBlank="1" showInputMessage="1" showErrorMessage="1" prompt="Time_x000d__x000a__x000d__x000a_TBL_HST[TIME]" sqref="A8:A609" xr:uid="{356CC6B3-D6BD-408D-91CA-AAAF739EBE1A}"/>
    <dataValidation allowBlank="1" showInputMessage="1" showErrorMessage="1" prompt="TBL_HST[CH1]" sqref="B8:B609" xr:uid="{B7AC4BA6-A355-4211-98A1-CCC78828AD6E}"/>
    <dataValidation allowBlank="1" showInputMessage="1" showErrorMessage="1" prompt="TBL_HST[CH2]" sqref="C8:C609" xr:uid="{E3572202-4EB3-4973-8641-02E3A01716F2}"/>
    <dataValidation allowBlank="1" showInputMessage="1" showErrorMessage="1" prompt="TBL_HST[CH3]" sqref="D8:D609" xr:uid="{D695BC4C-1FF8-46E7-812B-1859E87A33B8}"/>
    <dataValidation allowBlank="1" showInputMessage="1" showErrorMessage="1" prompt="TBL_HST[CH5]" sqref="F8:F609" xr:uid="{F60BCC20-5226-4338-BAAE-F14CFF0FA53E}"/>
    <dataValidation allowBlank="1" showInputMessage="1" showErrorMessage="1" prompt="TBL_HST[CH6]" sqref="G8:G609" xr:uid="{F1E81D0B-A490-434C-AE89-E78C5D37E953}"/>
    <dataValidation allowBlank="1" showInputMessage="1" showErrorMessage="1" prompt="TBL_HST[CH7]" sqref="H8:H609" xr:uid="{3544454B-3473-4F15-8E0B-CCECCEB3CF3C}"/>
    <dataValidation allowBlank="1" showInputMessage="1" showErrorMessage="1" prompt="TBL_HST[CH8]" sqref="I8:I609" xr:uid="{E5FF921C-5499-413C-A9F3-A26B859F1016}"/>
    <dataValidation allowBlank="1" showInputMessage="1" showErrorMessage="1" prompt="TBL_HST[CH9]" sqref="J8:J609" xr:uid="{F3523FFF-F92D-49B9-96D4-1F2611B942FA}"/>
    <dataValidation allowBlank="1" showInputMessage="1" showErrorMessage="1" prompt="TBL_HST[CH10]" sqref="K8:K609" xr:uid="{E77CDB1C-EB44-447B-9E6C-45B1F8C3CAAB}"/>
    <dataValidation allowBlank="1" showInputMessage="1" showErrorMessage="1" prompt="TBL_HST[CH4]" sqref="E8:E418 E420:E609 G419" xr:uid="{DB168B51-2CE6-48DF-BC2C-BD17CDE7BC7A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A1A75-47EA-418D-B05A-C9B6D053692A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69" t="s">
        <v>30</v>
      </c>
      <c r="B1" s="69"/>
      <c r="C1" s="69"/>
      <c r="D1" s="69"/>
      <c r="E1" s="69"/>
      <c r="F1" s="69"/>
      <c r="G1" s="69"/>
      <c r="H1" s="69"/>
    </row>
    <row r="2" spans="1:10" ht="16.8" x14ac:dyDescent="0.3">
      <c r="A2" s="70" t="s">
        <v>31</v>
      </c>
      <c r="B2" s="70"/>
      <c r="C2" s="70"/>
      <c r="D2" s="70"/>
      <c r="E2" s="70"/>
      <c r="F2" s="70"/>
      <c r="G2" s="70"/>
      <c r="H2" s="70"/>
    </row>
    <row r="3" spans="1:10" ht="17.55" customHeight="1" x14ac:dyDescent="0.3"/>
    <row r="4" spans="1:10" ht="19.5" customHeight="1" x14ac:dyDescent="0.3">
      <c r="A4" s="43" t="s">
        <v>11</v>
      </c>
      <c r="B4" s="44" t="s">
        <v>13</v>
      </c>
      <c r="C4" s="44" t="s">
        <v>14</v>
      </c>
      <c r="D4" s="44" t="s">
        <v>15</v>
      </c>
      <c r="E4" s="44" t="s">
        <v>16</v>
      </c>
      <c r="F4" s="44" t="s">
        <v>17</v>
      </c>
      <c r="G4" s="44" t="s">
        <v>18</v>
      </c>
      <c r="H4" s="44" t="s">
        <v>19</v>
      </c>
      <c r="I4" s="44" t="s">
        <v>20</v>
      </c>
      <c r="J4" s="44" t="s">
        <v>21</v>
      </c>
    </row>
    <row r="5" spans="1:10" ht="27" customHeight="1" x14ac:dyDescent="0.3">
      <c r="A5" s="15"/>
      <c r="B5" s="15"/>
      <c r="C5" s="15"/>
      <c r="D5" s="15"/>
      <c r="E5" s="15"/>
      <c r="F5" s="15"/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2ADB8-B06A-4965-83E2-1E072F80D2BB}">
  <dimension ref="A1:E13"/>
  <sheetViews>
    <sheetView workbookViewId="0">
      <selection activeCell="E8" sqref="E8"/>
    </sheetView>
  </sheetViews>
  <sheetFormatPr defaultRowHeight="14.4" x14ac:dyDescent="0.3"/>
  <cols>
    <col min="1" max="1" width="30.77734375" style="12" customWidth="1"/>
    <col min="2" max="2" width="0.21875" style="12" customWidth="1"/>
    <col min="3" max="3" width="30.77734375" style="12" customWidth="1"/>
    <col min="4" max="16384" width="8.88671875" style="12"/>
  </cols>
  <sheetData>
    <row r="1" spans="1:5" ht="29.4" x14ac:dyDescent="0.65">
      <c r="A1" s="71" t="s">
        <v>22</v>
      </c>
      <c r="B1" s="71"/>
      <c r="C1" s="71"/>
      <c r="D1" s="71"/>
      <c r="E1" s="71"/>
    </row>
    <row r="2" spans="1:5" ht="49.95" customHeight="1" x14ac:dyDescent="0.3">
      <c r="A2" s="72" t="s">
        <v>23</v>
      </c>
      <c r="B2" s="72"/>
      <c r="C2" s="72"/>
      <c r="D2" s="72"/>
      <c r="E2" s="72"/>
    </row>
    <row r="3" spans="1:5" ht="4.5" customHeight="1" x14ac:dyDescent="0.3"/>
    <row r="4" spans="1:5" ht="24" customHeight="1" x14ac:dyDescent="0.3">
      <c r="A4" s="42" t="s">
        <v>24</v>
      </c>
      <c r="B4" s="13">
        <v>150</v>
      </c>
      <c r="C4" s="14">
        <v>150</v>
      </c>
    </row>
    <row r="5" spans="1:5" ht="4.5" customHeight="1" x14ac:dyDescent="0.3"/>
    <row r="6" spans="1:5" ht="24" customHeight="1" x14ac:dyDescent="0.3">
      <c r="A6" s="42" t="s">
        <v>25</v>
      </c>
      <c r="B6" s="13">
        <v>15</v>
      </c>
      <c r="C6" s="14">
        <v>602</v>
      </c>
    </row>
    <row r="7" spans="1:5" ht="4.5" customHeight="1" x14ac:dyDescent="0.3"/>
    <row r="8" spans="1:5" ht="24" customHeight="1" x14ac:dyDescent="0.3">
      <c r="A8" s="42" t="s">
        <v>26</v>
      </c>
      <c r="B8" s="13">
        <v>10</v>
      </c>
      <c r="C8" s="14">
        <v>10</v>
      </c>
    </row>
    <row r="9" spans="1:5" ht="4.5" customHeight="1" x14ac:dyDescent="0.3"/>
    <row r="10" spans="1:5" ht="24" customHeight="1" x14ac:dyDescent="0.3">
      <c r="A10" s="42" t="s">
        <v>27</v>
      </c>
      <c r="B10" s="13" t="s">
        <v>28</v>
      </c>
      <c r="C10" s="14" t="s">
        <v>28</v>
      </c>
    </row>
    <row r="13" spans="1:5" ht="49.95" customHeight="1" x14ac:dyDescent="0.3">
      <c r="A13" s="73" t="s">
        <v>29</v>
      </c>
      <c r="B13" s="73"/>
      <c r="C13" s="73"/>
      <c r="D13" s="73"/>
      <c r="E13" s="73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CAF1FBE3-3519-4D7D-BA84-79A9AE16AAFE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4A31CB2A-470C-4E40-BBA2-9711FD91FB8F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1BB8DD74-0615-49DC-BE7E-35E3E4DA26CC}">
      <formula1>1</formula1>
      <formula2>1000</formula2>
    </dataValidation>
    <dataValidation type="list" errorStyle="information" allowBlank="1" showInputMessage="1" sqref="C10" xr:uid="{4520437B-65FF-4178-984F-C1C908965349}">
      <mc:AlternateContent xmlns:x12ac="http://schemas.microsoft.com/office/spreadsheetml/2011/1/ac" xmlns:mc="http://schemas.openxmlformats.org/markup-compatibility/2006">
        <mc:Choice Requires="x12ac">
          <x12ac:list>"Newest first,Newest last"</x12ac:list>
        </mc:Choice>
        <mc:Fallback>
          <formula1>"Newest first,Newest last"</formula1>
        </mc:Fallback>
      </mc:AlternateContent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F5F9-3083-4832-A254-02F1DE75CD12}">
  <dimension ref="A1:L16"/>
  <sheetViews>
    <sheetView workbookViewId="0">
      <selection sqref="A1:G1"/>
    </sheetView>
  </sheetViews>
  <sheetFormatPr defaultRowHeight="14.4" x14ac:dyDescent="0.3"/>
  <cols>
    <col min="1" max="2" width="3.77734375" style="2" customWidth="1"/>
    <col min="3" max="3" width="14.77734375" style="2" customWidth="1"/>
    <col min="4" max="4" width="18.77734375" style="2" customWidth="1"/>
    <col min="5" max="5" width="60.77734375" style="2" customWidth="1"/>
    <col min="6" max="6" width="16.77734375" style="2" customWidth="1"/>
    <col min="7" max="7" width="12.77734375" style="2" customWidth="1"/>
    <col min="8" max="8" width="8.88671875" style="2"/>
    <col min="9" max="9" width="16.77734375" style="2" customWidth="1"/>
    <col min="10" max="10" width="60.77734375" style="2" customWidth="1"/>
    <col min="11" max="16384" width="8.88671875" style="2"/>
  </cols>
  <sheetData>
    <row r="1" spans="1:12" ht="29.4" x14ac:dyDescent="0.65">
      <c r="A1" s="76" t="s">
        <v>4</v>
      </c>
      <c r="B1" s="76"/>
      <c r="C1" s="76"/>
      <c r="D1" s="76"/>
      <c r="E1" s="76"/>
      <c r="F1" s="76"/>
      <c r="G1" s="76"/>
      <c r="L1" s="39" t="s">
        <v>59</v>
      </c>
    </row>
    <row r="2" spans="1:12" ht="48" customHeight="1" x14ac:dyDescent="0.3">
      <c r="A2" s="77" t="s">
        <v>5</v>
      </c>
      <c r="B2" s="77"/>
      <c r="C2" s="77"/>
      <c r="D2" s="77"/>
      <c r="E2" s="77"/>
      <c r="F2" s="77"/>
      <c r="G2" s="77"/>
    </row>
    <row r="3" spans="1:12" ht="25.95" customHeight="1" x14ac:dyDescent="0.55000000000000004">
      <c r="B3" s="80" t="s">
        <v>0</v>
      </c>
      <c r="C3" s="80"/>
      <c r="D3" s="80"/>
      <c r="E3" s="80"/>
      <c r="F3" s="80"/>
      <c r="G3" s="80"/>
      <c r="H3" s="80"/>
    </row>
    <row r="4" spans="1:12" ht="25.95" customHeight="1" x14ac:dyDescent="0.4">
      <c r="B4" s="78"/>
      <c r="C4" s="78"/>
      <c r="D4" s="78"/>
      <c r="E4" s="78"/>
      <c r="F4" s="78"/>
      <c r="G4" s="78"/>
      <c r="I4" s="74" t="s">
        <v>1</v>
      </c>
      <c r="J4" s="74"/>
    </row>
    <row r="5" spans="1:12" ht="24" customHeight="1" x14ac:dyDescent="0.3">
      <c r="B5" s="78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75" t="s">
        <v>58</v>
      </c>
      <c r="J5" s="75"/>
      <c r="K5" s="39">
        <v>1</v>
      </c>
    </row>
    <row r="6" spans="1:12" ht="24" customHeight="1" x14ac:dyDescent="0.4">
      <c r="B6" s="78"/>
      <c r="C6" s="41" t="s">
        <v>11</v>
      </c>
      <c r="D6" s="5" t="s">
        <v>11</v>
      </c>
      <c r="E6" s="5"/>
      <c r="F6" s="5"/>
      <c r="G6" s="4" t="s">
        <v>12</v>
      </c>
      <c r="I6" s="74" t="s">
        <v>2</v>
      </c>
      <c r="J6" s="74"/>
    </row>
    <row r="7" spans="1:12" ht="24" customHeight="1" x14ac:dyDescent="0.3">
      <c r="B7" s="78"/>
      <c r="C7" s="7" t="s">
        <v>13</v>
      </c>
      <c r="D7" s="8" t="s">
        <v>13</v>
      </c>
      <c r="E7" s="8"/>
      <c r="F7" s="8"/>
      <c r="G7" s="6" t="s">
        <v>12</v>
      </c>
      <c r="I7" s="40">
        <v>100</v>
      </c>
    </row>
    <row r="8" spans="1:12" ht="24" customHeight="1" x14ac:dyDescent="0.4">
      <c r="B8" s="78"/>
      <c r="C8" s="7" t="s">
        <v>14</v>
      </c>
      <c r="D8" s="8" t="s">
        <v>14</v>
      </c>
      <c r="E8" s="8"/>
      <c r="F8" s="8"/>
      <c r="G8" s="6" t="s">
        <v>12</v>
      </c>
      <c r="I8" s="74" t="s">
        <v>3</v>
      </c>
      <c r="J8" s="74"/>
    </row>
    <row r="9" spans="1:12" ht="24" customHeight="1" x14ac:dyDescent="0.3">
      <c r="B9" s="78"/>
      <c r="C9" s="7" t="s">
        <v>15</v>
      </c>
      <c r="D9" s="8" t="s">
        <v>15</v>
      </c>
      <c r="E9" s="8"/>
      <c r="F9" s="8"/>
      <c r="G9" s="6" t="s">
        <v>12</v>
      </c>
      <c r="I9" s="40">
        <v>115200</v>
      </c>
    </row>
    <row r="10" spans="1:12" ht="24" customHeight="1" x14ac:dyDescent="0.3">
      <c r="B10" s="78"/>
      <c r="C10" s="7" t="s">
        <v>16</v>
      </c>
      <c r="D10" s="8" t="s">
        <v>16</v>
      </c>
      <c r="E10" s="8"/>
      <c r="F10" s="8"/>
      <c r="G10" s="6" t="s">
        <v>12</v>
      </c>
    </row>
    <row r="11" spans="1:12" ht="24" customHeight="1" x14ac:dyDescent="0.3">
      <c r="B11" s="78"/>
      <c r="C11" s="7" t="s">
        <v>17</v>
      </c>
      <c r="D11" s="8" t="s">
        <v>17</v>
      </c>
      <c r="E11" s="8"/>
      <c r="F11" s="8"/>
      <c r="G11" s="6" t="s">
        <v>12</v>
      </c>
    </row>
    <row r="12" spans="1:12" ht="24" customHeight="1" x14ac:dyDescent="0.3">
      <c r="B12" s="78"/>
      <c r="C12" s="7" t="s">
        <v>18</v>
      </c>
      <c r="D12" s="8" t="s">
        <v>18</v>
      </c>
      <c r="E12" s="8"/>
      <c r="F12" s="8"/>
      <c r="G12" s="6" t="s">
        <v>12</v>
      </c>
    </row>
    <row r="13" spans="1:12" ht="24" customHeight="1" x14ac:dyDescent="0.3">
      <c r="B13" s="78"/>
      <c r="C13" s="7" t="s">
        <v>19</v>
      </c>
      <c r="D13" s="8" t="s">
        <v>19</v>
      </c>
      <c r="E13" s="8"/>
      <c r="F13" s="8"/>
      <c r="G13" s="6" t="s">
        <v>12</v>
      </c>
    </row>
    <row r="14" spans="1:12" ht="24" customHeight="1" x14ac:dyDescent="0.3">
      <c r="B14" s="78"/>
      <c r="C14" s="7" t="s">
        <v>20</v>
      </c>
      <c r="D14" s="8" t="s">
        <v>20</v>
      </c>
      <c r="E14" s="8"/>
      <c r="F14" s="8"/>
      <c r="G14" s="6" t="s">
        <v>12</v>
      </c>
    </row>
    <row r="15" spans="1:12" ht="24" customHeight="1" thickBot="1" x14ac:dyDescent="0.35">
      <c r="B15" s="79"/>
      <c r="C15" s="9" t="s">
        <v>21</v>
      </c>
      <c r="D15" s="10" t="s">
        <v>21</v>
      </c>
      <c r="E15" s="10"/>
      <c r="F15" s="10"/>
      <c r="G15" s="11" t="s">
        <v>12</v>
      </c>
    </row>
    <row r="16" spans="1:12" ht="15" thickTop="1" x14ac:dyDescent="0.3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9</vt:i4>
      </vt:variant>
    </vt:vector>
  </HeadingPairs>
  <TitlesOfParts>
    <vt:vector size="25" baseType="lpstr">
      <vt:lpstr>50</vt:lpstr>
      <vt:lpstr>53</vt:lpstr>
      <vt:lpstr>56</vt:lpstr>
      <vt:lpstr>59</vt:lpstr>
      <vt:lpstr>62</vt:lpstr>
      <vt:lpstr>65</vt:lpstr>
      <vt:lpstr>68</vt:lpstr>
      <vt:lpstr>71</vt:lpstr>
      <vt:lpstr>74</vt:lpstr>
      <vt:lpstr>77</vt:lpstr>
      <vt:lpstr>80</vt:lpstr>
      <vt:lpstr>Setpoint</vt:lpstr>
      <vt:lpstr>Data In</vt:lpstr>
      <vt:lpstr>Data Out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Rizky Maulana</dc:creator>
  <cp:lastModifiedBy>Rizky Maulana</cp:lastModifiedBy>
  <dcterms:created xsi:type="dcterms:W3CDTF">2025-12-04T00:21:57Z</dcterms:created>
  <dcterms:modified xsi:type="dcterms:W3CDTF">2026-01-30T07:02:31Z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4bbbcf84-6beb-4134-b545-614d1175c8d6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